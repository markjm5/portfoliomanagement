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35820" yWindow="-300" windowWidth="4126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M2 (old)" sheetId="9" state="visible" r:id="rId9"/>
    <sheet xmlns:r="http://schemas.openxmlformats.org/officeDocument/2006/relationships" name="Fed Weekly Change" sheetId="10" state="visible" r:id="rId10"/>
    <sheet xmlns:r="http://schemas.openxmlformats.org/officeDocument/2006/relationships" name="Fed Balance Sheet" sheetId="11" state="visible" r:id="rId11"/>
    <sheet xmlns:r="http://schemas.openxmlformats.org/officeDocument/2006/relationships" name="BOJ Balance Sheet" sheetId="12" state="visible" r:id="rId12"/>
    <sheet xmlns:r="http://schemas.openxmlformats.org/officeDocument/2006/relationships" name="ECB Balance Shee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95">
    <xf numFmtId="0" fontId="0" fillId="0" borderId="0" pivotButton="0" quotePrefix="0" xfId="0"/>
    <xf numFmtId="0" fontId="0" fillId="2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1" fontId="0" fillId="4" borderId="0" pivotButton="0" quotePrefix="0" xfId="0"/>
    <xf numFmtId="14" fontId="0" fillId="4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5" borderId="0" pivotButton="0" quotePrefix="0" xfId="0"/>
    <xf numFmtId="14" fontId="0" fillId="2" borderId="0" pivotButton="0" quotePrefix="0" xfId="0"/>
    <xf numFmtId="1" fontId="7" fillId="0" borderId="0" pivotButton="0" quotePrefix="0" xfId="4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1" fontId="4" fillId="2" borderId="12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2" applyAlignment="1" pivotButton="0" quotePrefix="0" xfId="2">
      <alignment horizontal="center"/>
    </xf>
    <xf numFmtId="1" fontId="4" fillId="2" borderId="14" applyAlignment="1" pivotButton="0" quotePrefix="0" xfId="2">
      <alignment horizontal="center"/>
    </xf>
    <xf numFmtId="0" fontId="4" fillId="2" borderId="14" applyAlignment="1" pivotButton="0" quotePrefix="0" xfId="2">
      <alignment horizontal="center"/>
    </xf>
    <xf numFmtId="1" fontId="4" fillId="2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 wrapText="1"/>
    </xf>
    <xf numFmtId="0" fontId="4" fillId="3" borderId="17" applyAlignment="1" pivotButton="0" quotePrefix="0" xfId="2">
      <alignment horizontal="center" wrapText="1"/>
    </xf>
    <xf numFmtId="2" fontId="4" fillId="2" borderId="10" applyAlignment="1" pivotButton="0" quotePrefix="0" xfId="2">
      <alignment horizontal="center"/>
    </xf>
    <xf numFmtId="2" fontId="4" fillId="2" borderId="12" applyAlignment="1" pivotButton="0" quotePrefix="0" xfId="2">
      <alignment horizontal="center"/>
    </xf>
    <xf numFmtId="2" fontId="4" fillId="2" borderId="8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0" fontId="4" fillId="3" borderId="17" applyAlignment="1" pivotButton="0" quotePrefix="0" xfId="2">
      <alignment horizontal="center"/>
    </xf>
    <xf numFmtId="2" fontId="7" fillId="0" borderId="10" applyAlignment="1" pivotButton="0" quotePrefix="0" xfId="4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3" applyAlignment="1" pivotButton="0" quotePrefix="0" xfId="2">
      <alignment horizontal="center"/>
    </xf>
    <xf numFmtId="0" fontId="4" fillId="2" borderId="13" applyAlignment="1" pivotButton="0" quotePrefix="0" xfId="2">
      <alignment horizontal="center"/>
    </xf>
    <xf numFmtId="0" fontId="6" fillId="3" borderId="15" applyAlignment="1" pivotButton="0" quotePrefix="0" xfId="0">
      <alignment horizontal="center" wrapText="1"/>
    </xf>
    <xf numFmtId="0" fontId="4" fillId="3" borderId="16" applyAlignment="1" pivotButton="0" quotePrefix="0" xfId="2">
      <alignment horizontal="center" wrapText="1"/>
    </xf>
    <xf numFmtId="0" fontId="6" fillId="3" borderId="16" applyAlignment="1" pivotButton="0" quotePrefix="0" xfId="0">
      <alignment horizontal="center" wrapText="1"/>
    </xf>
    <xf numFmtId="0" fontId="6" fillId="3" borderId="17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" fontId="4" fillId="0" borderId="0" pivotButton="0" quotePrefix="0" xfId="2"/>
    <xf numFmtId="1" fontId="0" fillId="2" borderId="2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3" applyAlignment="1" pivotButton="0" quotePrefix="0" xfId="2">
      <alignment horizontal="center"/>
    </xf>
    <xf numFmtId="165" fontId="4" fillId="2" borderId="2" applyAlignment="1" pivotButton="0" quotePrefix="0" xfId="2">
      <alignment horizontal="center"/>
    </xf>
    <xf numFmtId="166" fontId="4" fillId="2" borderId="2" applyAlignment="1" pivotButton="0" quotePrefix="0" xfId="1">
      <alignment horizontal="center"/>
    </xf>
    <xf numFmtId="164" fontId="0" fillId="2" borderId="2" applyAlignment="1" pivotButton="0" quotePrefix="0" xfId="0">
      <alignment horizontal="center"/>
    </xf>
    <xf numFmtId="165" fontId="0" fillId="2" borderId="2" applyAlignment="1" pivotButton="0" quotePrefix="0" xfId="0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6" fontId="4" fillId="2" borderId="10" applyAlignment="1" pivotButton="0" quotePrefix="0" xfId="1">
      <alignment horizontal="center"/>
    </xf>
    <xf numFmtId="166" fontId="4" fillId="2" borderId="12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8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3" applyAlignment="1" pivotButton="0" quotePrefix="0" xfId="2">
      <alignment horizontal="center"/>
    </xf>
    <xf numFmtId="165" fontId="4" fillId="2" borderId="2" applyAlignment="1" pivotButton="0" quotePrefix="0" xfId="2">
      <alignment horizontal="center"/>
    </xf>
    <xf numFmtId="166" fontId="4" fillId="2" borderId="2" applyAlignment="1" pivotButton="0" quotePrefix="0" xfId="1">
      <alignment horizontal="center"/>
    </xf>
    <xf numFmtId="164" fontId="0" fillId="2" borderId="2" applyAlignment="1" pivotButton="0" quotePrefix="0" xfId="0">
      <alignment horizontal="center"/>
    </xf>
    <xf numFmtId="165" fontId="0" fillId="2" borderId="2" applyAlignment="1" pivotButton="0" quotePrefix="0" xfId="0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6" fontId="4" fillId="2" borderId="10" applyAlignment="1" pivotButton="0" quotePrefix="0" xfId="1">
      <alignment horizontal="center"/>
    </xf>
    <xf numFmtId="166" fontId="4" fillId="2" borderId="12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56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9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6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6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Rate'!$A$8:$A$868</f>
              <numCache>
                <formatCode>yyyy\-mm\-dd</formatCode>
                <ptCount val="861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</numCache>
            </numRef>
          </cat>
          <val>
            <numRef>
              <f>'Discount Rate'!$B$8:$B$868</f>
              <numCache>
                <formatCode>0.00</formatCode>
                <ptCount val="861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  <pt idx="860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Rate'!$A$8:$A$813</f>
              <numCache>
                <formatCode>yyyy\-mm\-dd</formatCode>
                <ptCount val="806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</numCache>
            </numRef>
          </cat>
          <val>
            <numRef>
              <f>'Fed Funds Rate'!$B$8:$B$813</f>
              <numCache>
                <formatCode>0.00</formatCode>
                <ptCount val="806"/>
                <pt idx="0">
                  <v>0.8</v>
                </pt>
                <pt idx="1">
                  <v>1.22</v>
                </pt>
                <pt idx="2">
                  <v>1.06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4.04</v>
                </pt>
                <pt idx="129">
                  <v>4.09</v>
                </pt>
                <pt idx="130">
                  <v>4.1</v>
                </pt>
                <pt idx="131">
                  <v>4.04</v>
                </pt>
                <pt idx="132">
                  <v>4.09</v>
                </pt>
                <pt idx="133">
                  <v>4.12</v>
                </pt>
                <pt idx="134">
                  <v>4.01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4.65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6.11</v>
                </pt>
                <pt idx="167">
                  <v>6.07</v>
                </pt>
                <pt idx="168">
                  <v>6.02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7.94</v>
                </pt>
                <pt idx="191">
                  <v>7.6</v>
                </pt>
                <pt idx="192">
                  <v>7.21</v>
                </pt>
                <pt idx="193">
                  <v>6.61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4.15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5.56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</v>
                </pt>
                <pt idx="211">
                  <v>3.29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</v>
                </pt>
                <pt idx="218">
                  <v>4.87</v>
                </pt>
                <pt idx="219">
                  <v>5.04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new'!$A$7:$A$757</f>
              <numCache>
                <formatCode>m/d/yy</formatCode>
                <ptCount val="751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</numCache>
            </numRef>
          </cat>
          <val>
            <numRef>
              <f>'M2 new'!$B$7:$B$757</f>
              <numCache>
                <formatCode>0.0</formatCode>
                <ptCount val="751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19665.5</v>
                </pt>
                <pt idx="746">
                  <v>19913.5</v>
                </pt>
                <pt idx="747">
                  <v>20122.9</v>
                </pt>
                <pt idx="748">
                  <v>20372.7</v>
                </pt>
                <pt idx="749">
                  <v>20387.4</v>
                </pt>
                <pt idx="750">
                  <v>20534.6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new'!$A$692:$A$755</f>
              <numCache>
                <formatCode>m/d/yy</formatCode>
                <ptCount val="64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</numCache>
            </numRef>
          </cat>
          <val>
            <numRef>
              <f>'M2 new'!$D$692:$D$755</f>
              <numCache>
                <formatCode>0.00%</formatCode>
                <ptCount val="64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0.1821326141507627</v>
                </pt>
                <pt idx="61">
                  <v>0.1622813408652564</v>
                </pt>
                <pt idx="62">
                  <v>0.1337456846413019</v>
                </pt>
                <pt idx="63">
                  <v>0.1595680805497344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Change'!$A$12:$A$1000</f>
              <numCache>
                <formatCode>m/d/yy</formatCode>
                <ptCount val="98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Weekly Change'!$C$12:$C$1000</f>
              <numCache>
                <formatCode>0</formatCode>
                <ptCount val="989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Sheet'!$A$12:$A$990</f>
              <numCache>
                <formatCode>m/d/yy</formatCode>
                <ptCount val="97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Balance Sheet'!$B$12:$B$990</f>
              <numCache>
                <formatCode>0</formatCode>
                <ptCount val="97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Sheet'!$D$11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Sheet'!$A$12:$A$950</f>
              <numCache>
                <formatCode>m/d/yy</formatCode>
                <ptCount val="93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</numCache>
            </numRef>
          </cat>
          <val>
            <numRef>
              <f>'Fed Balance Sheet'!$D$12:$D$950</f>
              <numCache>
                <formatCode>0.00%</formatCode>
                <ptCount val="939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Sheet'!$C$6:$C$286</f>
              <numCache>
                <formatCode>General</formatCode>
                <ptCount val="281"/>
                <pt idx="0">
                  <v>15641.259766</v>
                </pt>
                <pt idx="1">
                  <v>15670.780273</v>
                </pt>
                <pt idx="2">
                  <v>15830.269531</v>
                </pt>
                <pt idx="3">
                  <v>16378.969727</v>
                </pt>
                <pt idx="4">
                  <v>14107.889648</v>
                </pt>
                <pt idx="5">
                  <v>13406.389648</v>
                </pt>
                <pt idx="6">
                  <v>13564.509766</v>
                </pt>
                <pt idx="7">
                  <v>14883.700195</v>
                </pt>
                <pt idx="8">
                  <v>13842.169922</v>
                </pt>
                <pt idx="9">
                  <v>14499.25</v>
                </pt>
                <pt idx="10">
                  <v>14367.540039</v>
                </pt>
                <pt idx="11">
                  <v>15836.589844</v>
                </pt>
                <pt idx="12">
                  <v>16701.529297</v>
                </pt>
                <pt idx="13">
                  <v>16111.650391</v>
                </pt>
                <pt idx="14">
                  <v>17529.740234</v>
                </pt>
                <pt idx="15">
                  <v>17861.859375</v>
                </pt>
                <pt idx="16">
                  <v>17436.560547</v>
                </pt>
                <pt idx="17">
                  <v>17605.460938</v>
                </pt>
                <pt idx="18">
                  <v>17942.080078</v>
                </pt>
                <pt idx="19">
                  <v>18558.230469</v>
                </pt>
                <pt idx="20">
                  <v>18934.339844</v>
                </pt>
                <pt idx="21">
                  <v>19539.699219</v>
                </pt>
                <pt idx="22">
                  <v>19959.519531</v>
                </pt>
                <pt idx="23">
                  <v>20337.320313</v>
                </pt>
                <pt idx="24">
                  <v>17973.699219</v>
                </pt>
                <pt idx="25">
                  <v>16332.450195</v>
                </pt>
                <pt idx="26">
                  <v>17411.050781</v>
                </pt>
                <pt idx="27">
                  <v>15727.490234</v>
                </pt>
                <pt idx="28">
                  <v>16861.259766</v>
                </pt>
                <pt idx="29">
                  <v>15747.259766</v>
                </pt>
                <pt idx="30">
                  <v>14539.599609</v>
                </pt>
                <pt idx="31">
                  <v>14648.509766</v>
                </pt>
                <pt idx="32">
                  <v>13785.69043</v>
                </pt>
                <pt idx="33">
                  <v>13843.549805</v>
                </pt>
                <pt idx="34">
                  <v>12883.540039</v>
                </pt>
                <pt idx="35">
                  <v>12999.700195</v>
                </pt>
                <pt idx="36">
                  <v>13934.320313</v>
                </pt>
                <pt idx="37">
                  <v>13262.139648</v>
                </pt>
                <pt idx="38">
                  <v>12969.049805</v>
                </pt>
                <pt idx="39">
                  <v>11860.769531</v>
                </pt>
                <pt idx="40">
                  <v>10713.509766</v>
                </pt>
                <pt idx="41">
                  <v>9774.679688</v>
                </pt>
                <pt idx="42">
                  <v>10366.339844</v>
                </pt>
                <pt idx="43">
                  <v>10697.44043</v>
                </pt>
                <pt idx="44">
                  <v>10542.620117</v>
                </pt>
                <pt idx="45">
                  <v>9997.799805000001</v>
                </pt>
                <pt idx="46">
                  <v>10587.830078</v>
                </pt>
                <pt idx="47">
                  <v>11024.94043</v>
                </pt>
                <pt idx="48">
                  <v>11492.540039</v>
                </pt>
                <pt idx="49">
                  <v>11763.700195</v>
                </pt>
                <pt idx="50">
                  <v>10621.839844</v>
                </pt>
                <pt idx="51">
                  <v>9877.940430000001</v>
                </pt>
                <pt idx="52">
                  <v>9619.299805000001</v>
                </pt>
                <pt idx="53">
                  <v>9383.290039</v>
                </pt>
                <pt idx="54">
                  <v>8640.480469</v>
                </pt>
                <pt idx="55">
                  <v>9215.559569999999</v>
                </pt>
                <pt idx="56">
                  <v>8578.950194999999</v>
                </pt>
                <pt idx="57">
                  <v>8339.940430000001</v>
                </pt>
                <pt idx="58">
                  <v>8363.040039</v>
                </pt>
                <pt idx="59">
                  <v>7972.709961</v>
                </pt>
                <pt idx="60">
                  <v>7831.419922</v>
                </pt>
                <pt idx="61">
                  <v>8424.509765999999</v>
                </pt>
                <pt idx="62">
                  <v>9083.110352</v>
                </pt>
                <pt idx="63">
                  <v>9563.209961</v>
                </pt>
                <pt idx="64">
                  <v>10343.549805</v>
                </pt>
                <pt idx="65">
                  <v>10219.049805</v>
                </pt>
                <pt idx="66">
                  <v>10559.589844</v>
                </pt>
                <pt idx="67">
                  <v>10100.570313</v>
                </pt>
                <pt idx="68">
                  <v>10676.639648</v>
                </pt>
                <pt idx="69">
                  <v>10783.610352</v>
                </pt>
                <pt idx="70">
                  <v>11041.919922</v>
                </pt>
                <pt idx="71">
                  <v>11715.389648</v>
                </pt>
                <pt idx="72">
                  <v>11761.790039</v>
                </pt>
                <pt idx="73">
                  <v>11236.370117</v>
                </pt>
                <pt idx="74">
                  <v>11858.870117</v>
                </pt>
                <pt idx="75">
                  <v>11325.780273</v>
                </pt>
                <pt idx="76">
                  <v>11081.790039</v>
                </pt>
                <pt idx="77">
                  <v>10823.570313</v>
                </pt>
                <pt idx="78">
                  <v>10771.419922</v>
                </pt>
                <pt idx="79">
                  <v>10899.25</v>
                </pt>
                <pt idx="80">
                  <v>11488.759766</v>
                </pt>
                <pt idx="81">
                  <v>11387.589844</v>
                </pt>
                <pt idx="82">
                  <v>11740.599609</v>
                </pt>
                <pt idx="83">
                  <v>11668.950195</v>
                </pt>
                <pt idx="84">
                  <v>11008.900391</v>
                </pt>
                <pt idx="85">
                  <v>11276.589844</v>
                </pt>
                <pt idx="86">
                  <v>11584.009766</v>
                </pt>
                <pt idx="87">
                  <v>11899.599609</v>
                </pt>
                <pt idx="88">
                  <v>12413.599609</v>
                </pt>
                <pt idx="89">
                  <v>13574.299805</v>
                </pt>
                <pt idx="90">
                  <v>13606.5</v>
                </pt>
                <pt idx="91">
                  <v>14872.150391</v>
                </pt>
                <pt idx="92">
                  <v>16111.429688</v>
                </pt>
                <pt idx="93">
                  <v>16649.820313</v>
                </pt>
                <pt idx="94">
                  <v>16205.429688</v>
                </pt>
                <pt idx="95">
                  <v>17059.660156</v>
                </pt>
                <pt idx="96">
                  <v>16906.230469</v>
                </pt>
                <pt idx="97">
                  <v>15467.330078</v>
                </pt>
                <pt idx="98">
                  <v>15505.179688</v>
                </pt>
                <pt idx="99">
                  <v>15456.80957</v>
                </pt>
                <pt idx="100">
                  <v>16140.759766</v>
                </pt>
                <pt idx="101">
                  <v>16127.580078</v>
                </pt>
                <pt idx="102">
                  <v>16399.390625</v>
                </pt>
                <pt idx="103">
                  <v>16274.330078</v>
                </pt>
                <pt idx="104">
                  <v>17225.830078</v>
                </pt>
                <pt idx="105">
                  <v>17383.419922</v>
                </pt>
                <pt idx="106">
                  <v>17604.119141</v>
                </pt>
                <pt idx="107">
                  <v>17287.650391</v>
                </pt>
                <pt idx="108">
                  <v>17400.410156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16569.089844</v>
                </pt>
                <pt idx="113">
                  <v>16785.689453</v>
                </pt>
                <pt idx="114">
                  <v>16737.630859</v>
                </pt>
                <pt idx="115">
                  <v>15680.669922</v>
                </pt>
                <pt idx="116">
                  <v>15307.780273</v>
                </pt>
                <pt idx="117">
                  <v>13592.469727</v>
                </pt>
                <pt idx="118">
                  <v>13603.019531</v>
                </pt>
                <pt idx="119">
                  <v>12525.540039</v>
                </pt>
                <pt idx="120">
                  <v>13849.990234</v>
                </pt>
                <pt idx="121">
                  <v>14338.540039</v>
                </pt>
                <pt idx="122">
                  <v>13481.379883</v>
                </pt>
                <pt idx="123">
                  <v>13376.80957</v>
                </pt>
                <pt idx="124">
                  <v>13072.870117</v>
                </pt>
                <pt idx="125">
                  <v>11259.860352</v>
                </pt>
                <pt idx="126">
                  <v>8576.980469</v>
                </pt>
                <pt idx="127">
                  <v>8512.269531</v>
                </pt>
                <pt idx="128">
                  <v>8859.559569999999</v>
                </pt>
                <pt idx="129">
                  <v>7994.049805</v>
                </pt>
                <pt idx="130">
                  <v>7568.419922</v>
                </pt>
                <pt idx="131">
                  <v>8109.529785</v>
                </pt>
                <pt idx="132">
                  <v>8828.259765999999</v>
                </pt>
                <pt idx="133">
                  <v>9522.5</v>
                </pt>
                <pt idx="134">
                  <v>9958.440430000001</v>
                </pt>
                <pt idx="135">
                  <v>10356.830078</v>
                </pt>
                <pt idx="136">
                  <v>10492.530273</v>
                </pt>
                <pt idx="137">
                  <v>10133.230469</v>
                </pt>
                <pt idx="138">
                  <v>10034.740234</v>
                </pt>
                <pt idx="139">
                  <v>9345.549805000001</v>
                </pt>
                <pt idx="140">
                  <v>10546.44043</v>
                </pt>
                <pt idx="141">
                  <v>10198.040039</v>
                </pt>
                <pt idx="142">
                  <v>10126.030273</v>
                </pt>
                <pt idx="143">
                  <v>11089.94043</v>
                </pt>
                <pt idx="144">
                  <v>11057.400391</v>
                </pt>
                <pt idx="145">
                  <v>9768.700194999999</v>
                </pt>
                <pt idx="146">
                  <v>9382.639648</v>
                </pt>
                <pt idx="147">
                  <v>9537.299805000001</v>
                </pt>
                <pt idx="148">
                  <v>8824.059569999999</v>
                </pt>
                <pt idx="149">
                  <v>9369.349609000001</v>
                </pt>
                <pt idx="150">
                  <v>9202.450194999999</v>
                </pt>
                <pt idx="151">
                  <v>9937.040039</v>
                </pt>
                <pt idx="152">
                  <v>10228.919922</v>
                </pt>
                <pt idx="153">
                  <v>10237.919922</v>
                </pt>
                <pt idx="154">
                  <v>10624.089844</v>
                </pt>
                <pt idx="155">
                  <v>9755.099609000001</v>
                </pt>
                <pt idx="156">
                  <v>9849.740234000001</v>
                </pt>
                <pt idx="157">
                  <v>9693.730469</v>
                </pt>
                <pt idx="158">
                  <v>9816.089844</v>
                </pt>
                <pt idx="159">
                  <v>9833.030273</v>
                </pt>
                <pt idx="160">
                  <v>8955.200194999999</v>
                </pt>
                <pt idx="161">
                  <v>8700.290039</v>
                </pt>
                <pt idx="162">
                  <v>8988.389648</v>
                </pt>
                <pt idx="163">
                  <v>8434.610352</v>
                </pt>
                <pt idx="164">
                  <v>8455.349609000001</v>
                </pt>
                <pt idx="165">
                  <v>8802.509765999999</v>
                </pt>
                <pt idx="166">
                  <v>9723.240234000001</v>
                </pt>
                <pt idx="167">
                  <v>10083.55957</v>
                </pt>
                <pt idx="168">
                  <v>9520.889648</v>
                </pt>
                <pt idx="169">
                  <v>8542.730469</v>
                </pt>
                <pt idx="170">
                  <v>9006.780273</v>
                </pt>
                <pt idx="171">
                  <v>8695.059569999999</v>
                </pt>
                <pt idx="172">
                  <v>8839.910156</v>
                </pt>
                <pt idx="173">
                  <v>8870.160156</v>
                </pt>
                <pt idx="174">
                  <v>8928.290039</v>
                </pt>
                <pt idx="175">
                  <v>9446.009765999999</v>
                </pt>
                <pt idx="176">
                  <v>10395.179688</v>
                </pt>
                <pt idx="177">
                  <v>11138.660156</v>
                </pt>
                <pt idx="178">
                  <v>11559.360352</v>
                </pt>
                <pt idx="179">
                  <v>12397.910156</v>
                </pt>
                <pt idx="180">
                  <v>13860.860352</v>
                </pt>
                <pt idx="181">
                  <v>13774.540039</v>
                </pt>
                <pt idx="182">
                  <v>13677.320313</v>
                </pt>
                <pt idx="183">
                  <v>13668.320313</v>
                </pt>
                <pt idx="184">
                  <v>13388.860352</v>
                </pt>
                <pt idx="185">
                  <v>14455.799805</v>
                </pt>
                <pt idx="186">
                  <v>14327.94043</v>
                </pt>
                <pt idx="187">
                  <v>15661.870117</v>
                </pt>
                <pt idx="188">
                  <v>16291.30957</v>
                </pt>
                <pt idx="189">
                  <v>14914.530273</v>
                </pt>
                <pt idx="190">
                  <v>14841.070313</v>
                </pt>
                <pt idx="191">
                  <v>14827.830078</v>
                </pt>
                <pt idx="192">
                  <v>14304.110352</v>
                </pt>
                <pt idx="193">
                  <v>14632.379883</v>
                </pt>
                <pt idx="194">
                  <v>15162.099609</v>
                </pt>
                <pt idx="195">
                  <v>15620.769531</v>
                </pt>
                <pt idx="196">
                  <v>15424.589844</v>
                </pt>
                <pt idx="197">
                  <v>16173.519531</v>
                </pt>
                <pt idx="198">
                  <v>16413.759766</v>
                </pt>
                <pt idx="199">
                  <v>17459.849609</v>
                </pt>
                <pt idx="200">
                  <v>17450.769531</v>
                </pt>
                <pt idx="201">
                  <v>17674.390625</v>
                </pt>
                <pt idx="202">
                  <v>18797.939453</v>
                </pt>
                <pt idx="203">
                  <v>19206.990234</v>
                </pt>
                <pt idx="204">
                  <v>19520.009766</v>
                </pt>
                <pt idx="205">
                  <v>20563.150391</v>
                </pt>
                <pt idx="206">
                  <v>20235.730469</v>
                </pt>
                <pt idx="207">
                  <v>20585.240234</v>
                </pt>
                <pt idx="208">
                  <v>18890.480469</v>
                </pt>
                <pt idx="209">
                  <v>17388.150391</v>
                </pt>
                <pt idx="210">
                  <v>19083.099609</v>
                </pt>
                <pt idx="211">
                  <v>19747.470703</v>
                </pt>
                <pt idx="212">
                  <v>19033.710938</v>
                </pt>
                <pt idx="213">
                  <v>17518.300781</v>
                </pt>
                <pt idx="214">
                  <v>16026.759766</v>
                </pt>
                <pt idx="215">
                  <v>16758.669922</v>
                </pt>
                <pt idx="216">
                  <v>16666.050781</v>
                </pt>
                <pt idx="217">
                  <v>17234.980469</v>
                </pt>
                <pt idx="218">
                  <v>15575.919922</v>
                </pt>
                <pt idx="219">
                  <v>16569.269531</v>
                </pt>
                <pt idx="220">
                  <v>16887.400391</v>
                </pt>
                <pt idx="221">
                  <v>16449.839844</v>
                </pt>
                <pt idx="222">
                  <v>17425.019531</v>
                </pt>
                <pt idx="223">
                  <v>18308.480469</v>
                </pt>
                <pt idx="224">
                  <v>19114.369141</v>
                </pt>
                <pt idx="225">
                  <v>19041.339844</v>
                </pt>
                <pt idx="226">
                  <v>19118.990234</v>
                </pt>
                <pt idx="227">
                  <v>18909.259766</v>
                </pt>
                <pt idx="228">
                  <v>19196.740234</v>
                </pt>
                <pt idx="229">
                  <v>19650.570313</v>
                </pt>
                <pt idx="230">
                  <v>20033.429688</v>
                </pt>
                <pt idx="231">
                  <v>19925.179688</v>
                </pt>
                <pt idx="232">
                  <v>19646.240234</v>
                </pt>
                <pt idx="233">
                  <v>20356.279297</v>
                </pt>
                <pt idx="234">
                  <v>22011.609375</v>
                </pt>
                <pt idx="235">
                  <v>22724.960938</v>
                </pt>
                <pt idx="236">
                  <v>22764.939453</v>
                </pt>
                <pt idx="237">
                  <v>23098.289063</v>
                </pt>
                <pt idx="238">
                  <v>22068.240234</v>
                </pt>
                <pt idx="239">
                  <v>21454.300781</v>
                </pt>
                <pt idx="240">
                  <v>22467.869141</v>
                </pt>
                <pt idx="241">
                  <v>22201.820313</v>
                </pt>
                <pt idx="242">
                  <v>22304.509766</v>
                </pt>
                <pt idx="243">
                  <v>22553.720703</v>
                </pt>
                <pt idx="244">
                  <v>22865.150391</v>
                </pt>
                <pt idx="245">
                  <v>24120.039063</v>
                </pt>
                <pt idx="246">
                  <v>21920.460938</v>
                </pt>
                <pt idx="247">
                  <v>22351.060547</v>
                </pt>
                <pt idx="248">
                  <v>20014.769531</v>
                </pt>
                <pt idx="249">
                  <v>20773.490234</v>
                </pt>
                <pt idx="250">
                  <v>21385.160156</v>
                </pt>
                <pt idx="251">
                  <v>21205.810547</v>
                </pt>
                <pt idx="252">
                  <v>22258.730469</v>
                </pt>
                <pt idx="253">
                  <v>20601.189453</v>
                </pt>
                <pt idx="254">
                  <v>21275.919922</v>
                </pt>
                <pt idx="255">
                  <v>21521.529297</v>
                </pt>
                <pt idx="256">
                  <v>20704.369141</v>
                </pt>
                <pt idx="257">
                  <v>21755.839844</v>
                </pt>
                <pt idx="258">
                  <v>22927.039063</v>
                </pt>
                <pt idx="259">
                  <v>23293.910156</v>
                </pt>
                <pt idx="260">
                  <v>23656.619141</v>
                </pt>
                <pt idx="261">
                  <v>23205.179688</v>
                </pt>
                <pt idx="262">
                  <v>21142.960938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Sheet'!$D$6:$D$286</f>
              <numCache>
                <formatCode>0.0%</formatCode>
                <ptCount val="281"/>
                <pt idx="0">
                  <v>0.1784564895122944</v>
                </pt>
                <pt idx="1">
                  <v>0.1720453115419257</v>
                </pt>
                <pt idx="2">
                  <v>0.1680502498696657</v>
                </pt>
                <pt idx="3">
                  <v>0.1611692068083213</v>
                </pt>
                <pt idx="4">
                  <v>0.1699281343864723</v>
                </pt>
                <pt idx="5">
                  <v>0.174361330515074</v>
                </pt>
                <pt idx="6">
                  <v>0.1711849071999979</v>
                </pt>
                <pt idx="7">
                  <v>0.1949504329253781</v>
                </pt>
                <pt idx="8">
                  <v>0.2014347097132567</v>
                </pt>
                <pt idx="9">
                  <v>0.1782592848501924</v>
                </pt>
                <pt idx="10">
                  <v>0.1690262003948954</v>
                </pt>
                <pt idx="11">
                  <v>0.1783178706952261</v>
                </pt>
                <pt idx="12">
                  <v>0.1763065852677462</v>
                </pt>
                <pt idx="13">
                  <v>0.1659642128509715</v>
                </pt>
                <pt idx="14">
                  <v>0.1636174013034375</v>
                </pt>
                <pt idx="15">
                  <v>0.1520887329237031</v>
                </pt>
                <pt idx="16">
                  <v>0.1507358806990423</v>
                </pt>
                <pt idx="17">
                  <v>0.1525048928709452</v>
                </pt>
                <pt idx="18">
                  <v>0.1506155832593245</v>
                </pt>
                <pt idx="19">
                  <v>0.1863710154300003</v>
                </pt>
                <pt idx="20">
                  <v>0.246604934853817</v>
                </pt>
                <pt idx="21">
                  <v>0.1969261927318489</v>
                </pt>
                <pt idx="22">
                  <v>0.2047214375759343</v>
                </pt>
                <pt idx="23">
                  <v>0.2310287030077846</v>
                </pt>
                <pt idx="24">
                  <v>0.1729600659135977</v>
                </pt>
                <pt idx="25">
                  <v>0.1819017018785072</v>
                </pt>
                <pt idx="26">
                  <v>0.1816168659325145</v>
                </pt>
                <pt idx="27">
                  <v>0.1751119648787619</v>
                </pt>
                <pt idx="28">
                  <v>0.1919223580114526</v>
                </pt>
                <pt idx="29">
                  <v>0.1849856403593368</v>
                </pt>
                <pt idx="30">
                  <v>0.1977137466942625</v>
                </pt>
                <pt idx="31">
                  <v>0.2262890148939856</v>
                </pt>
                <pt idx="32">
                  <v>0.2292654935211946</v>
                </pt>
                <pt idx="33">
                  <v>0.2302723502453706</v>
                </pt>
                <pt idx="34">
                  <v>0.2353268732459804</v>
                </pt>
                <pt idx="35">
                  <v>0.2457461554622925</v>
                </pt>
                <pt idx="36">
                  <v>0.2410174125504856</v>
                </pt>
                <pt idx="37">
                  <v>0.2442117125477606</v>
                </pt>
                <pt idx="38">
                  <v>0.2509026413322722</v>
                </pt>
                <pt idx="39">
                  <v>0.2522828454324557</v>
                </pt>
                <pt idx="40">
                  <v>0.2458018037313302</v>
                </pt>
                <pt idx="41">
                  <v>0.2506303391312322</v>
                </pt>
                <pt idx="42">
                  <v>0.2407710703579631</v>
                </pt>
                <pt idx="43">
                  <v>0.2465705586652674</v>
                </pt>
                <pt idx="44">
                  <v>0.2555156132375587</v>
                </pt>
                <pt idx="45">
                  <v>0.265764915127607</v>
                </pt>
                <pt idx="46">
                  <v>0.2851118528754075</v>
                </pt>
                <pt idx="47">
                  <v>0.3007679127178136</v>
                </pt>
                <pt idx="48">
                  <v>0.2861697978637902</v>
                </pt>
                <pt idx="49">
                  <v>0.2756889244181662</v>
                </pt>
                <pt idx="50">
                  <v>0.267444887123917</v>
                </pt>
                <pt idx="51">
                  <v>0.2718018916272918</v>
                </pt>
                <pt idx="52">
                  <v>0.275962835885846</v>
                </pt>
                <pt idx="53">
                  <v>0.2673492602789628</v>
                </pt>
                <pt idx="54">
                  <v>0.267028465523384</v>
                </pt>
                <pt idx="55">
                  <v>0.2679783803331214</v>
                </pt>
                <pt idx="56">
                  <v>0.2680634313433753</v>
                </pt>
                <pt idx="57">
                  <v>0.2665821003540697</v>
                </pt>
                <pt idx="58">
                  <v>0.2836823762934054</v>
                </pt>
                <pt idx="59">
                  <v>0.3021770117338969</v>
                </pt>
                <pt idx="60">
                  <v>0.2729451010849086</v>
                </pt>
                <pt idx="61">
                  <v>0.2779896144374253</v>
                </pt>
                <pt idx="62">
                  <v>0.2664579003090652</v>
                </pt>
                <pt idx="63">
                  <v>0.2677995538549463</v>
                </pt>
                <pt idx="64">
                  <v>0.2719225919048427</v>
                </pt>
                <pt idx="65">
                  <v>0.2838034766426515</v>
                </pt>
                <pt idx="66">
                  <v>0.2771792175685031</v>
                </pt>
                <pt idx="67">
                  <v>0.2824265717279172</v>
                </pt>
                <pt idx="68">
                  <v>0.2753273335028169</v>
                </pt>
                <pt idx="69">
                  <v>0.2818488351233222</v>
                </pt>
                <pt idx="70">
                  <v>0.2925061466479697</v>
                </pt>
                <pt idx="71">
                  <v>0.3108846969172901</v>
                </pt>
                <pt idx="72">
                  <v>0.2876797928476765</v>
                </pt>
                <pt idx="73">
                  <v>0.2893763061206612</v>
                </pt>
                <pt idx="74">
                  <v>0.2803652050184166</v>
                </pt>
                <pt idx="75">
                  <v>0.2719034750863255</v>
                </pt>
                <pt idx="76">
                  <v>0.2858561833713613</v>
                </pt>
                <pt idx="77">
                  <v>0.288402571245815</v>
                </pt>
                <pt idx="78">
                  <v>0.286800700333195</v>
                </pt>
                <pt idx="79">
                  <v>0.306442812580882</v>
                </pt>
                <pt idx="80">
                  <v>0.2995350107538736</v>
                </pt>
                <pt idx="81">
                  <v>0.3038676721895363</v>
                </pt>
                <pt idx="82">
                  <v>0.312224254338364</v>
                </pt>
                <pt idx="83">
                  <v>0.310386482644791</v>
                </pt>
                <pt idx="84">
                  <v>0.3018557357410016</v>
                </pt>
                <pt idx="85">
                  <v>0.3026968682257185</v>
                </pt>
                <pt idx="86">
                  <v>0.2954251488370206</v>
                </pt>
                <pt idx="87">
                  <v>0.2995921375333096</v>
                </pt>
                <pt idx="88">
                  <v>0.3071694799322374</v>
                </pt>
                <pt idx="89">
                  <v>0.3005770459524505</v>
                </pt>
                <pt idx="90">
                  <v>0.2992632782679039</v>
                </pt>
                <pt idx="91">
                  <v>0.3078013836774028</v>
                </pt>
                <pt idx="92">
                  <v>0.3151677908353551</v>
                </pt>
                <pt idx="93">
                  <v>0.3090448405897717</v>
                </pt>
                <pt idx="94">
                  <v>0.3079978141630187</v>
                </pt>
                <pt idx="95">
                  <v>0.2928659674764763</v>
                </pt>
                <pt idx="96">
                  <v>0.2621390140516138</v>
                </pt>
                <pt idx="97">
                  <v>0.2476457284699161</v>
                </pt>
                <pt idx="98">
                  <v>0.2295740953696268</v>
                </pt>
                <pt idx="99">
                  <v>0.2342979889376316</v>
                </pt>
                <pt idx="100">
                  <v>0.2288423668061871</v>
                </pt>
                <pt idx="101">
                  <v>0.2372978436725754</v>
                </pt>
                <pt idx="102">
                  <v>0.2297353998477196</v>
                </pt>
                <pt idx="103">
                  <v>0.2364003594423618</v>
                </pt>
                <pt idx="104">
                  <v>0.2304220177192481</v>
                </pt>
                <pt idx="105">
                  <v>0.2269250178525151</v>
                </pt>
                <pt idx="106">
                  <v>0.2330076424800969</v>
                </pt>
                <pt idx="107">
                  <v>0.2232002912627702</v>
                </pt>
                <pt idx="108">
                  <v>0.2096297510652515</v>
                </pt>
                <pt idx="109">
                  <v>0.2126063447006963</v>
                </pt>
                <pt idx="110">
                  <v>0.1978948292660933</v>
                </pt>
                <pt idx="111">
                  <v>0.2140698046928099</v>
                </pt>
                <pt idx="112">
                  <v>0.2201800603672433</v>
                </pt>
                <pt idx="113">
                  <v>0.2206584115481567</v>
                </pt>
                <pt idx="114">
                  <v>0.2123297683023243</v>
                </pt>
                <pt idx="115">
                  <v>0.2205318252746464</v>
                </pt>
                <pt idx="116">
                  <v>0.2201174401163997</v>
                </pt>
                <pt idx="117">
                  <v>0.2230667045217114</v>
                </pt>
                <pt idx="118">
                  <v>0.2254092320404415</v>
                </pt>
                <pt idx="119">
                  <v>0.2237884231828345</v>
                </pt>
                <pt idx="120">
                  <v>0.2123606378672058</v>
                </pt>
                <pt idx="121">
                  <v>0.2181137697273719</v>
                </pt>
                <pt idx="122">
                  <v>0.2008682380696983</v>
                </pt>
                <pt idx="123">
                  <v>0.2173169384167869</v>
                </pt>
                <pt idx="124">
                  <v>0.2203687753246011</v>
                </pt>
                <pt idx="125">
                  <v>0.2256664738128208</v>
                </pt>
                <pt idx="126">
                  <v>0.2400640922876326</v>
                </pt>
                <pt idx="127">
                  <v>0.2497720678970478</v>
                </pt>
                <pt idx="128">
                  <v>0.2523300867909544</v>
                </pt>
                <pt idx="129">
                  <v>0.2579781246310196</v>
                </pt>
                <pt idx="130">
                  <v>0.26371883862949</v>
                </pt>
                <pt idx="131">
                  <v>0.2674220794400845</v>
                </pt>
                <pt idx="132">
                  <v>0.2427207025642088</v>
                </pt>
                <pt idx="133">
                  <v>0.2511758808164501</v>
                </pt>
                <pt idx="134">
                  <v>0.2322433856571929</v>
                </pt>
                <pt idx="135">
                  <v>0.2424653614572406</v>
                </pt>
                <pt idx="136">
                  <v>0.2476413838341915</v>
                </pt>
                <pt idx="137">
                  <v>0.2458252430467209</v>
                </pt>
                <pt idx="138">
                  <v>0.2322234414763574</v>
                </pt>
                <pt idx="139">
                  <v>0.2445150240645189</v>
                </pt>
                <pt idx="140">
                  <v>0.255432444241359</v>
                </pt>
                <pt idx="141">
                  <v>0.2530506406345333</v>
                </pt>
                <pt idx="142">
                  <v>0.2620068337657141</v>
                </pt>
                <pt idx="143">
                  <v>0.2517896678356656</v>
                </pt>
                <pt idx="144">
                  <v>0.2328852688081264</v>
                </pt>
                <pt idx="145">
                  <v>0.2466651086778752</v>
                </pt>
                <pt idx="146">
                  <v>0.2309118843140302</v>
                </pt>
                <pt idx="147">
                  <v>0.2351080683229204</v>
                </pt>
                <pt idx="148">
                  <v>0.2464598342544425</v>
                </pt>
                <pt idx="149">
                  <v>0.2410321309539333</v>
                </pt>
                <pt idx="150">
                  <v>0.2452116743094346</v>
                </pt>
                <pt idx="151">
                  <v>0.2565790882076259</v>
                </pt>
                <pt idx="152">
                  <v>0.2599410847816085</v>
                </pt>
                <pt idx="153">
                  <v>0.2621749404625477</v>
                </pt>
                <pt idx="154">
                  <v>0.2665141541114178</v>
                </pt>
                <pt idx="155">
                  <v>0.2915949523792553</v>
                </pt>
                <pt idx="156">
                  <v>0.2775521219584657</v>
                </pt>
                <pt idx="157">
                  <v>0.278580304298264</v>
                </pt>
                <pt idx="158">
                  <v>0.2671674184747481</v>
                </pt>
                <pt idx="159">
                  <v>0.270513510920121</v>
                </pt>
                <pt idx="160">
                  <v>0.2846135416379588</v>
                </pt>
                <pt idx="161">
                  <v>0.2769815570262478</v>
                </pt>
                <pt idx="162">
                  <v>0.267939778436483</v>
                </pt>
                <pt idx="163">
                  <v>0.2885306306001363</v>
                </pt>
                <pt idx="164">
                  <v>0.2881605118558886</v>
                </pt>
                <pt idx="165">
                  <v>0.2725433475955693</v>
                </pt>
                <pt idx="166">
                  <v>0.287151107571155</v>
                </pt>
                <pt idx="167">
                  <v>0.2776206983114051</v>
                </pt>
                <pt idx="168">
                  <v>0.2831800781958169</v>
                </pt>
                <pt idx="169">
                  <v>0.2863771383924776</v>
                </pt>
                <pt idx="170">
                  <v>0.28803322439825</v>
                </pt>
                <pt idx="171">
                  <v>0.2929024571770115</v>
                </pt>
                <pt idx="172">
                  <v>0.3019048119456444</v>
                </pt>
                <pt idx="173">
                  <v>0.3018114022982397</v>
                </pt>
                <pt idx="174">
                  <v>0.3086612997009191</v>
                </pt>
                <pt idx="175">
                  <v>0.313934367641437</v>
                </pt>
                <pt idx="176">
                  <v>0.3179595919521214</v>
                </pt>
                <pt idx="177">
                  <v>0.3169518017562338</v>
                </pt>
                <pt idx="178">
                  <v>0.3243746367626902</v>
                </pt>
                <pt idx="179">
                  <v>0.3269139754873083</v>
                </pt>
                <pt idx="180">
                  <v>0.3438597313115132</v>
                </pt>
                <pt idx="181">
                  <v>0.3627459915316141</v>
                </pt>
                <pt idx="182">
                  <v>0.3682226290655269</v>
                </pt>
                <pt idx="183">
                  <v>0.3840890417416838</v>
                </pt>
                <pt idx="184">
                  <v>0.4015284064855377</v>
                </pt>
                <pt idx="185">
                  <v>0.4077178905507444</v>
                </pt>
                <pt idx="186">
                  <v>0.4208314026157782</v>
                </pt>
                <pt idx="187">
                  <v>0.4375748976841738</v>
                </pt>
                <pt idx="188">
                  <v>0.4377719236273551</v>
                </pt>
                <pt idx="189">
                  <v>0.4489139005188327</v>
                </pt>
                <pt idx="190">
                  <v>0.464908118609573</v>
                </pt>
                <pt idx="191">
                  <v>0.4670921892020756</v>
                </pt>
                <pt idx="192">
                  <v>0.4852973529636729</v>
                </pt>
                <pt idx="193">
                  <v>0.5006671014128199</v>
                </pt>
                <pt idx="194">
                  <v>0.5081351282514294</v>
                </pt>
                <pt idx="195">
                  <v>0.5297451284166275</v>
                </pt>
                <pt idx="196">
                  <v>0.5433899736513605</v>
                </pt>
                <pt idx="197">
                  <v>0.5457611148598213</v>
                </pt>
                <pt idx="198">
                  <v>0.5621354712032907</v>
                </pt>
                <pt idx="199">
                  <v>0.5827849417038091</v>
                </pt>
                <pt idx="200">
                  <v>0.5883447989465864</v>
                </pt>
                <pt idx="201">
                  <v>0.601577576383951</v>
                </pt>
                <pt idx="202">
                  <v>0.6194963556172136</v>
                </pt>
                <pt idx="203">
                  <v>0.6255897883818214</v>
                </pt>
                <pt idx="204">
                  <v>0.642716018627681</v>
                </pt>
                <pt idx="205">
                  <v>0.6626483711400331</v>
                </pt>
                <pt idx="206">
                  <v>0.6670886185950449</v>
                </pt>
                <pt idx="207">
                  <v>0.68461146348137</v>
                </pt>
                <pt idx="208">
                  <v>0.6984565744664076</v>
                </pt>
                <pt idx="209">
                  <v>0.7074780217317036</v>
                </pt>
                <pt idx="210">
                  <v>0.7245681147411249</v>
                </pt>
                <pt idx="211">
                  <v>0.7395044860514989</v>
                </pt>
                <pt idx="212">
                  <v>0.7430994565841457</v>
                </pt>
                <pt idx="213">
                  <v>0.7651338121187838</v>
                </pt>
                <pt idx="214">
                  <v>0.7793018702894405</v>
                </pt>
                <pt idx="215">
                  <v>0.7828861992911628</v>
                </pt>
                <pt idx="216">
                  <v>0.7986826494560922</v>
                </pt>
                <pt idx="217">
                  <v>0.8203707329783602</v>
                </pt>
                <pt idx="218">
                  <v>0.8340327955799742</v>
                </pt>
                <pt idx="219">
                  <v>0.8521177805253156</v>
                </pt>
                <pt idx="220">
                  <v>0.8711481022276404</v>
                </pt>
                <pt idx="221">
                  <v>0.8785052983697279</v>
                </pt>
                <pt idx="222">
                  <v>0.8885674686023983</v>
                </pt>
                <pt idx="223">
                  <v>0.9034068334557994</v>
                </pt>
                <pt idx="224">
                  <v>0.9136982056540994</v>
                </pt>
                <pt idx="225">
                  <v>0.9136387176119837</v>
                </pt>
                <pt idx="226">
                  <v>0.9248594611070839</v>
                </pt>
                <pt idx="227">
                  <v>0.9290073867272445</v>
                </pt>
                <pt idx="228">
                  <v>0.9402181171130414</v>
                </pt>
                <pt idx="229">
                  <v>0.9459879163837176</v>
                </pt>
                <pt idx="230">
                  <v>0.9484579080440012</v>
                </pt>
                <pt idx="231">
                  <v>0.9496884716476139</v>
                </pt>
                <pt idx="232">
                  <v>0.9610050433630035</v>
                </pt>
                <pt idx="233">
                  <v>0.9644977150079123</v>
                </pt>
                <pt idx="234">
                  <v>0.9686148114949762</v>
                </pt>
                <pt idx="235">
                  <v>0.9757458371499531</v>
                </pt>
                <pt idx="236">
                  <v>0.9749158567392857</v>
                </pt>
                <pt idx="237">
                  <v>0.9895464256050105</v>
                </pt>
                <pt idx="238">
                  <v>1.001712484150363</v>
                </pt>
                <pt idx="239">
                  <v>0.9925186142236323</v>
                </pt>
                <pt idx="240">
                  <v>1.000767805656324</v>
                </pt>
                <pt idx="241">
                  <v>1.01152755917294</v>
                </pt>
                <pt idx="242">
                  <v>1.004444668894332</v>
                </pt>
                <pt idx="243">
                  <v>1.030500553437462</v>
                </pt>
                <pt idx="244">
                  <v>1.039225587447269</v>
                </pt>
                <pt idx="245">
                  <v>1.029275785394533</v>
                </pt>
                <pt idx="246">
                  <v>1.035024682414844</v>
                </pt>
                <pt idx="247">
                  <v>1.041956541393267</v>
                </pt>
                <pt idx="248">
                  <v>1.035547816809552</v>
                </pt>
                <pt idx="249">
                  <v>1.037955630834468</v>
                </pt>
                <pt idx="250">
                  <v>1.047289660961605</v>
                </pt>
                <pt idx="251">
                  <v>1.038153747403797</v>
                </pt>
                <pt idx="252">
                  <v>1.041941217113965</v>
                </pt>
                <pt idx="253">
                  <v>1.051434515466005</v>
                </pt>
                <pt idx="254">
                  <v>1.047189152783188</v>
                </pt>
                <pt idx="255">
                  <v>1.053540115925447</v>
                </pt>
                <pt idx="256">
                  <v>1.061706099127435</v>
                </pt>
                <pt idx="257">
                  <v>1.056299309886364</v>
                </pt>
                <pt idx="258">
                  <v>1.087364443098731</v>
                </pt>
                <pt idx="259">
                  <v>1.092770380449924</v>
                </pt>
                <pt idx="260">
                  <v>1.082421089275599</v>
                </pt>
                <pt idx="261">
                  <v>1.09860724911279</v>
                </pt>
                <pt idx="262">
                  <v>1.111117274267333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Sheet'!$A$7:$A$345</f>
              <numCache>
                <formatCode>yyyy\-mm\-dd</formatCode>
                <ptCount val="339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</numCache>
            </numRef>
          </cat>
          <val>
            <numRef>
              <f>'ECB Balance Sheet'!$B$7:$B$345</f>
              <numCache>
                <formatCode>0</formatCode>
                <ptCount val="339"/>
                <pt idx="0">
                  <v>697160</v>
                </pt>
                <pt idx="1">
                  <v>694638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8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3</col>
      <colOff>161924</colOff>
      <row>817</row>
      <rowOff>57150</rowOff>
    </from>
    <to>
      <col>13</col>
      <colOff>342899</colOff>
      <row>849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6</col>
      <colOff>276225</colOff>
      <row>757</row>
      <rowOff>152401</rowOff>
    </from>
    <to>
      <col>15</col>
      <colOff>485775</colOff>
      <row>778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5</col>
      <colOff>485774</colOff>
      <row>718</row>
      <rowOff>19049</rowOff>
    </from>
    <to>
      <col>14</col>
      <colOff>380999</colOff>
      <row>738</row>
      <rowOff>180974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14</col>
      <colOff>285750</colOff>
      <row>755</row>
      <rowOff>95250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5</col>
      <colOff>0</colOff>
      <row>947</row>
      <rowOff>171450</rowOff>
    </from>
    <to>
      <col>17</col>
      <colOff>276225</colOff>
      <row>974</row>
      <rowOff>104776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5</col>
      <colOff>938892</colOff>
      <row>861</row>
      <rowOff>108857</rowOff>
    </from>
    <to>
      <col>16</col>
      <colOff>1085849</colOff>
      <row>887</row>
      <rowOff>107496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966108</colOff>
      <row>888</row>
      <rowOff>95248</rowOff>
    </from>
    <to>
      <col>16</col>
      <colOff>353787</colOff>
      <row>912</row>
      <rowOff>95250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9</col>
      <colOff>400050</colOff>
      <row>10</row>
      <rowOff>133350</rowOff>
    </from>
    <to>
      <col>19</col>
      <colOff>323850</colOff>
      <row>30</row>
      <rowOff>19049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9</col>
      <colOff>314325</colOff>
      <row>31</row>
      <rowOff>0</rowOff>
    </from>
    <to>
      <col>18</col>
      <colOff>247651</colOff>
      <row>52</row>
      <rowOff>95249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9525</colOff>
      <row>63</row>
      <rowOff>66675</rowOff>
    </from>
    <to>
      <col>17</col>
      <colOff>533400</colOff>
      <row>87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0</colOff>
      <row>312</row>
      <rowOff>0</rowOff>
    </from>
    <to>
      <col>14</col>
      <colOff>9525</colOff>
      <row>333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8" headerRowCount="1" totalsRowShown="0" headerRowDxfId="55" dataDxfId="53" headerRowBorderDxfId="54" tableBorderDxfId="52" totalsRowBorderDxfId="51" headerRowCellStyle="Normal 2" dataCellStyle="Normal 2">
  <autoFilter ref="A7:B868"/>
  <tableColumns count="2">
    <tableColumn id="1" name="Month" dataDxfId="50" dataCellStyle="Normal 2"/>
    <tableColumn id="2" name="Discount Rate" dataDxfId="49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3" headerRowCount="1" totalsRowShown="0" headerRowDxfId="48" dataDxfId="46" headerRowBorderDxfId="47" tableBorderDxfId="45" totalsRowBorderDxfId="44" headerRowCellStyle="Normal 2" dataCellStyle="Normal 2">
  <autoFilter ref="A7:B813"/>
  <tableColumns count="2">
    <tableColumn id="1" name="Month" dataDxfId="43" dataCellStyle="Normal 2"/>
    <tableColumn id="2" name="Fed Funds Rate" dataDxfId="42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57" headerRowCount="1" totalsRowShown="0" headerRowDxfId="41" dataDxfId="39" headerRowBorderDxfId="40" dataCellStyle="Normal 2">
  <autoFilter ref="A6:E757"/>
  <tableColumns count="5">
    <tableColumn id="1" name="Date" dataDxfId="38" dataCellStyle="Normal 2"/>
    <tableColumn id="2" name="M2 Money Stock, Billions of Dollars, Weekly, Seasonally Adjusted" dataDxfId="37" dataCellStyle="Normal 2"/>
    <tableColumn id="3" name="Monthly change" dataDxfId="36" dataCellStyle="Normal 2">
      <calculatedColumnFormula>(Table267[[#This Row],[M2 Money Stock, Billions of Dollars, Weekly, Seasonally Adjusted]]-B6)/B6</calculatedColumnFormula>
    </tableColumn>
    <tableColumn id="4" name="Annualized Change" dataDxfId="35" dataCellStyle="Normal 2">
      <calculatedColumnFormula>(Table267[[#This Row],[M2 Money Stock, Billions of Dollars, Weekly, Seasonally Adjusted]]-#REF!)/#REF!</calculatedColumnFormula>
    </tableColumn>
    <tableColumn id="5" name="YoY Change" dataDxfId="34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" displayName="Table26" ref="A6:E2103" headerRowCount="1" totalsRowShown="0" headerRowDxfId="33" dataDxfId="31" headerRowBorderDxfId="32" dataCellStyle="Normal 2">
  <autoFilter ref="A6:E2103"/>
  <tableColumns count="5">
    <tableColumn id="1" name="Date" dataDxfId="30" dataCellStyle="Normal 2"/>
    <tableColumn id="2" name="M2 Money Stock, Billions of Dollars, Weekly, Seasonally Adjusted" dataDxfId="29" dataCellStyle="Normal 2"/>
    <tableColumn id="3" name="Weekly change" dataDxfId="28" dataCellStyle="Normal 2">
      <calculatedColumnFormula>(Table26[[#This Row],[M2 Money Stock, Billions of Dollars, Weekly, Seasonally Adjusted]]-B6)/B6</calculatedColumnFormula>
    </tableColumn>
    <tableColumn id="4" name="Annualized return" dataDxfId="27" dataCellStyle="Normal 2">
      <calculatedColumnFormula>(Table26[[#This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9" displayName="Table9" ref="A11:C990" headerRowCount="1" totalsRowShown="0" headerRowDxfId="25" dataDxfId="23" headerRowBorderDxfId="24">
  <autoFilter ref="A11:C990"/>
  <tableColumns count="3">
    <tableColumn id="1" name="Date" dataDxfId="22"/>
    <tableColumn id="2" name="WALCL" dataDxfId="21"/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4" displayName="Table4" ref="A11:D990" headerRowCount="1" totalsRowShown="0">
  <tableColumns count="4">
    <tableColumn id="1" name="Date" dataDxfId="19"/>
    <tableColumn id="2" name="WALCL" dataDxfId="18"/>
    <tableColumn id="5" name="GDP qoq" dataDxfId="17"/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" displayName="Table5" ref="A5:D286" headerRowCount="1" totalsRowShown="0" headerRowDxfId="15" dataDxfId="13" headerRowBorderDxfId="14" tableBorderDxfId="12" totalsRowBorderDxfId="11" headerRowCellStyle="Normal 2" dataCellStyle="Normal 2">
  <autoFilter ref="A5:D286"/>
  <tableColumns count="4">
    <tableColumn id="1" name="Month" dataDxfId="10" dataCellStyle="Normal 2"/>
    <tableColumn id="2" name="Bank of Japan: Total Assets for Japan, 100 Million Yen" dataDxfId="9" dataCellStyle="Normal 2"/>
    <tableColumn id="3" name="Nikkei 225" dataDxfId="8" dataCellStyle="Normal 2"/>
    <tableColumn id="4" name="BOJ Balance sheet as % of Japanese GDP" dataDxfId="7" dataCellStyle="Normal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58" displayName="Table58" ref="A6:B345" headerRowCount="1" totalsRowShown="0" headerRowDxfId="6" dataDxfId="4" headerRowBorderDxfId="5" tableBorderDxfId="3" totalsRowBorderDxfId="2" headerRowCellStyle="Normal 2" dataCellStyle="Normal 2">
  <autoFilter ref="A6:B345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6.xml" Id="rId3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7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8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B37" sqref="B37:J37"/>
    </sheetView>
  </sheetViews>
  <sheetFormatPr baseColWidth="10" defaultColWidth="9.1640625" defaultRowHeight="15"/>
  <cols>
    <col width="9.1640625" customWidth="1" style="72" min="1" max="1"/>
    <col width="30.33203125" customWidth="1" style="72" min="2" max="2"/>
    <col width="9.1640625" customWidth="1" style="72" min="3" max="9"/>
    <col width="101.33203125" customWidth="1" style="72" min="10" max="10"/>
    <col width="9.1640625" customWidth="1" style="72" min="11" max="11"/>
    <col width="9.1640625" customWidth="1" style="72" min="12" max="16384"/>
  </cols>
  <sheetData>
    <row r="1">
      <c r="B1" s="71" t="n"/>
    </row>
    <row r="2" ht="16" customHeight="1" s="54" thickBot="1">
      <c r="B2" s="73" t="n"/>
      <c r="C2" s="73" t="n"/>
      <c r="D2" s="73" t="n"/>
      <c r="E2" s="73" t="n"/>
      <c r="F2" s="73" t="n"/>
      <c r="G2" s="73" t="n"/>
      <c r="H2" s="73" t="n"/>
      <c r="I2" s="73" t="n"/>
      <c r="J2" s="73" t="n"/>
    </row>
    <row r="3" ht="16" customHeight="1" s="54" thickBot="1">
      <c r="B3" s="74" t="inlineStr">
        <is>
          <t>Central Banks</t>
        </is>
      </c>
      <c r="C3" s="75" t="n"/>
      <c r="D3" s="75" t="n"/>
      <c r="E3" s="75" t="n"/>
      <c r="F3" s="75" t="n"/>
      <c r="G3" s="75" t="n"/>
      <c r="H3" s="75" t="n"/>
      <c r="I3" s="75" t="n"/>
      <c r="J3" s="76" t="n"/>
    </row>
    <row r="5">
      <c r="B5" s="8" t="inlineStr">
        <is>
          <t>The discount Rate</t>
        </is>
      </c>
      <c r="C5" s="2" t="inlineStr">
        <is>
          <t>Interest rate Reserve Banks charge commercial banks for short-term loans.</t>
        </is>
      </c>
    </row>
    <row r="6">
      <c r="C6" s="72" t="inlineStr">
        <is>
          <t>Lower Rates</t>
        </is>
      </c>
      <c r="D6" s="72" t="inlineStr">
        <is>
          <t xml:space="preserve"> =&gt;</t>
        </is>
      </c>
      <c r="E6" s="72" t="inlineStr">
        <is>
          <t>Lending Creation</t>
        </is>
      </c>
      <c r="H6" s="72" t="inlineStr">
        <is>
          <t xml:space="preserve"> =&gt;</t>
        </is>
      </c>
      <c r="I6" s="72" t="inlineStr">
        <is>
          <t>Higher Spending from Household and Private Sector</t>
        </is>
      </c>
    </row>
    <row r="7">
      <c r="C7" s="72" t="inlineStr">
        <is>
          <t>Higher Rates</t>
        </is>
      </c>
      <c r="D7" s="72" t="inlineStr">
        <is>
          <t xml:space="preserve"> =&gt;</t>
        </is>
      </c>
      <c r="E7" s="72" t="inlineStr">
        <is>
          <t>Less Lending</t>
        </is>
      </c>
      <c r="H7" s="72" t="inlineStr">
        <is>
          <t xml:space="preserve"> =&gt;</t>
        </is>
      </c>
      <c r="I7" s="72" t="inlineStr">
        <is>
          <t>Lower Spending from Household and Private Sector</t>
        </is>
      </c>
    </row>
    <row r="9">
      <c r="B9" s="8" t="inlineStr">
        <is>
          <t>Reserve Requirements</t>
        </is>
      </c>
      <c r="C9" s="3" t="inlineStr">
        <is>
          <t>https://www.federalreserve.gov/monetarypolicy/reservereq.htm</t>
        </is>
      </c>
    </row>
    <row r="11">
      <c r="B11" s="8" t="inlineStr">
        <is>
          <t>Open Market Operations</t>
        </is>
      </c>
      <c r="C11" s="3" t="inlineStr">
        <is>
          <t>https://www.federalreserve.gov/monetarypolicy/bst_openmarketops.htm</t>
        </is>
      </c>
    </row>
    <row r="13">
      <c r="B13" s="8" t="inlineStr">
        <is>
          <t>Interest on Reserves</t>
        </is>
      </c>
      <c r="C13" s="3" t="inlineStr">
        <is>
          <t>https://www.federalreserve.gov/monetarypolicy/reqresbalances.htm</t>
        </is>
      </c>
    </row>
    <row r="15">
      <c r="B15" s="8" t="inlineStr">
        <is>
          <t>Federal Funds Rate</t>
        </is>
      </c>
      <c r="C15" s="72" t="inlineStr">
        <is>
          <t>Interest Rate at which depository institutions lend reserve balances to other depository institutions overnight</t>
        </is>
      </c>
    </row>
    <row r="16">
      <c r="C16" s="3" t="inlineStr">
        <is>
          <t>https://apps.newyorkfed.org/markets/autorates/fed%20funds</t>
        </is>
      </c>
    </row>
    <row r="18">
      <c r="B18" s="8" t="inlineStr">
        <is>
          <t>Money Supply</t>
        </is>
      </c>
      <c r="C18" s="3" t="inlineStr">
        <is>
          <t>https://www.federalreserve.gov/faqs/money_12845.htm</t>
        </is>
      </c>
    </row>
    <row r="19">
      <c r="C19" s="72" t="inlineStr">
        <is>
          <t>Broad Money M3</t>
        </is>
      </c>
    </row>
    <row r="20">
      <c r="C20" s="3" t="inlineStr">
        <is>
          <t>https://data.oecd.org/money/broad-money-m3.htm</t>
        </is>
      </c>
    </row>
    <row r="21">
      <c r="C21" s="72" t="inlineStr">
        <is>
          <t>M2 Money Stock</t>
        </is>
      </c>
    </row>
    <row r="22">
      <c r="C22" s="3" t="inlineStr">
        <is>
          <t>https://fred.stlouisfed.org/series/M2</t>
        </is>
      </c>
    </row>
    <row r="26">
      <c r="B26" s="8" t="inlineStr">
        <is>
          <t>Fed Balance Sheet</t>
        </is>
      </c>
      <c r="C26" s="3" t="inlineStr">
        <is>
          <t>https://fred.stlouisfed.org/series/WALCL</t>
        </is>
      </c>
    </row>
    <row r="27">
      <c r="B27" s="8" t="inlineStr">
        <is>
          <t>ECB</t>
        </is>
      </c>
      <c r="C27" s="3" t="inlineStr">
        <is>
          <t>https://fred.stlouisfed.org/series/ECBASSETS</t>
        </is>
      </c>
      <c r="H27" s="3" t="inlineStr">
        <is>
          <t>https://fred.stlouisfed.org/series/ECBASSETSW</t>
        </is>
      </c>
    </row>
    <row r="28">
      <c r="B28" s="8" t="inlineStr">
        <is>
          <t>BOJ</t>
        </is>
      </c>
      <c r="C28" s="3" t="inlineStr">
        <is>
          <t>https://fred.stlouisfed.org/series/JPNASSETS</t>
        </is>
      </c>
    </row>
    <row r="32">
      <c r="B32" s="72" t="inlineStr">
        <is>
          <t>China</t>
        </is>
      </c>
      <c r="C32" s="3" t="inlineStr">
        <is>
          <t>http://www.pbc.gov.cn/en/3688247/3688975/index.html</t>
        </is>
      </c>
    </row>
    <row r="36">
      <c r="B36" s="8" t="n"/>
    </row>
    <row r="37">
      <c r="B37" s="77" t="n"/>
    </row>
    <row r="38">
      <c r="B38" s="18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85"/>
  <sheetViews>
    <sheetView topLeftCell="A623" workbookViewId="0">
      <selection activeCell="G60" sqref="G60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94" t="n">
        <v>17533</v>
      </c>
      <c r="B2" t="n">
        <v>0</v>
      </c>
    </row>
    <row r="3">
      <c r="A3" s="94" t="n">
        <v>17564</v>
      </c>
      <c r="B3" t="n">
        <v>0</v>
      </c>
    </row>
    <row r="4">
      <c r="A4" s="94" t="n">
        <v>17593</v>
      </c>
      <c r="B4" t="n">
        <v>0</v>
      </c>
    </row>
    <row r="5">
      <c r="A5" s="94" t="n">
        <v>17624</v>
      </c>
      <c r="B5" t="n">
        <v>0</v>
      </c>
    </row>
    <row r="6">
      <c r="A6" s="94" t="n">
        <v>17654</v>
      </c>
      <c r="B6" t="n">
        <v>0</v>
      </c>
    </row>
    <row r="7">
      <c r="A7" s="94" t="n">
        <v>17685</v>
      </c>
      <c r="B7" t="n">
        <v>0</v>
      </c>
    </row>
    <row r="8">
      <c r="A8" s="94" t="n">
        <v>17715</v>
      </c>
      <c r="B8" t="n">
        <v>0</v>
      </c>
    </row>
    <row r="9">
      <c r="A9" s="94" t="n">
        <v>17746</v>
      </c>
      <c r="B9" t="n">
        <v>0</v>
      </c>
    </row>
    <row r="10">
      <c r="A10" s="94" t="n">
        <v>17777</v>
      </c>
      <c r="B10" t="n">
        <v>0</v>
      </c>
    </row>
    <row r="11">
      <c r="A11" s="94" t="n">
        <v>17807</v>
      </c>
      <c r="B11" t="n">
        <v>0</v>
      </c>
    </row>
    <row r="12">
      <c r="A12" s="94" t="n">
        <v>17838</v>
      </c>
      <c r="B12" t="n">
        <v>0</v>
      </c>
    </row>
    <row r="13">
      <c r="A13" s="94" t="n">
        <v>17868</v>
      </c>
      <c r="B13" t="n">
        <v>0</v>
      </c>
    </row>
    <row r="14">
      <c r="A14" s="94" t="n">
        <v>17899</v>
      </c>
      <c r="B14" t="n">
        <v>0</v>
      </c>
    </row>
    <row r="15">
      <c r="A15" s="94" t="n">
        <v>17930</v>
      </c>
      <c r="B15" t="n">
        <v>0</v>
      </c>
    </row>
    <row r="16">
      <c r="A16" s="94" t="n">
        <v>17958</v>
      </c>
      <c r="B16" t="n">
        <v>0</v>
      </c>
    </row>
    <row r="17">
      <c r="A17" s="94" t="n">
        <v>17989</v>
      </c>
      <c r="B17" t="n">
        <v>0</v>
      </c>
    </row>
    <row r="18">
      <c r="A18" s="94" t="n">
        <v>18019</v>
      </c>
      <c r="B18" t="n">
        <v>0</v>
      </c>
    </row>
    <row r="19">
      <c r="A19" s="94" t="n">
        <v>18050</v>
      </c>
      <c r="B19" t="n">
        <v>0</v>
      </c>
    </row>
    <row r="20">
      <c r="A20" s="94" t="n">
        <v>18080</v>
      </c>
      <c r="B20" t="n">
        <v>0</v>
      </c>
    </row>
    <row r="21">
      <c r="A21" s="94" t="n">
        <v>18111</v>
      </c>
      <c r="B21" t="n">
        <v>0</v>
      </c>
    </row>
    <row r="22">
      <c r="A22" s="94" t="n">
        <v>18142</v>
      </c>
      <c r="B22" t="n">
        <v>0</v>
      </c>
    </row>
    <row r="23">
      <c r="A23" s="94" t="n">
        <v>18172</v>
      </c>
      <c r="B23" t="n">
        <v>0</v>
      </c>
    </row>
    <row r="24">
      <c r="A24" s="94" t="n">
        <v>18203</v>
      </c>
      <c r="B24" t="n">
        <v>0</v>
      </c>
    </row>
    <row r="25">
      <c r="A25" s="94" t="n">
        <v>18233</v>
      </c>
      <c r="B25" t="n">
        <v>0</v>
      </c>
    </row>
    <row r="26">
      <c r="A26" s="94" t="n">
        <v>18264</v>
      </c>
      <c r="B26" t="n">
        <v>1.5</v>
      </c>
    </row>
    <row r="27">
      <c r="A27" s="94" t="n">
        <v>18295</v>
      </c>
      <c r="B27" t="n">
        <v>1.5</v>
      </c>
    </row>
    <row r="28">
      <c r="A28" s="94" t="n">
        <v>18323</v>
      </c>
      <c r="B28" t="n">
        <v>1.5</v>
      </c>
    </row>
    <row r="29">
      <c r="A29" s="94" t="n">
        <v>18354</v>
      </c>
      <c r="B29" t="n">
        <v>1.5</v>
      </c>
    </row>
    <row r="30">
      <c r="A30" s="94" t="n">
        <v>18384</v>
      </c>
      <c r="B30" t="n">
        <v>1.5</v>
      </c>
    </row>
    <row r="31">
      <c r="A31" s="94" t="n">
        <v>18415</v>
      </c>
      <c r="B31" t="n">
        <v>1.5</v>
      </c>
    </row>
    <row r="32">
      <c r="A32" s="94" t="n">
        <v>18445</v>
      </c>
      <c r="B32" t="n">
        <v>1.5</v>
      </c>
    </row>
    <row r="33">
      <c r="A33" s="94" t="n">
        <v>18476</v>
      </c>
      <c r="B33" t="n">
        <v>1.59</v>
      </c>
    </row>
    <row r="34">
      <c r="A34" s="94" t="n">
        <v>18507</v>
      </c>
      <c r="B34" t="n">
        <v>1.75</v>
      </c>
    </row>
    <row r="35">
      <c r="A35" s="94" t="n">
        <v>18537</v>
      </c>
      <c r="B35" t="n">
        <v>1.75</v>
      </c>
    </row>
    <row r="36">
      <c r="A36" s="94" t="n">
        <v>18568</v>
      </c>
      <c r="B36" t="n">
        <v>1.75</v>
      </c>
    </row>
    <row r="37">
      <c r="A37" s="94" t="n">
        <v>18598</v>
      </c>
      <c r="B37" t="n">
        <v>1.75</v>
      </c>
    </row>
    <row r="38">
      <c r="A38" s="94" t="n">
        <v>18629</v>
      </c>
      <c r="B38" t="n">
        <v>1.75</v>
      </c>
    </row>
    <row r="39">
      <c r="A39" s="94" t="n">
        <v>18660</v>
      </c>
      <c r="B39" t="n">
        <v>1.75</v>
      </c>
    </row>
    <row r="40">
      <c r="A40" s="94" t="n">
        <v>18688</v>
      </c>
      <c r="B40" t="n">
        <v>1.75</v>
      </c>
    </row>
    <row r="41">
      <c r="A41" s="94" t="n">
        <v>18719</v>
      </c>
      <c r="B41" t="n">
        <v>1.75</v>
      </c>
    </row>
    <row r="42">
      <c r="A42" s="94" t="n">
        <v>18749</v>
      </c>
      <c r="B42" t="n">
        <v>1.75</v>
      </c>
    </row>
    <row r="43">
      <c r="A43" s="94" t="n">
        <v>18780</v>
      </c>
      <c r="B43" t="n">
        <v>1.75</v>
      </c>
    </row>
    <row r="44">
      <c r="A44" s="94" t="n">
        <v>18810</v>
      </c>
      <c r="B44" t="n">
        <v>1.75</v>
      </c>
    </row>
    <row r="45">
      <c r="A45" s="94" t="n">
        <v>18841</v>
      </c>
      <c r="B45" t="n">
        <v>1.75</v>
      </c>
    </row>
    <row r="46">
      <c r="A46" s="94" t="n">
        <v>18872</v>
      </c>
      <c r="B46" t="n">
        <v>1.75</v>
      </c>
    </row>
    <row r="47">
      <c r="A47" s="94" t="n">
        <v>18902</v>
      </c>
      <c r="B47" t="n">
        <v>1.75</v>
      </c>
    </row>
    <row r="48">
      <c r="A48" s="94" t="n">
        <v>18933</v>
      </c>
      <c r="B48" t="n">
        <v>1.75</v>
      </c>
    </row>
    <row r="49">
      <c r="A49" s="94" t="n">
        <v>18963</v>
      </c>
      <c r="B49" t="n">
        <v>1.75</v>
      </c>
    </row>
    <row r="50">
      <c r="A50" s="94" t="n">
        <v>18994</v>
      </c>
      <c r="B50" t="n">
        <v>1.75</v>
      </c>
    </row>
    <row r="51">
      <c r="A51" s="94" t="n">
        <v>19025</v>
      </c>
      <c r="B51" t="n">
        <v>1.75</v>
      </c>
    </row>
    <row r="52">
      <c r="A52" s="94" t="n">
        <v>19054</v>
      </c>
      <c r="B52" t="n">
        <v>1.75</v>
      </c>
    </row>
    <row r="53">
      <c r="A53" s="94" t="n">
        <v>19085</v>
      </c>
      <c r="B53" t="n">
        <v>1.75</v>
      </c>
    </row>
    <row r="54">
      <c r="A54" s="94" t="n">
        <v>19115</v>
      </c>
      <c r="B54" t="n">
        <v>1.75</v>
      </c>
    </row>
    <row r="55">
      <c r="A55" s="94" t="n">
        <v>19146</v>
      </c>
      <c r="B55" t="n">
        <v>1.75</v>
      </c>
    </row>
    <row r="56">
      <c r="A56" s="94" t="n">
        <v>19176</v>
      </c>
      <c r="B56" t="n">
        <v>1.75</v>
      </c>
    </row>
    <row r="57">
      <c r="A57" s="94" t="n">
        <v>19207</v>
      </c>
      <c r="B57" t="n">
        <v>1.75</v>
      </c>
    </row>
    <row r="58">
      <c r="A58" s="94" t="n">
        <v>19238</v>
      </c>
      <c r="B58" t="n">
        <v>1.75</v>
      </c>
    </row>
    <row r="59">
      <c r="A59" s="94" t="n">
        <v>19268</v>
      </c>
      <c r="B59" t="n">
        <v>1.75</v>
      </c>
    </row>
    <row r="60">
      <c r="A60" s="94" t="n">
        <v>19299</v>
      </c>
      <c r="B60" t="n">
        <v>1.75</v>
      </c>
    </row>
    <row r="61">
      <c r="A61" s="94" t="n">
        <v>19329</v>
      </c>
      <c r="B61" t="n">
        <v>1.75</v>
      </c>
    </row>
    <row r="62">
      <c r="A62" s="94" t="n">
        <v>19360</v>
      </c>
      <c r="B62" t="n">
        <v>1.88</v>
      </c>
    </row>
    <row r="63">
      <c r="A63" s="94" t="n">
        <v>19391</v>
      </c>
      <c r="B63" t="n">
        <v>2</v>
      </c>
    </row>
    <row r="64">
      <c r="A64" s="94" t="n">
        <v>19419</v>
      </c>
      <c r="B64" t="n">
        <v>2</v>
      </c>
    </row>
    <row r="65">
      <c r="A65" s="94" t="n">
        <v>19450</v>
      </c>
      <c r="B65" t="n">
        <v>2</v>
      </c>
    </row>
    <row r="66">
      <c r="A66" s="94" t="n">
        <v>19480</v>
      </c>
      <c r="B66" t="n">
        <v>2</v>
      </c>
    </row>
    <row r="67">
      <c r="A67" s="94" t="n">
        <v>19511</v>
      </c>
      <c r="B67" t="n">
        <v>2</v>
      </c>
    </row>
    <row r="68">
      <c r="A68" s="94" t="n">
        <v>19541</v>
      </c>
      <c r="B68" t="n">
        <v>2</v>
      </c>
    </row>
    <row r="69">
      <c r="A69" s="94" t="n">
        <v>19572</v>
      </c>
      <c r="B69" t="n">
        <v>2</v>
      </c>
    </row>
    <row r="70">
      <c r="A70" s="94" t="n">
        <v>19603</v>
      </c>
      <c r="B70" t="n">
        <v>2</v>
      </c>
    </row>
    <row r="71">
      <c r="A71" s="94" t="n">
        <v>19633</v>
      </c>
      <c r="B71" t="n">
        <v>2</v>
      </c>
    </row>
    <row r="72">
      <c r="A72" s="94" t="n">
        <v>19664</v>
      </c>
      <c r="B72" t="n">
        <v>2</v>
      </c>
    </row>
    <row r="73">
      <c r="A73" s="94" t="n">
        <v>19694</v>
      </c>
      <c r="B73" t="n">
        <v>2</v>
      </c>
    </row>
    <row r="74">
      <c r="A74" s="94" t="n">
        <v>19725</v>
      </c>
      <c r="B74" t="n">
        <v>2</v>
      </c>
    </row>
    <row r="75">
      <c r="A75" s="94" t="n">
        <v>19756</v>
      </c>
      <c r="B75" t="n">
        <v>1.79</v>
      </c>
    </row>
    <row r="76">
      <c r="A76" s="94" t="n">
        <v>19784</v>
      </c>
      <c r="B76" t="n">
        <v>1.75</v>
      </c>
    </row>
    <row r="77">
      <c r="A77" s="94" t="n">
        <v>19815</v>
      </c>
      <c r="B77" t="n">
        <v>1.63</v>
      </c>
    </row>
    <row r="78">
      <c r="A78" s="94" t="n">
        <v>19845</v>
      </c>
      <c r="B78" t="n">
        <v>1.5</v>
      </c>
    </row>
    <row r="79">
      <c r="A79" s="94" t="n">
        <v>19876</v>
      </c>
      <c r="B79" t="n">
        <v>1.5</v>
      </c>
    </row>
    <row r="80">
      <c r="A80" s="94" t="n">
        <v>19906</v>
      </c>
      <c r="B80" t="n">
        <v>1.5</v>
      </c>
      <c r="C80" t="n">
        <v>0.8</v>
      </c>
    </row>
    <row r="81">
      <c r="A81" s="94" t="n">
        <v>19937</v>
      </c>
      <c r="B81" t="n">
        <v>1.5</v>
      </c>
      <c r="C81" t="n">
        <v>1.22</v>
      </c>
    </row>
    <row r="82">
      <c r="A82" s="94" t="n">
        <v>19968</v>
      </c>
      <c r="B82" t="n">
        <v>1.5</v>
      </c>
      <c r="C82" t="n">
        <v>1.07</v>
      </c>
    </row>
    <row r="83">
      <c r="A83" s="94" t="n">
        <v>19998</v>
      </c>
      <c r="B83" t="n">
        <v>1.5</v>
      </c>
      <c r="C83" t="n">
        <v>0.85</v>
      </c>
    </row>
    <row r="84">
      <c r="A84" s="94" t="n">
        <v>20029</v>
      </c>
      <c r="B84" t="n">
        <v>1.5</v>
      </c>
      <c r="C84" t="n">
        <v>0.83</v>
      </c>
    </row>
    <row r="85">
      <c r="A85" s="94" t="n">
        <v>20059</v>
      </c>
      <c r="B85" t="n">
        <v>1.5</v>
      </c>
      <c r="C85" t="n">
        <v>1.28</v>
      </c>
    </row>
    <row r="86">
      <c r="A86" s="94" t="n">
        <v>20090</v>
      </c>
      <c r="B86" t="n">
        <v>1.5</v>
      </c>
      <c r="C86" t="n">
        <v>1.39</v>
      </c>
    </row>
    <row r="87">
      <c r="A87" s="94" t="n">
        <v>20121</v>
      </c>
      <c r="B87" t="n">
        <v>1.5</v>
      </c>
      <c r="C87" t="n">
        <v>1.29</v>
      </c>
    </row>
    <row r="88">
      <c r="A88" s="94" t="n">
        <v>20149</v>
      </c>
      <c r="B88" t="n">
        <v>1.5</v>
      </c>
      <c r="C88" t="n">
        <v>1.35</v>
      </c>
    </row>
    <row r="89">
      <c r="A89" s="94" t="n">
        <v>20180</v>
      </c>
      <c r="B89" t="n">
        <v>1.63</v>
      </c>
      <c r="C89" t="n">
        <v>1.43</v>
      </c>
    </row>
    <row r="90">
      <c r="A90" s="94" t="n">
        <v>20210</v>
      </c>
      <c r="B90" t="n">
        <v>1.75</v>
      </c>
      <c r="C90" t="n">
        <v>1.43</v>
      </c>
    </row>
    <row r="91">
      <c r="A91" s="94" t="n">
        <v>20241</v>
      </c>
      <c r="B91" t="n">
        <v>1.75</v>
      </c>
      <c r="C91" t="n">
        <v>1.64</v>
      </c>
    </row>
    <row r="92">
      <c r="A92" s="94" t="n">
        <v>20271</v>
      </c>
      <c r="B92" t="n">
        <v>1.75</v>
      </c>
      <c r="C92" t="n">
        <v>1.68</v>
      </c>
    </row>
    <row r="93">
      <c r="A93" s="94" t="n">
        <v>20302</v>
      </c>
      <c r="B93" t="n">
        <v>1.97</v>
      </c>
      <c r="C93" t="n">
        <v>1.96</v>
      </c>
    </row>
    <row r="94">
      <c r="A94" s="94" t="n">
        <v>20333</v>
      </c>
      <c r="B94" t="n">
        <v>2.18</v>
      </c>
      <c r="C94" t="n">
        <v>2.18</v>
      </c>
    </row>
    <row r="95">
      <c r="A95" s="94" t="n">
        <v>20363</v>
      </c>
      <c r="B95" t="n">
        <v>2.25</v>
      </c>
      <c r="C95" t="n">
        <v>2.24</v>
      </c>
    </row>
    <row r="96">
      <c r="A96" s="94" t="n">
        <v>20394</v>
      </c>
      <c r="B96" t="n">
        <v>2.36</v>
      </c>
      <c r="C96" t="n">
        <v>2.35</v>
      </c>
    </row>
    <row r="97">
      <c r="A97" s="94" t="n">
        <v>20424</v>
      </c>
      <c r="B97" t="n">
        <v>2.5</v>
      </c>
      <c r="C97" t="n">
        <v>2.48</v>
      </c>
    </row>
    <row r="98">
      <c r="A98" s="94" t="n">
        <v>20455</v>
      </c>
      <c r="B98" t="n">
        <v>2.5</v>
      </c>
      <c r="C98" t="n">
        <v>2.45</v>
      </c>
    </row>
    <row r="99">
      <c r="A99" s="94" t="n">
        <v>20486</v>
      </c>
      <c r="B99" t="n">
        <v>2.5</v>
      </c>
      <c r="C99" t="n">
        <v>2.5</v>
      </c>
    </row>
    <row r="100">
      <c r="A100" s="94" t="n">
        <v>20515</v>
      </c>
      <c r="B100" t="n">
        <v>2.5</v>
      </c>
      <c r="C100" t="n">
        <v>2.5</v>
      </c>
    </row>
    <row r="101">
      <c r="A101" s="94" t="n">
        <v>20546</v>
      </c>
      <c r="B101" t="n">
        <v>2.65</v>
      </c>
      <c r="C101" t="n">
        <v>2.62</v>
      </c>
    </row>
    <row r="102">
      <c r="A102" s="94" t="n">
        <v>20576</v>
      </c>
      <c r="B102" t="n">
        <v>2.75</v>
      </c>
      <c r="C102" t="n">
        <v>2.75</v>
      </c>
    </row>
    <row r="103">
      <c r="A103" s="94" t="n">
        <v>20607</v>
      </c>
      <c r="B103" t="n">
        <v>2.75</v>
      </c>
      <c r="C103" t="n">
        <v>2.71</v>
      </c>
    </row>
    <row r="104">
      <c r="A104" s="94" t="n">
        <v>20637</v>
      </c>
      <c r="B104" t="n">
        <v>2.75</v>
      </c>
      <c r="C104" t="n">
        <v>2.75</v>
      </c>
    </row>
    <row r="105">
      <c r="A105" s="94" t="n">
        <v>20668</v>
      </c>
      <c r="B105" t="n">
        <v>2.81</v>
      </c>
      <c r="C105" t="n">
        <v>2.73</v>
      </c>
    </row>
    <row r="106">
      <c r="A106" s="94" t="n">
        <v>20699</v>
      </c>
      <c r="B106" t="n">
        <v>3</v>
      </c>
      <c r="C106" t="n">
        <v>2.95</v>
      </c>
    </row>
    <row r="107">
      <c r="A107" s="94" t="n">
        <v>20729</v>
      </c>
      <c r="B107" t="n">
        <v>3</v>
      </c>
      <c r="C107" t="n">
        <v>2.96</v>
      </c>
    </row>
    <row r="108">
      <c r="A108" s="94" t="n">
        <v>20760</v>
      </c>
      <c r="B108" t="n">
        <v>3</v>
      </c>
      <c r="C108" t="n">
        <v>2.88</v>
      </c>
    </row>
    <row r="109">
      <c r="A109" s="94" t="n">
        <v>20790</v>
      </c>
      <c r="B109" t="n">
        <v>3</v>
      </c>
      <c r="C109" t="n">
        <v>2.94</v>
      </c>
    </row>
    <row r="110">
      <c r="A110" s="94" t="n">
        <v>20821</v>
      </c>
      <c r="B110" t="n">
        <v>3</v>
      </c>
      <c r="C110" t="n">
        <v>2.84</v>
      </c>
    </row>
    <row r="111">
      <c r="A111" s="94" t="n">
        <v>20852</v>
      </c>
      <c r="B111" t="n">
        <v>3</v>
      </c>
      <c r="C111" t="n">
        <v>3</v>
      </c>
    </row>
    <row r="112">
      <c r="A112" s="94" t="n">
        <v>20880</v>
      </c>
      <c r="B112" t="n">
        <v>3</v>
      </c>
      <c r="C112" t="n">
        <v>2.96</v>
      </c>
    </row>
    <row r="113">
      <c r="A113" s="94" t="n">
        <v>20911</v>
      </c>
      <c r="B113" t="n">
        <v>3</v>
      </c>
      <c r="C113" t="n">
        <v>3</v>
      </c>
    </row>
    <row r="114">
      <c r="A114" s="94" t="n">
        <v>20941</v>
      </c>
      <c r="B114" t="n">
        <v>3</v>
      </c>
      <c r="C114" t="n">
        <v>3</v>
      </c>
    </row>
    <row r="115">
      <c r="A115" s="94" t="n">
        <v>20972</v>
      </c>
      <c r="B115" t="n">
        <v>3</v>
      </c>
      <c r="C115" t="n">
        <v>3</v>
      </c>
    </row>
    <row r="116">
      <c r="A116" s="94" t="n">
        <v>21002</v>
      </c>
      <c r="B116" t="n">
        <v>3</v>
      </c>
      <c r="C116" t="n">
        <v>2.99</v>
      </c>
    </row>
    <row r="117">
      <c r="A117" s="94" t="n">
        <v>21033</v>
      </c>
      <c r="B117" t="n">
        <v>3.15</v>
      </c>
      <c r="C117" t="n">
        <v>3.24</v>
      </c>
    </row>
    <row r="118">
      <c r="A118" s="94" t="n">
        <v>21064</v>
      </c>
      <c r="B118" t="n">
        <v>3.5</v>
      </c>
      <c r="C118" t="n">
        <v>3.47</v>
      </c>
    </row>
    <row r="119">
      <c r="A119" s="94" t="n">
        <v>21094</v>
      </c>
      <c r="B119" t="n">
        <v>3.5</v>
      </c>
      <c r="C119" t="n">
        <v>3.5</v>
      </c>
    </row>
    <row r="120">
      <c r="A120" s="94" t="n">
        <v>21125</v>
      </c>
      <c r="B120" t="n">
        <v>3.23</v>
      </c>
      <c r="C120" t="n">
        <v>3.28</v>
      </c>
    </row>
    <row r="121">
      <c r="A121" s="94" t="n">
        <v>21155</v>
      </c>
      <c r="B121" t="n">
        <v>3</v>
      </c>
      <c r="C121" t="n">
        <v>2.98</v>
      </c>
    </row>
    <row r="122">
      <c r="A122" s="94" t="n">
        <v>21186</v>
      </c>
      <c r="B122" t="n">
        <v>2.94</v>
      </c>
      <c r="C122" t="n">
        <v>2.72</v>
      </c>
    </row>
    <row r="123">
      <c r="A123" s="94" t="n">
        <v>21217</v>
      </c>
      <c r="B123" t="n">
        <v>2.75</v>
      </c>
      <c r="C123" t="n">
        <v>1.67</v>
      </c>
    </row>
    <row r="124">
      <c r="A124" s="94" t="n">
        <v>21245</v>
      </c>
      <c r="B124" t="n">
        <v>2.35</v>
      </c>
      <c r="C124" t="n">
        <v>1.2</v>
      </c>
    </row>
    <row r="125">
      <c r="A125" s="94" t="n">
        <v>21276</v>
      </c>
      <c r="B125" t="n">
        <v>2.03</v>
      </c>
      <c r="C125" t="n">
        <v>1.26</v>
      </c>
    </row>
    <row r="126">
      <c r="A126" s="94" t="n">
        <v>21306</v>
      </c>
      <c r="B126" t="n">
        <v>1.75</v>
      </c>
      <c r="C126" t="n">
        <v>0.63</v>
      </c>
    </row>
    <row r="127">
      <c r="A127" s="94" t="n">
        <v>21337</v>
      </c>
      <c r="B127" t="n">
        <v>1.75</v>
      </c>
      <c r="C127" t="n">
        <v>0.93</v>
      </c>
    </row>
    <row r="128">
      <c r="A128" s="94" t="n">
        <v>21367</v>
      </c>
      <c r="B128" t="n">
        <v>1.75</v>
      </c>
      <c r="C128" t="n">
        <v>0.68</v>
      </c>
    </row>
    <row r="129">
      <c r="A129" s="94" t="n">
        <v>21398</v>
      </c>
      <c r="B129" t="n">
        <v>1.75</v>
      </c>
      <c r="C129" t="n">
        <v>1.53</v>
      </c>
    </row>
    <row r="130">
      <c r="A130" s="94" t="n">
        <v>21429</v>
      </c>
      <c r="B130" t="n">
        <v>1.91</v>
      </c>
      <c r="C130" t="n">
        <v>1.76</v>
      </c>
    </row>
    <row r="131">
      <c r="A131" s="94" t="n">
        <v>21459</v>
      </c>
      <c r="B131" t="n">
        <v>2</v>
      </c>
      <c r="C131" t="n">
        <v>1.8</v>
      </c>
    </row>
    <row r="132">
      <c r="A132" s="94" t="n">
        <v>21490</v>
      </c>
      <c r="B132" t="n">
        <v>2.4</v>
      </c>
      <c r="C132" t="n">
        <v>2.27</v>
      </c>
    </row>
    <row r="133">
      <c r="A133" s="94" t="n">
        <v>21520</v>
      </c>
      <c r="B133" t="n">
        <v>2.5</v>
      </c>
      <c r="C133" t="n">
        <v>2.42</v>
      </c>
    </row>
    <row r="134">
      <c r="A134" s="94" t="n">
        <v>21551</v>
      </c>
      <c r="B134" t="n">
        <v>2.5</v>
      </c>
      <c r="C134" t="n">
        <v>2.48</v>
      </c>
      <c r="D134" t="n">
        <v>286.6</v>
      </c>
    </row>
    <row r="135">
      <c r="A135" s="94" t="n">
        <v>21582</v>
      </c>
      <c r="B135" t="n">
        <v>2.5</v>
      </c>
      <c r="C135" t="n">
        <v>2.43</v>
      </c>
      <c r="D135" t="n">
        <v>287.7</v>
      </c>
    </row>
    <row r="136">
      <c r="A136" s="94" t="n">
        <v>21610</v>
      </c>
      <c r="B136" t="n">
        <v>2.92</v>
      </c>
      <c r="C136" t="n">
        <v>2.8</v>
      </c>
      <c r="D136" t="n">
        <v>289.2</v>
      </c>
    </row>
    <row r="137">
      <c r="A137" s="94" t="n">
        <v>21641</v>
      </c>
      <c r="B137" t="n">
        <v>3</v>
      </c>
      <c r="C137" t="n">
        <v>2.96</v>
      </c>
      <c r="D137" t="n">
        <v>290.1</v>
      </c>
    </row>
    <row r="138">
      <c r="A138" s="94" t="n">
        <v>21671</v>
      </c>
      <c r="B138" t="n">
        <v>3.05</v>
      </c>
      <c r="C138" t="n">
        <v>2.9</v>
      </c>
      <c r="D138" t="n">
        <v>292.2</v>
      </c>
    </row>
    <row r="139">
      <c r="A139" s="94" t="n">
        <v>21702</v>
      </c>
      <c r="B139" t="n">
        <v>3.5</v>
      </c>
      <c r="C139" t="n">
        <v>3.39</v>
      </c>
      <c r="D139" t="n">
        <v>294.1</v>
      </c>
    </row>
    <row r="140">
      <c r="A140" s="94" t="n">
        <v>21732</v>
      </c>
      <c r="B140" t="n">
        <v>3.5</v>
      </c>
      <c r="C140" t="n">
        <v>3.47</v>
      </c>
      <c r="D140" t="n">
        <v>295.2</v>
      </c>
    </row>
    <row r="141">
      <c r="A141" s="94" t="n">
        <v>21763</v>
      </c>
      <c r="B141" t="n">
        <v>3.5</v>
      </c>
      <c r="C141" t="n">
        <v>3.5</v>
      </c>
      <c r="D141" t="n">
        <v>296.4</v>
      </c>
    </row>
    <row r="142">
      <c r="A142" s="94" t="n">
        <v>21794</v>
      </c>
      <c r="B142" t="n">
        <v>3.83</v>
      </c>
      <c r="C142" t="n">
        <v>3.76</v>
      </c>
      <c r="D142" t="n">
        <v>296.7</v>
      </c>
    </row>
    <row r="143">
      <c r="A143" s="94" t="n">
        <v>21824</v>
      </c>
      <c r="B143" t="n">
        <v>4</v>
      </c>
      <c r="C143" t="n">
        <v>3.98</v>
      </c>
      <c r="D143" t="n">
        <v>296.5</v>
      </c>
    </row>
    <row r="144">
      <c r="A144" s="94" t="n">
        <v>21855</v>
      </c>
      <c r="B144" t="n">
        <v>4</v>
      </c>
      <c r="C144" t="n">
        <v>4</v>
      </c>
      <c r="D144" t="n">
        <v>297.1</v>
      </c>
    </row>
    <row r="145">
      <c r="A145" s="94" t="n">
        <v>21885</v>
      </c>
      <c r="B145" t="n">
        <v>4</v>
      </c>
      <c r="C145" t="n">
        <v>3.99</v>
      </c>
      <c r="D145" t="n">
        <v>297.8</v>
      </c>
    </row>
    <row r="146">
      <c r="A146" s="94" t="n">
        <v>21916</v>
      </c>
      <c r="B146" t="n">
        <v>4</v>
      </c>
      <c r="C146" t="n">
        <v>3.99</v>
      </c>
      <c r="D146" t="n">
        <v>298.2</v>
      </c>
    </row>
    <row r="147">
      <c r="A147" s="94" t="n">
        <v>21947</v>
      </c>
      <c r="B147" t="n">
        <v>4</v>
      </c>
      <c r="C147" t="n">
        <v>3.97</v>
      </c>
      <c r="D147" t="n">
        <v>298.4</v>
      </c>
    </row>
    <row r="148">
      <c r="A148" s="94" t="n">
        <v>21976</v>
      </c>
      <c r="B148" t="n">
        <v>4</v>
      </c>
      <c r="C148" t="n">
        <v>3.84</v>
      </c>
      <c r="D148" t="n">
        <v>299.3</v>
      </c>
    </row>
    <row r="149">
      <c r="A149" s="94" t="n">
        <v>22007</v>
      </c>
      <c r="B149" t="n">
        <v>4</v>
      </c>
      <c r="C149" t="n">
        <v>3.92</v>
      </c>
      <c r="D149" t="n">
        <v>300.1</v>
      </c>
    </row>
    <row r="150">
      <c r="A150" s="94" t="n">
        <v>22037</v>
      </c>
      <c r="B150" t="n">
        <v>4</v>
      </c>
      <c r="C150" t="n">
        <v>3.85</v>
      </c>
      <c r="D150" t="n">
        <v>300.9</v>
      </c>
    </row>
    <row r="151">
      <c r="A151" s="94" t="n">
        <v>22068</v>
      </c>
      <c r="B151" t="n">
        <v>3.65</v>
      </c>
      <c r="C151" t="n">
        <v>3.32</v>
      </c>
      <c r="D151" t="n">
        <v>302.3</v>
      </c>
    </row>
    <row r="152">
      <c r="A152" s="94" t="n">
        <v>22098</v>
      </c>
      <c r="B152" t="n">
        <v>3.5</v>
      </c>
      <c r="C152" t="n">
        <v>3.23</v>
      </c>
      <c r="D152" t="n">
        <v>304.1</v>
      </c>
    </row>
    <row r="153">
      <c r="A153" s="94" t="n">
        <v>22129</v>
      </c>
      <c r="B153" t="n">
        <v>3.18</v>
      </c>
      <c r="C153" t="n">
        <v>2.98</v>
      </c>
      <c r="D153" t="n">
        <v>306.9</v>
      </c>
    </row>
    <row r="154">
      <c r="A154" s="94" t="n">
        <v>22160</v>
      </c>
      <c r="B154" t="n">
        <v>3</v>
      </c>
      <c r="C154" t="n">
        <v>2.6</v>
      </c>
      <c r="D154" t="n">
        <v>308.4</v>
      </c>
    </row>
    <row r="155">
      <c r="A155" s="94" t="n">
        <v>22190</v>
      </c>
      <c r="B155" t="n">
        <v>3</v>
      </c>
      <c r="C155" t="n">
        <v>2.47</v>
      </c>
      <c r="D155" t="n">
        <v>309.5</v>
      </c>
    </row>
    <row r="156">
      <c r="A156" s="94" t="n">
        <v>22221</v>
      </c>
      <c r="B156" t="n">
        <v>3</v>
      </c>
      <c r="C156" t="n">
        <v>2.44</v>
      </c>
      <c r="D156" t="n">
        <v>310.9</v>
      </c>
    </row>
    <row r="157">
      <c r="A157" s="94" t="n">
        <v>22251</v>
      </c>
      <c r="B157" t="n">
        <v>3</v>
      </c>
      <c r="C157" t="n">
        <v>1.98</v>
      </c>
      <c r="D157" t="n">
        <v>312.4</v>
      </c>
    </row>
    <row r="158">
      <c r="A158" s="94" t="n">
        <v>22282</v>
      </c>
      <c r="B158" t="n">
        <v>3</v>
      </c>
      <c r="C158" t="n">
        <v>1.45</v>
      </c>
      <c r="D158" t="n">
        <v>314.1</v>
      </c>
    </row>
    <row r="159">
      <c r="A159" s="94" t="n">
        <v>22313</v>
      </c>
      <c r="B159" t="n">
        <v>3</v>
      </c>
      <c r="C159" t="n">
        <v>2.54</v>
      </c>
      <c r="D159" t="n">
        <v>316.5</v>
      </c>
    </row>
    <row r="160">
      <c r="A160" s="94" t="n">
        <v>22341</v>
      </c>
      <c r="B160" t="n">
        <v>3</v>
      </c>
      <c r="C160" t="n">
        <v>2.02</v>
      </c>
      <c r="D160" t="n">
        <v>318.3</v>
      </c>
    </row>
    <row r="161">
      <c r="A161" s="94" t="n">
        <v>22372</v>
      </c>
      <c r="B161" t="n">
        <v>3</v>
      </c>
      <c r="C161" t="n">
        <v>1.49</v>
      </c>
      <c r="D161" t="n">
        <v>319.9</v>
      </c>
    </row>
    <row r="162">
      <c r="A162" s="94" t="n">
        <v>22402</v>
      </c>
      <c r="B162" t="n">
        <v>3</v>
      </c>
      <c r="C162" t="n">
        <v>1.98</v>
      </c>
      <c r="D162" t="n">
        <v>322.2</v>
      </c>
    </row>
    <row r="163">
      <c r="A163" s="94" t="n">
        <v>22433</v>
      </c>
      <c r="B163" t="n">
        <v>3</v>
      </c>
      <c r="C163" t="n">
        <v>1.73</v>
      </c>
      <c r="D163" t="n">
        <v>324.3</v>
      </c>
    </row>
    <row r="164">
      <c r="A164" s="94" t="n">
        <v>22463</v>
      </c>
      <c r="B164" t="n">
        <v>3</v>
      </c>
      <c r="C164" t="n">
        <v>1.17</v>
      </c>
      <c r="D164" t="n">
        <v>325.6</v>
      </c>
    </row>
    <row r="165">
      <c r="A165" s="94" t="n">
        <v>22494</v>
      </c>
      <c r="B165" t="n">
        <v>3</v>
      </c>
      <c r="C165" t="n">
        <v>2</v>
      </c>
      <c r="D165" t="n">
        <v>327.6</v>
      </c>
    </row>
    <row r="166">
      <c r="A166" s="94" t="n">
        <v>22525</v>
      </c>
      <c r="B166" t="n">
        <v>3</v>
      </c>
      <c r="C166" t="n">
        <v>1.88</v>
      </c>
      <c r="D166" t="n">
        <v>329.5</v>
      </c>
    </row>
    <row r="167">
      <c r="A167" s="94" t="n">
        <v>22555</v>
      </c>
      <c r="B167" t="n">
        <v>3</v>
      </c>
      <c r="C167" t="n">
        <v>2.26</v>
      </c>
      <c r="D167" t="n">
        <v>331.1</v>
      </c>
    </row>
    <row r="168">
      <c r="A168" s="94" t="n">
        <v>22586</v>
      </c>
      <c r="B168" t="n">
        <v>3</v>
      </c>
      <c r="C168" t="n">
        <v>2.61</v>
      </c>
      <c r="D168" t="n">
        <v>333.4</v>
      </c>
    </row>
    <row r="169">
      <c r="A169" s="94" t="n">
        <v>22616</v>
      </c>
      <c r="B169" t="n">
        <v>3</v>
      </c>
      <c r="C169" t="n">
        <v>2.33</v>
      </c>
      <c r="D169" t="n">
        <v>335.5</v>
      </c>
    </row>
    <row r="170">
      <c r="A170" s="94" t="n">
        <v>22647</v>
      </c>
      <c r="B170" t="n">
        <v>3</v>
      </c>
      <c r="C170" t="n">
        <v>2.15</v>
      </c>
      <c r="D170" t="n">
        <v>337.5</v>
      </c>
    </row>
    <row r="171">
      <c r="A171" s="94" t="n">
        <v>22678</v>
      </c>
      <c r="B171" t="n">
        <v>3</v>
      </c>
      <c r="C171" t="n">
        <v>2.37</v>
      </c>
      <c r="D171" t="n">
        <v>340.1</v>
      </c>
    </row>
    <row r="172">
      <c r="A172" s="94" t="n">
        <v>22706</v>
      </c>
      <c r="B172" t="n">
        <v>3</v>
      </c>
      <c r="C172" t="n">
        <v>2.85</v>
      </c>
      <c r="D172" t="n">
        <v>343.1</v>
      </c>
    </row>
    <row r="173">
      <c r="A173" s="94" t="n">
        <v>22737</v>
      </c>
      <c r="B173" t="n">
        <v>3</v>
      </c>
      <c r="C173" t="n">
        <v>2.78</v>
      </c>
      <c r="D173" t="n">
        <v>345.5</v>
      </c>
    </row>
    <row r="174">
      <c r="A174" s="94" t="n">
        <v>22767</v>
      </c>
      <c r="B174" t="n">
        <v>3</v>
      </c>
      <c r="C174" t="n">
        <v>2.36</v>
      </c>
      <c r="D174" t="n">
        <v>347.5</v>
      </c>
    </row>
    <row r="175">
      <c r="A175" s="94" t="n">
        <v>22798</v>
      </c>
      <c r="B175" t="n">
        <v>3</v>
      </c>
      <c r="C175" t="n">
        <v>2.68</v>
      </c>
      <c r="D175" t="n">
        <v>349.3</v>
      </c>
    </row>
    <row r="176">
      <c r="A176" s="94" t="n">
        <v>22828</v>
      </c>
      <c r="B176" t="n">
        <v>3</v>
      </c>
      <c r="C176" t="n">
        <v>2.71</v>
      </c>
      <c r="D176" t="n">
        <v>350.8</v>
      </c>
    </row>
    <row r="177">
      <c r="A177" s="94" t="n">
        <v>22859</v>
      </c>
      <c r="B177" t="n">
        <v>3</v>
      </c>
      <c r="C177" t="n">
        <v>2.93</v>
      </c>
      <c r="D177" t="n">
        <v>352.8</v>
      </c>
    </row>
    <row r="178">
      <c r="A178" s="94" t="n">
        <v>22890</v>
      </c>
      <c r="B178" t="n">
        <v>3</v>
      </c>
      <c r="C178" t="n">
        <v>2.9</v>
      </c>
      <c r="D178" t="n">
        <v>354.9</v>
      </c>
    </row>
    <row r="179">
      <c r="A179" s="94" t="n">
        <v>22920</v>
      </c>
      <c r="B179" t="n">
        <v>3</v>
      </c>
      <c r="C179" t="n">
        <v>2.9</v>
      </c>
      <c r="D179" t="n">
        <v>357.2</v>
      </c>
    </row>
    <row r="180">
      <c r="A180" s="94" t="n">
        <v>22951</v>
      </c>
      <c r="B180" t="n">
        <v>3</v>
      </c>
      <c r="C180" t="n">
        <v>2.94</v>
      </c>
      <c r="D180" t="n">
        <v>359.8</v>
      </c>
    </row>
    <row r="181">
      <c r="A181" s="94" t="n">
        <v>22981</v>
      </c>
      <c r="B181" t="n">
        <v>3</v>
      </c>
      <c r="C181" t="n">
        <v>2.93</v>
      </c>
      <c r="D181" t="n">
        <v>362.7</v>
      </c>
    </row>
    <row r="182">
      <c r="A182" s="94" t="n">
        <v>23012</v>
      </c>
      <c r="B182" t="n">
        <v>3</v>
      </c>
      <c r="C182" t="n">
        <v>2.92</v>
      </c>
      <c r="D182" t="n">
        <v>365.2</v>
      </c>
    </row>
    <row r="183">
      <c r="A183" s="94" t="n">
        <v>23043</v>
      </c>
      <c r="B183" t="n">
        <v>3</v>
      </c>
      <c r="C183" t="n">
        <v>3</v>
      </c>
      <c r="D183" t="n">
        <v>367.9</v>
      </c>
    </row>
    <row r="184">
      <c r="A184" s="94" t="n">
        <v>23071</v>
      </c>
      <c r="B184" t="n">
        <v>3</v>
      </c>
      <c r="C184" t="n">
        <v>2.98</v>
      </c>
      <c r="D184" t="n">
        <v>370.7</v>
      </c>
    </row>
    <row r="185">
      <c r="A185" s="94" t="n">
        <v>23102</v>
      </c>
      <c r="B185" t="n">
        <v>3</v>
      </c>
      <c r="C185" t="n">
        <v>2.9</v>
      </c>
      <c r="D185" t="n">
        <v>373.3</v>
      </c>
    </row>
    <row r="186">
      <c r="A186" s="94" t="n">
        <v>23132</v>
      </c>
      <c r="B186" t="n">
        <v>3</v>
      </c>
      <c r="C186" t="n">
        <v>3</v>
      </c>
      <c r="D186" t="n">
        <v>376.1</v>
      </c>
    </row>
    <row r="187">
      <c r="A187" s="94" t="n">
        <v>23163</v>
      </c>
      <c r="B187" t="n">
        <v>3</v>
      </c>
      <c r="C187" t="n">
        <v>2.99</v>
      </c>
      <c r="D187" t="n">
        <v>378.4</v>
      </c>
    </row>
    <row r="188">
      <c r="A188" s="94" t="n">
        <v>23193</v>
      </c>
      <c r="B188" t="n">
        <v>3.24</v>
      </c>
      <c r="C188" t="n">
        <v>3.02</v>
      </c>
      <c r="D188" t="n">
        <v>381.1</v>
      </c>
    </row>
    <row r="189">
      <c r="A189" s="94" t="n">
        <v>23224</v>
      </c>
      <c r="B189" t="n">
        <v>3.5</v>
      </c>
      <c r="C189" t="n">
        <v>3.49</v>
      </c>
      <c r="D189" t="n">
        <v>383.6</v>
      </c>
    </row>
    <row r="190">
      <c r="A190" s="94" t="n">
        <v>23255</v>
      </c>
      <c r="B190" t="n">
        <v>3.5</v>
      </c>
      <c r="C190" t="n">
        <v>3.48</v>
      </c>
      <c r="D190" t="n">
        <v>386</v>
      </c>
    </row>
    <row r="191">
      <c r="A191" s="94" t="n">
        <v>23285</v>
      </c>
      <c r="B191" t="n">
        <v>3.5</v>
      </c>
      <c r="C191" t="n">
        <v>3.5</v>
      </c>
      <c r="D191" t="n">
        <v>388.3</v>
      </c>
    </row>
    <row r="192">
      <c r="A192" s="94" t="n">
        <v>23316</v>
      </c>
      <c r="B192" t="n">
        <v>3.5</v>
      </c>
      <c r="C192" t="n">
        <v>3.48</v>
      </c>
      <c r="D192" t="n">
        <v>391.5</v>
      </c>
    </row>
    <row r="193">
      <c r="A193" s="94" t="n">
        <v>23346</v>
      </c>
      <c r="B193" t="n">
        <v>3.5</v>
      </c>
      <c r="C193" t="n">
        <v>3.38</v>
      </c>
      <c r="D193" t="n">
        <v>393.2</v>
      </c>
    </row>
    <row r="194">
      <c r="A194" s="94" t="n">
        <v>23377</v>
      </c>
      <c r="B194" t="n">
        <v>3.5</v>
      </c>
      <c r="C194" t="n">
        <v>3.48</v>
      </c>
      <c r="D194" t="n">
        <v>395.2</v>
      </c>
    </row>
    <row r="195">
      <c r="A195" s="94" t="n">
        <v>23408</v>
      </c>
      <c r="B195" t="n">
        <v>3.5</v>
      </c>
      <c r="C195" t="n">
        <v>3.48</v>
      </c>
      <c r="D195" t="n">
        <v>397.6</v>
      </c>
    </row>
    <row r="196">
      <c r="A196" s="94" t="n">
        <v>23437</v>
      </c>
      <c r="B196" t="n">
        <v>3.5</v>
      </c>
      <c r="C196" t="n">
        <v>3.43</v>
      </c>
      <c r="D196" t="n">
        <v>399.8</v>
      </c>
    </row>
    <row r="197">
      <c r="A197" s="94" t="n">
        <v>23468</v>
      </c>
      <c r="B197" t="n">
        <v>3.5</v>
      </c>
      <c r="C197" t="n">
        <v>3.47</v>
      </c>
      <c r="D197" t="n">
        <v>401.7</v>
      </c>
    </row>
    <row r="198">
      <c r="A198" s="94" t="n">
        <v>23498</v>
      </c>
      <c r="B198" t="n">
        <v>3.5</v>
      </c>
      <c r="C198" t="n">
        <v>3.5</v>
      </c>
      <c r="D198" t="n">
        <v>404.2</v>
      </c>
    </row>
    <row r="199">
      <c r="A199" s="94" t="n">
        <v>23529</v>
      </c>
      <c r="B199" t="n">
        <v>3.5</v>
      </c>
      <c r="C199" t="n">
        <v>3.5</v>
      </c>
      <c r="D199" t="n">
        <v>407.1</v>
      </c>
    </row>
    <row r="200">
      <c r="A200" s="94" t="n">
        <v>23559</v>
      </c>
      <c r="B200" t="n">
        <v>3.5</v>
      </c>
      <c r="C200" t="n">
        <v>3.42</v>
      </c>
      <c r="D200" t="n">
        <v>410.1</v>
      </c>
    </row>
    <row r="201">
      <c r="A201" s="94" t="n">
        <v>23590</v>
      </c>
      <c r="B201" t="n">
        <v>3.5</v>
      </c>
      <c r="C201" t="n">
        <v>3.5</v>
      </c>
      <c r="D201" t="n">
        <v>413.4</v>
      </c>
    </row>
    <row r="202">
      <c r="A202" s="94" t="n">
        <v>23621</v>
      </c>
      <c r="B202" t="n">
        <v>3.5</v>
      </c>
      <c r="C202" t="n">
        <v>3.45</v>
      </c>
      <c r="D202" t="n">
        <v>416.9</v>
      </c>
    </row>
    <row r="203">
      <c r="A203" s="94" t="n">
        <v>23651</v>
      </c>
      <c r="B203" t="n">
        <v>3.5</v>
      </c>
      <c r="C203" t="n">
        <v>3.36</v>
      </c>
      <c r="D203" t="n">
        <v>419.1</v>
      </c>
    </row>
    <row r="204">
      <c r="A204" s="94" t="n">
        <v>23682</v>
      </c>
      <c r="B204" t="n">
        <v>3.62</v>
      </c>
      <c r="C204" t="n">
        <v>3.52</v>
      </c>
      <c r="D204" t="n">
        <v>422</v>
      </c>
    </row>
    <row r="205">
      <c r="A205" s="94" t="n">
        <v>23712</v>
      </c>
      <c r="B205" t="n">
        <v>4</v>
      </c>
      <c r="C205" t="n">
        <v>3.85</v>
      </c>
      <c r="D205" t="n">
        <v>424.7</v>
      </c>
    </row>
    <row r="206">
      <c r="A206" s="94" t="n">
        <v>23743</v>
      </c>
      <c r="B206" t="n">
        <v>4</v>
      </c>
      <c r="C206" t="n">
        <v>3.9</v>
      </c>
      <c r="D206" t="n">
        <v>427.5</v>
      </c>
    </row>
    <row r="207">
      <c r="A207" s="94" t="n">
        <v>23774</v>
      </c>
      <c r="B207" t="n">
        <v>4</v>
      </c>
      <c r="C207" t="n">
        <v>3.98</v>
      </c>
      <c r="D207" t="n">
        <v>430.4</v>
      </c>
    </row>
    <row r="208">
      <c r="A208" s="94" t="n">
        <v>23802</v>
      </c>
      <c r="B208" t="n">
        <v>4</v>
      </c>
      <c r="C208" t="n">
        <v>4.05</v>
      </c>
      <c r="D208" t="n">
        <v>433.2</v>
      </c>
    </row>
    <row r="209">
      <c r="A209" s="94" t="n">
        <v>23833</v>
      </c>
      <c r="B209" t="n">
        <v>4</v>
      </c>
      <c r="C209" t="n">
        <v>4.09</v>
      </c>
      <c r="D209" t="n">
        <v>435.4</v>
      </c>
    </row>
    <row r="210">
      <c r="A210" s="94" t="n">
        <v>23863</v>
      </c>
      <c r="B210" t="n">
        <v>4</v>
      </c>
      <c r="C210" t="n">
        <v>4.1</v>
      </c>
      <c r="D210" t="n">
        <v>437.1</v>
      </c>
    </row>
    <row r="211">
      <c r="A211" s="94" t="n">
        <v>23894</v>
      </c>
      <c r="B211" t="n">
        <v>4</v>
      </c>
      <c r="C211" t="n">
        <v>4.05</v>
      </c>
      <c r="D211" t="n">
        <v>440.1</v>
      </c>
    </row>
    <row r="212">
      <c r="A212" s="94" t="n">
        <v>23924</v>
      </c>
      <c r="B212" t="n">
        <v>4</v>
      </c>
      <c r="C212" t="n">
        <v>4.09</v>
      </c>
      <c r="D212" t="n">
        <v>442.9</v>
      </c>
    </row>
    <row r="213">
      <c r="A213" s="94" t="n">
        <v>23955</v>
      </c>
      <c r="B213" t="n">
        <v>4</v>
      </c>
      <c r="C213" t="n">
        <v>4.12</v>
      </c>
      <c r="D213" t="n">
        <v>445.8</v>
      </c>
    </row>
    <row r="214">
      <c r="A214" s="94" t="n">
        <v>23986</v>
      </c>
      <c r="B214" t="n">
        <v>4</v>
      </c>
      <c r="C214" t="n">
        <v>4.02</v>
      </c>
      <c r="D214" t="n">
        <v>449.5</v>
      </c>
    </row>
    <row r="215">
      <c r="A215" s="94" t="n">
        <v>24016</v>
      </c>
      <c r="B215" t="n">
        <v>4</v>
      </c>
      <c r="C215" t="n">
        <v>4.08</v>
      </c>
      <c r="D215" t="n">
        <v>452.6</v>
      </c>
    </row>
    <row r="216">
      <c r="A216" s="94" t="n">
        <v>24047</v>
      </c>
      <c r="B216" t="n">
        <v>4</v>
      </c>
      <c r="C216" t="n">
        <v>4.1</v>
      </c>
      <c r="D216" t="n">
        <v>455.7</v>
      </c>
    </row>
    <row r="217">
      <c r="A217" s="94" t="n">
        <v>24077</v>
      </c>
      <c r="B217" t="n">
        <v>4.42</v>
      </c>
      <c r="C217" t="n">
        <v>4.32</v>
      </c>
      <c r="D217" t="n">
        <v>459.2</v>
      </c>
    </row>
    <row r="218">
      <c r="A218" s="94" t="n">
        <v>24108</v>
      </c>
      <c r="B218" t="n">
        <v>4.5</v>
      </c>
      <c r="C218" t="n">
        <v>4.42</v>
      </c>
      <c r="D218" t="n">
        <v>462</v>
      </c>
    </row>
    <row r="219">
      <c r="A219" s="94" t="n">
        <v>24139</v>
      </c>
      <c r="B219" t="n">
        <v>4.5</v>
      </c>
      <c r="C219" t="n">
        <v>4.6</v>
      </c>
      <c r="D219" t="n">
        <v>464.6</v>
      </c>
    </row>
    <row r="220">
      <c r="A220" s="94" t="n">
        <v>24167</v>
      </c>
      <c r="B220" t="n">
        <v>4.5</v>
      </c>
      <c r="C220" t="n">
        <v>4.66</v>
      </c>
      <c r="D220" t="n">
        <v>467.2</v>
      </c>
    </row>
    <row r="221">
      <c r="A221" s="94" t="n">
        <v>24198</v>
      </c>
      <c r="B221" t="n">
        <v>4.5</v>
      </c>
      <c r="C221" t="n">
        <v>4.67</v>
      </c>
      <c r="D221" t="n">
        <v>469.3</v>
      </c>
    </row>
    <row r="222">
      <c r="A222" s="94" t="n">
        <v>24228</v>
      </c>
      <c r="B222" t="n">
        <v>4.5</v>
      </c>
      <c r="C222" t="n">
        <v>4.9</v>
      </c>
      <c r="D222" t="n">
        <v>470.1</v>
      </c>
    </row>
    <row r="223">
      <c r="A223" s="94" t="n">
        <v>24259</v>
      </c>
      <c r="B223" t="n">
        <v>4.5</v>
      </c>
      <c r="C223" t="n">
        <v>5.17</v>
      </c>
      <c r="D223" t="n">
        <v>471.2</v>
      </c>
    </row>
    <row r="224">
      <c r="A224" s="94" t="n">
        <v>24289</v>
      </c>
      <c r="B224" t="n">
        <v>4.5</v>
      </c>
      <c r="C224" t="n">
        <v>5.3</v>
      </c>
      <c r="D224" t="n">
        <v>470.9</v>
      </c>
    </row>
    <row r="225">
      <c r="A225" s="94" t="n">
        <v>24320</v>
      </c>
      <c r="B225" t="n">
        <v>4.5</v>
      </c>
      <c r="C225" t="n">
        <v>5.53</v>
      </c>
      <c r="D225" t="n">
        <v>472.6</v>
      </c>
    </row>
    <row r="226">
      <c r="A226" s="94" t="n">
        <v>24351</v>
      </c>
      <c r="B226" t="n">
        <v>4.5</v>
      </c>
      <c r="C226" t="n">
        <v>5.4</v>
      </c>
      <c r="D226" t="n">
        <v>475.4</v>
      </c>
    </row>
    <row r="227">
      <c r="A227" s="94" t="n">
        <v>24381</v>
      </c>
      <c r="B227" t="n">
        <v>4.5</v>
      </c>
      <c r="C227" t="n">
        <v>5.53</v>
      </c>
      <c r="D227" t="n">
        <v>475.7</v>
      </c>
    </row>
    <row r="228">
      <c r="A228" s="94" t="n">
        <v>24412</v>
      </c>
      <c r="B228" t="n">
        <v>4.5</v>
      </c>
      <c r="C228" t="n">
        <v>5.76</v>
      </c>
      <c r="D228" t="n">
        <v>477.3</v>
      </c>
    </row>
    <row r="229">
      <c r="A229" s="94" t="n">
        <v>24442</v>
      </c>
      <c r="B229" t="n">
        <v>4.5</v>
      </c>
      <c r="C229" t="n">
        <v>5.4</v>
      </c>
      <c r="D229" t="n">
        <v>480.2</v>
      </c>
    </row>
    <row r="230">
      <c r="A230" s="94" t="n">
        <v>24473</v>
      </c>
      <c r="B230" t="n">
        <v>4.5</v>
      </c>
      <c r="C230" t="n">
        <v>4.94</v>
      </c>
      <c r="D230" t="n">
        <v>481.6</v>
      </c>
    </row>
    <row r="231">
      <c r="A231" s="94" t="n">
        <v>24504</v>
      </c>
      <c r="B231" t="n">
        <v>4.5</v>
      </c>
      <c r="C231" t="n">
        <v>5</v>
      </c>
      <c r="D231" t="n">
        <v>485.1</v>
      </c>
    </row>
    <row r="232">
      <c r="A232" s="94" t="n">
        <v>24532</v>
      </c>
      <c r="B232" t="n">
        <v>4.5</v>
      </c>
      <c r="C232" t="n">
        <v>4.53</v>
      </c>
      <c r="D232" t="n">
        <v>489.7</v>
      </c>
    </row>
    <row r="233">
      <c r="A233" s="94" t="n">
        <v>24563</v>
      </c>
      <c r="B233" t="n">
        <v>4.1</v>
      </c>
      <c r="C233" t="n">
        <v>4.05</v>
      </c>
      <c r="D233" t="n">
        <v>492.1</v>
      </c>
    </row>
    <row r="234">
      <c r="A234" s="94" t="n">
        <v>24593</v>
      </c>
      <c r="B234" t="n">
        <v>4</v>
      </c>
      <c r="C234" t="n">
        <v>3.94</v>
      </c>
      <c r="D234" t="n">
        <v>497.2</v>
      </c>
    </row>
    <row r="235">
      <c r="A235" s="94" t="n">
        <v>24624</v>
      </c>
      <c r="B235" t="n">
        <v>4</v>
      </c>
      <c r="C235" t="n">
        <v>3.98</v>
      </c>
      <c r="D235" t="n">
        <v>502</v>
      </c>
    </row>
    <row r="236">
      <c r="A236" s="94" t="n">
        <v>24654</v>
      </c>
      <c r="B236" t="n">
        <v>4</v>
      </c>
      <c r="C236" t="n">
        <v>3.79</v>
      </c>
      <c r="D236" t="n">
        <v>506.3</v>
      </c>
    </row>
    <row r="237">
      <c r="A237" s="94" t="n">
        <v>24685</v>
      </c>
      <c r="B237" t="n">
        <v>4</v>
      </c>
      <c r="C237" t="n">
        <v>3.9</v>
      </c>
      <c r="D237" t="n">
        <v>510.8</v>
      </c>
    </row>
    <row r="238">
      <c r="A238" s="94" t="n">
        <v>24716</v>
      </c>
      <c r="B238" t="n">
        <v>4</v>
      </c>
      <c r="C238" t="n">
        <v>3.99</v>
      </c>
      <c r="D238" t="n">
        <v>514.7</v>
      </c>
    </row>
    <row r="239">
      <c r="A239" s="94" t="n">
        <v>24746</v>
      </c>
      <c r="B239" t="n">
        <v>4</v>
      </c>
      <c r="C239" t="n">
        <v>3.88</v>
      </c>
      <c r="D239" t="n">
        <v>518.2</v>
      </c>
    </row>
    <row r="240">
      <c r="A240" s="94" t="n">
        <v>24777</v>
      </c>
      <c r="B240" t="n">
        <v>4.18</v>
      </c>
      <c r="C240" t="n">
        <v>4.13</v>
      </c>
      <c r="D240" t="n">
        <v>521.2</v>
      </c>
    </row>
    <row r="241">
      <c r="A241" s="94" t="n">
        <v>24807</v>
      </c>
      <c r="B241" t="n">
        <v>4.5</v>
      </c>
      <c r="C241" t="n">
        <v>4.51</v>
      </c>
      <c r="D241" t="n">
        <v>524.8</v>
      </c>
    </row>
    <row r="242">
      <c r="A242" s="94" t="n">
        <v>24838</v>
      </c>
      <c r="B242" t="n">
        <v>4.5</v>
      </c>
      <c r="C242" t="n">
        <v>4.61</v>
      </c>
      <c r="D242" t="n">
        <v>527.4</v>
      </c>
    </row>
    <row r="243">
      <c r="A243" s="94" t="n">
        <v>24869</v>
      </c>
      <c r="B243" t="n">
        <v>4.5</v>
      </c>
      <c r="C243" t="n">
        <v>4.71</v>
      </c>
      <c r="D243" t="n">
        <v>530.4</v>
      </c>
    </row>
    <row r="244">
      <c r="A244" s="94" t="n">
        <v>24898</v>
      </c>
      <c r="B244" t="n">
        <v>4.66</v>
      </c>
      <c r="C244" t="n">
        <v>5.05</v>
      </c>
      <c r="D244" t="n">
        <v>533.2</v>
      </c>
    </row>
    <row r="245">
      <c r="A245" s="94" t="n">
        <v>24929</v>
      </c>
      <c r="B245" t="n">
        <v>5.2</v>
      </c>
      <c r="C245" t="n">
        <v>5.76</v>
      </c>
      <c r="D245" t="n">
        <v>535.7</v>
      </c>
    </row>
    <row r="246">
      <c r="A246" s="94" t="n">
        <v>24959</v>
      </c>
      <c r="B246" t="n">
        <v>5.5</v>
      </c>
      <c r="C246" t="n">
        <v>6.12</v>
      </c>
      <c r="D246" t="n">
        <v>538.9</v>
      </c>
    </row>
    <row r="247">
      <c r="A247" s="94" t="n">
        <v>24990</v>
      </c>
      <c r="B247" t="n">
        <v>5.5</v>
      </c>
      <c r="C247" t="n">
        <v>6.07</v>
      </c>
      <c r="D247" t="n">
        <v>542.6</v>
      </c>
    </row>
    <row r="248">
      <c r="A248" s="94" t="n">
        <v>25020</v>
      </c>
      <c r="B248" t="n">
        <v>5.5</v>
      </c>
      <c r="C248" t="n">
        <v>6.03</v>
      </c>
      <c r="D248" t="n">
        <v>545.6</v>
      </c>
    </row>
    <row r="249">
      <c r="A249" s="94" t="n">
        <v>25051</v>
      </c>
      <c r="B249" t="n">
        <v>5.48</v>
      </c>
      <c r="C249" t="n">
        <v>6.03</v>
      </c>
      <c r="D249" t="n">
        <v>549.4</v>
      </c>
    </row>
    <row r="250">
      <c r="A250" s="94" t="n">
        <v>25082</v>
      </c>
      <c r="B250" t="n">
        <v>5.25</v>
      </c>
      <c r="C250" t="n">
        <v>5.78</v>
      </c>
      <c r="D250" t="n">
        <v>553.6</v>
      </c>
    </row>
    <row r="251">
      <c r="A251" s="94" t="n">
        <v>25112</v>
      </c>
      <c r="B251" t="n">
        <v>5.25</v>
      </c>
      <c r="C251" t="n">
        <v>5.91</v>
      </c>
      <c r="D251" t="n">
        <v>557.6</v>
      </c>
    </row>
    <row r="252">
      <c r="A252" s="94" t="n">
        <v>25143</v>
      </c>
      <c r="B252" t="n">
        <v>5.25</v>
      </c>
      <c r="C252" t="n">
        <v>5.82</v>
      </c>
      <c r="D252" t="n">
        <v>562.4</v>
      </c>
    </row>
    <row r="253">
      <c r="A253" s="94" t="n">
        <v>25173</v>
      </c>
      <c r="B253" t="n">
        <v>5.36</v>
      </c>
      <c r="C253" t="n">
        <v>6.02</v>
      </c>
      <c r="D253" t="n">
        <v>566.8</v>
      </c>
    </row>
    <row r="254">
      <c r="A254" s="94" t="n">
        <v>25204</v>
      </c>
      <c r="B254" t="n">
        <v>5.5</v>
      </c>
      <c r="C254" t="n">
        <v>6.3</v>
      </c>
      <c r="D254" t="n">
        <v>569.3</v>
      </c>
    </row>
    <row r="255">
      <c r="A255" s="94" t="n">
        <v>25235</v>
      </c>
      <c r="B255" t="n">
        <v>5.5</v>
      </c>
      <c r="C255" t="n">
        <v>6.61</v>
      </c>
      <c r="D255" t="n">
        <v>571.9</v>
      </c>
    </row>
    <row r="256">
      <c r="A256" s="94" t="n">
        <v>25263</v>
      </c>
      <c r="B256" t="n">
        <v>5.5</v>
      </c>
      <c r="C256" t="n">
        <v>6.79</v>
      </c>
      <c r="D256" t="n">
        <v>574.4</v>
      </c>
    </row>
    <row r="257">
      <c r="A257" s="94" t="n">
        <v>25294</v>
      </c>
      <c r="B257" t="n">
        <v>5.95</v>
      </c>
      <c r="C257" t="n">
        <v>7.41</v>
      </c>
      <c r="D257" t="n">
        <v>575.7</v>
      </c>
    </row>
    <row r="258">
      <c r="A258" s="94" t="n">
        <v>25324</v>
      </c>
      <c r="B258" t="n">
        <v>6</v>
      </c>
      <c r="C258" t="n">
        <v>8.67</v>
      </c>
      <c r="D258" t="n">
        <v>576.5</v>
      </c>
    </row>
    <row r="259">
      <c r="A259" s="94" t="n">
        <v>25355</v>
      </c>
      <c r="B259" t="n">
        <v>6</v>
      </c>
      <c r="C259" t="n">
        <v>8.9</v>
      </c>
      <c r="D259" t="n">
        <v>578.5</v>
      </c>
    </row>
    <row r="260">
      <c r="A260" s="94" t="n">
        <v>25385</v>
      </c>
      <c r="B260" t="n">
        <v>6</v>
      </c>
      <c r="C260" t="n">
        <v>8.609999999999999</v>
      </c>
      <c r="D260" t="n">
        <v>579.5</v>
      </c>
    </row>
    <row r="261">
      <c r="A261" s="94" t="n">
        <v>25416</v>
      </c>
      <c r="B261" t="n">
        <v>6</v>
      </c>
      <c r="C261" t="n">
        <v>9.19</v>
      </c>
      <c r="D261" t="n">
        <v>580.1</v>
      </c>
    </row>
    <row r="262">
      <c r="A262" s="94" t="n">
        <v>25447</v>
      </c>
      <c r="B262" t="n">
        <v>6</v>
      </c>
      <c r="C262" t="n">
        <v>9.15</v>
      </c>
      <c r="D262" t="n">
        <v>582.1</v>
      </c>
    </row>
    <row r="263">
      <c r="A263" s="94" t="n">
        <v>25477</v>
      </c>
      <c r="B263" t="n">
        <v>6</v>
      </c>
      <c r="C263" t="n">
        <v>9</v>
      </c>
      <c r="D263" t="n">
        <v>583.4</v>
      </c>
    </row>
    <row r="264">
      <c r="A264" s="94" t="n">
        <v>25508</v>
      </c>
      <c r="B264" t="n">
        <v>6</v>
      </c>
      <c r="C264" t="n">
        <v>8.85</v>
      </c>
      <c r="D264" t="n">
        <v>585.4</v>
      </c>
    </row>
    <row r="265">
      <c r="A265" s="94" t="n">
        <v>25538</v>
      </c>
      <c r="B265" t="n">
        <v>6</v>
      </c>
      <c r="C265" t="n">
        <v>8.970000000000001</v>
      </c>
      <c r="D265" t="n">
        <v>587.9</v>
      </c>
    </row>
    <row r="266">
      <c r="A266" s="94" t="n">
        <v>25569</v>
      </c>
      <c r="B266" t="n">
        <v>6</v>
      </c>
      <c r="C266" t="n">
        <v>8.98</v>
      </c>
      <c r="D266" t="n">
        <v>589.6</v>
      </c>
    </row>
    <row r="267">
      <c r="A267" s="94" t="n">
        <v>25600</v>
      </c>
      <c r="B267" t="n">
        <v>6</v>
      </c>
      <c r="C267" t="n">
        <v>8.98</v>
      </c>
      <c r="D267" t="n">
        <v>586.3</v>
      </c>
    </row>
    <row r="268">
      <c r="A268" s="94" t="n">
        <v>25628</v>
      </c>
      <c r="B268" t="n">
        <v>6</v>
      </c>
      <c r="C268" t="n">
        <v>7.76</v>
      </c>
      <c r="D268" t="n">
        <v>587.3</v>
      </c>
    </row>
    <row r="269">
      <c r="A269" s="94" t="n">
        <v>25659</v>
      </c>
      <c r="B269" t="n">
        <v>6</v>
      </c>
      <c r="C269" t="n">
        <v>8.1</v>
      </c>
      <c r="D269" t="n">
        <v>588.4</v>
      </c>
    </row>
    <row r="270">
      <c r="A270" s="94" t="n">
        <v>25689</v>
      </c>
      <c r="B270" t="n">
        <v>6</v>
      </c>
      <c r="C270" t="n">
        <v>7.95</v>
      </c>
      <c r="D270" t="n">
        <v>591.5</v>
      </c>
    </row>
    <row r="271">
      <c r="A271" s="94" t="n">
        <v>25720</v>
      </c>
      <c r="B271" t="n">
        <v>6</v>
      </c>
      <c r="C271" t="n">
        <v>7.61</v>
      </c>
      <c r="D271" t="n">
        <v>595.2</v>
      </c>
    </row>
    <row r="272">
      <c r="A272" s="94" t="n">
        <v>25750</v>
      </c>
      <c r="B272" t="n">
        <v>6</v>
      </c>
      <c r="C272" t="n">
        <v>7.21</v>
      </c>
      <c r="D272" t="n">
        <v>599.1</v>
      </c>
    </row>
    <row r="273">
      <c r="A273" s="94" t="n">
        <v>25781</v>
      </c>
      <c r="B273" t="n">
        <v>6</v>
      </c>
      <c r="C273" t="n">
        <v>6.62</v>
      </c>
      <c r="D273" t="n">
        <v>604.9</v>
      </c>
    </row>
    <row r="274">
      <c r="A274" s="94" t="n">
        <v>25812</v>
      </c>
      <c r="B274" t="n">
        <v>6</v>
      </c>
      <c r="C274" t="n">
        <v>6.29</v>
      </c>
      <c r="D274" t="n">
        <v>611.2</v>
      </c>
    </row>
    <row r="275">
      <c r="A275" s="94" t="n">
        <v>25842</v>
      </c>
      <c r="B275" t="n">
        <v>6</v>
      </c>
      <c r="C275" t="n">
        <v>6.2</v>
      </c>
      <c r="D275" t="n">
        <v>616.4</v>
      </c>
    </row>
    <row r="276">
      <c r="A276" s="94" t="n">
        <v>25873</v>
      </c>
      <c r="B276" t="n">
        <v>5.85</v>
      </c>
      <c r="C276" t="n">
        <v>5.6</v>
      </c>
      <c r="D276" t="n">
        <v>621.1</v>
      </c>
    </row>
    <row r="277">
      <c r="A277" s="94" t="n">
        <v>25903</v>
      </c>
      <c r="B277" t="n">
        <v>5.52</v>
      </c>
      <c r="C277" t="n">
        <v>4.9</v>
      </c>
      <c r="D277" t="n">
        <v>626.5</v>
      </c>
    </row>
    <row r="278">
      <c r="A278" s="94" t="n">
        <v>25934</v>
      </c>
      <c r="B278" t="n">
        <v>5.23</v>
      </c>
      <c r="C278" t="n">
        <v>4.14</v>
      </c>
      <c r="D278" t="n">
        <v>632.9</v>
      </c>
    </row>
    <row r="279">
      <c r="A279" s="94" t="n">
        <v>25965</v>
      </c>
      <c r="B279" t="n">
        <v>4.91</v>
      </c>
      <c r="C279" t="n">
        <v>3.72</v>
      </c>
      <c r="D279" t="n">
        <v>641</v>
      </c>
    </row>
    <row r="280">
      <c r="A280" s="94" t="n">
        <v>25993</v>
      </c>
      <c r="B280" t="n">
        <v>4.75</v>
      </c>
      <c r="C280" t="n">
        <v>3.71</v>
      </c>
      <c r="D280" t="n">
        <v>649.9</v>
      </c>
    </row>
    <row r="281">
      <c r="A281" s="94" t="n">
        <v>26024</v>
      </c>
      <c r="B281" t="n">
        <v>4.75</v>
      </c>
      <c r="C281" t="n">
        <v>4.16</v>
      </c>
      <c r="D281" t="n">
        <v>658.4</v>
      </c>
    </row>
    <row r="282">
      <c r="A282" s="94" t="n">
        <v>26054</v>
      </c>
      <c r="B282" t="n">
        <v>4.75</v>
      </c>
      <c r="C282" t="n">
        <v>4.63</v>
      </c>
      <c r="D282" t="n">
        <v>666.7</v>
      </c>
    </row>
    <row r="283">
      <c r="A283" s="94" t="n">
        <v>26085</v>
      </c>
      <c r="B283" t="n">
        <v>4.75</v>
      </c>
      <c r="C283" t="n">
        <v>4.91</v>
      </c>
      <c r="D283" t="n">
        <v>673</v>
      </c>
    </row>
    <row r="284">
      <c r="A284" s="94" t="n">
        <v>26115</v>
      </c>
      <c r="B284" t="n">
        <v>4.88</v>
      </c>
      <c r="C284" t="n">
        <v>5.31</v>
      </c>
      <c r="D284" t="n">
        <v>679.6</v>
      </c>
    </row>
    <row r="285">
      <c r="A285" s="94" t="n">
        <v>26146</v>
      </c>
      <c r="B285" t="n">
        <v>5</v>
      </c>
      <c r="C285" t="n">
        <v>5.57</v>
      </c>
      <c r="D285" t="n">
        <v>685.5</v>
      </c>
    </row>
    <row r="286">
      <c r="A286" s="94" t="n">
        <v>26177</v>
      </c>
      <c r="B286" t="n">
        <v>5</v>
      </c>
      <c r="C286" t="n">
        <v>5.55</v>
      </c>
      <c r="D286" t="n">
        <v>692.5</v>
      </c>
    </row>
    <row r="287">
      <c r="A287" s="94" t="n">
        <v>26207</v>
      </c>
      <c r="B287" t="n">
        <v>5</v>
      </c>
      <c r="C287" t="n">
        <v>5.2</v>
      </c>
      <c r="D287" t="n">
        <v>698.4</v>
      </c>
    </row>
    <row r="288">
      <c r="A288" s="94" t="n">
        <v>26238</v>
      </c>
      <c r="B288" t="n">
        <v>4.9</v>
      </c>
      <c r="C288" t="n">
        <v>4.91</v>
      </c>
      <c r="D288" t="n">
        <v>704.6</v>
      </c>
    </row>
    <row r="289">
      <c r="A289" s="94" t="n">
        <v>26268</v>
      </c>
      <c r="B289" t="n">
        <v>4.63</v>
      </c>
      <c r="C289" t="n">
        <v>4.14</v>
      </c>
      <c r="D289" t="n">
        <v>710.3</v>
      </c>
    </row>
    <row r="290">
      <c r="A290" s="94" t="n">
        <v>26299</v>
      </c>
      <c r="B290" t="n">
        <v>4.5</v>
      </c>
      <c r="C290" t="n">
        <v>3.51</v>
      </c>
      <c r="D290" t="n">
        <v>717.7</v>
      </c>
    </row>
    <row r="291">
      <c r="A291" s="94" t="n">
        <v>26330</v>
      </c>
      <c r="B291" t="n">
        <v>4.5</v>
      </c>
      <c r="C291" t="n">
        <v>3.3</v>
      </c>
      <c r="D291" t="n">
        <v>725.7</v>
      </c>
    </row>
    <row r="292">
      <c r="A292" s="94" t="n">
        <v>26359</v>
      </c>
      <c r="B292" t="n">
        <v>4.5</v>
      </c>
      <c r="C292" t="n">
        <v>3.83</v>
      </c>
      <c r="D292" t="n">
        <v>733.5</v>
      </c>
    </row>
    <row r="293">
      <c r="A293" s="94" t="n">
        <v>26390</v>
      </c>
      <c r="B293" t="n">
        <v>4.5</v>
      </c>
      <c r="C293" t="n">
        <v>4.17</v>
      </c>
      <c r="D293" t="n">
        <v>738.4</v>
      </c>
    </row>
    <row r="294">
      <c r="A294" s="94" t="n">
        <v>26420</v>
      </c>
      <c r="B294" t="n">
        <v>4.5</v>
      </c>
      <c r="C294" t="n">
        <v>4.27</v>
      </c>
      <c r="D294" t="n">
        <v>743.3</v>
      </c>
    </row>
    <row r="295">
      <c r="A295" s="94" t="n">
        <v>26451</v>
      </c>
      <c r="B295" t="n">
        <v>4.5</v>
      </c>
      <c r="C295" t="n">
        <v>4.46</v>
      </c>
      <c r="D295" t="n">
        <v>749.7</v>
      </c>
    </row>
    <row r="296">
      <c r="A296" s="94" t="n">
        <v>26481</v>
      </c>
      <c r="B296" t="n">
        <v>4.5</v>
      </c>
      <c r="C296" t="n">
        <v>4.55</v>
      </c>
      <c r="D296" t="n">
        <v>759.5</v>
      </c>
    </row>
    <row r="297">
      <c r="A297" s="94" t="n">
        <v>26512</v>
      </c>
      <c r="B297" t="n">
        <v>4.5</v>
      </c>
      <c r="C297" t="n">
        <v>4.81</v>
      </c>
      <c r="D297" t="n">
        <v>768.7</v>
      </c>
    </row>
    <row r="298">
      <c r="A298" s="94" t="n">
        <v>26543</v>
      </c>
      <c r="B298" t="n">
        <v>4.5</v>
      </c>
      <c r="C298" t="n">
        <v>4.87</v>
      </c>
      <c r="D298" t="n">
        <v>778.3</v>
      </c>
    </row>
    <row r="299">
      <c r="A299" s="94" t="n">
        <v>26573</v>
      </c>
      <c r="B299" t="n">
        <v>4.5</v>
      </c>
      <c r="C299" t="n">
        <v>5.05</v>
      </c>
      <c r="D299" t="n">
        <v>786.9</v>
      </c>
    </row>
    <row r="300">
      <c r="A300" s="94" t="n">
        <v>26604</v>
      </c>
      <c r="B300" t="n">
        <v>4.5</v>
      </c>
      <c r="C300" t="n">
        <v>5.06</v>
      </c>
      <c r="D300" t="n">
        <v>793.9</v>
      </c>
    </row>
    <row r="301">
      <c r="A301" s="94" t="n">
        <v>26634</v>
      </c>
      <c r="B301" t="n">
        <v>4.5</v>
      </c>
      <c r="C301" t="n">
        <v>5.33</v>
      </c>
      <c r="D301" t="n">
        <v>802.3</v>
      </c>
    </row>
    <row r="302">
      <c r="A302" s="94" t="n">
        <v>26665</v>
      </c>
      <c r="B302" t="n">
        <v>4.77</v>
      </c>
      <c r="C302" t="n">
        <v>5.94</v>
      </c>
      <c r="D302" t="n">
        <v>810.3</v>
      </c>
    </row>
    <row r="303">
      <c r="A303" s="94" t="n">
        <v>26696</v>
      </c>
      <c r="B303" t="n">
        <v>5.05</v>
      </c>
      <c r="C303" t="n">
        <v>6.58</v>
      </c>
      <c r="D303" t="n">
        <v>814.1</v>
      </c>
    </row>
    <row r="304">
      <c r="A304" s="94" t="n">
        <v>26724</v>
      </c>
      <c r="B304" t="n">
        <v>5.5</v>
      </c>
      <c r="C304" t="n">
        <v>7.09</v>
      </c>
      <c r="D304" t="n">
        <v>815.3</v>
      </c>
    </row>
    <row r="305">
      <c r="A305" s="94" t="n">
        <v>26755</v>
      </c>
      <c r="B305" t="n">
        <v>5.5</v>
      </c>
      <c r="C305" t="n">
        <v>7.12</v>
      </c>
      <c r="D305" t="n">
        <v>819.7</v>
      </c>
    </row>
    <row r="306">
      <c r="A306" s="94" t="n">
        <v>26785</v>
      </c>
      <c r="B306" t="n">
        <v>5.9</v>
      </c>
      <c r="C306" t="n">
        <v>7.84</v>
      </c>
      <c r="D306" t="n">
        <v>826.8</v>
      </c>
    </row>
    <row r="307">
      <c r="A307" s="94" t="n">
        <v>26816</v>
      </c>
      <c r="B307" t="n">
        <v>6.33</v>
      </c>
      <c r="C307" t="n">
        <v>8.49</v>
      </c>
      <c r="D307" t="n">
        <v>833.3</v>
      </c>
    </row>
    <row r="308">
      <c r="A308" s="94" t="n">
        <v>26846</v>
      </c>
      <c r="B308" t="n">
        <v>6.98</v>
      </c>
      <c r="C308" t="n">
        <v>10.4</v>
      </c>
      <c r="D308" t="n">
        <v>836.5</v>
      </c>
    </row>
    <row r="309">
      <c r="A309" s="94" t="n">
        <v>26877</v>
      </c>
      <c r="B309" t="n">
        <v>7.29</v>
      </c>
      <c r="C309" t="n">
        <v>10.5</v>
      </c>
      <c r="D309" t="n">
        <v>838.8</v>
      </c>
    </row>
    <row r="310">
      <c r="A310" s="94" t="n">
        <v>26908</v>
      </c>
      <c r="B310" t="n">
        <v>7.5</v>
      </c>
      <c r="C310" t="n">
        <v>10.78</v>
      </c>
      <c r="D310" t="n">
        <v>839.3</v>
      </c>
    </row>
    <row r="311">
      <c r="A311" s="94" t="n">
        <v>26938</v>
      </c>
      <c r="B311" t="n">
        <v>7.5</v>
      </c>
      <c r="C311" t="n">
        <v>10.01</v>
      </c>
      <c r="D311" t="n">
        <v>842.6</v>
      </c>
    </row>
    <row r="312">
      <c r="A312" s="94" t="n">
        <v>26969</v>
      </c>
      <c r="B312" t="n">
        <v>7.5</v>
      </c>
      <c r="C312" t="n">
        <v>10.03</v>
      </c>
      <c r="D312" t="n">
        <v>848.9</v>
      </c>
    </row>
    <row r="313">
      <c r="A313" s="94" t="n">
        <v>26999</v>
      </c>
      <c r="B313" t="n">
        <v>7.5</v>
      </c>
      <c r="C313" t="n">
        <v>9.949999999999999</v>
      </c>
      <c r="D313" t="n">
        <v>855.5</v>
      </c>
    </row>
    <row r="314">
      <c r="A314" s="94" t="n">
        <v>27030</v>
      </c>
      <c r="B314" t="n">
        <v>7.5</v>
      </c>
      <c r="C314" t="n">
        <v>9.65</v>
      </c>
      <c r="D314" t="n">
        <v>859.7</v>
      </c>
    </row>
    <row r="315">
      <c r="A315" s="94" t="n">
        <v>27061</v>
      </c>
      <c r="B315" t="n">
        <v>7.5</v>
      </c>
      <c r="C315" t="n">
        <v>8.970000000000001</v>
      </c>
      <c r="D315" t="n">
        <v>864.2</v>
      </c>
    </row>
    <row r="316">
      <c r="A316" s="94" t="n">
        <v>27089</v>
      </c>
      <c r="B316" t="n">
        <v>7.5</v>
      </c>
      <c r="C316" t="n">
        <v>9.35</v>
      </c>
      <c r="D316" t="n">
        <v>870.1</v>
      </c>
    </row>
    <row r="317">
      <c r="A317" s="94" t="n">
        <v>27120</v>
      </c>
      <c r="B317" t="n">
        <v>7.6</v>
      </c>
      <c r="C317" t="n">
        <v>10.51</v>
      </c>
      <c r="D317" t="n">
        <v>872.9</v>
      </c>
    </row>
    <row r="318">
      <c r="A318" s="94" t="n">
        <v>27150</v>
      </c>
      <c r="B318" t="n">
        <v>8</v>
      </c>
      <c r="C318" t="n">
        <v>11.31</v>
      </c>
      <c r="D318" t="n">
        <v>874.6</v>
      </c>
    </row>
    <row r="319">
      <c r="A319" s="94" t="n">
        <v>27181</v>
      </c>
      <c r="B319" t="n">
        <v>8</v>
      </c>
      <c r="C319" t="n">
        <v>11.93</v>
      </c>
      <c r="D319" t="n">
        <v>877.8</v>
      </c>
    </row>
    <row r="320">
      <c r="A320" s="94" t="n">
        <v>27211</v>
      </c>
      <c r="B320" t="n">
        <v>8</v>
      </c>
      <c r="C320" t="n">
        <v>12.92</v>
      </c>
      <c r="D320" t="n">
        <v>881.4</v>
      </c>
    </row>
    <row r="321">
      <c r="A321" s="94" t="n">
        <v>27242</v>
      </c>
      <c r="B321" t="n">
        <v>8</v>
      </c>
      <c r="C321" t="n">
        <v>12.01</v>
      </c>
      <c r="D321" t="n">
        <v>884.1</v>
      </c>
    </row>
    <row r="322">
      <c r="A322" s="94" t="n">
        <v>27273</v>
      </c>
      <c r="B322" t="n">
        <v>8</v>
      </c>
      <c r="C322" t="n">
        <v>11.34</v>
      </c>
      <c r="D322" t="n">
        <v>887.9</v>
      </c>
    </row>
    <row r="323">
      <c r="A323" s="94" t="n">
        <v>27303</v>
      </c>
      <c r="B323" t="n">
        <v>8</v>
      </c>
      <c r="C323" t="n">
        <v>10.06</v>
      </c>
      <c r="D323" t="n">
        <v>893.3</v>
      </c>
    </row>
    <row r="324">
      <c r="A324" s="94" t="n">
        <v>27334</v>
      </c>
      <c r="B324" t="n">
        <v>8</v>
      </c>
      <c r="C324" t="n">
        <v>9.449999999999999</v>
      </c>
      <c r="D324" t="n">
        <v>898.6</v>
      </c>
    </row>
    <row r="325">
      <c r="A325" s="94" t="n">
        <v>27364</v>
      </c>
      <c r="B325" t="n">
        <v>7.81</v>
      </c>
      <c r="C325" t="n">
        <v>8.529999999999999</v>
      </c>
      <c r="D325" t="n">
        <v>902.1</v>
      </c>
    </row>
    <row r="326">
      <c r="A326" s="94" t="n">
        <v>27395</v>
      </c>
      <c r="B326" t="n">
        <v>7.4</v>
      </c>
      <c r="C326" t="n">
        <v>7.13</v>
      </c>
      <c r="D326" t="n">
        <v>906.3</v>
      </c>
    </row>
    <row r="327">
      <c r="A327" s="94" t="n">
        <v>27426</v>
      </c>
      <c r="B327" t="n">
        <v>6.82</v>
      </c>
      <c r="C327" t="n">
        <v>6.24</v>
      </c>
      <c r="D327" t="n">
        <v>914.1</v>
      </c>
    </row>
    <row r="328">
      <c r="A328" s="94" t="n">
        <v>27454</v>
      </c>
      <c r="B328" t="n">
        <v>6.4</v>
      </c>
      <c r="C328" t="n">
        <v>5.54</v>
      </c>
      <c r="D328" t="n">
        <v>925</v>
      </c>
    </row>
    <row r="329">
      <c r="A329" s="94" t="n">
        <v>27485</v>
      </c>
      <c r="B329" t="n">
        <v>6.25</v>
      </c>
      <c r="C329" t="n">
        <v>5.49</v>
      </c>
      <c r="D329" t="n">
        <v>935.1</v>
      </c>
    </row>
    <row r="330">
      <c r="A330" s="94" t="n">
        <v>27515</v>
      </c>
      <c r="B330" t="n">
        <v>6.12</v>
      </c>
      <c r="C330" t="n">
        <v>5.22</v>
      </c>
      <c r="D330" t="n">
        <v>947.9</v>
      </c>
    </row>
    <row r="331">
      <c r="A331" s="94" t="n">
        <v>27546</v>
      </c>
      <c r="B331" t="n">
        <v>6</v>
      </c>
      <c r="C331" t="n">
        <v>5.55</v>
      </c>
      <c r="D331" t="n">
        <v>963</v>
      </c>
    </row>
    <row r="332">
      <c r="A332" s="94" t="n">
        <v>27576</v>
      </c>
      <c r="B332" t="n">
        <v>6</v>
      </c>
      <c r="C332" t="n">
        <v>6.1</v>
      </c>
      <c r="D332" t="n">
        <v>975.1</v>
      </c>
    </row>
    <row r="333">
      <c r="A333" s="94" t="n">
        <v>27607</v>
      </c>
      <c r="B333" t="n">
        <v>6</v>
      </c>
      <c r="C333" t="n">
        <v>6.14</v>
      </c>
      <c r="D333" t="n">
        <v>983.1</v>
      </c>
    </row>
    <row r="334">
      <c r="A334" s="94" t="n">
        <v>27638</v>
      </c>
      <c r="B334" t="n">
        <v>6</v>
      </c>
      <c r="C334" t="n">
        <v>6.24</v>
      </c>
      <c r="D334" t="n">
        <v>991.5</v>
      </c>
    </row>
    <row r="335">
      <c r="A335" s="94" t="n">
        <v>27668</v>
      </c>
      <c r="B335" t="n">
        <v>6</v>
      </c>
      <c r="C335" t="n">
        <v>5.82</v>
      </c>
      <c r="D335" t="n">
        <v>997.8</v>
      </c>
    </row>
    <row r="336">
      <c r="A336" s="94" t="n">
        <v>27699</v>
      </c>
      <c r="B336" t="n">
        <v>6</v>
      </c>
      <c r="C336" t="n">
        <v>5.22</v>
      </c>
      <c r="D336" t="n">
        <v>1006.9</v>
      </c>
    </row>
    <row r="337">
      <c r="A337" s="94" t="n">
        <v>27729</v>
      </c>
      <c r="B337" t="n">
        <v>6</v>
      </c>
      <c r="C337" t="n">
        <v>5.2</v>
      </c>
      <c r="D337" t="n">
        <v>1016.2</v>
      </c>
    </row>
    <row r="338">
      <c r="A338" s="94" t="n">
        <v>27760</v>
      </c>
      <c r="B338" t="n">
        <v>5.79</v>
      </c>
      <c r="C338" t="n">
        <v>4.87</v>
      </c>
      <c r="D338" t="n">
        <v>1026.6</v>
      </c>
    </row>
    <row r="339">
      <c r="A339" s="94" t="n">
        <v>27791</v>
      </c>
      <c r="B339" t="n">
        <v>5.5</v>
      </c>
      <c r="C339" t="n">
        <v>4.77</v>
      </c>
      <c r="D339" t="n">
        <v>1040.3</v>
      </c>
    </row>
    <row r="340">
      <c r="A340" s="94" t="n">
        <v>27820</v>
      </c>
      <c r="B340" t="n">
        <v>5.5</v>
      </c>
      <c r="C340" t="n">
        <v>4.84</v>
      </c>
      <c r="D340" t="n">
        <v>1050</v>
      </c>
    </row>
    <row r="341">
      <c r="A341" s="94" t="n">
        <v>27851</v>
      </c>
      <c r="B341" t="n">
        <v>5.5</v>
      </c>
      <c r="C341" t="n">
        <v>4.82</v>
      </c>
      <c r="D341" t="n">
        <v>1060.8</v>
      </c>
    </row>
    <row r="342">
      <c r="A342" s="94" t="n">
        <v>27881</v>
      </c>
      <c r="B342" t="n">
        <v>5.5</v>
      </c>
      <c r="C342" t="n">
        <v>5.29</v>
      </c>
      <c r="D342" t="n">
        <v>1072.1</v>
      </c>
    </row>
    <row r="343">
      <c r="A343" s="94" t="n">
        <v>27912</v>
      </c>
      <c r="B343" t="n">
        <v>5.5</v>
      </c>
      <c r="C343" t="n">
        <v>5.48</v>
      </c>
      <c r="D343" t="n">
        <v>1077.6</v>
      </c>
    </row>
    <row r="344">
      <c r="A344" s="94" t="n">
        <v>27942</v>
      </c>
      <c r="B344" t="n">
        <v>5.5</v>
      </c>
      <c r="C344" t="n">
        <v>5.31</v>
      </c>
      <c r="D344" t="n">
        <v>1086.3</v>
      </c>
    </row>
    <row r="345">
      <c r="A345" s="94" t="n">
        <v>27973</v>
      </c>
      <c r="B345" t="n">
        <v>5.5</v>
      </c>
      <c r="C345" t="n">
        <v>5.29</v>
      </c>
      <c r="D345" t="n">
        <v>1098.7</v>
      </c>
    </row>
    <row r="346">
      <c r="A346" s="94" t="n">
        <v>28004</v>
      </c>
      <c r="B346" t="n">
        <v>5.5</v>
      </c>
      <c r="C346" t="n">
        <v>5.25</v>
      </c>
      <c r="D346" t="n">
        <v>1110.8</v>
      </c>
    </row>
    <row r="347">
      <c r="A347" s="94" t="n">
        <v>28034</v>
      </c>
      <c r="B347" t="n">
        <v>5.5</v>
      </c>
      <c r="C347" t="n">
        <v>5.02</v>
      </c>
      <c r="D347" t="n">
        <v>1125</v>
      </c>
    </row>
    <row r="348">
      <c r="A348" s="94" t="n">
        <v>28065</v>
      </c>
      <c r="B348" t="n">
        <v>5.43</v>
      </c>
      <c r="C348" t="n">
        <v>4.95</v>
      </c>
      <c r="D348" t="n">
        <v>1138.2</v>
      </c>
    </row>
    <row r="349">
      <c r="A349" s="94" t="n">
        <v>28095</v>
      </c>
      <c r="B349" t="n">
        <v>5.25</v>
      </c>
      <c r="C349" t="n">
        <v>4.65</v>
      </c>
      <c r="D349" t="n">
        <v>1152</v>
      </c>
    </row>
    <row r="350">
      <c r="A350" s="94" t="n">
        <v>28126</v>
      </c>
      <c r="B350" t="n">
        <v>5.25</v>
      </c>
      <c r="C350" t="n">
        <v>4.61</v>
      </c>
      <c r="D350" t="n">
        <v>1165.2</v>
      </c>
    </row>
    <row r="351">
      <c r="A351" s="94" t="n">
        <v>28157</v>
      </c>
      <c r="B351" t="n">
        <v>5.25</v>
      </c>
      <c r="C351" t="n">
        <v>4.68</v>
      </c>
      <c r="D351" t="n">
        <v>1177.6</v>
      </c>
    </row>
    <row r="352">
      <c r="A352" s="94" t="n">
        <v>28185</v>
      </c>
      <c r="B352" t="n">
        <v>5.25</v>
      </c>
      <c r="C352" t="n">
        <v>4.69</v>
      </c>
      <c r="D352" t="n">
        <v>1188.5</v>
      </c>
    </row>
    <row r="353">
      <c r="A353" s="94" t="n">
        <v>28216</v>
      </c>
      <c r="B353" t="n">
        <v>5.25</v>
      </c>
      <c r="C353" t="n">
        <v>4.73</v>
      </c>
      <c r="D353" t="n">
        <v>1199.6</v>
      </c>
    </row>
    <row r="354">
      <c r="A354" s="94" t="n">
        <v>28246</v>
      </c>
      <c r="B354" t="n">
        <v>5.25</v>
      </c>
      <c r="C354" t="n">
        <v>5.35</v>
      </c>
      <c r="D354" t="n">
        <v>1209</v>
      </c>
    </row>
    <row r="355">
      <c r="A355" s="94" t="n">
        <v>28277</v>
      </c>
      <c r="B355" t="n">
        <v>5.25</v>
      </c>
      <c r="C355" t="n">
        <v>5.39</v>
      </c>
      <c r="D355" t="n">
        <v>1217.8</v>
      </c>
    </row>
    <row r="356">
      <c r="A356" s="94" t="n">
        <v>28307</v>
      </c>
      <c r="B356" t="n">
        <v>5.25</v>
      </c>
      <c r="C356" t="n">
        <v>5.42</v>
      </c>
      <c r="D356" t="n">
        <v>1226.7</v>
      </c>
    </row>
    <row r="357">
      <c r="A357" s="94" t="n">
        <v>28338</v>
      </c>
      <c r="B357" t="n">
        <v>5.27</v>
      </c>
      <c r="C357" t="n">
        <v>5.9</v>
      </c>
      <c r="D357" t="n">
        <v>1237</v>
      </c>
    </row>
    <row r="358">
      <c r="A358" s="94" t="n">
        <v>28369</v>
      </c>
      <c r="B358" t="n">
        <v>5.75</v>
      </c>
      <c r="C358" t="n">
        <v>6.14</v>
      </c>
      <c r="D358" t="n">
        <v>1246.2</v>
      </c>
    </row>
    <row r="359">
      <c r="A359" s="94" t="n">
        <v>28399</v>
      </c>
      <c r="B359" t="n">
        <v>5.8</v>
      </c>
      <c r="C359" t="n">
        <v>6.47</v>
      </c>
      <c r="D359" t="n">
        <v>1254</v>
      </c>
    </row>
    <row r="360">
      <c r="A360" s="94" t="n">
        <v>28430</v>
      </c>
      <c r="B360" t="n">
        <v>6</v>
      </c>
      <c r="C360" t="n">
        <v>6.51</v>
      </c>
      <c r="D360" t="n">
        <v>1262.4</v>
      </c>
    </row>
    <row r="361">
      <c r="A361" s="94" t="n">
        <v>28460</v>
      </c>
      <c r="B361" t="n">
        <v>6</v>
      </c>
      <c r="C361" t="n">
        <v>6.56</v>
      </c>
      <c r="D361" t="n">
        <v>1270.3</v>
      </c>
    </row>
    <row r="362">
      <c r="A362" s="94" t="n">
        <v>28491</v>
      </c>
      <c r="B362" t="n">
        <v>6.37</v>
      </c>
      <c r="C362" t="n">
        <v>6.7</v>
      </c>
      <c r="D362" t="n">
        <v>1279.7</v>
      </c>
    </row>
    <row r="363">
      <c r="A363" s="94" t="n">
        <v>28522</v>
      </c>
      <c r="B363" t="n">
        <v>6.5</v>
      </c>
      <c r="C363" t="n">
        <v>6.78</v>
      </c>
      <c r="D363" t="n">
        <v>1285.5</v>
      </c>
    </row>
    <row r="364">
      <c r="A364" s="94" t="n">
        <v>28550</v>
      </c>
      <c r="B364" t="n">
        <v>6.5</v>
      </c>
      <c r="C364" t="n">
        <v>6.79</v>
      </c>
      <c r="D364" t="n">
        <v>1292.2</v>
      </c>
    </row>
    <row r="365">
      <c r="A365" s="94" t="n">
        <v>28581</v>
      </c>
      <c r="B365" t="n">
        <v>6.5</v>
      </c>
      <c r="C365" t="n">
        <v>6.89</v>
      </c>
      <c r="D365" t="n">
        <v>1300.4</v>
      </c>
    </row>
    <row r="366">
      <c r="A366" s="94" t="n">
        <v>28611</v>
      </c>
      <c r="B366" t="n">
        <v>6.84</v>
      </c>
      <c r="C366" t="n">
        <v>7.36</v>
      </c>
      <c r="D366" t="n">
        <v>1310.5</v>
      </c>
    </row>
    <row r="367">
      <c r="A367" s="94" t="n">
        <v>28642</v>
      </c>
      <c r="B367" t="n">
        <v>7</v>
      </c>
      <c r="C367" t="n">
        <v>7.6</v>
      </c>
      <c r="D367" t="n">
        <v>1318.5</v>
      </c>
    </row>
    <row r="368">
      <c r="A368" s="94" t="n">
        <v>28672</v>
      </c>
      <c r="B368" t="n">
        <v>7.23</v>
      </c>
      <c r="C368" t="n">
        <v>7.81</v>
      </c>
      <c r="D368" t="n">
        <v>1324.1</v>
      </c>
    </row>
    <row r="369">
      <c r="A369" s="94" t="n">
        <v>28703</v>
      </c>
      <c r="B369" t="n">
        <v>7.43</v>
      </c>
      <c r="C369" t="n">
        <v>8.039999999999999</v>
      </c>
      <c r="D369" t="n">
        <v>1333.5</v>
      </c>
    </row>
    <row r="370">
      <c r="A370" s="94" t="n">
        <v>28734</v>
      </c>
      <c r="B370" t="n">
        <v>7.83</v>
      </c>
      <c r="C370" t="n">
        <v>8.449999999999999</v>
      </c>
      <c r="D370" t="n">
        <v>1345</v>
      </c>
    </row>
    <row r="371">
      <c r="A371" s="94" t="n">
        <v>28764</v>
      </c>
      <c r="B371" t="n">
        <v>8.26</v>
      </c>
      <c r="C371" t="n">
        <v>8.960000000000001</v>
      </c>
      <c r="D371" t="n">
        <v>1352.3</v>
      </c>
    </row>
    <row r="372">
      <c r="A372" s="94" t="n">
        <v>28795</v>
      </c>
      <c r="B372" t="n">
        <v>9.5</v>
      </c>
      <c r="C372" t="n">
        <v>9.76</v>
      </c>
      <c r="D372" t="n">
        <v>1359.1</v>
      </c>
    </row>
    <row r="373">
      <c r="A373" s="94" t="n">
        <v>28825</v>
      </c>
      <c r="B373" t="n">
        <v>9.5</v>
      </c>
      <c r="C373" t="n">
        <v>10.03</v>
      </c>
      <c r="D373" t="n">
        <v>1366</v>
      </c>
    </row>
    <row r="374">
      <c r="A374" s="94" t="n">
        <v>28856</v>
      </c>
      <c r="B374" t="n">
        <v>9.5</v>
      </c>
      <c r="C374" t="n">
        <v>10.07</v>
      </c>
      <c r="D374" t="n">
        <v>1371.6</v>
      </c>
    </row>
    <row r="375">
      <c r="A375" s="94" t="n">
        <v>28887</v>
      </c>
      <c r="B375" t="n">
        <v>9.5</v>
      </c>
      <c r="C375" t="n">
        <v>10.06</v>
      </c>
      <c r="D375" t="n">
        <v>1377.8</v>
      </c>
    </row>
    <row r="376">
      <c r="A376" s="94" t="n">
        <v>28915</v>
      </c>
      <c r="B376" t="n">
        <v>9.5</v>
      </c>
      <c r="C376" t="n">
        <v>10.09</v>
      </c>
      <c r="D376" t="n">
        <v>1387.8</v>
      </c>
    </row>
    <row r="377">
      <c r="A377" s="94" t="n">
        <v>28946</v>
      </c>
      <c r="B377" t="n">
        <v>9.5</v>
      </c>
      <c r="C377" t="n">
        <v>10.01</v>
      </c>
      <c r="D377" t="n">
        <v>1402.1</v>
      </c>
    </row>
    <row r="378">
      <c r="A378" s="94" t="n">
        <v>28976</v>
      </c>
      <c r="B378" t="n">
        <v>9.5</v>
      </c>
      <c r="C378" t="n">
        <v>10.24</v>
      </c>
      <c r="D378" t="n">
        <v>1410.2</v>
      </c>
    </row>
    <row r="379">
      <c r="A379" s="94" t="n">
        <v>29007</v>
      </c>
      <c r="B379" t="n">
        <v>9.5</v>
      </c>
      <c r="C379" t="n">
        <v>10.29</v>
      </c>
      <c r="D379" t="n">
        <v>1423</v>
      </c>
    </row>
    <row r="380">
      <c r="A380" s="94" t="n">
        <v>29037</v>
      </c>
      <c r="B380" t="n">
        <v>9.69</v>
      </c>
      <c r="C380" t="n">
        <v>10.47</v>
      </c>
      <c r="D380" t="n">
        <v>1434.8</v>
      </c>
    </row>
    <row r="381">
      <c r="A381" s="94" t="n">
        <v>29068</v>
      </c>
      <c r="B381" t="n">
        <v>10.24</v>
      </c>
      <c r="C381" t="n">
        <v>10.94</v>
      </c>
      <c r="D381" t="n">
        <v>1446.6</v>
      </c>
    </row>
    <row r="382">
      <c r="A382" s="94" t="n">
        <v>29099</v>
      </c>
      <c r="B382" t="n">
        <v>10.7</v>
      </c>
      <c r="C382" t="n">
        <v>11.43</v>
      </c>
      <c r="D382" t="n">
        <v>1454.1</v>
      </c>
    </row>
    <row r="383">
      <c r="A383" s="94" t="n">
        <v>29129</v>
      </c>
      <c r="B383" t="n">
        <v>11.77</v>
      </c>
      <c r="C383" t="n">
        <v>13.77</v>
      </c>
      <c r="D383" t="n">
        <v>1460.4</v>
      </c>
    </row>
    <row r="384">
      <c r="A384" s="94" t="n">
        <v>29160</v>
      </c>
      <c r="B384" t="n">
        <v>12</v>
      </c>
      <c r="C384" t="n">
        <v>13.18</v>
      </c>
      <c r="D384" t="n">
        <v>1465.9</v>
      </c>
    </row>
    <row r="385">
      <c r="A385" s="94" t="n">
        <v>29190</v>
      </c>
      <c r="B385" t="n">
        <v>12</v>
      </c>
      <c r="C385" t="n">
        <v>13.78</v>
      </c>
      <c r="D385" t="n">
        <v>1473.7</v>
      </c>
    </row>
    <row r="386">
      <c r="A386" s="94" t="n">
        <v>29221</v>
      </c>
      <c r="B386" t="n">
        <v>12</v>
      </c>
      <c r="C386" t="n">
        <v>13.82</v>
      </c>
      <c r="D386" t="n">
        <v>1482.7</v>
      </c>
    </row>
    <row r="387">
      <c r="A387" s="94" t="n">
        <v>29252</v>
      </c>
      <c r="B387" t="n">
        <v>12.52</v>
      </c>
      <c r="C387" t="n">
        <v>14.13</v>
      </c>
      <c r="D387" t="n">
        <v>1494.6</v>
      </c>
    </row>
    <row r="388">
      <c r="A388" s="94" t="n">
        <v>29281</v>
      </c>
      <c r="B388" t="n">
        <v>13</v>
      </c>
      <c r="C388" t="n">
        <v>17.19</v>
      </c>
      <c r="D388" t="n">
        <v>1499.8</v>
      </c>
    </row>
    <row r="389">
      <c r="A389" s="94" t="n">
        <v>29312</v>
      </c>
      <c r="B389" t="n">
        <v>13</v>
      </c>
      <c r="C389" t="n">
        <v>17.61</v>
      </c>
      <c r="D389" t="n">
        <v>1502.2</v>
      </c>
    </row>
    <row r="390">
      <c r="A390" s="94" t="n">
        <v>29342</v>
      </c>
      <c r="B390" t="n">
        <v>12.94</v>
      </c>
      <c r="C390" t="n">
        <v>10.98</v>
      </c>
      <c r="D390" t="n">
        <v>1512.3</v>
      </c>
    </row>
    <row r="391">
      <c r="A391" s="94" t="n">
        <v>29373</v>
      </c>
      <c r="B391" t="n">
        <v>11.4</v>
      </c>
      <c r="C391" t="n">
        <v>9.470000000000001</v>
      </c>
      <c r="D391" t="n">
        <v>1529.2</v>
      </c>
    </row>
    <row r="392">
      <c r="A392" s="94" t="n">
        <v>29403</v>
      </c>
      <c r="B392" t="n">
        <v>10.87</v>
      </c>
      <c r="C392" t="n">
        <v>9.029999999999999</v>
      </c>
      <c r="D392" t="n">
        <v>1545.5</v>
      </c>
    </row>
    <row r="393">
      <c r="A393" s="94" t="n">
        <v>29434</v>
      </c>
      <c r="B393" t="n">
        <v>10</v>
      </c>
      <c r="C393" t="n">
        <v>9.609999999999999</v>
      </c>
      <c r="D393" t="n">
        <v>1561.5</v>
      </c>
    </row>
    <row r="394">
      <c r="A394" s="94" t="n">
        <v>29465</v>
      </c>
      <c r="B394" t="n">
        <v>10.17</v>
      </c>
      <c r="C394" t="n">
        <v>10.87</v>
      </c>
      <c r="D394" t="n">
        <v>1574</v>
      </c>
    </row>
    <row r="395">
      <c r="A395" s="94" t="n">
        <v>29495</v>
      </c>
      <c r="B395" t="n">
        <v>11</v>
      </c>
      <c r="C395" t="n">
        <v>12.81</v>
      </c>
      <c r="D395" t="n">
        <v>1584.8</v>
      </c>
    </row>
    <row r="396">
      <c r="A396" s="94" t="n">
        <v>29526</v>
      </c>
      <c r="B396" t="n">
        <v>11.47</v>
      </c>
      <c r="C396" t="n">
        <v>15.85</v>
      </c>
      <c r="D396" t="n">
        <v>1595.8</v>
      </c>
    </row>
    <row r="397">
      <c r="A397" s="94" t="n">
        <v>29556</v>
      </c>
      <c r="B397" t="n">
        <v>12.87</v>
      </c>
      <c r="C397" t="n">
        <v>18.9</v>
      </c>
      <c r="D397" t="n">
        <v>1599.8</v>
      </c>
    </row>
    <row r="398">
      <c r="A398" s="94" t="n">
        <v>29587</v>
      </c>
      <c r="B398" t="n">
        <v>13</v>
      </c>
      <c r="C398" t="n">
        <v>19.08</v>
      </c>
      <c r="D398" t="n">
        <v>1606.9</v>
      </c>
    </row>
    <row r="399">
      <c r="A399" s="94" t="n">
        <v>29618</v>
      </c>
      <c r="B399" t="n">
        <v>13</v>
      </c>
      <c r="C399" t="n">
        <v>15.93</v>
      </c>
      <c r="D399" t="n">
        <v>1618.7</v>
      </c>
    </row>
    <row r="400">
      <c r="A400" s="94" t="n">
        <v>29646</v>
      </c>
      <c r="B400" t="n">
        <v>13</v>
      </c>
      <c r="C400" t="n">
        <v>14.7</v>
      </c>
      <c r="D400" t="n">
        <v>1636.6</v>
      </c>
    </row>
    <row r="401">
      <c r="A401" s="94" t="n">
        <v>29677</v>
      </c>
      <c r="B401" t="n">
        <v>13</v>
      </c>
      <c r="C401" t="n">
        <v>15.72</v>
      </c>
      <c r="D401" t="n">
        <v>1659.2</v>
      </c>
    </row>
    <row r="402">
      <c r="A402" s="94" t="n">
        <v>29707</v>
      </c>
      <c r="B402" t="n">
        <v>13.87</v>
      </c>
      <c r="C402" t="n">
        <v>18.52</v>
      </c>
      <c r="D402" t="n">
        <v>1664.2</v>
      </c>
    </row>
    <row r="403">
      <c r="A403" s="94" t="n">
        <v>29738</v>
      </c>
      <c r="B403" t="n">
        <v>14</v>
      </c>
      <c r="C403" t="n">
        <v>19.1</v>
      </c>
      <c r="D403" t="n">
        <v>1670.3</v>
      </c>
    </row>
    <row r="404">
      <c r="A404" s="94" t="n">
        <v>29768</v>
      </c>
      <c r="B404" t="n">
        <v>14</v>
      </c>
      <c r="C404" t="n">
        <v>19.04</v>
      </c>
      <c r="D404" t="n">
        <v>1681.9</v>
      </c>
    </row>
    <row r="405">
      <c r="A405" s="94" t="n">
        <v>29799</v>
      </c>
      <c r="B405" t="n">
        <v>14</v>
      </c>
      <c r="C405" t="n">
        <v>17.82</v>
      </c>
      <c r="D405" t="n">
        <v>1694.3</v>
      </c>
    </row>
    <row r="406">
      <c r="A406" s="94" t="n">
        <v>29830</v>
      </c>
      <c r="B406" t="n">
        <v>14</v>
      </c>
      <c r="C406" t="n">
        <v>15.87</v>
      </c>
      <c r="D406" t="n">
        <v>1706</v>
      </c>
    </row>
    <row r="407">
      <c r="A407" s="94" t="n">
        <v>29860</v>
      </c>
      <c r="B407" t="n">
        <v>14</v>
      </c>
      <c r="C407" t="n">
        <v>15.08</v>
      </c>
      <c r="D407" t="n">
        <v>1721.8</v>
      </c>
    </row>
    <row r="408">
      <c r="A408" s="94" t="n">
        <v>29891</v>
      </c>
      <c r="B408" t="n">
        <v>13.03</v>
      </c>
      <c r="C408" t="n">
        <v>13.31</v>
      </c>
      <c r="D408" t="n">
        <v>1736.1</v>
      </c>
    </row>
    <row r="409">
      <c r="A409" s="94" t="n">
        <v>29921</v>
      </c>
      <c r="B409" t="n">
        <v>12.1</v>
      </c>
      <c r="C409" t="n">
        <v>12.37</v>
      </c>
      <c r="D409" t="n">
        <v>1755.5</v>
      </c>
    </row>
    <row r="410">
      <c r="A410" s="94" t="n">
        <v>29952</v>
      </c>
      <c r="B410" t="n">
        <v>12</v>
      </c>
      <c r="C410" t="n">
        <v>13.22</v>
      </c>
      <c r="D410" t="n">
        <v>1770.4</v>
      </c>
    </row>
    <row r="411">
      <c r="A411" s="94" t="n">
        <v>29983</v>
      </c>
      <c r="B411" t="n">
        <v>12</v>
      </c>
      <c r="C411" t="n">
        <v>14.78</v>
      </c>
      <c r="D411" t="n">
        <v>1774.5</v>
      </c>
    </row>
    <row r="412">
      <c r="A412" s="94" t="n">
        <v>30011</v>
      </c>
      <c r="B412" t="n">
        <v>12</v>
      </c>
      <c r="C412" t="n">
        <v>14.68</v>
      </c>
      <c r="D412" t="n">
        <v>1786.5</v>
      </c>
    </row>
    <row r="413">
      <c r="A413" s="94" t="n">
        <v>30042</v>
      </c>
      <c r="B413" t="n">
        <v>12</v>
      </c>
      <c r="C413" t="n">
        <v>14.94</v>
      </c>
      <c r="D413" t="n">
        <v>1803.9</v>
      </c>
    </row>
    <row r="414">
      <c r="A414" s="94" t="n">
        <v>30072</v>
      </c>
      <c r="B414" t="n">
        <v>12</v>
      </c>
      <c r="C414" t="n">
        <v>14.45</v>
      </c>
      <c r="D414" t="n">
        <v>1815.4</v>
      </c>
    </row>
    <row r="415">
      <c r="A415" s="94" t="n">
        <v>30103</v>
      </c>
      <c r="B415" t="n">
        <v>12</v>
      </c>
      <c r="C415" t="n">
        <v>14.15</v>
      </c>
      <c r="D415" t="n">
        <v>1826</v>
      </c>
    </row>
    <row r="416">
      <c r="A416" s="94" t="n">
        <v>30133</v>
      </c>
      <c r="B416" t="n">
        <v>11.81</v>
      </c>
      <c r="C416" t="n">
        <v>12.59</v>
      </c>
      <c r="D416" t="n">
        <v>1831.5</v>
      </c>
    </row>
    <row r="417">
      <c r="A417" s="94" t="n">
        <v>30164</v>
      </c>
      <c r="B417" t="n">
        <v>10.68</v>
      </c>
      <c r="C417" t="n">
        <v>10.12</v>
      </c>
      <c r="D417" t="n">
        <v>1845.2</v>
      </c>
    </row>
    <row r="418">
      <c r="A418" s="94" t="n">
        <v>30195</v>
      </c>
      <c r="B418" t="n">
        <v>10</v>
      </c>
      <c r="C418" t="n">
        <v>10.31</v>
      </c>
      <c r="D418" t="n">
        <v>1858.4</v>
      </c>
    </row>
    <row r="419">
      <c r="A419" s="94" t="n">
        <v>30225</v>
      </c>
      <c r="B419" t="n">
        <v>9.68</v>
      </c>
      <c r="C419" t="n">
        <v>9.710000000000001</v>
      </c>
      <c r="D419" t="n">
        <v>1869.7</v>
      </c>
    </row>
    <row r="420">
      <c r="A420" s="94" t="n">
        <v>30256</v>
      </c>
      <c r="B420" t="n">
        <v>9.35</v>
      </c>
      <c r="C420" t="n">
        <v>9.199999999999999</v>
      </c>
      <c r="D420" t="n">
        <v>1883.7</v>
      </c>
    </row>
    <row r="421">
      <c r="A421" s="94" t="n">
        <v>30286</v>
      </c>
      <c r="B421" t="n">
        <v>8.73</v>
      </c>
      <c r="C421" t="n">
        <v>8.949999999999999</v>
      </c>
      <c r="D421" t="n">
        <v>1905.9</v>
      </c>
    </row>
    <row r="422">
      <c r="A422" s="94" t="n">
        <v>30317</v>
      </c>
      <c r="B422" t="n">
        <v>8.5</v>
      </c>
      <c r="C422" t="n">
        <v>8.68</v>
      </c>
      <c r="D422" t="n">
        <v>1959.4</v>
      </c>
    </row>
    <row r="423">
      <c r="A423" s="94" t="n">
        <v>30348</v>
      </c>
      <c r="B423" t="n">
        <v>8.5</v>
      </c>
      <c r="C423" t="n">
        <v>8.51</v>
      </c>
      <c r="D423" t="n">
        <v>1996.8</v>
      </c>
    </row>
    <row r="424">
      <c r="A424" s="94" t="n">
        <v>30376</v>
      </c>
      <c r="B424" t="n">
        <v>8.5</v>
      </c>
      <c r="C424" t="n">
        <v>8.77</v>
      </c>
      <c r="D424" t="n">
        <v>2015.2</v>
      </c>
    </row>
    <row r="425">
      <c r="A425" s="94" t="n">
        <v>30407</v>
      </c>
      <c r="B425" t="n">
        <v>8.5</v>
      </c>
      <c r="C425" t="n">
        <v>8.800000000000001</v>
      </c>
      <c r="D425" t="n">
        <v>2028.6</v>
      </c>
    </row>
    <row r="426">
      <c r="A426" s="94" t="n">
        <v>30437</v>
      </c>
      <c r="B426" t="n">
        <v>8.5</v>
      </c>
      <c r="C426" t="n">
        <v>8.630000000000001</v>
      </c>
      <c r="D426" t="n">
        <v>2043.1</v>
      </c>
    </row>
    <row r="427">
      <c r="A427" s="94" t="n">
        <v>30468</v>
      </c>
      <c r="B427" t="n">
        <v>8.5</v>
      </c>
      <c r="C427" t="n">
        <v>8.98</v>
      </c>
      <c r="D427" t="n">
        <v>2053.5</v>
      </c>
    </row>
    <row r="428">
      <c r="A428" s="94" t="n">
        <v>30498</v>
      </c>
      <c r="B428" t="n">
        <v>8.5</v>
      </c>
      <c r="C428" t="n">
        <v>9.369999999999999</v>
      </c>
      <c r="D428" t="n">
        <v>2064.8</v>
      </c>
    </row>
    <row r="429">
      <c r="A429" s="94" t="n">
        <v>30529</v>
      </c>
      <c r="B429" t="n">
        <v>8.5</v>
      </c>
      <c r="C429" t="n">
        <v>9.56</v>
      </c>
      <c r="D429" t="n">
        <v>2074</v>
      </c>
    </row>
    <row r="430">
      <c r="A430" s="94" t="n">
        <v>30560</v>
      </c>
      <c r="B430" t="n">
        <v>8.5</v>
      </c>
      <c r="C430" t="n">
        <v>9.449999999999999</v>
      </c>
      <c r="D430" t="n">
        <v>2083.2</v>
      </c>
    </row>
    <row r="431">
      <c r="A431" s="94" t="n">
        <v>30590</v>
      </c>
      <c r="B431" t="n">
        <v>8.5</v>
      </c>
      <c r="C431" t="n">
        <v>9.48</v>
      </c>
      <c r="D431" t="n">
        <v>2099.2</v>
      </c>
    </row>
    <row r="432">
      <c r="A432" s="94" t="n">
        <v>30621</v>
      </c>
      <c r="B432" t="n">
        <v>8.5</v>
      </c>
      <c r="C432" t="n">
        <v>9.34</v>
      </c>
      <c r="D432" t="n">
        <v>2112.3</v>
      </c>
    </row>
    <row r="433">
      <c r="A433" s="94" t="n">
        <v>30651</v>
      </c>
      <c r="B433" t="n">
        <v>8.5</v>
      </c>
      <c r="C433" t="n">
        <v>9.470000000000001</v>
      </c>
      <c r="D433" t="n">
        <v>2123.5</v>
      </c>
    </row>
    <row r="434">
      <c r="A434" s="94" t="n">
        <v>30682</v>
      </c>
      <c r="B434" t="n">
        <v>8.5</v>
      </c>
      <c r="C434" t="n">
        <v>9.56</v>
      </c>
      <c r="D434" t="n">
        <v>2138.2</v>
      </c>
    </row>
    <row r="435">
      <c r="A435" s="94" t="n">
        <v>30713</v>
      </c>
      <c r="B435" t="n">
        <v>8.5</v>
      </c>
      <c r="C435" t="n">
        <v>9.59</v>
      </c>
      <c r="D435" t="n">
        <v>2158.2</v>
      </c>
    </row>
    <row r="436">
      <c r="A436" s="94" t="n">
        <v>30742</v>
      </c>
      <c r="B436" t="n">
        <v>8.5</v>
      </c>
      <c r="C436" t="n">
        <v>9.91</v>
      </c>
      <c r="D436" t="n">
        <v>2175.2</v>
      </c>
    </row>
    <row r="437">
      <c r="A437" s="94" t="n">
        <v>30773</v>
      </c>
      <c r="B437" t="n">
        <v>8.869999999999999</v>
      </c>
      <c r="C437" t="n">
        <v>10.29</v>
      </c>
      <c r="D437" t="n">
        <v>2191.7</v>
      </c>
    </row>
    <row r="438">
      <c r="A438" s="94" t="n">
        <v>30803</v>
      </c>
      <c r="B438" t="n">
        <v>9</v>
      </c>
      <c r="C438" t="n">
        <v>10.32</v>
      </c>
      <c r="D438" t="n">
        <v>2204.1</v>
      </c>
    </row>
    <row r="439">
      <c r="A439" s="94" t="n">
        <v>30834</v>
      </c>
      <c r="B439" t="n">
        <v>9</v>
      </c>
      <c r="C439" t="n">
        <v>11.06</v>
      </c>
      <c r="D439" t="n">
        <v>2215.1</v>
      </c>
    </row>
    <row r="440">
      <c r="A440" s="94" t="n">
        <v>30864</v>
      </c>
      <c r="B440" t="n">
        <v>9</v>
      </c>
      <c r="C440" t="n">
        <v>11.23</v>
      </c>
      <c r="D440" t="n">
        <v>2223.5</v>
      </c>
    </row>
    <row r="441">
      <c r="A441" s="94" t="n">
        <v>30895</v>
      </c>
      <c r="B441" t="n">
        <v>9</v>
      </c>
      <c r="C441" t="n">
        <v>11.64</v>
      </c>
      <c r="D441" t="n">
        <v>2230.4</v>
      </c>
    </row>
    <row r="442">
      <c r="A442" s="94" t="n">
        <v>30926</v>
      </c>
      <c r="B442" t="n">
        <v>9</v>
      </c>
      <c r="C442" t="n">
        <v>11.3</v>
      </c>
      <c r="D442" t="n">
        <v>2244.4</v>
      </c>
    </row>
    <row r="443">
      <c r="A443" s="94" t="n">
        <v>30956</v>
      </c>
      <c r="B443" t="n">
        <v>9</v>
      </c>
      <c r="C443" t="n">
        <v>9.99</v>
      </c>
      <c r="D443" t="n">
        <v>2258.9</v>
      </c>
    </row>
    <row r="444">
      <c r="A444" s="94" t="n">
        <v>30987</v>
      </c>
      <c r="B444" t="n">
        <v>8.83</v>
      </c>
      <c r="C444" t="n">
        <v>9.43</v>
      </c>
      <c r="D444" t="n">
        <v>2281.4</v>
      </c>
    </row>
    <row r="445">
      <c r="A445" s="94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94" t="n">
        <v>31048</v>
      </c>
      <c r="B446" t="n">
        <v>8</v>
      </c>
      <c r="C446" t="n">
        <v>8.35</v>
      </c>
      <c r="D446" t="n">
        <v>2332.4</v>
      </c>
    </row>
    <row r="447">
      <c r="A447" s="94" t="n">
        <v>31079</v>
      </c>
      <c r="B447" t="n">
        <v>8</v>
      </c>
      <c r="C447" t="n">
        <v>8.5</v>
      </c>
      <c r="D447" t="n">
        <v>2354.1</v>
      </c>
    </row>
    <row r="448">
      <c r="A448" s="94" t="n">
        <v>31107</v>
      </c>
      <c r="B448" t="n">
        <v>8</v>
      </c>
      <c r="C448" t="n">
        <v>8.58</v>
      </c>
      <c r="D448" t="n">
        <v>2366.2</v>
      </c>
    </row>
    <row r="449">
      <c r="A449" s="94" t="n">
        <v>31138</v>
      </c>
      <c r="B449" t="n">
        <v>8</v>
      </c>
      <c r="C449" t="n">
        <v>8.27</v>
      </c>
      <c r="D449" t="n">
        <v>2375.4</v>
      </c>
    </row>
    <row r="450">
      <c r="A450" s="94" t="n">
        <v>31168</v>
      </c>
      <c r="B450" t="n">
        <v>7.81</v>
      </c>
      <c r="C450" t="n">
        <v>7.97</v>
      </c>
      <c r="D450" t="n">
        <v>2389.5</v>
      </c>
    </row>
    <row r="451">
      <c r="A451" s="94" t="n">
        <v>31199</v>
      </c>
      <c r="B451" t="n">
        <v>7.5</v>
      </c>
      <c r="C451" t="n">
        <v>7.53</v>
      </c>
      <c r="D451" t="n">
        <v>2412.6</v>
      </c>
    </row>
    <row r="452">
      <c r="A452" s="94" t="n">
        <v>31229</v>
      </c>
      <c r="B452" t="n">
        <v>7.5</v>
      </c>
      <c r="C452" t="n">
        <v>7.88</v>
      </c>
      <c r="D452" t="n">
        <v>2429.5</v>
      </c>
    </row>
    <row r="453">
      <c r="A453" s="94" t="n">
        <v>31260</v>
      </c>
      <c r="B453" t="n">
        <v>7.5</v>
      </c>
      <c r="C453" t="n">
        <v>7.9</v>
      </c>
      <c r="D453" t="n">
        <v>2444</v>
      </c>
    </row>
    <row r="454">
      <c r="A454" s="94" t="n">
        <v>31291</v>
      </c>
      <c r="B454" t="n">
        <v>7.5</v>
      </c>
      <c r="C454" t="n">
        <v>7.92</v>
      </c>
      <c r="D454" t="n">
        <v>2456.4</v>
      </c>
    </row>
    <row r="455">
      <c r="A455" s="94" t="n">
        <v>31321</v>
      </c>
      <c r="B455" t="n">
        <v>7.5</v>
      </c>
      <c r="C455" t="n">
        <v>7.99</v>
      </c>
      <c r="D455" t="n">
        <v>2468</v>
      </c>
    </row>
    <row r="456">
      <c r="A456" s="94" t="n">
        <v>31352</v>
      </c>
      <c r="B456" t="n">
        <v>7.5</v>
      </c>
      <c r="C456" t="n">
        <v>8.050000000000001</v>
      </c>
      <c r="D456" t="n">
        <v>2477.8</v>
      </c>
    </row>
    <row r="457">
      <c r="A457" s="94" t="n">
        <v>31382</v>
      </c>
      <c r="B457" t="n">
        <v>7.5</v>
      </c>
      <c r="C457" t="n">
        <v>8.27</v>
      </c>
      <c r="D457" t="n">
        <v>2492.1</v>
      </c>
    </row>
    <row r="458">
      <c r="A458" s="94" t="n">
        <v>31413</v>
      </c>
      <c r="B458" t="n">
        <v>7.5</v>
      </c>
      <c r="C458" t="n">
        <v>8.140000000000001</v>
      </c>
      <c r="D458" t="n">
        <v>2502.1</v>
      </c>
    </row>
    <row r="459">
      <c r="A459" s="94" t="n">
        <v>31444</v>
      </c>
      <c r="B459" t="n">
        <v>7.5</v>
      </c>
      <c r="C459" t="n">
        <v>7.86</v>
      </c>
      <c r="D459" t="n">
        <v>2512.9</v>
      </c>
    </row>
    <row r="460">
      <c r="A460" s="94" t="n">
        <v>31472</v>
      </c>
      <c r="B460" t="n">
        <v>7.1</v>
      </c>
      <c r="C460" t="n">
        <v>7.48</v>
      </c>
      <c r="D460" t="n">
        <v>2533.1</v>
      </c>
    </row>
    <row r="461">
      <c r="A461" s="94" t="n">
        <v>31503</v>
      </c>
      <c r="B461" t="n">
        <v>6.83</v>
      </c>
      <c r="C461" t="n">
        <v>6.99</v>
      </c>
      <c r="D461" t="n">
        <v>2557.8</v>
      </c>
    </row>
    <row r="462">
      <c r="A462" s="94" t="n">
        <v>31533</v>
      </c>
      <c r="B462" t="n">
        <v>6.5</v>
      </c>
      <c r="C462" t="n">
        <v>6.85</v>
      </c>
      <c r="D462" t="n">
        <v>2584.8</v>
      </c>
    </row>
    <row r="463">
      <c r="A463" s="94" t="n">
        <v>31564</v>
      </c>
      <c r="B463" t="n">
        <v>6.5</v>
      </c>
      <c r="C463" t="n">
        <v>6.92</v>
      </c>
      <c r="D463" t="n">
        <v>2605</v>
      </c>
    </row>
    <row r="464">
      <c r="A464" s="94" t="n">
        <v>31594</v>
      </c>
      <c r="B464" t="n">
        <v>6.16</v>
      </c>
      <c r="C464" t="n">
        <v>6.56</v>
      </c>
      <c r="D464" t="n">
        <v>2626.6</v>
      </c>
    </row>
    <row r="465">
      <c r="A465" s="94" t="n">
        <v>31625</v>
      </c>
      <c r="B465" t="n">
        <v>5.82</v>
      </c>
      <c r="C465" t="n">
        <v>6.17</v>
      </c>
      <c r="D465" t="n">
        <v>2646.5</v>
      </c>
    </row>
    <row r="466">
      <c r="A466" s="94" t="n">
        <v>31656</v>
      </c>
      <c r="B466" t="n">
        <v>5.5</v>
      </c>
      <c r="C466" t="n">
        <v>5.89</v>
      </c>
      <c r="D466" t="n">
        <v>2667.8</v>
      </c>
    </row>
    <row r="467">
      <c r="A467" s="94" t="n">
        <v>31686</v>
      </c>
      <c r="B467" t="n">
        <v>5.5</v>
      </c>
      <c r="C467" t="n">
        <v>5.85</v>
      </c>
      <c r="D467" t="n">
        <v>2687.4</v>
      </c>
    </row>
    <row r="468">
      <c r="A468" s="94" t="n">
        <v>31717</v>
      </c>
      <c r="B468" t="n">
        <v>5.5</v>
      </c>
      <c r="C468" t="n">
        <v>6.04</v>
      </c>
      <c r="D468" t="n">
        <v>2701.3</v>
      </c>
    </row>
    <row r="469">
      <c r="A469" s="94" t="n">
        <v>31747</v>
      </c>
      <c r="B469" t="n">
        <v>5.5</v>
      </c>
      <c r="C469" t="n">
        <v>6.91</v>
      </c>
      <c r="D469" t="n">
        <v>2728</v>
      </c>
    </row>
    <row r="470">
      <c r="A470" s="94" t="n">
        <v>31778</v>
      </c>
      <c r="B470" t="n">
        <v>5.5</v>
      </c>
      <c r="C470" t="n">
        <v>6.43</v>
      </c>
      <c r="D470" t="n">
        <v>2743.9</v>
      </c>
    </row>
    <row r="471">
      <c r="A471" s="94" t="n">
        <v>31809</v>
      </c>
      <c r="B471" t="n">
        <v>5.5</v>
      </c>
      <c r="C471" t="n">
        <v>6.1</v>
      </c>
      <c r="D471" t="n">
        <v>2747.5</v>
      </c>
    </row>
    <row r="472">
      <c r="A472" s="94" t="n">
        <v>31837</v>
      </c>
      <c r="B472" t="n">
        <v>5.5</v>
      </c>
      <c r="C472" t="n">
        <v>6.13</v>
      </c>
      <c r="D472" t="n">
        <v>2753.7</v>
      </c>
    </row>
    <row r="473">
      <c r="A473" s="94" t="n">
        <v>31868</v>
      </c>
      <c r="B473" t="n">
        <v>5.5</v>
      </c>
      <c r="C473" t="n">
        <v>6.37</v>
      </c>
      <c r="D473" t="n">
        <v>2767.7</v>
      </c>
    </row>
    <row r="474">
      <c r="A474" s="94" t="n">
        <v>31898</v>
      </c>
      <c r="B474" t="n">
        <v>5.5</v>
      </c>
      <c r="C474" t="n">
        <v>6.85</v>
      </c>
      <c r="D474" t="n">
        <v>2772.9</v>
      </c>
    </row>
    <row r="475">
      <c r="A475" s="94" t="n">
        <v>31929</v>
      </c>
      <c r="B475" t="n">
        <v>5.5</v>
      </c>
      <c r="C475" t="n">
        <v>6.73</v>
      </c>
      <c r="D475" t="n">
        <v>2774.6</v>
      </c>
    </row>
    <row r="476">
      <c r="A476" s="94" t="n">
        <v>31959</v>
      </c>
      <c r="B476" t="n">
        <v>5.5</v>
      </c>
      <c r="C476" t="n">
        <v>6.58</v>
      </c>
      <c r="D476" t="n">
        <v>2779</v>
      </c>
    </row>
    <row r="477">
      <c r="A477" s="94" t="n">
        <v>31990</v>
      </c>
      <c r="B477" t="n">
        <v>5.5</v>
      </c>
      <c r="C477" t="n">
        <v>6.73</v>
      </c>
      <c r="D477" t="n">
        <v>2788.2</v>
      </c>
    </row>
    <row r="478">
      <c r="A478" s="94" t="n">
        <v>32021</v>
      </c>
      <c r="B478" t="n">
        <v>5.95</v>
      </c>
      <c r="C478" t="n">
        <v>7.22</v>
      </c>
      <c r="D478" t="n">
        <v>2799.5</v>
      </c>
    </row>
    <row r="479">
      <c r="A479" s="94" t="n">
        <v>32051</v>
      </c>
      <c r="B479" t="n">
        <v>6</v>
      </c>
      <c r="C479" t="n">
        <v>7.29</v>
      </c>
      <c r="D479" t="n">
        <v>2814.8</v>
      </c>
    </row>
    <row r="480">
      <c r="A480" s="94" t="n">
        <v>32082</v>
      </c>
      <c r="B480" t="n">
        <v>6</v>
      </c>
      <c r="C480" t="n">
        <v>6.69</v>
      </c>
      <c r="D480" t="n">
        <v>2818.9</v>
      </c>
    </row>
    <row r="481">
      <c r="A481" s="94" t="n">
        <v>32112</v>
      </c>
      <c r="B481" t="n">
        <v>6</v>
      </c>
      <c r="C481" t="n">
        <v>6.77</v>
      </c>
      <c r="D481" t="n">
        <v>2826.4</v>
      </c>
    </row>
    <row r="482">
      <c r="A482" s="94" t="n">
        <v>32143</v>
      </c>
      <c r="B482" t="n">
        <v>6</v>
      </c>
      <c r="C482" t="n">
        <v>6.83</v>
      </c>
      <c r="D482" t="n">
        <v>2847.4</v>
      </c>
    </row>
    <row r="483">
      <c r="A483" s="94" t="n">
        <v>32174</v>
      </c>
      <c r="B483" t="n">
        <v>6</v>
      </c>
      <c r="C483" t="n">
        <v>6.58</v>
      </c>
      <c r="D483" t="n">
        <v>2870.4</v>
      </c>
    </row>
    <row r="484">
      <c r="A484" s="94" t="n">
        <v>32203</v>
      </c>
      <c r="B484" t="n">
        <v>6</v>
      </c>
      <c r="C484" t="n">
        <v>6.58</v>
      </c>
      <c r="D484" t="n">
        <v>2890.7</v>
      </c>
    </row>
    <row r="485">
      <c r="A485" s="94" t="n">
        <v>32234</v>
      </c>
      <c r="B485" t="n">
        <v>6</v>
      </c>
      <c r="C485" t="n">
        <v>6.87</v>
      </c>
      <c r="D485" t="n">
        <v>2910.7</v>
      </c>
    </row>
    <row r="486">
      <c r="A486" s="94" t="n">
        <v>32264</v>
      </c>
      <c r="B486" t="n">
        <v>6</v>
      </c>
      <c r="C486" t="n">
        <v>7.09</v>
      </c>
      <c r="D486" t="n">
        <v>2926</v>
      </c>
    </row>
    <row r="487">
      <c r="A487" s="94" t="n">
        <v>32295</v>
      </c>
      <c r="B487" t="n">
        <v>6</v>
      </c>
      <c r="C487" t="n">
        <v>7.51</v>
      </c>
      <c r="D487" t="n">
        <v>2938.4</v>
      </c>
    </row>
    <row r="488">
      <c r="A488" s="94" t="n">
        <v>32325</v>
      </c>
      <c r="B488" t="n">
        <v>6</v>
      </c>
      <c r="C488" t="n">
        <v>7.75</v>
      </c>
      <c r="D488" t="n">
        <v>2947.2</v>
      </c>
    </row>
    <row r="489">
      <c r="A489" s="94" t="n">
        <v>32356</v>
      </c>
      <c r="B489" t="n">
        <v>6.37</v>
      </c>
      <c r="C489" t="n">
        <v>8.01</v>
      </c>
      <c r="D489" t="n">
        <v>2952</v>
      </c>
    </row>
    <row r="490">
      <c r="A490" s="94" t="n">
        <v>32387</v>
      </c>
      <c r="B490" t="n">
        <v>6.5</v>
      </c>
      <c r="C490" t="n">
        <v>8.19</v>
      </c>
      <c r="D490" t="n">
        <v>2956.9</v>
      </c>
    </row>
    <row r="491">
      <c r="A491" s="94" t="n">
        <v>32417</v>
      </c>
      <c r="B491" t="n">
        <v>6.5</v>
      </c>
      <c r="C491" t="n">
        <v>8.300000000000001</v>
      </c>
      <c r="D491" t="n">
        <v>2965.3</v>
      </c>
    </row>
    <row r="492">
      <c r="A492" s="94" t="n">
        <v>32448</v>
      </c>
      <c r="B492" t="n">
        <v>6.5</v>
      </c>
      <c r="C492" t="n">
        <v>8.35</v>
      </c>
      <c r="D492" t="n">
        <v>2980.2</v>
      </c>
    </row>
    <row r="493">
      <c r="A493" s="94" t="n">
        <v>32478</v>
      </c>
      <c r="B493" t="n">
        <v>6.5</v>
      </c>
      <c r="C493" t="n">
        <v>8.76</v>
      </c>
      <c r="D493" t="n">
        <v>2988.2</v>
      </c>
    </row>
    <row r="494">
      <c r="A494" s="94" t="n">
        <v>32509</v>
      </c>
      <c r="B494" t="n">
        <v>6.5</v>
      </c>
      <c r="C494" t="n">
        <v>9.119999999999999</v>
      </c>
      <c r="D494" t="n">
        <v>2991.7</v>
      </c>
    </row>
    <row r="495">
      <c r="A495" s="94" t="n">
        <v>32540</v>
      </c>
      <c r="B495" t="n">
        <v>6.59</v>
      </c>
      <c r="C495" t="n">
        <v>9.359999999999999</v>
      </c>
      <c r="D495" t="n">
        <v>2992.2</v>
      </c>
    </row>
    <row r="496">
      <c r="A496" s="94" t="n">
        <v>32568</v>
      </c>
      <c r="B496" t="n">
        <v>7</v>
      </c>
      <c r="C496" t="n">
        <v>9.85</v>
      </c>
      <c r="D496" t="n">
        <v>2999.7</v>
      </c>
    </row>
    <row r="497">
      <c r="A497" s="94" t="n">
        <v>32599</v>
      </c>
      <c r="B497" t="n">
        <v>7</v>
      </c>
      <c r="C497" t="n">
        <v>9.84</v>
      </c>
      <c r="D497" t="n">
        <v>3006</v>
      </c>
    </row>
    <row r="498">
      <c r="A498" s="94" t="n">
        <v>32629</v>
      </c>
      <c r="B498" t="n">
        <v>7</v>
      </c>
      <c r="C498" t="n">
        <v>9.81</v>
      </c>
      <c r="D498" t="n">
        <v>3011.6</v>
      </c>
    </row>
    <row r="499">
      <c r="A499" s="94" t="n">
        <v>32660</v>
      </c>
      <c r="B499" t="n">
        <v>7</v>
      </c>
      <c r="C499" t="n">
        <v>9.529999999999999</v>
      </c>
      <c r="D499" t="n">
        <v>3027.9</v>
      </c>
    </row>
    <row r="500">
      <c r="A500" s="94" t="n">
        <v>32690</v>
      </c>
      <c r="B500" t="n">
        <v>7</v>
      </c>
      <c r="C500" t="n">
        <v>9.24</v>
      </c>
      <c r="D500" t="n">
        <v>3052.4</v>
      </c>
    </row>
    <row r="501">
      <c r="A501" s="94" t="n">
        <v>32721</v>
      </c>
      <c r="B501" t="n">
        <v>7</v>
      </c>
      <c r="C501" t="n">
        <v>8.99</v>
      </c>
      <c r="D501" t="n">
        <v>3074.4</v>
      </c>
    </row>
    <row r="502">
      <c r="A502" s="94" t="n">
        <v>32752</v>
      </c>
      <c r="B502" t="n">
        <v>7</v>
      </c>
      <c r="C502" t="n">
        <v>9.02</v>
      </c>
      <c r="D502" t="n">
        <v>3092.5</v>
      </c>
    </row>
    <row r="503">
      <c r="A503" s="94" t="n">
        <v>32782</v>
      </c>
      <c r="B503" t="n">
        <v>7</v>
      </c>
      <c r="C503" t="n">
        <v>8.84</v>
      </c>
      <c r="D503" t="n">
        <v>3114.1</v>
      </c>
    </row>
    <row r="504">
      <c r="A504" s="94" t="n">
        <v>32813</v>
      </c>
      <c r="B504" t="n">
        <v>7</v>
      </c>
      <c r="C504" t="n">
        <v>8.550000000000001</v>
      </c>
      <c r="D504" t="n">
        <v>3133.3</v>
      </c>
    </row>
    <row r="505">
      <c r="A505" s="94" t="n">
        <v>32843</v>
      </c>
      <c r="B505" t="n">
        <v>7</v>
      </c>
      <c r="C505" t="n">
        <v>8.449999999999999</v>
      </c>
      <c r="D505" t="n">
        <v>3152.5</v>
      </c>
    </row>
    <row r="506">
      <c r="A506" s="94" t="n">
        <v>32874</v>
      </c>
      <c r="B506" t="n">
        <v>7</v>
      </c>
      <c r="C506" t="n">
        <v>8.23</v>
      </c>
      <c r="D506" t="n">
        <v>3166.8</v>
      </c>
    </row>
    <row r="507">
      <c r="A507" s="94" t="n">
        <v>32905</v>
      </c>
      <c r="B507" t="n">
        <v>7</v>
      </c>
      <c r="C507" t="n">
        <v>8.24</v>
      </c>
      <c r="D507" t="n">
        <v>3179.2</v>
      </c>
    </row>
    <row r="508">
      <c r="A508" s="94" t="n">
        <v>32933</v>
      </c>
      <c r="B508" t="n">
        <v>7</v>
      </c>
      <c r="C508" t="n">
        <v>8.279999999999999</v>
      </c>
      <c r="D508" t="n">
        <v>3190.1</v>
      </c>
    </row>
    <row r="509">
      <c r="A509" s="94" t="n">
        <v>32964</v>
      </c>
      <c r="B509" t="n">
        <v>7</v>
      </c>
      <c r="C509" t="n">
        <v>8.26</v>
      </c>
      <c r="D509" t="n">
        <v>3201.6</v>
      </c>
    </row>
    <row r="510">
      <c r="A510" s="94" t="n">
        <v>32994</v>
      </c>
      <c r="B510" t="n">
        <v>7</v>
      </c>
      <c r="C510" t="n">
        <v>8.18</v>
      </c>
      <c r="D510" t="n">
        <v>3200.6</v>
      </c>
    </row>
    <row r="511">
      <c r="A511" s="94" t="n">
        <v>33025</v>
      </c>
      <c r="B511" t="n">
        <v>7</v>
      </c>
      <c r="C511" t="n">
        <v>8.289999999999999</v>
      </c>
      <c r="D511" t="n">
        <v>3213.7</v>
      </c>
    </row>
    <row r="512">
      <c r="A512" s="94" t="n">
        <v>33055</v>
      </c>
      <c r="B512" t="n">
        <v>7</v>
      </c>
      <c r="C512" t="n">
        <v>8.15</v>
      </c>
      <c r="D512" t="n">
        <v>3224.5</v>
      </c>
    </row>
    <row r="513">
      <c r="A513" s="94" t="n">
        <v>33086</v>
      </c>
      <c r="B513" t="n">
        <v>7</v>
      </c>
      <c r="C513" t="n">
        <v>8.130000000000001</v>
      </c>
      <c r="D513" t="n">
        <v>3242</v>
      </c>
    </row>
    <row r="514">
      <c r="A514" s="94" t="n">
        <v>33117</v>
      </c>
      <c r="B514" t="n">
        <v>7</v>
      </c>
      <c r="C514" t="n">
        <v>8.199999999999999</v>
      </c>
      <c r="D514" t="n">
        <v>3254.6</v>
      </c>
    </row>
    <row r="515">
      <c r="A515" s="94" t="n">
        <v>33147</v>
      </c>
      <c r="B515" t="n">
        <v>7</v>
      </c>
      <c r="C515" t="n">
        <v>8.109999999999999</v>
      </c>
      <c r="D515" t="n">
        <v>3259.3</v>
      </c>
    </row>
    <row r="516">
      <c r="A516" s="94" t="n">
        <v>33178</v>
      </c>
      <c r="B516" t="n">
        <v>7</v>
      </c>
      <c r="C516" t="n">
        <v>7.81</v>
      </c>
      <c r="D516" t="n">
        <v>3262.6</v>
      </c>
    </row>
    <row r="517">
      <c r="A517" s="94" t="n">
        <v>33208</v>
      </c>
      <c r="B517" t="n">
        <v>6.79</v>
      </c>
      <c r="C517" t="n">
        <v>7.31</v>
      </c>
      <c r="D517" t="n">
        <v>3271.8</v>
      </c>
    </row>
    <row r="518">
      <c r="A518" s="94" t="n">
        <v>33239</v>
      </c>
      <c r="B518" t="n">
        <v>6.5</v>
      </c>
      <c r="C518" t="n">
        <v>6.91</v>
      </c>
      <c r="D518" t="n">
        <v>3287.7</v>
      </c>
    </row>
    <row r="519">
      <c r="A519" s="94" t="n">
        <v>33270</v>
      </c>
      <c r="B519" t="n">
        <v>6</v>
      </c>
      <c r="C519" t="n">
        <v>6.25</v>
      </c>
      <c r="D519" t="n">
        <v>3304.5</v>
      </c>
    </row>
    <row r="520">
      <c r="A520" s="94" t="n">
        <v>33298</v>
      </c>
      <c r="B520" t="n">
        <v>6</v>
      </c>
      <c r="C520" t="n">
        <v>6.12</v>
      </c>
      <c r="D520" t="n">
        <v>3321.9</v>
      </c>
    </row>
    <row r="521">
      <c r="A521" s="94" t="n">
        <v>33329</v>
      </c>
      <c r="B521" t="n">
        <v>5.98</v>
      </c>
      <c r="C521" t="n">
        <v>5.91</v>
      </c>
      <c r="D521" t="n">
        <v>3332.4</v>
      </c>
    </row>
    <row r="522">
      <c r="A522" s="94" t="n">
        <v>33359</v>
      </c>
      <c r="B522" t="n">
        <v>5.5</v>
      </c>
      <c r="C522" t="n">
        <v>5.78</v>
      </c>
      <c r="D522" t="n">
        <v>3343</v>
      </c>
    </row>
    <row r="523">
      <c r="A523" s="94" t="n">
        <v>33390</v>
      </c>
      <c r="B523" t="n">
        <v>5.5</v>
      </c>
      <c r="C523" t="n">
        <v>5.9</v>
      </c>
      <c r="D523" t="n">
        <v>3351.9</v>
      </c>
    </row>
    <row r="524">
      <c r="A524" s="94" t="n">
        <v>33420</v>
      </c>
      <c r="B524" t="n">
        <v>5.5</v>
      </c>
      <c r="C524" t="n">
        <v>5.82</v>
      </c>
      <c r="D524" t="n">
        <v>3356.1</v>
      </c>
    </row>
    <row r="525">
      <c r="A525" s="94" t="n">
        <v>33451</v>
      </c>
      <c r="B525" t="n">
        <v>5.5</v>
      </c>
      <c r="C525" t="n">
        <v>5.66</v>
      </c>
      <c r="D525" t="n">
        <v>3355</v>
      </c>
    </row>
    <row r="526">
      <c r="A526" s="94" t="n">
        <v>33482</v>
      </c>
      <c r="B526" t="n">
        <v>5.2</v>
      </c>
      <c r="C526" t="n">
        <v>5.45</v>
      </c>
      <c r="D526" t="n">
        <v>3354.9</v>
      </c>
    </row>
    <row r="527">
      <c r="A527" s="94" t="n">
        <v>33512</v>
      </c>
      <c r="B527" t="n">
        <v>5</v>
      </c>
      <c r="C527" t="n">
        <v>5.21</v>
      </c>
      <c r="D527" t="n">
        <v>3360.1</v>
      </c>
    </row>
    <row r="528">
      <c r="A528" s="94" t="n">
        <v>33543</v>
      </c>
      <c r="B528" t="n">
        <v>4.58</v>
      </c>
      <c r="C528" t="n">
        <v>4.81</v>
      </c>
      <c r="D528" t="n">
        <v>3365.5</v>
      </c>
    </row>
    <row r="529">
      <c r="A529" s="94" t="n">
        <v>33573</v>
      </c>
      <c r="B529" t="n">
        <v>4.11</v>
      </c>
      <c r="C529" t="n">
        <v>4.43</v>
      </c>
      <c r="D529" t="n">
        <v>3372.2</v>
      </c>
    </row>
    <row r="530">
      <c r="A530" s="94" t="n">
        <v>33604</v>
      </c>
      <c r="B530" t="n">
        <v>3.5</v>
      </c>
      <c r="C530" t="n">
        <v>4.03</v>
      </c>
      <c r="D530" t="n">
        <v>3381.2</v>
      </c>
    </row>
    <row r="531">
      <c r="A531" s="94" t="n">
        <v>33635</v>
      </c>
      <c r="B531" t="n">
        <v>3.5</v>
      </c>
      <c r="C531" t="n">
        <v>4.06</v>
      </c>
      <c r="D531" t="n">
        <v>3400</v>
      </c>
    </row>
    <row r="532">
      <c r="A532" s="94" t="n">
        <v>33664</v>
      </c>
      <c r="B532" t="n">
        <v>3.5</v>
      </c>
      <c r="C532" t="n">
        <v>3.98</v>
      </c>
      <c r="D532" t="n">
        <v>3403.9</v>
      </c>
    </row>
    <row r="533">
      <c r="A533" s="94" t="n">
        <v>33695</v>
      </c>
      <c r="B533" t="n">
        <v>3.5</v>
      </c>
      <c r="C533" t="n">
        <v>3.73</v>
      </c>
      <c r="D533" t="n">
        <v>3399.7</v>
      </c>
    </row>
    <row r="534">
      <c r="A534" s="94" t="n">
        <v>33725</v>
      </c>
      <c r="B534" t="n">
        <v>3.5</v>
      </c>
      <c r="C534" t="n">
        <v>3.82</v>
      </c>
      <c r="D534" t="n">
        <v>3398.6</v>
      </c>
    </row>
    <row r="535">
      <c r="A535" s="94" t="n">
        <v>33756</v>
      </c>
      <c r="B535" t="n">
        <v>3.5</v>
      </c>
      <c r="C535" t="n">
        <v>3.76</v>
      </c>
      <c r="D535" t="n">
        <v>3393.4</v>
      </c>
    </row>
    <row r="536">
      <c r="A536" s="94" t="n">
        <v>33786</v>
      </c>
      <c r="B536" t="n">
        <v>3.02</v>
      </c>
      <c r="C536" t="n">
        <v>3.25</v>
      </c>
      <c r="D536" t="n">
        <v>3393.9</v>
      </c>
    </row>
    <row r="537">
      <c r="A537" s="94" t="n">
        <v>33817</v>
      </c>
      <c r="B537" t="n">
        <v>3</v>
      </c>
      <c r="C537" t="n">
        <v>3.3</v>
      </c>
      <c r="D537" t="n">
        <v>3398.8</v>
      </c>
    </row>
    <row r="538">
      <c r="A538" s="94" t="n">
        <v>33848</v>
      </c>
      <c r="B538" t="n">
        <v>3</v>
      </c>
      <c r="C538" t="n">
        <v>3.22</v>
      </c>
      <c r="D538" t="n">
        <v>3410.3</v>
      </c>
    </row>
    <row r="539">
      <c r="A539" s="94" t="n">
        <v>33878</v>
      </c>
      <c r="B539" t="n">
        <v>3</v>
      </c>
      <c r="C539" t="n">
        <v>3.1</v>
      </c>
      <c r="D539" t="n">
        <v>3423.8</v>
      </c>
    </row>
    <row r="540">
      <c r="A540" s="94" t="n">
        <v>33909</v>
      </c>
      <c r="B540" t="n">
        <v>3</v>
      </c>
      <c r="C540" t="n">
        <v>3.09</v>
      </c>
      <c r="D540" t="n">
        <v>3426.5</v>
      </c>
    </row>
    <row r="541">
      <c r="A541" s="94" t="n">
        <v>33939</v>
      </c>
      <c r="B541" t="n">
        <v>3</v>
      </c>
      <c r="C541" t="n">
        <v>2.92</v>
      </c>
      <c r="D541" t="n">
        <v>3424.7</v>
      </c>
    </row>
    <row r="542">
      <c r="A542" s="94" t="n">
        <v>33970</v>
      </c>
      <c r="B542" t="n">
        <v>3</v>
      </c>
      <c r="C542" t="n">
        <v>3.02</v>
      </c>
      <c r="D542" t="n">
        <v>3419.1</v>
      </c>
    </row>
    <row r="543">
      <c r="A543" s="94" t="n">
        <v>34001</v>
      </c>
      <c r="B543" t="n">
        <v>3</v>
      </c>
      <c r="C543" t="n">
        <v>3.03</v>
      </c>
      <c r="D543" t="n">
        <v>3414.5</v>
      </c>
    </row>
    <row r="544">
      <c r="A544" s="94" t="n">
        <v>34029</v>
      </c>
      <c r="B544" t="n">
        <v>3</v>
      </c>
      <c r="C544" t="n">
        <v>3.07</v>
      </c>
      <c r="D544" t="n">
        <v>3411.7</v>
      </c>
    </row>
    <row r="545">
      <c r="A545" s="94" t="n">
        <v>34060</v>
      </c>
      <c r="B545" t="n">
        <v>3</v>
      </c>
      <c r="C545" t="n">
        <v>2.96</v>
      </c>
      <c r="D545" t="n">
        <v>3411.3</v>
      </c>
    </row>
    <row r="546">
      <c r="A546" s="94" t="n">
        <v>34090</v>
      </c>
      <c r="B546" t="n">
        <v>3</v>
      </c>
      <c r="C546" t="n">
        <v>3</v>
      </c>
      <c r="D546" t="n">
        <v>3436.9</v>
      </c>
    </row>
    <row r="547">
      <c r="A547" s="94" t="n">
        <v>34121</v>
      </c>
      <c r="B547" t="n">
        <v>3</v>
      </c>
      <c r="C547" t="n">
        <v>3.04</v>
      </c>
      <c r="D547" t="n">
        <v>3442.4</v>
      </c>
    </row>
    <row r="548">
      <c r="A548" s="94" t="n">
        <v>34151</v>
      </c>
      <c r="B548" t="n">
        <v>3</v>
      </c>
      <c r="C548" t="n">
        <v>3.06</v>
      </c>
      <c r="D548" t="n">
        <v>3442</v>
      </c>
    </row>
    <row r="549">
      <c r="A549" s="94" t="n">
        <v>34182</v>
      </c>
      <c r="B549" t="n">
        <v>3</v>
      </c>
      <c r="C549" t="n">
        <v>3.03</v>
      </c>
      <c r="D549" t="n">
        <v>3445.7</v>
      </c>
    </row>
    <row r="550">
      <c r="A550" s="94" t="n">
        <v>34213</v>
      </c>
      <c r="B550" t="n">
        <v>3</v>
      </c>
      <c r="C550" t="n">
        <v>3.09</v>
      </c>
      <c r="D550" t="n">
        <v>3452.2</v>
      </c>
    </row>
    <row r="551">
      <c r="A551" s="94" t="n">
        <v>34243</v>
      </c>
      <c r="B551" t="n">
        <v>3</v>
      </c>
      <c r="C551" t="n">
        <v>2.99</v>
      </c>
      <c r="D551" t="n">
        <v>3456.7</v>
      </c>
    </row>
    <row r="552">
      <c r="A552" s="94" t="n">
        <v>34274</v>
      </c>
      <c r="B552" t="n">
        <v>3</v>
      </c>
      <c r="C552" t="n">
        <v>3.02</v>
      </c>
      <c r="D552" t="n">
        <v>3470.1</v>
      </c>
    </row>
    <row r="553">
      <c r="A553" s="94" t="n">
        <v>34304</v>
      </c>
      <c r="B553" t="n">
        <v>3</v>
      </c>
      <c r="C553" t="n">
        <v>2.96</v>
      </c>
      <c r="D553" t="n">
        <v>3474.5</v>
      </c>
    </row>
    <row r="554">
      <c r="A554" s="94" t="n">
        <v>34335</v>
      </c>
      <c r="B554" t="n">
        <v>3</v>
      </c>
      <c r="C554" t="n">
        <v>3.05</v>
      </c>
      <c r="D554" t="n">
        <v>3474.9</v>
      </c>
    </row>
    <row r="555">
      <c r="A555" s="94" t="n">
        <v>34366</v>
      </c>
      <c r="B555" t="n">
        <v>3</v>
      </c>
      <c r="C555" t="n">
        <v>3.25</v>
      </c>
      <c r="D555" t="n">
        <v>3475.7</v>
      </c>
    </row>
    <row r="556">
      <c r="A556" s="94" t="n">
        <v>34394</v>
      </c>
      <c r="B556" t="n">
        <v>3</v>
      </c>
      <c r="C556" t="n">
        <v>3.34</v>
      </c>
      <c r="D556" t="n">
        <v>3480.1</v>
      </c>
    </row>
    <row r="557">
      <c r="A557" s="94" t="n">
        <v>34425</v>
      </c>
      <c r="B557" t="n">
        <v>3</v>
      </c>
      <c r="C557" t="n">
        <v>3.56</v>
      </c>
      <c r="D557" t="n">
        <v>3481.3</v>
      </c>
    </row>
    <row r="558">
      <c r="A558" s="94" t="n">
        <v>34455</v>
      </c>
      <c r="B558" t="n">
        <v>3.24</v>
      </c>
      <c r="C558" t="n">
        <v>4.01</v>
      </c>
      <c r="D558" t="n">
        <v>3490.8</v>
      </c>
    </row>
    <row r="559">
      <c r="A559" s="94" t="n">
        <v>34486</v>
      </c>
      <c r="B559" t="n">
        <v>3.5</v>
      </c>
      <c r="C559" t="n">
        <v>4.25</v>
      </c>
      <c r="D559" t="n">
        <v>3479.5</v>
      </c>
    </row>
    <row r="560">
      <c r="A560" s="94" t="n">
        <v>34516</v>
      </c>
      <c r="B560" t="n">
        <v>3.5</v>
      </c>
      <c r="C560" t="n">
        <v>4.26</v>
      </c>
      <c r="D560" t="n">
        <v>3488.2</v>
      </c>
    </row>
    <row r="561">
      <c r="A561" s="94" t="n">
        <v>34547</v>
      </c>
      <c r="B561" t="n">
        <v>3.76</v>
      </c>
      <c r="C561" t="n">
        <v>4.47</v>
      </c>
      <c r="D561" t="n">
        <v>3485.7</v>
      </c>
    </row>
    <row r="562">
      <c r="A562" s="94" t="n">
        <v>34578</v>
      </c>
      <c r="B562" t="n">
        <v>4</v>
      </c>
      <c r="C562" t="n">
        <v>4.73</v>
      </c>
      <c r="D562" t="n">
        <v>3486.1</v>
      </c>
    </row>
    <row r="563">
      <c r="A563" s="94" t="n">
        <v>34608</v>
      </c>
      <c r="B563" t="n">
        <v>4</v>
      </c>
      <c r="C563" t="n">
        <v>4.76</v>
      </c>
      <c r="D563" t="n">
        <v>3484.3</v>
      </c>
    </row>
    <row r="564">
      <c r="A564" s="94" t="n">
        <v>34639</v>
      </c>
      <c r="B564" t="n">
        <v>4.4</v>
      </c>
      <c r="C564" t="n">
        <v>5.29</v>
      </c>
      <c r="D564" t="n">
        <v>3487.2</v>
      </c>
    </row>
    <row r="565">
      <c r="A565" s="94" t="n">
        <v>34669</v>
      </c>
      <c r="B565" t="n">
        <v>4.75</v>
      </c>
      <c r="C565" t="n">
        <v>5.45</v>
      </c>
      <c r="D565" t="n">
        <v>3486.4</v>
      </c>
    </row>
    <row r="566">
      <c r="A566" s="94" t="n">
        <v>34700</v>
      </c>
      <c r="B566" t="n">
        <v>4.75</v>
      </c>
      <c r="C566" t="n">
        <v>5.53</v>
      </c>
      <c r="D566" t="n">
        <v>3492.4</v>
      </c>
    </row>
    <row r="567">
      <c r="A567" s="94" t="n">
        <v>34731</v>
      </c>
      <c r="B567" t="n">
        <v>5.25</v>
      </c>
      <c r="C567" t="n">
        <v>5.92</v>
      </c>
      <c r="D567" t="n">
        <v>3489.9</v>
      </c>
    </row>
    <row r="568">
      <c r="A568" s="94" t="n">
        <v>34759</v>
      </c>
      <c r="B568" t="n">
        <v>5.25</v>
      </c>
      <c r="C568" t="n">
        <v>5.98</v>
      </c>
      <c r="D568" t="n">
        <v>3491.1</v>
      </c>
    </row>
    <row r="569">
      <c r="A569" s="94" t="n">
        <v>34790</v>
      </c>
      <c r="B569" t="n">
        <v>5.25</v>
      </c>
      <c r="C569" t="n">
        <v>6.05</v>
      </c>
      <c r="D569" t="n">
        <v>3499.2</v>
      </c>
    </row>
    <row r="570">
      <c r="A570" s="94" t="n">
        <v>34820</v>
      </c>
      <c r="B570" t="n">
        <v>5.25</v>
      </c>
      <c r="C570" t="n">
        <v>6.01</v>
      </c>
      <c r="D570" t="n">
        <v>3524.2</v>
      </c>
    </row>
    <row r="571">
      <c r="A571" s="94" t="n">
        <v>34851</v>
      </c>
      <c r="B571" t="n">
        <v>5.25</v>
      </c>
      <c r="C571" t="n">
        <v>6</v>
      </c>
      <c r="D571" t="n">
        <v>3548.9</v>
      </c>
    </row>
    <row r="572">
      <c r="A572" s="94" t="n">
        <v>34881</v>
      </c>
      <c r="B572" t="n">
        <v>5.25</v>
      </c>
      <c r="C572" t="n">
        <v>5.85</v>
      </c>
      <c r="D572" t="n">
        <v>3567.4</v>
      </c>
    </row>
    <row r="573">
      <c r="A573" s="94" t="n">
        <v>34912</v>
      </c>
      <c r="B573" t="n">
        <v>5.25</v>
      </c>
      <c r="C573" t="n">
        <v>5.74</v>
      </c>
      <c r="D573" t="n">
        <v>3589</v>
      </c>
    </row>
    <row r="574">
      <c r="A574" s="94" t="n">
        <v>34943</v>
      </c>
      <c r="B574" t="n">
        <v>5.25</v>
      </c>
      <c r="C574" t="n">
        <v>5.8</v>
      </c>
      <c r="D574" t="n">
        <v>3602.1</v>
      </c>
    </row>
    <row r="575">
      <c r="A575" s="94" t="n">
        <v>34973</v>
      </c>
      <c r="B575" t="n">
        <v>5.25</v>
      </c>
      <c r="C575" t="n">
        <v>5.76</v>
      </c>
      <c r="D575" t="n">
        <v>3613.4</v>
      </c>
    </row>
    <row r="576">
      <c r="A576" s="94" t="n">
        <v>35004</v>
      </c>
      <c r="B576" t="n">
        <v>5.25</v>
      </c>
      <c r="C576" t="n">
        <v>5.8</v>
      </c>
      <c r="D576" t="n">
        <v>3619.9</v>
      </c>
    </row>
    <row r="577">
      <c r="A577" s="94" t="n">
        <v>35034</v>
      </c>
      <c r="B577" t="n">
        <v>5.25</v>
      </c>
      <c r="C577" t="n">
        <v>5.6</v>
      </c>
      <c r="D577" t="n">
        <v>3629.5</v>
      </c>
    </row>
    <row r="578">
      <c r="A578" s="94" t="n">
        <v>35065</v>
      </c>
      <c r="B578" t="n">
        <v>5.24</v>
      </c>
      <c r="C578" t="n">
        <v>5.56</v>
      </c>
      <c r="D578" t="n">
        <v>3647.9</v>
      </c>
    </row>
    <row r="579">
      <c r="A579" s="94" t="n">
        <v>35096</v>
      </c>
      <c r="B579" t="n">
        <v>5</v>
      </c>
      <c r="C579" t="n">
        <v>5.22</v>
      </c>
      <c r="D579" t="n">
        <v>3661.8</v>
      </c>
    </row>
    <row r="580">
      <c r="A580" s="94" t="n">
        <v>35125</v>
      </c>
      <c r="B580" t="n">
        <v>5</v>
      </c>
      <c r="C580" t="n">
        <v>5.31</v>
      </c>
      <c r="D580" t="n">
        <v>3686.9</v>
      </c>
    </row>
    <row r="581">
      <c r="A581" s="94" t="n">
        <v>35156</v>
      </c>
      <c r="B581" t="n">
        <v>5</v>
      </c>
      <c r="C581" t="n">
        <v>5.22</v>
      </c>
      <c r="D581" t="n">
        <v>3697.7</v>
      </c>
    </row>
    <row r="582">
      <c r="A582" s="94" t="n">
        <v>35186</v>
      </c>
      <c r="B582" t="n">
        <v>5</v>
      </c>
      <c r="C582" t="n">
        <v>5.24</v>
      </c>
      <c r="D582" t="n">
        <v>3709.6</v>
      </c>
    </row>
    <row r="583">
      <c r="A583" s="94" t="n">
        <v>35217</v>
      </c>
      <c r="B583" t="n">
        <v>5</v>
      </c>
      <c r="C583" t="n">
        <v>5.27</v>
      </c>
      <c r="D583" t="n">
        <v>3722.5</v>
      </c>
    </row>
    <row r="584">
      <c r="A584" s="94" t="n">
        <v>35247</v>
      </c>
      <c r="B584" t="n">
        <v>5</v>
      </c>
      <c r="C584" t="n">
        <v>5.4</v>
      </c>
      <c r="D584" t="n">
        <v>3737.1</v>
      </c>
    </row>
    <row r="585">
      <c r="A585" s="94" t="n">
        <v>35278</v>
      </c>
      <c r="B585" t="n">
        <v>5</v>
      </c>
      <c r="C585" t="n">
        <v>5.22</v>
      </c>
      <c r="D585" t="n">
        <v>3744</v>
      </c>
    </row>
    <row r="586">
      <c r="A586" s="94" t="n">
        <v>35309</v>
      </c>
      <c r="B586" t="n">
        <v>5</v>
      </c>
      <c r="C586" t="n">
        <v>5.3</v>
      </c>
      <c r="D586" t="n">
        <v>3753.4</v>
      </c>
    </row>
    <row r="587">
      <c r="A587" s="94" t="n">
        <v>35339</v>
      </c>
      <c r="B587" t="n">
        <v>5</v>
      </c>
      <c r="C587" t="n">
        <v>5.24</v>
      </c>
      <c r="D587" t="n">
        <v>3772.8</v>
      </c>
    </row>
    <row r="588">
      <c r="A588" s="94" t="n">
        <v>35370</v>
      </c>
      <c r="B588" t="n">
        <v>5</v>
      </c>
      <c r="C588" t="n">
        <v>5.31</v>
      </c>
      <c r="D588" t="n">
        <v>3795.1</v>
      </c>
    </row>
    <row r="589">
      <c r="A589" s="94" t="n">
        <v>35400</v>
      </c>
      <c r="B589" t="n">
        <v>5</v>
      </c>
      <c r="C589" t="n">
        <v>5.29</v>
      </c>
      <c r="D589" t="n">
        <v>3818.6</v>
      </c>
    </row>
    <row r="590">
      <c r="A590" s="94" t="n">
        <v>35431</v>
      </c>
      <c r="B590" t="n">
        <v>5</v>
      </c>
      <c r="C590" t="n">
        <v>5.25</v>
      </c>
      <c r="D590" t="n">
        <v>3834.6</v>
      </c>
    </row>
    <row r="591">
      <c r="A591" s="94" t="n">
        <v>35462</v>
      </c>
      <c r="B591" t="n">
        <v>5</v>
      </c>
      <c r="C591" t="n">
        <v>5.19</v>
      </c>
      <c r="D591" t="n">
        <v>3846.3</v>
      </c>
    </row>
    <row r="592">
      <c r="A592" s="94" t="n">
        <v>35490</v>
      </c>
      <c r="B592" t="n">
        <v>5</v>
      </c>
      <c r="C592" t="n">
        <v>5.39</v>
      </c>
      <c r="D592" t="n">
        <v>3861.2</v>
      </c>
    </row>
    <row r="593">
      <c r="A593" s="94" t="n">
        <v>35521</v>
      </c>
      <c r="B593" t="n">
        <v>5</v>
      </c>
      <c r="C593" t="n">
        <v>5.51</v>
      </c>
      <c r="D593" t="n">
        <v>3877</v>
      </c>
    </row>
    <row r="594">
      <c r="A594" s="94" t="n">
        <v>35551</v>
      </c>
      <c r="B594" t="n">
        <v>5</v>
      </c>
      <c r="C594" t="n">
        <v>5.5</v>
      </c>
      <c r="D594" t="n">
        <v>3889.2</v>
      </c>
    </row>
    <row r="595">
      <c r="A595" s="94" t="n">
        <v>35582</v>
      </c>
      <c r="B595" t="n">
        <v>5</v>
      </c>
      <c r="C595" t="n">
        <v>5.56</v>
      </c>
      <c r="D595" t="n">
        <v>3906</v>
      </c>
    </row>
    <row r="596">
      <c r="A596" s="94" t="n">
        <v>35612</v>
      </c>
      <c r="B596" t="n">
        <v>5</v>
      </c>
      <c r="C596" t="n">
        <v>5.52</v>
      </c>
      <c r="D596" t="n">
        <v>3923.9</v>
      </c>
    </row>
    <row r="597">
      <c r="A597" s="94" t="n">
        <v>35643</v>
      </c>
      <c r="B597" t="n">
        <v>5</v>
      </c>
      <c r="C597" t="n">
        <v>5.54</v>
      </c>
      <c r="D597" t="n">
        <v>3957.4</v>
      </c>
    </row>
    <row r="598">
      <c r="A598" s="94" t="n">
        <v>35674</v>
      </c>
      <c r="B598" t="n">
        <v>5</v>
      </c>
      <c r="C598" t="n">
        <v>5.54</v>
      </c>
      <c r="D598" t="n">
        <v>3973.1</v>
      </c>
    </row>
    <row r="599">
      <c r="A599" s="94" t="n">
        <v>35704</v>
      </c>
      <c r="B599" t="n">
        <v>5</v>
      </c>
      <c r="C599" t="n">
        <v>5.5</v>
      </c>
      <c r="D599" t="n">
        <v>3992.3</v>
      </c>
    </row>
    <row r="600">
      <c r="A600" s="94" t="n">
        <v>35735</v>
      </c>
      <c r="B600" t="n">
        <v>5</v>
      </c>
      <c r="C600" t="n">
        <v>5.52</v>
      </c>
      <c r="D600" t="n">
        <v>4014.8</v>
      </c>
    </row>
    <row r="601">
      <c r="A601" s="94" t="n">
        <v>35765</v>
      </c>
      <c r="B601" t="n">
        <v>5</v>
      </c>
      <c r="C601" t="n">
        <v>5.5</v>
      </c>
      <c r="D601" t="n">
        <v>4032.9</v>
      </c>
    </row>
    <row r="602">
      <c r="A602" s="94" t="n">
        <v>35796</v>
      </c>
      <c r="B602" t="n">
        <v>5</v>
      </c>
      <c r="C602" t="n">
        <v>5.56</v>
      </c>
      <c r="D602" t="n">
        <v>4056.2</v>
      </c>
    </row>
    <row r="603">
      <c r="A603" s="94" t="n">
        <v>35827</v>
      </c>
      <c r="B603" t="n">
        <v>5</v>
      </c>
      <c r="C603" t="n">
        <v>5.51</v>
      </c>
      <c r="D603" t="n">
        <v>4088.9</v>
      </c>
    </row>
    <row r="604">
      <c r="A604" s="94" t="n">
        <v>35855</v>
      </c>
      <c r="B604" t="n">
        <v>5</v>
      </c>
      <c r="C604" t="n">
        <v>5.49</v>
      </c>
      <c r="D604" t="n">
        <v>4114.3</v>
      </c>
    </row>
    <row r="605">
      <c r="A605" s="94" t="n">
        <v>35886</v>
      </c>
      <c r="B605" t="n">
        <v>5</v>
      </c>
      <c r="C605" t="n">
        <v>5.45</v>
      </c>
      <c r="D605" t="n">
        <v>4140.2</v>
      </c>
    </row>
    <row r="606">
      <c r="A606" s="94" t="n">
        <v>35916</v>
      </c>
      <c r="B606" t="n">
        <v>5</v>
      </c>
      <c r="C606" t="n">
        <v>5.49</v>
      </c>
      <c r="D606" t="n">
        <v>4164.4</v>
      </c>
    </row>
    <row r="607">
      <c r="A607" s="94" t="n">
        <v>35947</v>
      </c>
      <c r="B607" t="n">
        <v>5</v>
      </c>
      <c r="C607" t="n">
        <v>5.56</v>
      </c>
      <c r="D607" t="n">
        <v>4184.1</v>
      </c>
    </row>
    <row r="608">
      <c r="A608" s="94" t="n">
        <v>35977</v>
      </c>
      <c r="B608" t="n">
        <v>5</v>
      </c>
      <c r="C608" t="n">
        <v>5.54</v>
      </c>
      <c r="D608" t="n">
        <v>4203.8</v>
      </c>
    </row>
    <row r="609">
      <c r="A609" s="94" t="n">
        <v>36008</v>
      </c>
      <c r="B609" t="n">
        <v>5</v>
      </c>
      <c r="C609" t="n">
        <v>5.55</v>
      </c>
      <c r="D609" t="n">
        <v>4228.7</v>
      </c>
    </row>
    <row r="610">
      <c r="A610" s="94" t="n">
        <v>36039</v>
      </c>
      <c r="B610" t="n">
        <v>5</v>
      </c>
      <c r="C610" t="n">
        <v>5.51</v>
      </c>
      <c r="D610" t="n">
        <v>4267.6</v>
      </c>
    </row>
    <row r="611">
      <c r="A611" s="94" t="n">
        <v>36069</v>
      </c>
      <c r="B611" t="n">
        <v>4.86</v>
      </c>
      <c r="C611" t="n">
        <v>5.07</v>
      </c>
      <c r="D611" t="n">
        <v>4307.7</v>
      </c>
    </row>
    <row r="612">
      <c r="A612" s="94" t="n">
        <v>36100</v>
      </c>
      <c r="B612" t="n">
        <v>4.63</v>
      </c>
      <c r="C612" t="n">
        <v>4.83</v>
      </c>
      <c r="D612" t="n">
        <v>4346.4</v>
      </c>
    </row>
    <row r="613">
      <c r="A613" s="94" t="n">
        <v>36130</v>
      </c>
      <c r="B613" t="n">
        <v>4.5</v>
      </c>
      <c r="C613" t="n">
        <v>4.68</v>
      </c>
      <c r="D613" t="n">
        <v>4375.2</v>
      </c>
    </row>
    <row r="614">
      <c r="A614" s="94" t="n">
        <v>36161</v>
      </c>
      <c r="B614" t="n">
        <v>4.5</v>
      </c>
      <c r="C614" t="n">
        <v>4.63</v>
      </c>
      <c r="D614" t="n">
        <v>4402.6</v>
      </c>
    </row>
    <row r="615">
      <c r="A615" s="94" t="n">
        <v>36192</v>
      </c>
      <c r="B615" t="n">
        <v>4.5</v>
      </c>
      <c r="C615" t="n">
        <v>4.76</v>
      </c>
      <c r="D615" t="n">
        <v>4425.3</v>
      </c>
    </row>
    <row r="616">
      <c r="A616" s="94" t="n">
        <v>36220</v>
      </c>
      <c r="B616" t="n">
        <v>4.5</v>
      </c>
      <c r="C616" t="n">
        <v>4.81</v>
      </c>
      <c r="D616" t="n">
        <v>4432.1</v>
      </c>
    </row>
    <row r="617">
      <c r="A617" s="94" t="n">
        <v>36251</v>
      </c>
      <c r="B617" t="n">
        <v>4.5</v>
      </c>
      <c r="C617" t="n">
        <v>4.74</v>
      </c>
      <c r="D617" t="n">
        <v>4460.7</v>
      </c>
    </row>
    <row r="618">
      <c r="A618" s="94" t="n">
        <v>36281</v>
      </c>
      <c r="B618" t="n">
        <v>4.5</v>
      </c>
      <c r="C618" t="n">
        <v>4.74</v>
      </c>
      <c r="D618" t="n">
        <v>4485.3</v>
      </c>
    </row>
    <row r="619">
      <c r="A619" s="94" t="n">
        <v>36312</v>
      </c>
      <c r="B619" t="n">
        <v>4.5</v>
      </c>
      <c r="C619" t="n">
        <v>4.76</v>
      </c>
      <c r="D619" t="n">
        <v>4507.2</v>
      </c>
    </row>
    <row r="620">
      <c r="A620" s="94" t="n">
        <v>36342</v>
      </c>
      <c r="B620" t="n">
        <v>4.5</v>
      </c>
      <c r="C620" t="n">
        <v>4.99</v>
      </c>
      <c r="D620" t="n">
        <v>4534.5</v>
      </c>
    </row>
    <row r="621">
      <c r="A621" s="94" t="n">
        <v>36373</v>
      </c>
      <c r="B621" t="n">
        <v>4.56</v>
      </c>
      <c r="C621" t="n">
        <v>5.07</v>
      </c>
      <c r="D621" t="n">
        <v>4551.7</v>
      </c>
    </row>
    <row r="622">
      <c r="A622" s="94" t="n">
        <v>36404</v>
      </c>
      <c r="B622" t="n">
        <v>4.75</v>
      </c>
      <c r="C622" t="n">
        <v>5.22</v>
      </c>
      <c r="D622" t="n">
        <v>4567.7</v>
      </c>
    </row>
    <row r="623">
      <c r="A623" s="94" t="n">
        <v>36434</v>
      </c>
      <c r="B623" t="n">
        <v>4.75</v>
      </c>
      <c r="C623" t="n">
        <v>5.2</v>
      </c>
      <c r="D623" t="n">
        <v>4591.5</v>
      </c>
    </row>
    <row r="624">
      <c r="A624" s="94" t="n">
        <v>36465</v>
      </c>
      <c r="B624" t="n">
        <v>4.86</v>
      </c>
      <c r="C624" t="n">
        <v>5.42</v>
      </c>
      <c r="D624" t="n">
        <v>4610.5</v>
      </c>
    </row>
    <row r="625">
      <c r="A625" s="94" t="n">
        <v>36495</v>
      </c>
      <c r="B625" t="n">
        <v>5</v>
      </c>
      <c r="C625" t="n">
        <v>5.3</v>
      </c>
      <c r="D625" t="n">
        <v>4638</v>
      </c>
    </row>
    <row r="626">
      <c r="A626" s="94" t="n">
        <v>36526</v>
      </c>
      <c r="B626" t="n">
        <v>5</v>
      </c>
      <c r="C626" t="n">
        <v>5.45</v>
      </c>
      <c r="D626" t="n">
        <v>4666.2</v>
      </c>
    </row>
    <row r="627">
      <c r="A627" s="94" t="n">
        <v>36557</v>
      </c>
      <c r="B627" t="n">
        <v>5.24</v>
      </c>
      <c r="C627" t="n">
        <v>5.73</v>
      </c>
      <c r="D627" t="n">
        <v>4679.4</v>
      </c>
    </row>
    <row r="628">
      <c r="A628" s="94" t="n">
        <v>36586</v>
      </c>
      <c r="B628" t="n">
        <v>5.34</v>
      </c>
      <c r="C628" t="n">
        <v>5.85</v>
      </c>
      <c r="D628" t="n">
        <v>4710.2</v>
      </c>
    </row>
    <row r="629">
      <c r="A629" s="94" t="n">
        <v>36617</v>
      </c>
      <c r="B629" t="n">
        <v>5.5</v>
      </c>
      <c r="C629" t="n">
        <v>6.02</v>
      </c>
      <c r="D629" t="n">
        <v>4766.1</v>
      </c>
    </row>
    <row r="630">
      <c r="A630" s="94" t="n">
        <v>36647</v>
      </c>
      <c r="B630" t="n">
        <v>5.71</v>
      </c>
      <c r="C630" t="n">
        <v>6.27</v>
      </c>
      <c r="D630" t="n">
        <v>4753.9</v>
      </c>
    </row>
    <row r="631">
      <c r="A631" s="94" t="n">
        <v>36678</v>
      </c>
      <c r="B631" t="n">
        <v>6</v>
      </c>
      <c r="C631" t="n">
        <v>6.53</v>
      </c>
      <c r="D631" t="n">
        <v>4771.8</v>
      </c>
    </row>
    <row r="632">
      <c r="A632" s="94" t="n">
        <v>36708</v>
      </c>
      <c r="B632" t="n">
        <v>6</v>
      </c>
      <c r="C632" t="n">
        <v>6.54</v>
      </c>
      <c r="D632" t="n">
        <v>4789.4</v>
      </c>
    </row>
    <row r="633">
      <c r="A633" s="94" t="n">
        <v>36739</v>
      </c>
      <c r="B633" t="n">
        <v>6</v>
      </c>
      <c r="C633" t="n">
        <v>6.5</v>
      </c>
      <c r="D633" t="n">
        <v>4817.5</v>
      </c>
    </row>
    <row r="634">
      <c r="A634" s="94" t="n">
        <v>36770</v>
      </c>
      <c r="B634" t="n">
        <v>6</v>
      </c>
      <c r="C634" t="n">
        <v>6.52</v>
      </c>
      <c r="D634" t="n">
        <v>4853.2</v>
      </c>
    </row>
    <row r="635">
      <c r="A635" s="94" t="n">
        <v>36800</v>
      </c>
      <c r="B635" t="n">
        <v>6</v>
      </c>
      <c r="C635" t="n">
        <v>6.51</v>
      </c>
      <c r="D635" t="n">
        <v>4869.2</v>
      </c>
    </row>
    <row r="636">
      <c r="A636" s="94" t="n">
        <v>36831</v>
      </c>
      <c r="B636" t="n">
        <v>6</v>
      </c>
      <c r="C636" t="n">
        <v>6.51</v>
      </c>
      <c r="D636" t="n">
        <v>4880.1</v>
      </c>
    </row>
    <row r="637">
      <c r="A637" s="94" t="n">
        <v>36861</v>
      </c>
      <c r="B637" t="n">
        <v>6</v>
      </c>
      <c r="C637" t="n">
        <v>6.4</v>
      </c>
      <c r="D637" t="n">
        <v>4924.7</v>
      </c>
    </row>
    <row r="638">
      <c r="A638" s="94" t="n">
        <v>36892</v>
      </c>
      <c r="B638" t="n">
        <v>5.52</v>
      </c>
      <c r="C638" t="n">
        <v>5.98</v>
      </c>
      <c r="D638" t="n">
        <v>4975.3</v>
      </c>
    </row>
    <row r="639">
      <c r="A639" s="94" t="n">
        <v>36923</v>
      </c>
      <c r="B639" t="n">
        <v>5</v>
      </c>
      <c r="C639" t="n">
        <v>5.49</v>
      </c>
      <c r="D639" t="n">
        <v>5013.5</v>
      </c>
    </row>
    <row r="640">
      <c r="A640" s="94" t="n">
        <v>36951</v>
      </c>
      <c r="B640" t="n">
        <v>4.81</v>
      </c>
      <c r="C640" t="n">
        <v>5.31</v>
      </c>
      <c r="D640" t="n">
        <v>5071.2</v>
      </c>
    </row>
    <row r="641">
      <c r="A641" s="94" t="n">
        <v>36982</v>
      </c>
      <c r="B641" t="n">
        <v>4.28</v>
      </c>
      <c r="C641" t="n">
        <v>4.8</v>
      </c>
      <c r="D641" t="n">
        <v>5135.2</v>
      </c>
    </row>
    <row r="642">
      <c r="A642" s="94" t="n">
        <v>37012</v>
      </c>
      <c r="B642" t="n">
        <v>3.73</v>
      </c>
      <c r="C642" t="n">
        <v>4.21</v>
      </c>
      <c r="D642" t="n">
        <v>5132.2</v>
      </c>
    </row>
    <row r="643">
      <c r="A643" s="94" t="n">
        <v>37043</v>
      </c>
      <c r="B643" t="n">
        <v>3.47</v>
      </c>
      <c r="C643" t="n">
        <v>3.97</v>
      </c>
      <c r="D643" t="n">
        <v>5172.5</v>
      </c>
    </row>
    <row r="644">
      <c r="A644" s="94" t="n">
        <v>37073</v>
      </c>
      <c r="B644" t="n">
        <v>3.25</v>
      </c>
      <c r="C644" t="n">
        <v>3.77</v>
      </c>
      <c r="D644" t="n">
        <v>5202.4</v>
      </c>
    </row>
    <row r="645">
      <c r="A645" s="94" t="n">
        <v>37104</v>
      </c>
      <c r="B645" t="n">
        <v>3.16</v>
      </c>
      <c r="C645" t="n">
        <v>3.65</v>
      </c>
      <c r="D645" t="n">
        <v>5236.3</v>
      </c>
    </row>
    <row r="646">
      <c r="A646" s="94" t="n">
        <v>37135</v>
      </c>
      <c r="B646" t="n">
        <v>2.77</v>
      </c>
      <c r="C646" t="n">
        <v>3.07</v>
      </c>
      <c r="D646" t="n">
        <v>5347.4</v>
      </c>
    </row>
    <row r="647">
      <c r="A647" s="94" t="n">
        <v>37165</v>
      </c>
      <c r="B647" t="n">
        <v>2.02</v>
      </c>
      <c r="C647" t="n">
        <v>2.49</v>
      </c>
      <c r="D647" t="n">
        <v>5336</v>
      </c>
    </row>
    <row r="648">
      <c r="A648" s="94" t="n">
        <v>37196</v>
      </c>
      <c r="B648" t="n">
        <v>1.58</v>
      </c>
      <c r="C648" t="n">
        <v>2.09</v>
      </c>
      <c r="D648" t="n">
        <v>5379.6</v>
      </c>
    </row>
    <row r="649">
      <c r="A649" s="94" t="n">
        <v>37226</v>
      </c>
      <c r="B649" t="n">
        <v>1.33</v>
      </c>
      <c r="C649" t="n">
        <v>1.82</v>
      </c>
      <c r="D649" t="n">
        <v>5432.7</v>
      </c>
    </row>
    <row r="650">
      <c r="A650" s="94" t="n">
        <v>37257</v>
      </c>
      <c r="B650" t="n">
        <v>1.25</v>
      </c>
      <c r="C650" t="n">
        <v>1.73</v>
      </c>
      <c r="D650" t="n">
        <v>5453</v>
      </c>
    </row>
    <row r="651">
      <c r="A651" s="94" t="n">
        <v>37288</v>
      </c>
      <c r="B651" t="n">
        <v>1.25</v>
      </c>
      <c r="C651" t="n">
        <v>1.74</v>
      </c>
      <c r="D651" t="n">
        <v>5482.4</v>
      </c>
    </row>
    <row r="652">
      <c r="A652" s="94" t="n">
        <v>37316</v>
      </c>
      <c r="B652" t="n">
        <v>1.25</v>
      </c>
      <c r="C652" t="n">
        <v>1.73</v>
      </c>
      <c r="D652" t="n">
        <v>5494.2</v>
      </c>
    </row>
    <row r="653">
      <c r="A653" s="94" t="n">
        <v>37347</v>
      </c>
      <c r="B653" t="n">
        <v>1.25</v>
      </c>
      <c r="C653" t="n">
        <v>1.75</v>
      </c>
      <c r="D653" t="n">
        <v>5494.4</v>
      </c>
    </row>
    <row r="654">
      <c r="A654" s="94" t="n">
        <v>37377</v>
      </c>
      <c r="B654" t="n">
        <v>1.25</v>
      </c>
      <c r="C654" t="n">
        <v>1.75</v>
      </c>
      <c r="D654" t="n">
        <v>5520.6</v>
      </c>
    </row>
    <row r="655">
      <c r="A655" s="94" t="n">
        <v>37408</v>
      </c>
      <c r="B655" t="n">
        <v>1.25</v>
      </c>
      <c r="C655" t="n">
        <v>1.75</v>
      </c>
      <c r="D655" t="n">
        <v>5545.6</v>
      </c>
    </row>
    <row r="656">
      <c r="A656" s="94" t="n">
        <v>37438</v>
      </c>
      <c r="B656" t="n">
        <v>1.25</v>
      </c>
      <c r="C656" t="n">
        <v>1.73</v>
      </c>
      <c r="D656" t="n">
        <v>5588.2</v>
      </c>
    </row>
    <row r="657">
      <c r="A657" s="94" t="n">
        <v>37469</v>
      </c>
      <c r="B657" t="n">
        <v>1.25</v>
      </c>
      <c r="C657" t="n">
        <v>1.74</v>
      </c>
      <c r="D657" t="n">
        <v>5630.6</v>
      </c>
    </row>
    <row r="658">
      <c r="A658" s="94" t="n">
        <v>37500</v>
      </c>
      <c r="B658" t="n">
        <v>1.25</v>
      </c>
      <c r="C658" t="n">
        <v>1.75</v>
      </c>
      <c r="D658" t="n">
        <v>5655</v>
      </c>
    </row>
    <row r="659">
      <c r="A659" s="94" t="n">
        <v>37530</v>
      </c>
      <c r="B659" t="n">
        <v>1.25</v>
      </c>
      <c r="C659" t="n">
        <v>1.75</v>
      </c>
      <c r="D659" t="n">
        <v>5699.6</v>
      </c>
    </row>
    <row r="660">
      <c r="A660" s="94" t="n">
        <v>37561</v>
      </c>
      <c r="B660" t="n">
        <v>0.83</v>
      </c>
      <c r="C660" t="n">
        <v>1.34</v>
      </c>
      <c r="D660" t="n">
        <v>5749.7</v>
      </c>
    </row>
    <row r="661">
      <c r="A661" s="94" t="n">
        <v>37591</v>
      </c>
      <c r="B661" t="n">
        <v>0.75</v>
      </c>
      <c r="C661" t="n">
        <v>1.24</v>
      </c>
      <c r="D661" t="n">
        <v>5770.9</v>
      </c>
    </row>
    <row r="662">
      <c r="A662" s="94" t="n">
        <v>37622</v>
      </c>
      <c r="B662" t="n">
        <v>2.25</v>
      </c>
      <c r="C662" t="n">
        <v>1.24</v>
      </c>
      <c r="D662" t="n">
        <v>5803.5</v>
      </c>
    </row>
    <row r="663">
      <c r="A663" s="94" t="n">
        <v>37653</v>
      </c>
      <c r="B663" t="n">
        <v>2.25</v>
      </c>
      <c r="C663" t="n">
        <v>1.26</v>
      </c>
      <c r="D663" t="n">
        <v>5839.5</v>
      </c>
    </row>
    <row r="664">
      <c r="A664" s="94" t="n">
        <v>37681</v>
      </c>
      <c r="B664" t="n">
        <v>2.25</v>
      </c>
      <c r="C664" t="n">
        <v>1.25</v>
      </c>
      <c r="D664" t="n">
        <v>5860.3</v>
      </c>
    </row>
    <row r="665">
      <c r="A665" s="94" t="n">
        <v>37712</v>
      </c>
      <c r="B665" t="n">
        <v>2.25</v>
      </c>
      <c r="C665" t="n">
        <v>1.26</v>
      </c>
      <c r="D665" t="n">
        <v>5897.7</v>
      </c>
    </row>
    <row r="666">
      <c r="A666" s="94" t="n">
        <v>37742</v>
      </c>
      <c r="B666" t="n">
        <v>2.25</v>
      </c>
      <c r="C666" t="n">
        <v>1.26</v>
      </c>
      <c r="D666" t="n">
        <v>5958</v>
      </c>
    </row>
    <row r="667">
      <c r="A667" s="94" t="n">
        <v>37773</v>
      </c>
      <c r="B667" t="n">
        <v>2</v>
      </c>
      <c r="C667" t="n">
        <v>1.22</v>
      </c>
      <c r="D667" t="n">
        <v>5994.7</v>
      </c>
    </row>
    <row r="668">
      <c r="A668" s="94" t="n">
        <v>37803</v>
      </c>
      <c r="B668" t="n">
        <v>2</v>
      </c>
      <c r="C668" t="n">
        <v>1.01</v>
      </c>
      <c r="D668" t="n">
        <v>6041.4</v>
      </c>
    </row>
    <row r="669">
      <c r="A669" s="94" t="n">
        <v>37834</v>
      </c>
      <c r="B669" t="n">
        <v>2</v>
      </c>
      <c r="C669" t="n">
        <v>1.03</v>
      </c>
      <c r="D669" t="n">
        <v>6099.5</v>
      </c>
    </row>
    <row r="670">
      <c r="A670" s="94" t="n">
        <v>37865</v>
      </c>
      <c r="B670" t="n">
        <v>2</v>
      </c>
      <c r="C670" t="n">
        <v>1.01</v>
      </c>
      <c r="D670" t="n">
        <v>6071.6</v>
      </c>
    </row>
    <row r="671">
      <c r="A671" s="94" t="n">
        <v>37895</v>
      </c>
      <c r="B671" t="n">
        <v>2</v>
      </c>
      <c r="C671" t="n">
        <v>1.01</v>
      </c>
      <c r="D671" t="n">
        <v>6062.5</v>
      </c>
    </row>
    <row r="672">
      <c r="A672" s="94" t="n">
        <v>37926</v>
      </c>
      <c r="B672" t="n">
        <v>2</v>
      </c>
      <c r="C672" t="n">
        <v>1</v>
      </c>
      <c r="D672" t="n">
        <v>6067.7</v>
      </c>
    </row>
    <row r="673">
      <c r="A673" s="94" t="n">
        <v>37956</v>
      </c>
      <c r="B673" t="n">
        <v>2</v>
      </c>
      <c r="C673" t="n">
        <v>0.98</v>
      </c>
      <c r="D673" t="n">
        <v>6065.9</v>
      </c>
    </row>
    <row r="674">
      <c r="A674" s="94" t="n">
        <v>37987</v>
      </c>
      <c r="B674" t="n">
        <v>2</v>
      </c>
      <c r="C674" t="n">
        <v>1</v>
      </c>
      <c r="D674" t="n">
        <v>6074.4</v>
      </c>
    </row>
    <row r="675">
      <c r="A675" s="94" t="n">
        <v>38018</v>
      </c>
      <c r="B675" t="n">
        <v>2</v>
      </c>
      <c r="C675" t="n">
        <v>1.01</v>
      </c>
      <c r="D675" t="n">
        <v>6113.2</v>
      </c>
    </row>
    <row r="676">
      <c r="A676" s="94" t="n">
        <v>38047</v>
      </c>
      <c r="B676" t="n">
        <v>2</v>
      </c>
      <c r="C676" t="n">
        <v>1</v>
      </c>
      <c r="D676" t="n">
        <v>6149</v>
      </c>
    </row>
    <row r="677">
      <c r="A677" s="94" t="n">
        <v>38078</v>
      </c>
      <c r="B677" t="n">
        <v>2</v>
      </c>
      <c r="C677" t="n">
        <v>1</v>
      </c>
      <c r="D677" t="n">
        <v>6190.2</v>
      </c>
    </row>
    <row r="678">
      <c r="A678" s="94" t="n">
        <v>38108</v>
      </c>
      <c r="B678" t="n">
        <v>2</v>
      </c>
      <c r="C678" t="n">
        <v>1</v>
      </c>
      <c r="D678" t="n">
        <v>6267</v>
      </c>
    </row>
    <row r="679">
      <c r="A679" s="94" t="n">
        <v>38139</v>
      </c>
      <c r="B679" t="n">
        <v>2.25</v>
      </c>
      <c r="C679" t="n">
        <v>1.03</v>
      </c>
      <c r="D679" t="n">
        <v>6269.4</v>
      </c>
    </row>
    <row r="680">
      <c r="A680" s="94" t="n">
        <v>38169</v>
      </c>
      <c r="B680" t="n">
        <v>2.25</v>
      </c>
      <c r="C680" t="n">
        <v>1.26</v>
      </c>
      <c r="D680" t="n">
        <v>6283.1</v>
      </c>
    </row>
    <row r="681">
      <c r="A681" s="94" t="n">
        <v>38200</v>
      </c>
      <c r="B681" t="n">
        <v>2.5</v>
      </c>
      <c r="C681" t="n">
        <v>1.43</v>
      </c>
      <c r="D681" t="n">
        <v>6309.2</v>
      </c>
    </row>
    <row r="682">
      <c r="A682" s="94" t="n">
        <v>38231</v>
      </c>
      <c r="B682" t="n">
        <v>2.75</v>
      </c>
      <c r="C682" t="n">
        <v>1.61</v>
      </c>
      <c r="D682" t="n">
        <v>6343.9</v>
      </c>
    </row>
    <row r="683">
      <c r="A683" s="94" t="n">
        <v>38261</v>
      </c>
      <c r="B683" t="n">
        <v>2.75</v>
      </c>
      <c r="C683" t="n">
        <v>1.76</v>
      </c>
      <c r="D683" t="n">
        <v>6372.1</v>
      </c>
    </row>
    <row r="684">
      <c r="A684" s="94" t="n">
        <v>38292</v>
      </c>
      <c r="B684" t="n">
        <v>3</v>
      </c>
      <c r="C684" t="n">
        <v>1.93</v>
      </c>
      <c r="D684" t="n">
        <v>6398.7</v>
      </c>
    </row>
    <row r="685">
      <c r="A685" s="94" t="n">
        <v>38322</v>
      </c>
      <c r="B685" t="n">
        <v>3.25</v>
      </c>
      <c r="C685" t="n">
        <v>2.16</v>
      </c>
      <c r="D685" t="n">
        <v>6417.2</v>
      </c>
    </row>
    <row r="686">
      <c r="A686" s="94" t="n">
        <v>38353</v>
      </c>
      <c r="B686" t="n">
        <v>3.25</v>
      </c>
      <c r="C686" t="n">
        <v>2.28</v>
      </c>
      <c r="D686" t="n">
        <v>6423.4</v>
      </c>
    </row>
    <row r="687">
      <c r="A687" s="94" t="n">
        <v>38384</v>
      </c>
      <c r="B687" t="n">
        <v>3.5</v>
      </c>
      <c r="C687" t="n">
        <v>2.5</v>
      </c>
      <c r="D687" t="n">
        <v>6431.8</v>
      </c>
    </row>
    <row r="688">
      <c r="A688" s="94" t="n">
        <v>38412</v>
      </c>
      <c r="B688" t="n">
        <v>3.75</v>
      </c>
      <c r="C688" t="n">
        <v>2.63</v>
      </c>
      <c r="D688" t="n">
        <v>6440.8</v>
      </c>
    </row>
    <row r="689">
      <c r="A689" s="94" t="n">
        <v>38443</v>
      </c>
      <c r="B689" t="n">
        <v>3.75</v>
      </c>
      <c r="C689" t="n">
        <v>2.79</v>
      </c>
      <c r="D689" t="n">
        <v>6454.7</v>
      </c>
    </row>
    <row r="690">
      <c r="A690" s="94" t="n">
        <v>38473</v>
      </c>
      <c r="B690" t="n">
        <v>4</v>
      </c>
      <c r="C690" t="n">
        <v>3</v>
      </c>
      <c r="D690" t="n">
        <v>6472</v>
      </c>
    </row>
    <row r="691">
      <c r="A691" s="94" t="n">
        <v>38504</v>
      </c>
      <c r="B691" t="n">
        <v>4.25</v>
      </c>
      <c r="C691" t="n">
        <v>3.04</v>
      </c>
      <c r="D691" t="n">
        <v>6504.4</v>
      </c>
    </row>
    <row r="692">
      <c r="A692" s="94" t="n">
        <v>38534</v>
      </c>
      <c r="B692" t="n">
        <v>4.25</v>
      </c>
      <c r="C692" t="n">
        <v>3.26</v>
      </c>
      <c r="D692" t="n">
        <v>6536</v>
      </c>
    </row>
    <row r="693">
      <c r="A693" s="94" t="n">
        <v>38565</v>
      </c>
      <c r="B693" t="n">
        <v>4.5</v>
      </c>
      <c r="C693" t="n">
        <v>3.5</v>
      </c>
      <c r="D693" t="n">
        <v>6568.7</v>
      </c>
    </row>
    <row r="694">
      <c r="A694" s="94" t="n">
        <v>38596</v>
      </c>
      <c r="B694" t="n">
        <v>4.75</v>
      </c>
      <c r="C694" t="n">
        <v>3.62</v>
      </c>
      <c r="D694" t="n">
        <v>6602.9</v>
      </c>
    </row>
    <row r="695">
      <c r="A695" s="94" t="n">
        <v>38626</v>
      </c>
      <c r="B695" t="n">
        <v>4.75</v>
      </c>
      <c r="C695" t="n">
        <v>3.78</v>
      </c>
      <c r="D695" t="n">
        <v>6637</v>
      </c>
    </row>
    <row r="696">
      <c r="A696" s="94" t="n">
        <v>38657</v>
      </c>
      <c r="B696" t="n">
        <v>5</v>
      </c>
      <c r="C696" t="n">
        <v>4</v>
      </c>
      <c r="D696" t="n">
        <v>6653.4</v>
      </c>
    </row>
    <row r="697">
      <c r="A697" s="94" t="n">
        <v>38687</v>
      </c>
      <c r="B697" t="n">
        <v>5.25</v>
      </c>
      <c r="C697" t="n">
        <v>4.16</v>
      </c>
      <c r="D697" t="n">
        <v>6680.1</v>
      </c>
    </row>
    <row r="698">
      <c r="A698" s="94" t="n">
        <v>38718</v>
      </c>
      <c r="B698" t="n">
        <v>5.5</v>
      </c>
      <c r="C698" t="n">
        <v>4.29</v>
      </c>
      <c r="D698" t="n">
        <v>6722.5</v>
      </c>
    </row>
    <row r="699">
      <c r="A699" s="94" t="n">
        <v>38749</v>
      </c>
      <c r="B699" t="n">
        <v>5.5</v>
      </c>
      <c r="C699" t="n">
        <v>4.49</v>
      </c>
      <c r="D699" t="n">
        <v>6746.8</v>
      </c>
    </row>
    <row r="700">
      <c r="A700" s="94" t="n">
        <v>38777</v>
      </c>
      <c r="B700" t="n">
        <v>5.75</v>
      </c>
      <c r="C700" t="n">
        <v>4.59</v>
      </c>
      <c r="D700" t="n">
        <v>6761.1</v>
      </c>
    </row>
    <row r="701">
      <c r="A701" s="94" t="n">
        <v>38808</v>
      </c>
      <c r="B701" t="n">
        <v>5.75</v>
      </c>
      <c r="C701" t="n">
        <v>4.79</v>
      </c>
      <c r="D701" t="n">
        <v>6798.5</v>
      </c>
    </row>
    <row r="702">
      <c r="A702" s="94" t="n">
        <v>38838</v>
      </c>
      <c r="B702" t="n">
        <v>6</v>
      </c>
      <c r="C702" t="n">
        <v>4.94</v>
      </c>
      <c r="D702" t="n">
        <v>6805.2</v>
      </c>
    </row>
    <row r="703">
      <c r="A703" s="94" t="n">
        <v>38869</v>
      </c>
      <c r="B703" t="n">
        <v>6.25</v>
      </c>
      <c r="C703" t="n">
        <v>4.99</v>
      </c>
      <c r="D703" t="n">
        <v>6843.2</v>
      </c>
    </row>
    <row r="704">
      <c r="A704" s="94" t="n">
        <v>38899</v>
      </c>
      <c r="B704" t="n">
        <v>6.25</v>
      </c>
      <c r="C704" t="n">
        <v>5.24</v>
      </c>
      <c r="D704" t="n">
        <v>6884.6</v>
      </c>
    </row>
    <row r="705">
      <c r="A705" s="94" t="n">
        <v>38930</v>
      </c>
      <c r="B705" t="n">
        <v>6.25</v>
      </c>
      <c r="C705" t="n">
        <v>5.25</v>
      </c>
      <c r="D705" t="n">
        <v>6915.4</v>
      </c>
    </row>
    <row r="706">
      <c r="A706" s="94" t="n">
        <v>38961</v>
      </c>
      <c r="B706" t="n">
        <v>6.25</v>
      </c>
      <c r="C706" t="n">
        <v>5.25</v>
      </c>
      <c r="D706" t="n">
        <v>6942.6</v>
      </c>
    </row>
    <row r="707">
      <c r="A707" s="94" t="n">
        <v>38991</v>
      </c>
      <c r="B707" t="n">
        <v>6.25</v>
      </c>
      <c r="C707" t="n">
        <v>5.25</v>
      </c>
      <c r="D707" t="n">
        <v>6991.6</v>
      </c>
    </row>
    <row r="708">
      <c r="A708" s="94" t="n">
        <v>39022</v>
      </c>
      <c r="B708" t="n">
        <v>6.25</v>
      </c>
      <c r="C708" t="n">
        <v>5.25</v>
      </c>
      <c r="D708" t="n">
        <v>7026.5</v>
      </c>
    </row>
    <row r="709">
      <c r="A709" s="94" t="n">
        <v>39052</v>
      </c>
      <c r="B709" t="n">
        <v>6.25</v>
      </c>
      <c r="C709" t="n">
        <v>5.24</v>
      </c>
      <c r="D709" t="n">
        <v>7069.5</v>
      </c>
    </row>
    <row r="710">
      <c r="A710" s="94" t="n">
        <v>39083</v>
      </c>
      <c r="B710" t="n">
        <v>6.25</v>
      </c>
      <c r="C710" t="n">
        <v>5.25</v>
      </c>
      <c r="D710" t="n">
        <v>7107.4</v>
      </c>
    </row>
    <row r="711">
      <c r="A711" s="94" t="n">
        <v>39114</v>
      </c>
      <c r="B711" t="n">
        <v>6.25</v>
      </c>
      <c r="C711" t="n">
        <v>5.26</v>
      </c>
      <c r="D711" t="n">
        <v>7123.2</v>
      </c>
    </row>
    <row r="712">
      <c r="A712" s="94" t="n">
        <v>39142</v>
      </c>
      <c r="B712" t="n">
        <v>6.25</v>
      </c>
      <c r="C712" t="n">
        <v>5.26</v>
      </c>
      <c r="D712" t="n">
        <v>7156.9</v>
      </c>
    </row>
    <row r="713">
      <c r="A713" s="94" t="n">
        <v>39173</v>
      </c>
      <c r="B713" t="n">
        <v>6.25</v>
      </c>
      <c r="C713" t="n">
        <v>5.25</v>
      </c>
      <c r="D713" t="n">
        <v>7229.3</v>
      </c>
    </row>
    <row r="714">
      <c r="A714" s="94" t="n">
        <v>39203</v>
      </c>
      <c r="B714" t="n">
        <v>6.25</v>
      </c>
      <c r="C714" t="n">
        <v>5.25</v>
      </c>
      <c r="D714" t="n">
        <v>7243.2</v>
      </c>
    </row>
    <row r="715">
      <c r="A715" s="94" t="n">
        <v>39234</v>
      </c>
      <c r="B715" t="n">
        <v>6.25</v>
      </c>
      <c r="C715" t="n">
        <v>5.25</v>
      </c>
      <c r="D715" t="n">
        <v>7276.3</v>
      </c>
    </row>
    <row r="716">
      <c r="A716" s="94" t="n">
        <v>39264</v>
      </c>
      <c r="B716" t="n">
        <v>6.25</v>
      </c>
      <c r="C716" t="n">
        <v>5.26</v>
      </c>
      <c r="D716" t="n">
        <v>7306.6</v>
      </c>
    </row>
    <row r="717">
      <c r="A717" s="94" t="n">
        <v>39295</v>
      </c>
      <c r="B717" t="n">
        <v>5.75</v>
      </c>
      <c r="C717" t="n">
        <v>5.02</v>
      </c>
      <c r="D717" t="n">
        <v>7382.8</v>
      </c>
    </row>
    <row r="718">
      <c r="A718" s="94" t="n">
        <v>39326</v>
      </c>
      <c r="B718" t="n">
        <v>5.25</v>
      </c>
      <c r="C718" t="n">
        <v>4.94</v>
      </c>
      <c r="D718" t="n">
        <v>7401.1</v>
      </c>
    </row>
    <row r="719">
      <c r="A719" s="94" t="n">
        <v>39356</v>
      </c>
      <c r="B719" t="n">
        <v>5</v>
      </c>
      <c r="C719" t="n">
        <v>4.76</v>
      </c>
      <c r="D719" t="n">
        <v>7414.8</v>
      </c>
    </row>
    <row r="720">
      <c r="A720" s="94" t="n">
        <v>39387</v>
      </c>
      <c r="B720" t="n">
        <v>5</v>
      </c>
      <c r="C720" t="n">
        <v>4.49</v>
      </c>
      <c r="D720" t="n">
        <v>7439.6</v>
      </c>
    </row>
    <row r="721">
      <c r="A721" s="94" t="n">
        <v>39417</v>
      </c>
      <c r="B721" t="n">
        <v>4.75</v>
      </c>
      <c r="C721" t="n">
        <v>4.24</v>
      </c>
      <c r="D721" t="n">
        <v>7469.4</v>
      </c>
    </row>
    <row r="722">
      <c r="A722" s="94" t="n">
        <v>39448</v>
      </c>
      <c r="B722" t="n">
        <v>3.5</v>
      </c>
      <c r="C722" t="n">
        <v>3.94</v>
      </c>
      <c r="D722" t="n">
        <v>7503.1</v>
      </c>
    </row>
    <row r="723">
      <c r="A723" s="94" t="n">
        <v>39479</v>
      </c>
      <c r="B723" t="n">
        <v>3.5</v>
      </c>
      <c r="C723" t="n">
        <v>2.98</v>
      </c>
      <c r="D723" t="n">
        <v>7587.6</v>
      </c>
    </row>
    <row r="724">
      <c r="A724" s="94" t="n">
        <v>39508</v>
      </c>
      <c r="B724" t="n">
        <v>2.5</v>
      </c>
      <c r="C724" t="n">
        <v>2.61</v>
      </c>
      <c r="D724" t="n">
        <v>7653.3</v>
      </c>
    </row>
    <row r="725">
      <c r="A725" s="94" t="n">
        <v>39539</v>
      </c>
      <c r="B725" t="n">
        <v>2.25</v>
      </c>
      <c r="C725" t="n">
        <v>2.28</v>
      </c>
      <c r="D725" t="n">
        <v>7696.1</v>
      </c>
    </row>
    <row r="726">
      <c r="A726" s="94" t="n">
        <v>39569</v>
      </c>
      <c r="B726" t="n">
        <v>2.25</v>
      </c>
      <c r="C726" t="n">
        <v>1.98</v>
      </c>
      <c r="D726" t="n">
        <v>7708.3</v>
      </c>
    </row>
    <row r="727">
      <c r="A727" s="94" t="n">
        <v>39600</v>
      </c>
      <c r="B727" t="n">
        <v>2.25</v>
      </c>
      <c r="C727" t="n">
        <v>2</v>
      </c>
      <c r="D727" t="n">
        <v>7725.8</v>
      </c>
    </row>
    <row r="728">
      <c r="A728" s="94" t="n">
        <v>39630</v>
      </c>
      <c r="B728" t="n">
        <v>2.25</v>
      </c>
      <c r="C728" t="n">
        <v>2.01</v>
      </c>
      <c r="D728" t="n">
        <v>7772.1</v>
      </c>
    </row>
    <row r="729">
      <c r="A729" s="94" t="n">
        <v>39661</v>
      </c>
      <c r="B729" t="n">
        <v>2.25</v>
      </c>
      <c r="C729" t="n">
        <v>2</v>
      </c>
      <c r="D729" t="n">
        <v>7787</v>
      </c>
    </row>
    <row r="730">
      <c r="A730" s="94" t="n">
        <v>39692</v>
      </c>
      <c r="B730" t="n">
        <v>2.25</v>
      </c>
      <c r="C730" t="n">
        <v>1.81</v>
      </c>
      <c r="D730" t="n">
        <v>7856.5</v>
      </c>
    </row>
    <row r="731">
      <c r="A731" s="94" t="n">
        <v>39722</v>
      </c>
      <c r="B731" t="n">
        <v>1.25</v>
      </c>
      <c r="C731" t="n">
        <v>0.97</v>
      </c>
      <c r="D731" t="n">
        <v>7963.1</v>
      </c>
    </row>
    <row r="732">
      <c r="A732" s="94" t="n">
        <v>39753</v>
      </c>
      <c r="B732" t="n">
        <v>1.25</v>
      </c>
      <c r="C732" t="n">
        <v>0.39</v>
      </c>
      <c r="D732" t="n">
        <v>8013.5</v>
      </c>
    </row>
    <row r="733">
      <c r="A733" s="94" t="n">
        <v>39783</v>
      </c>
      <c r="B733" t="n">
        <v>0.5</v>
      </c>
      <c r="C733" t="n">
        <v>0.16</v>
      </c>
      <c r="D733" t="n">
        <v>8189.7</v>
      </c>
    </row>
    <row r="734">
      <c r="A734" s="94" t="n">
        <v>39814</v>
      </c>
      <c r="B734" t="n">
        <v>0.5</v>
      </c>
      <c r="C734" t="n">
        <v>0.15</v>
      </c>
      <c r="D734" t="n">
        <v>8271.200000000001</v>
      </c>
    </row>
    <row r="735">
      <c r="A735" s="94" t="n">
        <v>39845</v>
      </c>
      <c r="B735" t="n">
        <v>0.5</v>
      </c>
      <c r="C735" t="n">
        <v>0.22</v>
      </c>
      <c r="D735" t="n">
        <v>8300.5</v>
      </c>
    </row>
    <row r="736">
      <c r="A736" s="94" t="n">
        <v>39873</v>
      </c>
      <c r="B736" t="n">
        <v>0.5</v>
      </c>
      <c r="C736" t="n">
        <v>0.18</v>
      </c>
      <c r="D736" t="n">
        <v>8366.5</v>
      </c>
    </row>
    <row r="737">
      <c r="A737" s="94" t="n">
        <v>39904</v>
      </c>
      <c r="B737" t="n">
        <v>0.5</v>
      </c>
      <c r="C737" t="n">
        <v>0.15</v>
      </c>
      <c r="D737" t="n">
        <v>8369.9</v>
      </c>
    </row>
    <row r="738">
      <c r="A738" s="94" t="n">
        <v>39934</v>
      </c>
      <c r="B738" t="n">
        <v>0.5</v>
      </c>
      <c r="C738" t="n">
        <v>0.18</v>
      </c>
      <c r="D738" t="n">
        <v>8427.6</v>
      </c>
    </row>
    <row r="739">
      <c r="A739" s="94" t="n">
        <v>39965</v>
      </c>
      <c r="B739" t="n">
        <v>0.5</v>
      </c>
      <c r="C739" t="n">
        <v>0.21</v>
      </c>
      <c r="D739" t="n">
        <v>8437.200000000001</v>
      </c>
    </row>
    <row r="740">
      <c r="A740" s="94" t="n">
        <v>39995</v>
      </c>
      <c r="B740" t="n">
        <v>0.5</v>
      </c>
      <c r="C740" t="n">
        <v>0.16</v>
      </c>
      <c r="D740" t="n">
        <v>8442</v>
      </c>
    </row>
    <row r="741">
      <c r="A741" s="94" t="n">
        <v>40026</v>
      </c>
      <c r="B741" t="n">
        <v>0.5</v>
      </c>
      <c r="C741" t="n">
        <v>0.16</v>
      </c>
      <c r="D741" t="n">
        <v>8441.799999999999</v>
      </c>
    </row>
    <row r="742">
      <c r="A742" s="94" t="n">
        <v>40057</v>
      </c>
      <c r="B742" t="n">
        <v>0.5</v>
      </c>
      <c r="C742" t="n">
        <v>0.15</v>
      </c>
      <c r="D742" t="n">
        <v>8441.1</v>
      </c>
    </row>
    <row r="743">
      <c r="A743" s="94" t="n">
        <v>40087</v>
      </c>
      <c r="B743" t="n">
        <v>0.5</v>
      </c>
      <c r="C743" t="n">
        <v>0.12</v>
      </c>
      <c r="D743" t="n">
        <v>8468.1</v>
      </c>
    </row>
    <row r="744">
      <c r="A744" s="94" t="n">
        <v>40118</v>
      </c>
      <c r="B744" t="n">
        <v>0.5</v>
      </c>
      <c r="C744" t="n">
        <v>0.12</v>
      </c>
      <c r="D744" t="n">
        <v>8498.200000000001</v>
      </c>
    </row>
    <row r="745">
      <c r="A745" s="94" t="n">
        <v>40148</v>
      </c>
      <c r="B745" t="n">
        <v>0.5</v>
      </c>
      <c r="C745" t="n">
        <v>0.12</v>
      </c>
      <c r="D745" t="n">
        <v>8493.1</v>
      </c>
    </row>
    <row r="746">
      <c r="A746" s="94" t="n">
        <v>40179</v>
      </c>
      <c r="B746" t="n">
        <v>0.5</v>
      </c>
      <c r="C746" t="n">
        <v>0.11</v>
      </c>
      <c r="D746" t="n">
        <v>8455.4</v>
      </c>
    </row>
    <row r="747">
      <c r="A747" s="94" t="n">
        <v>40210</v>
      </c>
      <c r="B747" t="n">
        <v>0.75</v>
      </c>
      <c r="C747" t="n">
        <v>0.13</v>
      </c>
      <c r="D747" t="n">
        <v>8505.1</v>
      </c>
    </row>
    <row r="748">
      <c r="A748" s="94" t="n">
        <v>40238</v>
      </c>
      <c r="B748" t="n">
        <v>0.75</v>
      </c>
      <c r="C748" t="n">
        <v>0.16</v>
      </c>
      <c r="D748" t="n">
        <v>8502.200000000001</v>
      </c>
    </row>
    <row r="749">
      <c r="A749" s="94" t="n">
        <v>40269</v>
      </c>
      <c r="B749" t="n">
        <v>0.75</v>
      </c>
      <c r="C749" t="n">
        <v>0.2</v>
      </c>
      <c r="D749" t="n">
        <v>8532.799999999999</v>
      </c>
    </row>
    <row r="750">
      <c r="A750" s="94" t="n">
        <v>40299</v>
      </c>
      <c r="B750" t="n">
        <v>0.75</v>
      </c>
      <c r="C750" t="n">
        <v>0.2</v>
      </c>
      <c r="D750" t="n">
        <v>8587.700000000001</v>
      </c>
    </row>
    <row r="751">
      <c r="A751" s="94" t="n">
        <v>40330</v>
      </c>
      <c r="B751" t="n">
        <v>0.75</v>
      </c>
      <c r="C751" t="n">
        <v>0.18</v>
      </c>
      <c r="D751" t="n">
        <v>8606.700000000001</v>
      </c>
    </row>
    <row r="752">
      <c r="A752" s="94" t="n">
        <v>40360</v>
      </c>
      <c r="B752" t="n">
        <v>0.75</v>
      </c>
      <c r="C752" t="n">
        <v>0.18</v>
      </c>
      <c r="D752" t="n">
        <v>8616.299999999999</v>
      </c>
    </row>
    <row r="753">
      <c r="A753" s="94" t="n">
        <v>40391</v>
      </c>
      <c r="B753" t="n">
        <v>0.75</v>
      </c>
      <c r="C753" t="n">
        <v>0.19</v>
      </c>
      <c r="D753" t="n">
        <v>8666.700000000001</v>
      </c>
    </row>
    <row r="754">
      <c r="A754" s="94" t="n">
        <v>40422</v>
      </c>
      <c r="B754" t="n">
        <v>0.75</v>
      </c>
      <c r="C754" t="n">
        <v>0.19</v>
      </c>
      <c r="D754" t="n">
        <v>8697.799999999999</v>
      </c>
    </row>
    <row r="755">
      <c r="A755" s="94" t="n">
        <v>40452</v>
      </c>
      <c r="B755" t="n">
        <v>0.75</v>
      </c>
      <c r="C755" t="n">
        <v>0.19</v>
      </c>
      <c r="D755" t="n">
        <v>8746.9</v>
      </c>
    </row>
    <row r="756">
      <c r="A756" s="94" t="n">
        <v>40483</v>
      </c>
      <c r="B756" t="n">
        <v>0.75</v>
      </c>
      <c r="C756" t="n">
        <v>0.19</v>
      </c>
      <c r="D756" t="n">
        <v>8767.700000000001</v>
      </c>
    </row>
    <row r="757">
      <c r="A757" s="94" t="n">
        <v>40513</v>
      </c>
      <c r="B757" t="n">
        <v>0.75</v>
      </c>
      <c r="C757" t="n">
        <v>0.18</v>
      </c>
      <c r="D757" t="n">
        <v>8799.4</v>
      </c>
    </row>
    <row r="758">
      <c r="A758" s="94" t="n">
        <v>40544</v>
      </c>
      <c r="B758" t="n">
        <v>0.75</v>
      </c>
      <c r="C758" t="n">
        <v>0.17</v>
      </c>
      <c r="D758" t="n">
        <v>8820.4</v>
      </c>
    </row>
    <row r="759">
      <c r="A759" s="94" t="n">
        <v>40575</v>
      </c>
      <c r="B759" t="n">
        <v>0.75</v>
      </c>
      <c r="C759" t="n">
        <v>0.16</v>
      </c>
      <c r="D759" t="n">
        <v>8884.200000000001</v>
      </c>
    </row>
    <row r="760">
      <c r="A760" s="94" t="n">
        <v>40603</v>
      </c>
      <c r="B760" t="n">
        <v>0.75</v>
      </c>
      <c r="C760" t="n">
        <v>0.14</v>
      </c>
      <c r="D760" t="n">
        <v>8940.6</v>
      </c>
    </row>
    <row r="761">
      <c r="A761" s="94" t="n">
        <v>40634</v>
      </c>
      <c r="B761" t="n">
        <v>0.75</v>
      </c>
      <c r="C761" t="n">
        <v>0.1</v>
      </c>
      <c r="D761" t="n">
        <v>9002.1</v>
      </c>
    </row>
    <row r="762">
      <c r="A762" s="94" t="n">
        <v>40664</v>
      </c>
      <c r="B762" t="n">
        <v>0.75</v>
      </c>
      <c r="C762" t="n">
        <v>0.09</v>
      </c>
      <c r="D762" t="n">
        <v>9072.700000000001</v>
      </c>
    </row>
    <row r="763">
      <c r="A763" s="94" t="n">
        <v>40695</v>
      </c>
      <c r="B763" t="n">
        <v>0.75</v>
      </c>
      <c r="C763" t="n">
        <v>0.09</v>
      </c>
      <c r="D763" t="n">
        <v>9148.4</v>
      </c>
    </row>
    <row r="764">
      <c r="A764" s="94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94" t="n">
        <v>40756</v>
      </c>
      <c r="B765" t="n">
        <v>0.75</v>
      </c>
      <c r="C765" t="n">
        <v>0.1</v>
      </c>
      <c r="D765" t="n">
        <v>9505</v>
      </c>
    </row>
    <row r="766">
      <c r="A766" s="94" t="n">
        <v>40787</v>
      </c>
      <c r="B766" t="n">
        <v>0.75</v>
      </c>
      <c r="C766" t="n">
        <v>0.08</v>
      </c>
      <c r="D766" t="n">
        <v>9525.799999999999</v>
      </c>
    </row>
    <row r="767">
      <c r="A767" s="94" t="n">
        <v>40817</v>
      </c>
      <c r="B767" t="n">
        <v>0.75</v>
      </c>
      <c r="C767" t="n">
        <v>0.07000000000000001</v>
      </c>
      <c r="D767" t="n">
        <v>9559.5</v>
      </c>
    </row>
    <row r="768">
      <c r="A768" s="94" t="n">
        <v>40848</v>
      </c>
      <c r="B768" t="n">
        <v>0.75</v>
      </c>
      <c r="C768" t="n">
        <v>0.08</v>
      </c>
      <c r="D768" t="n">
        <v>9610.1</v>
      </c>
    </row>
    <row r="769">
      <c r="A769" s="94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94" t="n">
        <v>40909</v>
      </c>
      <c r="B770" t="n">
        <v>0.75</v>
      </c>
      <c r="C770" t="n">
        <v>0.08</v>
      </c>
      <c r="D770" t="n">
        <v>9731.5</v>
      </c>
    </row>
    <row r="771">
      <c r="A771" s="94" t="n">
        <v>40940</v>
      </c>
      <c r="B771" t="n">
        <v>0.75</v>
      </c>
      <c r="C771" t="n">
        <v>0.1</v>
      </c>
      <c r="D771" t="n">
        <v>9789.299999999999</v>
      </c>
    </row>
    <row r="772">
      <c r="A772" s="94" t="n">
        <v>40969</v>
      </c>
      <c r="B772" t="n">
        <v>0.75</v>
      </c>
      <c r="C772" t="n">
        <v>0.13</v>
      </c>
      <c r="D772" t="n">
        <v>9837.1</v>
      </c>
    </row>
    <row r="773">
      <c r="A773" s="94" t="n">
        <v>41000</v>
      </c>
      <c r="B773" t="n">
        <v>0.75</v>
      </c>
      <c r="C773" t="n">
        <v>0.14</v>
      </c>
      <c r="D773" t="n">
        <v>9889.9</v>
      </c>
    </row>
    <row r="774">
      <c r="A774" s="94" t="n">
        <v>41030</v>
      </c>
      <c r="B774" t="n">
        <v>0.75</v>
      </c>
      <c r="C774" t="n">
        <v>0.16</v>
      </c>
      <c r="D774" t="n">
        <v>9934.6</v>
      </c>
    </row>
    <row r="775">
      <c r="A775" s="94" t="n">
        <v>41061</v>
      </c>
      <c r="B775" t="n">
        <v>0.75</v>
      </c>
      <c r="C775" t="n">
        <v>0.16</v>
      </c>
      <c r="D775" t="n">
        <v>9998.1</v>
      </c>
    </row>
    <row r="776">
      <c r="A776" s="94" t="n">
        <v>41091</v>
      </c>
      <c r="B776" t="n">
        <v>0.75</v>
      </c>
      <c r="C776" t="n">
        <v>0.16</v>
      </c>
      <c r="D776" t="n">
        <v>10055.3</v>
      </c>
    </row>
    <row r="777">
      <c r="A777" s="94" t="n">
        <v>41122</v>
      </c>
      <c r="B777" t="n">
        <v>0.75</v>
      </c>
      <c r="C777" t="n">
        <v>0.13</v>
      </c>
      <c r="D777" t="n">
        <v>10115.2</v>
      </c>
    </row>
    <row r="778">
      <c r="A778" s="94" t="n">
        <v>41153</v>
      </c>
      <c r="B778" t="n">
        <v>0.75</v>
      </c>
      <c r="C778" t="n">
        <v>0.14</v>
      </c>
      <c r="D778" t="n">
        <v>10193.1</v>
      </c>
    </row>
    <row r="779">
      <c r="A779" s="94" t="n">
        <v>41183</v>
      </c>
      <c r="B779" t="n">
        <v>0.75</v>
      </c>
      <c r="C779" t="n">
        <v>0.16</v>
      </c>
      <c r="D779" t="n">
        <v>10256.5</v>
      </c>
    </row>
    <row r="780">
      <c r="A780" s="94" t="n">
        <v>41214</v>
      </c>
      <c r="B780" t="n">
        <v>0.75</v>
      </c>
      <c r="C780" t="n">
        <v>0.16</v>
      </c>
      <c r="D780" t="n">
        <v>10319.8</v>
      </c>
    </row>
    <row r="781">
      <c r="A781" s="94" t="n">
        <v>41244</v>
      </c>
      <c r="B781" t="n">
        <v>0.75</v>
      </c>
      <c r="C781" t="n">
        <v>0.16</v>
      </c>
      <c r="D781" t="n">
        <v>10451.5</v>
      </c>
    </row>
    <row r="782">
      <c r="A782" s="94" t="n">
        <v>41275</v>
      </c>
      <c r="B782" t="n">
        <v>0.75</v>
      </c>
      <c r="C782" t="n">
        <v>0.14</v>
      </c>
      <c r="D782" t="n">
        <v>10477</v>
      </c>
    </row>
    <row r="783">
      <c r="A783" s="94" t="n">
        <v>41306</v>
      </c>
      <c r="B783" t="n">
        <v>0.75</v>
      </c>
      <c r="C783" t="n">
        <v>0.15</v>
      </c>
      <c r="D783" t="n">
        <v>10489.1</v>
      </c>
    </row>
    <row r="784">
      <c r="A784" s="94" t="n">
        <v>41334</v>
      </c>
      <c r="B784" t="n">
        <v>0.75</v>
      </c>
      <c r="C784" t="n">
        <v>0.14</v>
      </c>
      <c r="D784" t="n">
        <v>10555.8</v>
      </c>
    </row>
    <row r="785">
      <c r="A785" s="94" t="n">
        <v>41365</v>
      </c>
      <c r="B785" t="n">
        <v>0.75</v>
      </c>
      <c r="C785" t="n">
        <v>0.15</v>
      </c>
      <c r="D785" t="n">
        <v>10590.3</v>
      </c>
    </row>
    <row r="786">
      <c r="A786" s="94" t="n">
        <v>41395</v>
      </c>
      <c r="B786" t="n">
        <v>0.75</v>
      </c>
      <c r="C786" t="n">
        <v>0.11</v>
      </c>
      <c r="D786" t="n">
        <v>10630.1</v>
      </c>
    </row>
    <row r="787">
      <c r="A787" s="94" t="n">
        <v>41426</v>
      </c>
      <c r="B787" t="n">
        <v>0.75</v>
      </c>
      <c r="C787" t="n">
        <v>0.09</v>
      </c>
      <c r="D787" t="n">
        <v>10682.5</v>
      </c>
    </row>
    <row r="788">
      <c r="A788" s="94" t="n">
        <v>41456</v>
      </c>
      <c r="B788" t="n">
        <v>0.75</v>
      </c>
      <c r="C788" t="n">
        <v>0.09</v>
      </c>
      <c r="D788" t="n">
        <v>10728.9</v>
      </c>
    </row>
    <row r="789">
      <c r="A789" s="94" t="n">
        <v>41487</v>
      </c>
      <c r="B789" t="n">
        <v>0.75</v>
      </c>
      <c r="C789" t="n">
        <v>0.08</v>
      </c>
      <c r="D789" t="n">
        <v>10783.5</v>
      </c>
    </row>
    <row r="790">
      <c r="A790" s="94" t="n">
        <v>41518</v>
      </c>
      <c r="B790" t="n">
        <v>0.75</v>
      </c>
      <c r="C790" t="n">
        <v>0.08</v>
      </c>
      <c r="D790" t="n">
        <v>10835.3</v>
      </c>
    </row>
    <row r="791">
      <c r="A791" s="94" t="n">
        <v>41548</v>
      </c>
      <c r="B791" t="n">
        <v>0.75</v>
      </c>
      <c r="C791" t="n">
        <v>0.09</v>
      </c>
      <c r="D791" t="n">
        <v>10948.7</v>
      </c>
    </row>
    <row r="792">
      <c r="A792" s="94" t="n">
        <v>41579</v>
      </c>
      <c r="B792" t="n">
        <v>0.75</v>
      </c>
      <c r="C792" t="n">
        <v>0.08</v>
      </c>
      <c r="D792" t="n">
        <v>10954.1</v>
      </c>
    </row>
    <row r="793">
      <c r="A793" s="94" t="n">
        <v>41609</v>
      </c>
      <c r="B793" t="n">
        <v>0.75</v>
      </c>
      <c r="C793" t="n">
        <v>0.09</v>
      </c>
      <c r="D793" t="n">
        <v>11020.3</v>
      </c>
    </row>
    <row r="794">
      <c r="A794" s="94" t="n">
        <v>41640</v>
      </c>
      <c r="B794" t="n">
        <v>0.75</v>
      </c>
      <c r="C794" t="n">
        <v>0.07000000000000001</v>
      </c>
      <c r="D794" t="n">
        <v>11076.6</v>
      </c>
    </row>
    <row r="795">
      <c r="A795" s="94" t="n">
        <v>41671</v>
      </c>
      <c r="B795" t="n">
        <v>0.75</v>
      </c>
      <c r="C795" t="n">
        <v>0.07000000000000001</v>
      </c>
      <c r="D795" t="n">
        <v>11169.3</v>
      </c>
    </row>
    <row r="796">
      <c r="A796" s="94" t="n">
        <v>41699</v>
      </c>
      <c r="B796" t="n">
        <v>0.75</v>
      </c>
      <c r="C796" t="n">
        <v>0.08</v>
      </c>
      <c r="D796" t="n">
        <v>11207.6</v>
      </c>
    </row>
    <row r="797">
      <c r="A797" s="94" t="n">
        <v>41730</v>
      </c>
      <c r="B797" t="n">
        <v>0.75</v>
      </c>
      <c r="C797" t="n">
        <v>0.09</v>
      </c>
      <c r="D797" t="n">
        <v>11259.8</v>
      </c>
    </row>
    <row r="798">
      <c r="A798" s="94" t="n">
        <v>41760</v>
      </c>
      <c r="B798" t="n">
        <v>0.75</v>
      </c>
      <c r="C798" t="n">
        <v>0.09</v>
      </c>
      <c r="D798" t="n">
        <v>11326.3</v>
      </c>
    </row>
    <row r="799">
      <c r="A799" s="94" t="n">
        <v>41791</v>
      </c>
      <c r="B799" t="n">
        <v>0.75</v>
      </c>
      <c r="C799" t="n">
        <v>0.1</v>
      </c>
      <c r="D799" t="n">
        <v>11377.2</v>
      </c>
    </row>
    <row r="800">
      <c r="A800" s="94" t="n">
        <v>41821</v>
      </c>
      <c r="B800" t="n">
        <v>0.75</v>
      </c>
      <c r="C800" t="n">
        <v>0.09</v>
      </c>
      <c r="D800" t="n">
        <v>11434</v>
      </c>
    </row>
    <row r="801">
      <c r="A801" s="94" t="n">
        <v>41852</v>
      </c>
      <c r="B801" t="n">
        <v>0.75</v>
      </c>
      <c r="C801" t="n">
        <v>0.09</v>
      </c>
      <c r="D801" t="n">
        <v>11462.9</v>
      </c>
    </row>
    <row r="802">
      <c r="A802" s="94" t="n">
        <v>41883</v>
      </c>
      <c r="B802" t="n">
        <v>0.75</v>
      </c>
      <c r="C802" t="n">
        <v>0.09</v>
      </c>
      <c r="D802" t="n">
        <v>11496.7</v>
      </c>
    </row>
    <row r="803">
      <c r="A803" s="94" t="n">
        <v>41913</v>
      </c>
      <c r="B803" t="n">
        <v>0.75</v>
      </c>
      <c r="C803" t="n">
        <v>0.09</v>
      </c>
      <c r="D803" t="n">
        <v>11558.6</v>
      </c>
    </row>
    <row r="804">
      <c r="A804" s="94" t="n">
        <v>41944</v>
      </c>
      <c r="B804" t="n">
        <v>0.75</v>
      </c>
      <c r="C804" t="n">
        <v>0.09</v>
      </c>
      <c r="D804" t="n">
        <v>11594.7</v>
      </c>
    </row>
    <row r="805">
      <c r="A805" s="94" t="n">
        <v>41974</v>
      </c>
      <c r="B805" t="n">
        <v>0.75</v>
      </c>
      <c r="C805" t="n">
        <v>0.12</v>
      </c>
      <c r="D805" t="n">
        <v>11674</v>
      </c>
    </row>
    <row r="806">
      <c r="A806" s="94" t="n">
        <v>42005</v>
      </c>
      <c r="B806" t="n">
        <v>0.75</v>
      </c>
      <c r="C806" t="n">
        <v>0.11</v>
      </c>
      <c r="D806" t="n">
        <v>11743.9</v>
      </c>
    </row>
    <row r="807">
      <c r="A807" s="94" t="n">
        <v>42036</v>
      </c>
      <c r="B807" t="n">
        <v>0.75</v>
      </c>
      <c r="C807" t="n">
        <v>0.11</v>
      </c>
      <c r="D807" t="n">
        <v>11871.7</v>
      </c>
    </row>
    <row r="808">
      <c r="A808" s="94" t="n">
        <v>42064</v>
      </c>
      <c r="B808" t="n">
        <v>0.75</v>
      </c>
      <c r="C808" t="n">
        <v>0.11</v>
      </c>
      <c r="D808" t="n">
        <v>11888.1</v>
      </c>
    </row>
    <row r="809">
      <c r="A809" s="94" t="n">
        <v>42095</v>
      </c>
      <c r="B809" t="n">
        <v>0.75</v>
      </c>
      <c r="C809" t="n">
        <v>0.12</v>
      </c>
      <c r="D809" t="n">
        <v>11927.6</v>
      </c>
    </row>
    <row r="810">
      <c r="A810" s="94" t="n">
        <v>42125</v>
      </c>
      <c r="B810" t="n">
        <v>0.75</v>
      </c>
      <c r="C810" t="n">
        <v>0.12</v>
      </c>
      <c r="D810" t="n">
        <v>11957.9</v>
      </c>
    </row>
    <row r="811">
      <c r="A811" s="94" t="n">
        <v>42156</v>
      </c>
      <c r="B811" t="n">
        <v>0.75</v>
      </c>
      <c r="C811" t="n">
        <v>0.13</v>
      </c>
      <c r="D811" t="n">
        <v>12002.9</v>
      </c>
    </row>
    <row r="812">
      <c r="A812" s="94" t="n">
        <v>42186</v>
      </c>
      <c r="B812" t="n">
        <v>0.75</v>
      </c>
      <c r="C812" t="n">
        <v>0.13</v>
      </c>
      <c r="D812" t="n">
        <v>12052</v>
      </c>
    </row>
    <row r="813">
      <c r="A813" s="94" t="n">
        <v>42217</v>
      </c>
      <c r="B813" t="n">
        <v>0.75</v>
      </c>
      <c r="C813" t="n">
        <v>0.14</v>
      </c>
      <c r="D813" t="n">
        <v>12100.6</v>
      </c>
    </row>
    <row r="814">
      <c r="A814" s="94" t="n">
        <v>42248</v>
      </c>
      <c r="B814" t="n">
        <v>0.75</v>
      </c>
      <c r="C814" t="n">
        <v>0.14</v>
      </c>
      <c r="D814" t="n">
        <v>12154.6</v>
      </c>
    </row>
    <row r="815">
      <c r="A815" s="94" t="n">
        <v>42278</v>
      </c>
      <c r="B815" t="n">
        <v>0.75</v>
      </c>
      <c r="C815" t="n">
        <v>0.12</v>
      </c>
      <c r="D815" t="n">
        <v>12192.5</v>
      </c>
    </row>
    <row r="816">
      <c r="A816" s="94" t="n">
        <v>42309</v>
      </c>
      <c r="B816" t="n">
        <v>0.75</v>
      </c>
      <c r="C816" t="n">
        <v>0.12</v>
      </c>
      <c r="D816" t="n">
        <v>12277</v>
      </c>
    </row>
    <row r="817">
      <c r="A817" s="94" t="n">
        <v>42339</v>
      </c>
      <c r="B817" t="n">
        <v>1</v>
      </c>
      <c r="C817" t="n">
        <v>0.24</v>
      </c>
      <c r="D817" t="n">
        <v>12340.1</v>
      </c>
    </row>
    <row r="818">
      <c r="A818" s="94" t="n">
        <v>42370</v>
      </c>
      <c r="B818" t="n">
        <v>1</v>
      </c>
      <c r="C818" t="n">
        <v>0.34</v>
      </c>
      <c r="D818" t="n">
        <v>12471.4</v>
      </c>
    </row>
    <row r="819">
      <c r="A819" s="94" t="n">
        <v>42401</v>
      </c>
      <c r="B819" t="n">
        <v>1</v>
      </c>
      <c r="C819" t="n">
        <v>0.38</v>
      </c>
      <c r="D819" t="n">
        <v>12552.3</v>
      </c>
    </row>
    <row r="820">
      <c r="A820" s="94" t="n">
        <v>42430</v>
      </c>
      <c r="B820" t="n">
        <v>1</v>
      </c>
      <c r="C820" t="n">
        <v>0.36</v>
      </c>
      <c r="D820" t="n">
        <v>12616.6</v>
      </c>
    </row>
    <row r="821">
      <c r="A821" s="94" t="n">
        <v>42461</v>
      </c>
      <c r="B821" t="n">
        <v>1</v>
      </c>
      <c r="C821" t="n">
        <v>0.37</v>
      </c>
      <c r="D821" t="n">
        <v>12697</v>
      </c>
    </row>
    <row r="822">
      <c r="A822" s="94" t="n">
        <v>42491</v>
      </c>
      <c r="B822" t="n">
        <v>1</v>
      </c>
      <c r="C822" t="n">
        <v>0.37</v>
      </c>
      <c r="D822" t="n">
        <v>12763.7</v>
      </c>
    </row>
    <row r="823">
      <c r="A823" s="94" t="n">
        <v>42522</v>
      </c>
      <c r="B823" t="n">
        <v>1</v>
      </c>
      <c r="C823" t="n">
        <v>0.38</v>
      </c>
      <c r="D823" t="n">
        <v>12830.6</v>
      </c>
    </row>
    <row r="824">
      <c r="A824" s="94" t="n">
        <v>42552</v>
      </c>
      <c r="B824" t="n">
        <v>1</v>
      </c>
      <c r="C824" t="n">
        <v>0.39</v>
      </c>
      <c r="D824" t="n">
        <v>12889.1</v>
      </c>
    </row>
    <row r="825">
      <c r="A825" s="94" t="n">
        <v>42583</v>
      </c>
      <c r="B825" t="n">
        <v>1</v>
      </c>
      <c r="C825" t="n">
        <v>0.4</v>
      </c>
      <c r="D825" t="n">
        <v>12968.2</v>
      </c>
    </row>
    <row r="826">
      <c r="A826" s="94" t="n">
        <v>42614</v>
      </c>
      <c r="B826" t="n">
        <v>1</v>
      </c>
      <c r="C826" t="n">
        <v>0.4</v>
      </c>
      <c r="D826" t="n">
        <v>13027.4</v>
      </c>
    </row>
    <row r="827">
      <c r="A827" s="94" t="n">
        <v>42644</v>
      </c>
      <c r="B827" t="n">
        <v>1</v>
      </c>
      <c r="C827" t="n">
        <v>0.4</v>
      </c>
      <c r="D827" t="n">
        <v>13099.7</v>
      </c>
    </row>
    <row r="828">
      <c r="A828" s="94" t="n">
        <v>42675</v>
      </c>
      <c r="B828" t="n">
        <v>1</v>
      </c>
      <c r="C828" t="n">
        <v>0.41</v>
      </c>
      <c r="D828" t="n">
        <v>13174.1</v>
      </c>
    </row>
    <row r="829">
      <c r="A829" s="94" t="n">
        <v>42705</v>
      </c>
      <c r="B829" t="n">
        <v>1.25</v>
      </c>
      <c r="C829" t="n">
        <v>0.54</v>
      </c>
      <c r="D829" t="n">
        <v>13214.2</v>
      </c>
    </row>
    <row r="830">
      <c r="A830" s="94" t="n">
        <v>42736</v>
      </c>
      <c r="B830" t="n">
        <v>1.25</v>
      </c>
      <c r="C830" t="n">
        <v>0.65</v>
      </c>
      <c r="D830" t="n">
        <v>13288.7</v>
      </c>
    </row>
    <row r="831">
      <c r="A831" s="94" t="n">
        <v>42767</v>
      </c>
      <c r="B831" t="n">
        <v>1.25</v>
      </c>
      <c r="C831" t="n">
        <v>0.66</v>
      </c>
      <c r="D831" t="n">
        <v>13359.2</v>
      </c>
    </row>
    <row r="832">
      <c r="A832" s="94" t="n">
        <v>42795</v>
      </c>
      <c r="B832" t="n">
        <v>1.5</v>
      </c>
      <c r="C832" t="n">
        <v>0.79</v>
      </c>
      <c r="D832" t="n">
        <v>13428.6</v>
      </c>
    </row>
    <row r="833">
      <c r="A833" s="94" t="n">
        <v>42826</v>
      </c>
      <c r="B833" t="n">
        <v>1.5</v>
      </c>
      <c r="C833" t="n">
        <v>0.9</v>
      </c>
      <c r="D833" t="n">
        <v>13486.6</v>
      </c>
    </row>
    <row r="834">
      <c r="A834" s="94" t="n">
        <v>42856</v>
      </c>
      <c r="B834" t="n">
        <v>1.5</v>
      </c>
      <c r="C834" t="n">
        <v>0.91</v>
      </c>
      <c r="D834" t="n">
        <v>13537.3</v>
      </c>
    </row>
    <row r="835">
      <c r="A835" s="94" t="n">
        <v>42887</v>
      </c>
      <c r="B835" t="n">
        <v>1.75</v>
      </c>
      <c r="C835" t="n">
        <v>1.04</v>
      </c>
      <c r="D835" t="n">
        <v>13564.7</v>
      </c>
    </row>
    <row r="836">
      <c r="A836" s="94" t="n">
        <v>42917</v>
      </c>
      <c r="B836" t="n">
        <v>1.75</v>
      </c>
      <c r="C836" t="n">
        <v>1.15</v>
      </c>
      <c r="D836" t="n">
        <v>13621.8</v>
      </c>
    </row>
    <row r="837">
      <c r="A837" s="94" t="n">
        <v>42948</v>
      </c>
      <c r="B837" t="n">
        <v>1.75</v>
      </c>
      <c r="C837" t="n">
        <v>1.16</v>
      </c>
      <c r="D837" t="n">
        <v>13671.4</v>
      </c>
    </row>
    <row r="838">
      <c r="A838" s="94" t="n">
        <v>42979</v>
      </c>
      <c r="B838" t="n">
        <v>1.75</v>
      </c>
      <c r="C838" t="n">
        <v>1.15</v>
      </c>
      <c r="D838" t="n">
        <v>13714.4</v>
      </c>
    </row>
    <row r="839">
      <c r="A839" s="94" t="n">
        <v>43009</v>
      </c>
      <c r="B839" t="n">
        <v>1.75</v>
      </c>
      <c r="C839" t="n">
        <v>1.15</v>
      </c>
      <c r="D839" t="n">
        <v>13767.6</v>
      </c>
    </row>
    <row r="840">
      <c r="A840" s="94" t="n">
        <v>43040</v>
      </c>
      <c r="B840" t="n">
        <v>1.75</v>
      </c>
      <c r="C840" t="n">
        <v>1.16</v>
      </c>
      <c r="D840" t="n">
        <v>13802.4</v>
      </c>
    </row>
    <row r="841">
      <c r="A841" s="94" t="n">
        <v>43070</v>
      </c>
      <c r="B841" t="n">
        <v>2</v>
      </c>
      <c r="C841" t="n">
        <v>1.3</v>
      </c>
      <c r="D841" t="n">
        <v>13854.8</v>
      </c>
    </row>
    <row r="842">
      <c r="A842" s="94" t="n">
        <v>43101</v>
      </c>
      <c r="B842" t="n">
        <v>2</v>
      </c>
      <c r="C842" t="n">
        <v>1.41</v>
      </c>
      <c r="D842" t="n">
        <v>13872</v>
      </c>
    </row>
    <row r="843">
      <c r="A843" s="94" t="n">
        <v>43132</v>
      </c>
      <c r="B843" t="n">
        <v>2</v>
      </c>
      <c r="C843" t="n">
        <v>1.42</v>
      </c>
      <c r="D843" t="n">
        <v>13914.6</v>
      </c>
    </row>
    <row r="844">
      <c r="A844" s="94" t="n">
        <v>43160</v>
      </c>
      <c r="B844" t="n">
        <v>2.25</v>
      </c>
      <c r="C844" t="n">
        <v>1.51</v>
      </c>
      <c r="D844" t="n">
        <v>13971.2</v>
      </c>
    </row>
    <row r="845">
      <c r="A845" s="94" t="n">
        <v>43191</v>
      </c>
      <c r="B845" t="n">
        <v>2.25</v>
      </c>
      <c r="C845" t="n">
        <v>1.69</v>
      </c>
      <c r="D845" t="n">
        <v>14001.3</v>
      </c>
    </row>
    <row r="846">
      <c r="A846" s="94" t="n">
        <v>43221</v>
      </c>
      <c r="B846" t="n">
        <v>2.25</v>
      </c>
      <c r="C846" t="n">
        <v>1.7</v>
      </c>
      <c r="D846" t="n">
        <v>14066</v>
      </c>
    </row>
    <row r="847">
      <c r="A847" s="94" t="n">
        <v>43252</v>
      </c>
      <c r="B847" t="n">
        <v>2.5</v>
      </c>
      <c r="C847" t="n">
        <v>1.82</v>
      </c>
      <c r="D847" t="n">
        <v>14125.8</v>
      </c>
    </row>
    <row r="848">
      <c r="A848" s="94" t="n">
        <v>43282</v>
      </c>
      <c r="B848" t="n">
        <v>2.5</v>
      </c>
      <c r="C848" t="n">
        <v>1.91</v>
      </c>
      <c r="D848" t="n">
        <v>14155.2</v>
      </c>
    </row>
    <row r="849">
      <c r="A849" s="94" t="n">
        <v>43313</v>
      </c>
      <c r="B849" t="n">
        <v>2.5</v>
      </c>
      <c r="C849" t="n">
        <v>1.91</v>
      </c>
      <c r="D849" t="n">
        <v>14197.7</v>
      </c>
    </row>
    <row r="850">
      <c r="A850" s="94" t="n">
        <v>43344</v>
      </c>
      <c r="B850" t="n">
        <v>2.75</v>
      </c>
      <c r="C850" t="n">
        <v>1.95</v>
      </c>
      <c r="D850" t="n">
        <v>14228.4</v>
      </c>
    </row>
    <row r="851">
      <c r="A851" s="94" t="n">
        <v>43374</v>
      </c>
      <c r="B851" t="n">
        <v>2.75</v>
      </c>
      <c r="C851" t="n">
        <v>2.19</v>
      </c>
      <c r="D851" t="n">
        <v>14235.8</v>
      </c>
    </row>
    <row r="852">
      <c r="A852" s="94" t="n">
        <v>43405</v>
      </c>
      <c r="B852" t="n">
        <v>2.75</v>
      </c>
      <c r="C852" t="n">
        <v>2.2</v>
      </c>
      <c r="D852" t="n">
        <v>14254.9</v>
      </c>
    </row>
    <row r="853">
      <c r="A853" s="94" t="n">
        <v>43435</v>
      </c>
      <c r="B853" t="n">
        <v>3</v>
      </c>
      <c r="C853" t="n">
        <v>2.27</v>
      </c>
      <c r="D853" t="n">
        <v>14373.9</v>
      </c>
    </row>
    <row r="854">
      <c r="A854" s="94" t="n">
        <v>43466</v>
      </c>
      <c r="B854" t="n">
        <v>3</v>
      </c>
      <c r="C854" t="n">
        <v>2.4</v>
      </c>
      <c r="D854" t="n">
        <v>14443.3</v>
      </c>
    </row>
    <row r="855">
      <c r="A855" s="94" t="n">
        <v>43497</v>
      </c>
      <c r="B855" t="n">
        <v>3</v>
      </c>
      <c r="C855" t="n">
        <v>2.4</v>
      </c>
      <c r="D855" t="n">
        <v>14486.2</v>
      </c>
    </row>
    <row r="856">
      <c r="A856" s="94" t="n">
        <v>43525</v>
      </c>
      <c r="B856" t="n">
        <v>3</v>
      </c>
      <c r="C856" t="n">
        <v>2.41</v>
      </c>
      <c r="D856" t="n">
        <v>14533.5</v>
      </c>
    </row>
    <row r="857">
      <c r="A857" s="94" t="n">
        <v>43556</v>
      </c>
      <c r="B857" t="n">
        <v>3</v>
      </c>
      <c r="C857" t="n">
        <v>2.42</v>
      </c>
      <c r="D857" t="n">
        <v>14568.9</v>
      </c>
    </row>
    <row r="858">
      <c r="A858" s="94" t="n">
        <v>43586</v>
      </c>
      <c r="B858" t="n">
        <v>3</v>
      </c>
      <c r="C858" t="n">
        <v>2.39</v>
      </c>
      <c r="D858" t="n">
        <v>14668.4</v>
      </c>
    </row>
    <row r="859">
      <c r="A859" s="94" t="n">
        <v>43617</v>
      </c>
      <c r="B859" t="n">
        <v>3</v>
      </c>
      <c r="C859" t="n">
        <v>2.38</v>
      </c>
      <c r="D859" t="n">
        <v>14787</v>
      </c>
    </row>
    <row r="860">
      <c r="A860" s="94" t="n">
        <v>43647</v>
      </c>
      <c r="B860" t="n">
        <v>3</v>
      </c>
      <c r="C860" t="n">
        <v>2.4</v>
      </c>
      <c r="D860" t="n">
        <v>14857.9</v>
      </c>
    </row>
    <row r="861">
      <c r="A861" s="94" t="n">
        <v>43678</v>
      </c>
      <c r="B861" t="n">
        <v>2.75</v>
      </c>
      <c r="C861" t="n">
        <v>2.13</v>
      </c>
      <c r="D861" t="n">
        <v>14935.2</v>
      </c>
    </row>
    <row r="862">
      <c r="A862" s="94" t="n">
        <v>43709</v>
      </c>
      <c r="B862" t="n">
        <v>2.5</v>
      </c>
      <c r="C862" t="n">
        <v>2.04</v>
      </c>
      <c r="D862" t="n">
        <v>15026.6</v>
      </c>
    </row>
    <row r="863">
      <c r="A863" s="94" t="n">
        <v>43739</v>
      </c>
      <c r="B863" t="n">
        <v>2.25</v>
      </c>
      <c r="C863" t="n">
        <v>1.83</v>
      </c>
      <c r="D863" t="n">
        <v>15153.1</v>
      </c>
    </row>
    <row r="864">
      <c r="A864" s="94" t="n">
        <v>43770</v>
      </c>
      <c r="B864" t="n">
        <v>2.25</v>
      </c>
      <c r="C864" t="n">
        <v>1.55</v>
      </c>
      <c r="D864" t="n">
        <v>15251.3</v>
      </c>
    </row>
    <row r="865">
      <c r="A865" s="94" t="n">
        <v>43800</v>
      </c>
      <c r="B865" t="n">
        <v>2.25</v>
      </c>
      <c r="C865" t="n">
        <v>1.55</v>
      </c>
      <c r="D865" t="n">
        <v>15325.8</v>
      </c>
    </row>
    <row r="866">
      <c r="A866" s="94" t="n">
        <v>43831</v>
      </c>
      <c r="B866" t="n">
        <v>2.25</v>
      </c>
      <c r="C866" t="n">
        <v>1.55</v>
      </c>
      <c r="D866" t="n">
        <v>15406.8</v>
      </c>
    </row>
    <row r="867">
      <c r="A867" s="94" t="n">
        <v>43862</v>
      </c>
      <c r="B867" t="n">
        <v>2.25</v>
      </c>
      <c r="C867" t="n">
        <v>1.58</v>
      </c>
      <c r="D867" t="n">
        <v>15470.4</v>
      </c>
    </row>
    <row r="868">
      <c r="A868" s="94" t="n">
        <v>43891</v>
      </c>
      <c r="B868" t="n">
        <v>0.25</v>
      </c>
      <c r="C868" t="n">
        <v>0.65</v>
      </c>
      <c r="D868" t="n">
        <v>16011.4</v>
      </c>
    </row>
    <row r="869">
      <c r="A869" s="94" t="n">
        <v>43922</v>
      </c>
      <c r="B869" t="n">
        <v>0.25</v>
      </c>
      <c r="C869" t="n">
        <v>0.05</v>
      </c>
      <c r="D869" t="n">
        <v>17039.1</v>
      </c>
    </row>
    <row r="870">
      <c r="A870" s="94" t="n">
        <v>43952</v>
      </c>
      <c r="B870" t="n">
        <v>0.25</v>
      </c>
      <c r="C870" t="n">
        <v>0.05</v>
      </c>
      <c r="D870" t="n">
        <v>17889.2</v>
      </c>
    </row>
    <row r="871">
      <c r="A871" s="94" t="n">
        <v>43983</v>
      </c>
      <c r="B871" t="n">
        <v>0.25</v>
      </c>
      <c r="C871" t="n">
        <v>0.08</v>
      </c>
      <c r="D871" t="n">
        <v>18175.7</v>
      </c>
    </row>
    <row r="872">
      <c r="A872" s="94" t="n">
        <v>44013</v>
      </c>
      <c r="B872" t="n">
        <v>0.25</v>
      </c>
      <c r="C872" t="n">
        <v>0.09</v>
      </c>
      <c r="D872" t="n">
        <v>18316.6</v>
      </c>
    </row>
    <row r="873">
      <c r="A873" s="94" t="n">
        <v>44044</v>
      </c>
      <c r="B873" t="n">
        <v>0.25</v>
      </c>
      <c r="C873" t="n">
        <v>0.1</v>
      </c>
      <c r="D873" t="n">
        <v>18378.5</v>
      </c>
    </row>
    <row r="874">
      <c r="A874" s="94" t="n">
        <v>44075</v>
      </c>
      <c r="B874" t="n">
        <v>0.25</v>
      </c>
      <c r="C874" t="n">
        <v>0.09</v>
      </c>
      <c r="D874" t="n">
        <v>18601.6</v>
      </c>
    </row>
    <row r="875">
      <c r="A875" s="94" t="n">
        <v>44105</v>
      </c>
      <c r="B875" t="n">
        <v>0.25</v>
      </c>
      <c r="C875" t="n">
        <v>0.09</v>
      </c>
      <c r="D875" t="n">
        <v>18747.9</v>
      </c>
    </row>
    <row r="876">
      <c r="A876" s="94" t="n">
        <v>44136</v>
      </c>
      <c r="B876" t="n">
        <v>0.25</v>
      </c>
      <c r="C876" t="n">
        <v>0.09</v>
      </c>
      <c r="D876" t="n">
        <v>18958.7</v>
      </c>
    </row>
    <row r="877">
      <c r="A877" s="94" t="n">
        <v>44166</v>
      </c>
      <c r="B877" t="n">
        <v>0.25</v>
      </c>
      <c r="C877" t="n">
        <v>0.09</v>
      </c>
      <c r="D877" t="n">
        <v>19129.5</v>
      </c>
    </row>
    <row r="878">
      <c r="A878" s="94" t="n">
        <v>44197</v>
      </c>
      <c r="B878" t="n">
        <v>0.25</v>
      </c>
      <c r="C878" t="n">
        <v>0.09</v>
      </c>
      <c r="D878" t="n">
        <v>19393.2</v>
      </c>
    </row>
    <row r="879">
      <c r="A879" s="94" t="n">
        <v>44228</v>
      </c>
      <c r="B879" t="n">
        <v>0.25</v>
      </c>
      <c r="C879" t="n">
        <v>0.08</v>
      </c>
      <c r="D879" t="n">
        <v>19665.4</v>
      </c>
    </row>
    <row r="880">
      <c r="A880" s="94" t="n">
        <v>44256</v>
      </c>
      <c r="B880" t="n">
        <v>0.25</v>
      </c>
      <c r="C880" t="n">
        <v>0.07000000000000001</v>
      </c>
      <c r="D880" t="n">
        <v>19913.3</v>
      </c>
    </row>
    <row r="881">
      <c r="A881" s="94" t="n">
        <v>44287</v>
      </c>
      <c r="B881" t="n">
        <v>0.25</v>
      </c>
      <c r="C881" t="n">
        <v>0.07000000000000001</v>
      </c>
      <c r="D881" t="n">
        <v>20138.3</v>
      </c>
    </row>
    <row r="882">
      <c r="A882" s="94" t="n">
        <v>44317</v>
      </c>
      <c r="B882" t="n">
        <v>0.25</v>
      </c>
      <c r="C882" t="n">
        <v>0.06</v>
      </c>
      <c r="D882" t="n">
        <v>20402.2</v>
      </c>
    </row>
    <row r="883">
      <c r="A883" s="94" t="n">
        <v>44348</v>
      </c>
      <c r="B883" t="n">
        <v>0.25</v>
      </c>
      <c r="C883" t="n">
        <v>0.08</v>
      </c>
      <c r="D883" t="n">
        <v>20428.8</v>
      </c>
    </row>
    <row r="884">
      <c r="A884" s="94" t="n">
        <v>44378</v>
      </c>
      <c r="B884" t="n">
        <v>0.25</v>
      </c>
      <c r="C884" t="n">
        <v>0.1</v>
      </c>
      <c r="D884" t="n">
        <v>20578.1</v>
      </c>
    </row>
    <row r="885">
      <c r="A885" s="94" t="n">
        <v>44409</v>
      </c>
      <c r="B885" t="n">
        <v>0.25</v>
      </c>
      <c r="C885" t="n">
        <v>0.09</v>
      </c>
      <c r="D885" t="n">
        <v>20831.5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994"/>
  <sheetViews>
    <sheetView workbookViewId="0">
      <selection activeCell="B1" sqref="B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94" t="n">
        <v>37608</v>
      </c>
      <c r="B2" t="n">
        <v>719542</v>
      </c>
    </row>
    <row r="3">
      <c r="A3" s="94" t="n">
        <v>37615</v>
      </c>
      <c r="B3" t="n">
        <v>732059</v>
      </c>
    </row>
    <row r="4">
      <c r="A4" s="94" t="n">
        <v>37622</v>
      </c>
      <c r="B4" t="n">
        <v>730994</v>
      </c>
    </row>
    <row r="5">
      <c r="A5" s="94" t="n">
        <v>37629</v>
      </c>
      <c r="B5" t="n">
        <v>723762</v>
      </c>
    </row>
    <row r="6">
      <c r="A6" s="94" t="n">
        <v>37636</v>
      </c>
      <c r="B6" t="n">
        <v>720074</v>
      </c>
    </row>
    <row r="7">
      <c r="A7" s="94" t="n">
        <v>37643</v>
      </c>
      <c r="B7" t="n">
        <v>735953</v>
      </c>
    </row>
    <row r="8">
      <c r="A8" s="94" t="n">
        <v>37650</v>
      </c>
      <c r="B8" t="n">
        <v>712809</v>
      </c>
    </row>
    <row r="9">
      <c r="A9" s="94" t="n">
        <v>37657</v>
      </c>
      <c r="B9" t="n">
        <v>719643</v>
      </c>
    </row>
    <row r="10">
      <c r="A10" s="94" t="n">
        <v>37664</v>
      </c>
      <c r="B10" t="n">
        <v>713281</v>
      </c>
    </row>
    <row r="11">
      <c r="A11" s="94" t="n">
        <v>37671</v>
      </c>
      <c r="B11" t="n">
        <v>730400</v>
      </c>
    </row>
    <row r="12">
      <c r="A12" s="94" t="n">
        <v>37678</v>
      </c>
      <c r="B12" t="n">
        <v>721980</v>
      </c>
    </row>
    <row r="13">
      <c r="A13" s="94" t="n">
        <v>37685</v>
      </c>
      <c r="B13" t="n">
        <v>722649</v>
      </c>
    </row>
    <row r="14">
      <c r="A14" s="94" t="n">
        <v>37692</v>
      </c>
      <c r="B14" t="n">
        <v>717014</v>
      </c>
    </row>
    <row r="15">
      <c r="A15" s="94" t="n">
        <v>37699</v>
      </c>
      <c r="B15" t="n">
        <v>729923</v>
      </c>
    </row>
    <row r="16">
      <c r="A16" s="94" t="n">
        <v>37706</v>
      </c>
      <c r="B16" t="n">
        <v>725019</v>
      </c>
    </row>
    <row r="17">
      <c r="A17" s="94" t="n">
        <v>37713</v>
      </c>
      <c r="B17" t="n">
        <v>732452</v>
      </c>
    </row>
    <row r="18">
      <c r="A18" s="94" t="n">
        <v>37720</v>
      </c>
      <c r="B18" t="n">
        <v>727826</v>
      </c>
    </row>
    <row r="19">
      <c r="A19" s="94" t="n">
        <v>37727</v>
      </c>
      <c r="B19" t="n">
        <v>745838</v>
      </c>
    </row>
    <row r="20">
      <c r="A20" s="94" t="n">
        <v>37734</v>
      </c>
      <c r="B20" t="n">
        <v>732222</v>
      </c>
    </row>
    <row r="21">
      <c r="A21" s="94" t="n">
        <v>37741</v>
      </c>
      <c r="B21" t="n">
        <v>746294</v>
      </c>
    </row>
    <row r="22">
      <c r="A22" s="94" t="n">
        <v>37748</v>
      </c>
      <c r="B22" t="n">
        <v>733466</v>
      </c>
    </row>
    <row r="23">
      <c r="A23" s="94" t="n">
        <v>37755</v>
      </c>
      <c r="B23" t="n">
        <v>740371</v>
      </c>
    </row>
    <row r="24">
      <c r="A24" s="94" t="n">
        <v>37762</v>
      </c>
      <c r="B24" t="n">
        <v>734699</v>
      </c>
    </row>
    <row r="25">
      <c r="A25" s="94" t="n">
        <v>37769</v>
      </c>
      <c r="B25" t="n">
        <v>744896</v>
      </c>
    </row>
    <row r="26">
      <c r="A26" s="94" t="n">
        <v>37776</v>
      </c>
      <c r="B26" t="n">
        <v>731667</v>
      </c>
    </row>
    <row r="27">
      <c r="A27" s="94" t="n">
        <v>37783</v>
      </c>
      <c r="B27" t="n">
        <v>743236</v>
      </c>
    </row>
    <row r="28">
      <c r="A28" s="94" t="n">
        <v>37790</v>
      </c>
      <c r="B28" t="n">
        <v>735926</v>
      </c>
    </row>
    <row r="29">
      <c r="A29" s="94" t="n">
        <v>37797</v>
      </c>
      <c r="B29" t="n">
        <v>744018</v>
      </c>
    </row>
    <row r="30">
      <c r="A30" s="94" t="n">
        <v>37804</v>
      </c>
      <c r="B30" t="n">
        <v>740126</v>
      </c>
    </row>
    <row r="31">
      <c r="A31" s="94" t="n">
        <v>37811</v>
      </c>
      <c r="B31" t="n">
        <v>744430</v>
      </c>
    </row>
    <row r="32">
      <c r="A32" s="94" t="n">
        <v>37818</v>
      </c>
      <c r="B32" t="n">
        <v>737765</v>
      </c>
    </row>
    <row r="33">
      <c r="A33" s="94" t="n">
        <v>37825</v>
      </c>
      <c r="B33" t="n">
        <v>745665</v>
      </c>
    </row>
    <row r="34">
      <c r="A34" s="94" t="n">
        <v>37832</v>
      </c>
      <c r="B34" t="n">
        <v>740295</v>
      </c>
    </row>
    <row r="35">
      <c r="A35" s="94" t="n">
        <v>37839</v>
      </c>
      <c r="B35" t="n">
        <v>734018</v>
      </c>
    </row>
    <row r="36">
      <c r="A36" s="94" t="n">
        <v>37846</v>
      </c>
      <c r="B36" t="n">
        <v>735386</v>
      </c>
    </row>
    <row r="37">
      <c r="A37" s="94" t="n">
        <v>37853</v>
      </c>
      <c r="B37" t="n">
        <v>750825</v>
      </c>
    </row>
    <row r="38">
      <c r="A38" s="94" t="n">
        <v>37860</v>
      </c>
      <c r="B38" t="n">
        <v>740637</v>
      </c>
    </row>
    <row r="39">
      <c r="A39" s="94" t="n">
        <v>37867</v>
      </c>
      <c r="B39" t="n">
        <v>750461</v>
      </c>
    </row>
    <row r="40">
      <c r="A40" s="94" t="n">
        <v>37874</v>
      </c>
      <c r="B40" t="n">
        <v>737234</v>
      </c>
    </row>
    <row r="41">
      <c r="A41" s="94" t="n">
        <v>37881</v>
      </c>
      <c r="B41" t="n">
        <v>743939</v>
      </c>
    </row>
    <row r="42">
      <c r="A42" s="94" t="n">
        <v>37888</v>
      </c>
      <c r="B42" t="n">
        <v>741193</v>
      </c>
    </row>
    <row r="43">
      <c r="A43" s="94" t="n">
        <v>37895</v>
      </c>
      <c r="B43" t="n">
        <v>753155</v>
      </c>
    </row>
    <row r="44">
      <c r="A44" s="94" t="n">
        <v>37902</v>
      </c>
      <c r="B44" t="n">
        <v>737108</v>
      </c>
    </row>
    <row r="45">
      <c r="A45" s="94" t="n">
        <v>37909</v>
      </c>
      <c r="B45" t="n">
        <v>754229</v>
      </c>
    </row>
    <row r="46">
      <c r="A46" s="94" t="n">
        <v>37916</v>
      </c>
      <c r="B46" t="n">
        <v>743578</v>
      </c>
    </row>
    <row r="47">
      <c r="A47" s="94" t="n">
        <v>37923</v>
      </c>
      <c r="B47" t="n">
        <v>747272</v>
      </c>
    </row>
    <row r="48">
      <c r="A48" s="94" t="n">
        <v>37930</v>
      </c>
      <c r="B48" t="n">
        <v>744116</v>
      </c>
    </row>
    <row r="49">
      <c r="A49" s="94" t="n">
        <v>37937</v>
      </c>
      <c r="B49" t="n">
        <v>745604</v>
      </c>
    </row>
    <row r="50">
      <c r="A50" s="94" t="n">
        <v>37944</v>
      </c>
      <c r="B50" t="n">
        <v>744521</v>
      </c>
    </row>
    <row r="51">
      <c r="A51" s="94" t="n">
        <v>37951</v>
      </c>
      <c r="B51" t="n">
        <v>756964</v>
      </c>
    </row>
    <row r="52">
      <c r="A52" s="94" t="n">
        <v>37958</v>
      </c>
      <c r="B52" t="n">
        <v>749981</v>
      </c>
    </row>
    <row r="53">
      <c r="A53" s="94" t="n">
        <v>37965</v>
      </c>
      <c r="B53" t="n">
        <v>756585</v>
      </c>
    </row>
    <row r="54">
      <c r="A54" s="94" t="n">
        <v>37972</v>
      </c>
      <c r="B54" t="n">
        <v>753919</v>
      </c>
    </row>
    <row r="55">
      <c r="A55" s="94" t="n">
        <v>37979</v>
      </c>
      <c r="B55" t="n">
        <v>767012</v>
      </c>
    </row>
    <row r="56">
      <c r="A56" s="94" t="n">
        <v>37986</v>
      </c>
      <c r="B56" t="n">
        <v>771551</v>
      </c>
    </row>
    <row r="57">
      <c r="A57" s="94" t="n">
        <v>37993</v>
      </c>
      <c r="B57" t="n">
        <v>755829</v>
      </c>
    </row>
    <row r="58">
      <c r="A58" s="94" t="n">
        <v>38000</v>
      </c>
      <c r="B58" t="n">
        <v>752812</v>
      </c>
    </row>
    <row r="59">
      <c r="A59" s="94" t="n">
        <v>38007</v>
      </c>
      <c r="B59" t="n">
        <v>775833</v>
      </c>
    </row>
    <row r="60">
      <c r="A60" s="94" t="n">
        <v>38014</v>
      </c>
      <c r="B60" t="n">
        <v>755279</v>
      </c>
    </row>
    <row r="61">
      <c r="A61" s="94" t="n">
        <v>38021</v>
      </c>
      <c r="B61" t="n">
        <v>754153</v>
      </c>
    </row>
    <row r="62">
      <c r="A62" s="94" t="n">
        <v>38028</v>
      </c>
      <c r="B62" t="n">
        <v>750999</v>
      </c>
    </row>
    <row r="63">
      <c r="A63" s="94" t="n">
        <v>38035</v>
      </c>
      <c r="B63" t="n">
        <v>758759</v>
      </c>
    </row>
    <row r="64">
      <c r="A64" s="94" t="n">
        <v>38042</v>
      </c>
      <c r="B64" t="n">
        <v>750666</v>
      </c>
    </row>
    <row r="65">
      <c r="A65" s="94" t="n">
        <v>38049</v>
      </c>
      <c r="B65" t="n">
        <v>754867</v>
      </c>
    </row>
    <row r="66">
      <c r="A66" s="94" t="n">
        <v>38056</v>
      </c>
      <c r="B66" t="n">
        <v>749950</v>
      </c>
    </row>
    <row r="67">
      <c r="A67" s="94" t="n">
        <v>38063</v>
      </c>
      <c r="B67" t="n">
        <v>760638</v>
      </c>
    </row>
    <row r="68">
      <c r="A68" s="94" t="n">
        <v>38070</v>
      </c>
      <c r="B68" t="n">
        <v>751510</v>
      </c>
    </row>
    <row r="69">
      <c r="A69" s="94" t="n">
        <v>38077</v>
      </c>
      <c r="B69" t="n">
        <v>760725</v>
      </c>
    </row>
    <row r="70">
      <c r="A70" s="94" t="n">
        <v>38084</v>
      </c>
      <c r="B70" t="n">
        <v>754083</v>
      </c>
    </row>
    <row r="71">
      <c r="A71" s="94" t="n">
        <v>38091</v>
      </c>
      <c r="B71" t="n">
        <v>763734</v>
      </c>
    </row>
    <row r="72">
      <c r="A72" s="94" t="n">
        <v>38098</v>
      </c>
      <c r="B72" t="n">
        <v>757984</v>
      </c>
    </row>
    <row r="73">
      <c r="A73" s="94" t="n">
        <v>38105</v>
      </c>
      <c r="B73" t="n">
        <v>772927</v>
      </c>
    </row>
    <row r="74">
      <c r="A74" s="94" t="n">
        <v>38112</v>
      </c>
      <c r="B74" t="n">
        <v>758838</v>
      </c>
    </row>
    <row r="75">
      <c r="A75" s="94" t="n">
        <v>38119</v>
      </c>
      <c r="B75" t="n">
        <v>764835</v>
      </c>
    </row>
    <row r="76">
      <c r="A76" s="94" t="n">
        <v>38126</v>
      </c>
      <c r="B76" t="n">
        <v>756874</v>
      </c>
    </row>
    <row r="77">
      <c r="A77" s="94" t="n">
        <v>38133</v>
      </c>
      <c r="B77" t="n">
        <v>771108</v>
      </c>
    </row>
    <row r="78">
      <c r="A78" s="94" t="n">
        <v>38140</v>
      </c>
      <c r="B78" t="n">
        <v>764090</v>
      </c>
    </row>
    <row r="79">
      <c r="A79" s="94" t="n">
        <v>38147</v>
      </c>
      <c r="B79" t="n">
        <v>772187</v>
      </c>
    </row>
    <row r="80">
      <c r="A80" s="94" t="n">
        <v>38154</v>
      </c>
      <c r="B80" t="n">
        <v>761834</v>
      </c>
    </row>
    <row r="81">
      <c r="A81" s="94" t="n">
        <v>38161</v>
      </c>
      <c r="B81" t="n">
        <v>775261</v>
      </c>
    </row>
    <row r="82">
      <c r="A82" s="94" t="n">
        <v>38168</v>
      </c>
      <c r="B82" t="n">
        <v>779578</v>
      </c>
    </row>
    <row r="83">
      <c r="A83" s="94" t="n">
        <v>38175</v>
      </c>
      <c r="B83" t="n">
        <v>778163</v>
      </c>
    </row>
    <row r="84">
      <c r="A84" s="94" t="n">
        <v>38182</v>
      </c>
      <c r="B84" t="n">
        <v>775536</v>
      </c>
    </row>
    <row r="85">
      <c r="A85" s="94" t="n">
        <v>38189</v>
      </c>
      <c r="B85" t="n">
        <v>776764</v>
      </c>
    </row>
    <row r="86">
      <c r="A86" s="94" t="n">
        <v>38196</v>
      </c>
      <c r="B86" t="n">
        <v>773916</v>
      </c>
    </row>
    <row r="87">
      <c r="A87" s="94" t="n">
        <v>38203</v>
      </c>
      <c r="B87" t="n">
        <v>772085</v>
      </c>
    </row>
    <row r="88">
      <c r="A88" s="94" t="n">
        <v>38210</v>
      </c>
      <c r="B88" t="n">
        <v>769265</v>
      </c>
    </row>
    <row r="89">
      <c r="A89" s="94" t="n">
        <v>38217</v>
      </c>
      <c r="B89" t="n">
        <v>767595</v>
      </c>
    </row>
    <row r="90">
      <c r="A90" s="94" t="n">
        <v>38224</v>
      </c>
      <c r="B90" t="n">
        <v>775437</v>
      </c>
    </row>
    <row r="91">
      <c r="A91" s="94" t="n">
        <v>38231</v>
      </c>
      <c r="B91" t="n">
        <v>785273</v>
      </c>
    </row>
    <row r="92">
      <c r="A92" s="94" t="n">
        <v>38238</v>
      </c>
      <c r="B92" t="n">
        <v>788602</v>
      </c>
    </row>
    <row r="93">
      <c r="A93" s="94" t="n">
        <v>38245</v>
      </c>
      <c r="B93" t="n">
        <v>789128</v>
      </c>
    </row>
    <row r="94">
      <c r="A94" s="94" t="n">
        <v>38252</v>
      </c>
      <c r="B94" t="n">
        <v>782124</v>
      </c>
    </row>
    <row r="95">
      <c r="A95" s="94" t="n">
        <v>38259</v>
      </c>
      <c r="B95" t="n">
        <v>786330</v>
      </c>
    </row>
    <row r="96">
      <c r="A96" s="94" t="n">
        <v>38266</v>
      </c>
      <c r="B96" t="n">
        <v>781777</v>
      </c>
    </row>
    <row r="97">
      <c r="A97" s="94" t="n">
        <v>38273</v>
      </c>
      <c r="B97" t="n">
        <v>795483</v>
      </c>
    </row>
    <row r="98">
      <c r="A98" s="94" t="n">
        <v>38280</v>
      </c>
      <c r="B98" t="n">
        <v>784954</v>
      </c>
    </row>
    <row r="99">
      <c r="A99" s="94" t="n">
        <v>38287</v>
      </c>
      <c r="B99" t="n">
        <v>791336</v>
      </c>
    </row>
    <row r="100">
      <c r="A100" s="94" t="n">
        <v>38294</v>
      </c>
      <c r="B100" t="n">
        <v>790552</v>
      </c>
    </row>
    <row r="101">
      <c r="A101" s="94" t="n">
        <v>38301</v>
      </c>
      <c r="B101" t="n">
        <v>800473</v>
      </c>
    </row>
    <row r="102">
      <c r="A102" s="94" t="n">
        <v>38308</v>
      </c>
      <c r="B102" t="n">
        <v>794090</v>
      </c>
    </row>
    <row r="103">
      <c r="A103" s="94" t="n">
        <v>38315</v>
      </c>
      <c r="B103" t="n">
        <v>809956</v>
      </c>
    </row>
    <row r="104">
      <c r="A104" s="94" t="n">
        <v>38322</v>
      </c>
      <c r="B104" t="n">
        <v>807063</v>
      </c>
    </row>
    <row r="105">
      <c r="A105" s="94" t="n">
        <v>38329</v>
      </c>
      <c r="B105" t="n">
        <v>808495</v>
      </c>
    </row>
    <row r="106">
      <c r="A106" s="94" t="n">
        <v>38336</v>
      </c>
      <c r="B106" t="n">
        <v>807028</v>
      </c>
    </row>
    <row r="107">
      <c r="A107" s="94" t="n">
        <v>38343</v>
      </c>
      <c r="B107" t="n">
        <v>811333</v>
      </c>
    </row>
    <row r="108">
      <c r="A108" s="94" t="n">
        <v>38350</v>
      </c>
      <c r="B108" t="n">
        <v>810944</v>
      </c>
    </row>
    <row r="109">
      <c r="A109" s="94" t="n">
        <v>38357</v>
      </c>
      <c r="B109" t="n">
        <v>815702</v>
      </c>
    </row>
    <row r="110">
      <c r="A110" s="94" t="n">
        <v>38364</v>
      </c>
      <c r="B110" t="n">
        <v>798455</v>
      </c>
    </row>
    <row r="111">
      <c r="A111" s="94" t="n">
        <v>38371</v>
      </c>
      <c r="B111" t="n">
        <v>806960</v>
      </c>
    </row>
    <row r="112">
      <c r="A112" s="94" t="n">
        <v>38378</v>
      </c>
      <c r="B112" t="n">
        <v>807262</v>
      </c>
    </row>
    <row r="113">
      <c r="A113" s="94" t="n">
        <v>38385</v>
      </c>
      <c r="B113" t="n">
        <v>804746</v>
      </c>
    </row>
    <row r="114">
      <c r="A114" s="94" t="n">
        <v>38392</v>
      </c>
      <c r="B114" t="n">
        <v>797299</v>
      </c>
    </row>
    <row r="115">
      <c r="A115" s="94" t="n">
        <v>38399</v>
      </c>
      <c r="B115" t="n">
        <v>795606</v>
      </c>
    </row>
    <row r="116">
      <c r="A116" s="94" t="n">
        <v>38406</v>
      </c>
      <c r="B116" t="n">
        <v>804576</v>
      </c>
    </row>
    <row r="117">
      <c r="A117" s="94" t="n">
        <v>38413</v>
      </c>
      <c r="B117" t="n">
        <v>801252</v>
      </c>
    </row>
    <row r="118">
      <c r="A118" s="94" t="n">
        <v>38420</v>
      </c>
      <c r="B118" t="n">
        <v>799250</v>
      </c>
    </row>
    <row r="119">
      <c r="A119" s="94" t="n">
        <v>38427</v>
      </c>
      <c r="B119" t="n">
        <v>807211</v>
      </c>
    </row>
    <row r="120">
      <c r="A120" s="94" t="n">
        <v>38434</v>
      </c>
      <c r="B120" t="n">
        <v>797094</v>
      </c>
    </row>
    <row r="121">
      <c r="A121" s="94" t="n">
        <v>38441</v>
      </c>
      <c r="B121" t="n">
        <v>807551</v>
      </c>
    </row>
    <row r="122">
      <c r="A122" s="94" t="n">
        <v>38448</v>
      </c>
      <c r="B122" t="n">
        <v>797327</v>
      </c>
    </row>
    <row r="123">
      <c r="A123" s="94" t="n">
        <v>38455</v>
      </c>
      <c r="B123" t="n">
        <v>805707</v>
      </c>
    </row>
    <row r="124">
      <c r="A124" s="94" t="n">
        <v>38462</v>
      </c>
      <c r="B124" t="n">
        <v>801793</v>
      </c>
    </row>
    <row r="125">
      <c r="A125" s="94" t="n">
        <v>38469</v>
      </c>
      <c r="B125" t="n">
        <v>809797</v>
      </c>
    </row>
    <row r="126">
      <c r="A126" s="94" t="n">
        <v>38476</v>
      </c>
      <c r="B126" t="n">
        <v>802412</v>
      </c>
    </row>
    <row r="127">
      <c r="A127" s="94" t="n">
        <v>38483</v>
      </c>
      <c r="B127" t="n">
        <v>808378</v>
      </c>
    </row>
    <row r="128">
      <c r="A128" s="94" t="n">
        <v>38490</v>
      </c>
      <c r="B128" t="n">
        <v>801546</v>
      </c>
    </row>
    <row r="129">
      <c r="A129" s="94" t="n">
        <v>38497</v>
      </c>
      <c r="B129" t="n">
        <v>810160</v>
      </c>
    </row>
    <row r="130">
      <c r="A130" s="94" t="n">
        <v>38504</v>
      </c>
      <c r="B130" t="n">
        <v>817335</v>
      </c>
    </row>
    <row r="131">
      <c r="A131" s="94" t="n">
        <v>38511</v>
      </c>
      <c r="B131" t="n">
        <v>814172</v>
      </c>
    </row>
    <row r="132">
      <c r="A132" s="94" t="n">
        <v>38518</v>
      </c>
      <c r="B132" t="n">
        <v>811198</v>
      </c>
    </row>
    <row r="133">
      <c r="A133" s="94" t="n">
        <v>38525</v>
      </c>
      <c r="B133" t="n">
        <v>810429</v>
      </c>
    </row>
    <row r="134">
      <c r="A134" s="94" t="n">
        <v>38532</v>
      </c>
      <c r="B134" t="n">
        <v>810082</v>
      </c>
    </row>
    <row r="135">
      <c r="A135" s="94" t="n">
        <v>38539</v>
      </c>
      <c r="B135" t="n">
        <v>821556</v>
      </c>
    </row>
    <row r="136">
      <c r="A136" s="94" t="n">
        <v>38546</v>
      </c>
      <c r="B136" t="n">
        <v>808861</v>
      </c>
    </row>
    <row r="137">
      <c r="A137" s="94" t="n">
        <v>38553</v>
      </c>
      <c r="B137" t="n">
        <v>816804</v>
      </c>
    </row>
    <row r="138">
      <c r="A138" s="94" t="n">
        <v>38560</v>
      </c>
      <c r="B138" t="n">
        <v>814259</v>
      </c>
    </row>
    <row r="139">
      <c r="A139" s="94" t="n">
        <v>38567</v>
      </c>
      <c r="B139" t="n">
        <v>818841</v>
      </c>
    </row>
    <row r="140">
      <c r="A140" s="94" t="n">
        <v>38574</v>
      </c>
      <c r="B140" t="n">
        <v>808544</v>
      </c>
    </row>
    <row r="141">
      <c r="A141" s="94" t="n">
        <v>38581</v>
      </c>
      <c r="B141" t="n">
        <v>813774</v>
      </c>
    </row>
    <row r="142">
      <c r="A142" s="94" t="n">
        <v>38588</v>
      </c>
      <c r="B142" t="n">
        <v>811313</v>
      </c>
    </row>
    <row r="143">
      <c r="A143" s="94" t="n">
        <v>38595</v>
      </c>
      <c r="B143" t="n">
        <v>823237</v>
      </c>
    </row>
    <row r="144">
      <c r="A144" s="94" t="n">
        <v>38602</v>
      </c>
      <c r="B144" t="n">
        <v>822500</v>
      </c>
    </row>
    <row r="145">
      <c r="A145" s="94" t="n">
        <v>38609</v>
      </c>
      <c r="B145" t="n">
        <v>823590</v>
      </c>
    </row>
    <row r="146">
      <c r="A146" s="94" t="n">
        <v>38616</v>
      </c>
      <c r="B146" t="n">
        <v>812926</v>
      </c>
    </row>
    <row r="147">
      <c r="A147" s="94" t="n">
        <v>38623</v>
      </c>
      <c r="B147" t="n">
        <v>823771</v>
      </c>
    </row>
    <row r="148">
      <c r="A148" s="94" t="n">
        <v>38630</v>
      </c>
      <c r="B148" t="n">
        <v>817137</v>
      </c>
    </row>
    <row r="149">
      <c r="A149" s="94" t="n">
        <v>38637</v>
      </c>
      <c r="B149" t="n">
        <v>826306</v>
      </c>
    </row>
    <row r="150">
      <c r="A150" s="94" t="n">
        <v>38644</v>
      </c>
      <c r="B150" t="n">
        <v>814281</v>
      </c>
    </row>
    <row r="151">
      <c r="A151" s="94" t="n">
        <v>38651</v>
      </c>
      <c r="B151" t="n">
        <v>819105</v>
      </c>
    </row>
    <row r="152">
      <c r="A152" s="94" t="n">
        <v>38658</v>
      </c>
      <c r="B152" t="n">
        <v>814571</v>
      </c>
    </row>
    <row r="153">
      <c r="A153" s="94" t="n">
        <v>38665</v>
      </c>
      <c r="B153" t="n">
        <v>824991</v>
      </c>
    </row>
    <row r="154">
      <c r="A154" s="94" t="n">
        <v>38672</v>
      </c>
      <c r="B154" t="n">
        <v>823263</v>
      </c>
    </row>
    <row r="155">
      <c r="A155" s="94" t="n">
        <v>38679</v>
      </c>
      <c r="B155" t="n">
        <v>833124</v>
      </c>
    </row>
    <row r="156">
      <c r="A156" s="94" t="n">
        <v>38686</v>
      </c>
      <c r="B156" t="n">
        <v>835059</v>
      </c>
    </row>
    <row r="157">
      <c r="A157" s="94" t="n">
        <v>38693</v>
      </c>
      <c r="B157" t="n">
        <v>833250</v>
      </c>
    </row>
    <row r="158">
      <c r="A158" s="94" t="n">
        <v>38700</v>
      </c>
      <c r="B158" t="n">
        <v>830950</v>
      </c>
    </row>
    <row r="159">
      <c r="A159" s="94" t="n">
        <v>38707</v>
      </c>
      <c r="B159" t="n">
        <v>848317</v>
      </c>
    </row>
    <row r="160">
      <c r="A160" s="94" t="n">
        <v>38714</v>
      </c>
      <c r="B160" t="n">
        <v>847700</v>
      </c>
    </row>
    <row r="161">
      <c r="A161" s="94" t="n">
        <v>38721</v>
      </c>
      <c r="B161" t="n">
        <v>851856</v>
      </c>
    </row>
    <row r="162">
      <c r="A162" s="94" t="n">
        <v>38728</v>
      </c>
      <c r="B162" t="n">
        <v>829357</v>
      </c>
    </row>
    <row r="163">
      <c r="A163" s="94" t="n">
        <v>38735</v>
      </c>
      <c r="B163" t="n">
        <v>836042</v>
      </c>
    </row>
    <row r="164">
      <c r="A164" s="94" t="n">
        <v>38742</v>
      </c>
      <c r="B164" t="n">
        <v>828901</v>
      </c>
    </row>
    <row r="165">
      <c r="A165" s="94" t="n">
        <v>38749</v>
      </c>
      <c r="B165" t="n">
        <v>831808</v>
      </c>
    </row>
    <row r="166">
      <c r="A166" s="94" t="n">
        <v>38756</v>
      </c>
      <c r="B166" t="n">
        <v>827613</v>
      </c>
    </row>
    <row r="167">
      <c r="A167" s="94" t="n">
        <v>38763</v>
      </c>
      <c r="B167" t="n">
        <v>835240</v>
      </c>
    </row>
    <row r="168">
      <c r="A168" s="94" t="n">
        <v>38770</v>
      </c>
      <c r="B168" t="n">
        <v>840555</v>
      </c>
    </row>
    <row r="169">
      <c r="A169" s="94" t="n">
        <v>38777</v>
      </c>
      <c r="B169" t="n">
        <v>839356</v>
      </c>
    </row>
    <row r="170">
      <c r="A170" s="94" t="n">
        <v>38784</v>
      </c>
      <c r="B170" t="n">
        <v>839234</v>
      </c>
    </row>
    <row r="171">
      <c r="A171" s="94" t="n">
        <v>38791</v>
      </c>
      <c r="B171" t="n">
        <v>843010</v>
      </c>
    </row>
    <row r="172">
      <c r="A172" s="94" t="n">
        <v>38798</v>
      </c>
      <c r="B172" t="n">
        <v>838003</v>
      </c>
    </row>
    <row r="173">
      <c r="A173" s="94" t="n">
        <v>38805</v>
      </c>
      <c r="B173" t="n">
        <v>833675</v>
      </c>
    </row>
    <row r="174">
      <c r="A174" s="94" t="n">
        <v>38812</v>
      </c>
      <c r="B174" t="n">
        <v>834589</v>
      </c>
    </row>
    <row r="175">
      <c r="A175" s="94" t="n">
        <v>38819</v>
      </c>
      <c r="B175" t="n">
        <v>836862</v>
      </c>
    </row>
    <row r="176">
      <c r="A176" s="94" t="n">
        <v>38826</v>
      </c>
      <c r="B176" t="n">
        <v>836352</v>
      </c>
    </row>
    <row r="177">
      <c r="A177" s="94" t="n">
        <v>38833</v>
      </c>
      <c r="B177" t="n">
        <v>844572</v>
      </c>
    </row>
    <row r="178">
      <c r="A178" s="94" t="n">
        <v>38840</v>
      </c>
      <c r="B178" t="n">
        <v>843867</v>
      </c>
    </row>
    <row r="179">
      <c r="A179" s="94" t="n">
        <v>38847</v>
      </c>
      <c r="B179" t="n">
        <v>838405</v>
      </c>
    </row>
    <row r="180">
      <c r="A180" s="94" t="n">
        <v>38854</v>
      </c>
      <c r="B180" t="n">
        <v>838153</v>
      </c>
    </row>
    <row r="181">
      <c r="A181" s="94" t="n">
        <v>38861</v>
      </c>
      <c r="B181" t="n">
        <v>840251</v>
      </c>
    </row>
    <row r="182">
      <c r="A182" s="94" t="n">
        <v>38868</v>
      </c>
      <c r="B182" t="n">
        <v>851580</v>
      </c>
    </row>
    <row r="183">
      <c r="A183" s="94" t="n">
        <v>38875</v>
      </c>
      <c r="B183" t="n">
        <v>849074</v>
      </c>
    </row>
    <row r="184">
      <c r="A184" s="94" t="n">
        <v>38882</v>
      </c>
      <c r="B184" t="n">
        <v>845869</v>
      </c>
    </row>
    <row r="185">
      <c r="A185" s="94" t="n">
        <v>38889</v>
      </c>
      <c r="B185" t="n">
        <v>844773</v>
      </c>
    </row>
    <row r="186">
      <c r="A186" s="94" t="n">
        <v>38896</v>
      </c>
      <c r="B186" t="n">
        <v>844436</v>
      </c>
    </row>
    <row r="187">
      <c r="A187" s="94" t="n">
        <v>38903</v>
      </c>
      <c r="B187" t="n">
        <v>851659</v>
      </c>
    </row>
    <row r="188">
      <c r="A188" s="94" t="n">
        <v>38910</v>
      </c>
      <c r="B188" t="n">
        <v>844391</v>
      </c>
    </row>
    <row r="189">
      <c r="A189" s="94" t="n">
        <v>38917</v>
      </c>
      <c r="B189" t="n">
        <v>849894</v>
      </c>
    </row>
    <row r="190">
      <c r="A190" s="94" t="n">
        <v>38924</v>
      </c>
      <c r="B190" t="n">
        <v>841552</v>
      </c>
    </row>
    <row r="191">
      <c r="A191" s="94" t="n">
        <v>38931</v>
      </c>
      <c r="B191" t="n">
        <v>850263</v>
      </c>
    </row>
    <row r="192">
      <c r="A192" s="94" t="n">
        <v>38938</v>
      </c>
      <c r="B192" t="n">
        <v>840006</v>
      </c>
    </row>
    <row r="193">
      <c r="A193" s="94" t="n">
        <v>38945</v>
      </c>
      <c r="B193" t="n">
        <v>842876</v>
      </c>
    </row>
    <row r="194">
      <c r="A194" s="94" t="n">
        <v>38952</v>
      </c>
      <c r="B194" t="n">
        <v>837987</v>
      </c>
    </row>
    <row r="195">
      <c r="A195" s="94" t="n">
        <v>38959</v>
      </c>
      <c r="B195" t="n">
        <v>850925</v>
      </c>
    </row>
    <row r="196">
      <c r="A196" s="94" t="n">
        <v>38966</v>
      </c>
      <c r="B196" t="n">
        <v>848594</v>
      </c>
    </row>
    <row r="197">
      <c r="A197" s="94" t="n">
        <v>38973</v>
      </c>
      <c r="B197" t="n">
        <v>840886</v>
      </c>
    </row>
    <row r="198">
      <c r="A198" s="94" t="n">
        <v>38980</v>
      </c>
      <c r="B198" t="n">
        <v>838192</v>
      </c>
    </row>
    <row r="199">
      <c r="A199" s="94" t="n">
        <v>38987</v>
      </c>
      <c r="B199" t="n">
        <v>849971</v>
      </c>
    </row>
    <row r="200">
      <c r="A200" s="94" t="n">
        <v>38994</v>
      </c>
      <c r="B200" t="n">
        <v>842296</v>
      </c>
    </row>
    <row r="201">
      <c r="A201" s="94" t="n">
        <v>39001</v>
      </c>
      <c r="B201" t="n">
        <v>859339</v>
      </c>
    </row>
    <row r="202">
      <c r="A202" s="94" t="n">
        <v>39008</v>
      </c>
      <c r="B202" t="n">
        <v>844200</v>
      </c>
    </row>
    <row r="203">
      <c r="A203" s="94" t="n">
        <v>39015</v>
      </c>
      <c r="B203" t="n">
        <v>852648</v>
      </c>
    </row>
    <row r="204">
      <c r="A204" s="94" t="n">
        <v>39022</v>
      </c>
      <c r="B204" t="n">
        <v>855536</v>
      </c>
    </row>
    <row r="205">
      <c r="A205" s="94" t="n">
        <v>39029</v>
      </c>
      <c r="B205" t="n">
        <v>858630</v>
      </c>
    </row>
    <row r="206">
      <c r="A206" s="94" t="n">
        <v>39036</v>
      </c>
      <c r="B206" t="n">
        <v>855551</v>
      </c>
    </row>
    <row r="207">
      <c r="A207" s="94" t="n">
        <v>39043</v>
      </c>
      <c r="B207" t="n">
        <v>865126</v>
      </c>
    </row>
    <row r="208">
      <c r="A208" s="94" t="n">
        <v>39050</v>
      </c>
      <c r="B208" t="n">
        <v>856671</v>
      </c>
    </row>
    <row r="209">
      <c r="A209" s="94" t="n">
        <v>39057</v>
      </c>
      <c r="B209" t="n">
        <v>862178</v>
      </c>
    </row>
    <row r="210">
      <c r="A210" s="94" t="n">
        <v>39064</v>
      </c>
      <c r="B210" t="n">
        <v>853851</v>
      </c>
    </row>
    <row r="211">
      <c r="A211" s="94" t="n">
        <v>39071</v>
      </c>
      <c r="B211" t="n">
        <v>865010</v>
      </c>
    </row>
    <row r="212">
      <c r="A212" s="94" t="n">
        <v>39078</v>
      </c>
      <c r="B212" t="n">
        <v>869988</v>
      </c>
    </row>
    <row r="213">
      <c r="A213" s="94" t="n">
        <v>39085</v>
      </c>
      <c r="B213" t="n">
        <v>874626</v>
      </c>
    </row>
    <row r="214">
      <c r="A214" s="94" t="n">
        <v>39092</v>
      </c>
      <c r="B214" t="n">
        <v>854819</v>
      </c>
    </row>
    <row r="215">
      <c r="A215" s="94" t="n">
        <v>39099</v>
      </c>
      <c r="B215" t="n">
        <v>859363</v>
      </c>
    </row>
    <row r="216">
      <c r="A216" s="94" t="n">
        <v>39106</v>
      </c>
      <c r="B216" t="n">
        <v>851755</v>
      </c>
    </row>
    <row r="217">
      <c r="A217" s="94" t="n">
        <v>39113</v>
      </c>
      <c r="B217" t="n">
        <v>865730</v>
      </c>
    </row>
    <row r="218">
      <c r="A218" s="94" t="n">
        <v>39120</v>
      </c>
      <c r="B218" t="n">
        <v>855057</v>
      </c>
    </row>
    <row r="219">
      <c r="A219" s="94" t="n">
        <v>39127</v>
      </c>
      <c r="B219" t="n">
        <v>867199</v>
      </c>
    </row>
    <row r="220">
      <c r="A220" s="94" t="n">
        <v>39134</v>
      </c>
      <c r="B220" t="n">
        <v>869235</v>
      </c>
    </row>
    <row r="221">
      <c r="A221" s="94" t="n">
        <v>39141</v>
      </c>
      <c r="B221" t="n">
        <v>877409</v>
      </c>
    </row>
    <row r="222">
      <c r="A222" s="94" t="n">
        <v>39148</v>
      </c>
      <c r="B222" t="n">
        <v>864505</v>
      </c>
    </row>
    <row r="223">
      <c r="A223" s="94" t="n">
        <v>39155</v>
      </c>
      <c r="B223" t="n">
        <v>876108</v>
      </c>
    </row>
    <row r="224">
      <c r="A224" s="94" t="n">
        <v>39162</v>
      </c>
      <c r="B224" t="n">
        <v>863067</v>
      </c>
    </row>
    <row r="225">
      <c r="A225" s="94" t="n">
        <v>39169</v>
      </c>
      <c r="B225" t="n">
        <v>869803</v>
      </c>
    </row>
    <row r="226">
      <c r="A226" s="94" t="n">
        <v>39176</v>
      </c>
      <c r="B226" t="n">
        <v>862319</v>
      </c>
    </row>
    <row r="227">
      <c r="A227" s="94" t="n">
        <v>39183</v>
      </c>
      <c r="B227" t="n">
        <v>865441</v>
      </c>
    </row>
    <row r="228">
      <c r="A228" s="94" t="n">
        <v>39190</v>
      </c>
      <c r="B228" t="n">
        <v>861335</v>
      </c>
    </row>
    <row r="229">
      <c r="A229" s="94" t="n">
        <v>39197</v>
      </c>
      <c r="B229" t="n">
        <v>879686</v>
      </c>
    </row>
    <row r="230">
      <c r="A230" s="94" t="n">
        <v>39204</v>
      </c>
      <c r="B230" t="n">
        <v>890857</v>
      </c>
    </row>
    <row r="231">
      <c r="A231" s="94" t="n">
        <v>39211</v>
      </c>
      <c r="B231" t="n">
        <v>875270</v>
      </c>
    </row>
    <row r="232">
      <c r="A232" s="94" t="n">
        <v>39218</v>
      </c>
      <c r="B232" t="n">
        <v>859559</v>
      </c>
    </row>
    <row r="233">
      <c r="A233" s="94" t="n">
        <v>39225</v>
      </c>
      <c r="B233" t="n">
        <v>873935</v>
      </c>
    </row>
    <row r="234">
      <c r="A234" s="94" t="n">
        <v>39232</v>
      </c>
      <c r="B234" t="n">
        <v>876986</v>
      </c>
    </row>
    <row r="235">
      <c r="A235" s="94" t="n">
        <v>39239</v>
      </c>
      <c r="B235" t="n">
        <v>872706</v>
      </c>
    </row>
    <row r="236">
      <c r="A236" s="94" t="n">
        <v>39246</v>
      </c>
      <c r="B236" t="n">
        <v>864989</v>
      </c>
    </row>
    <row r="237">
      <c r="A237" s="94" t="n">
        <v>39253</v>
      </c>
      <c r="B237" t="n">
        <v>866089</v>
      </c>
    </row>
    <row r="238">
      <c r="A238" s="94" t="n">
        <v>39260</v>
      </c>
      <c r="B238" t="n">
        <v>865105</v>
      </c>
    </row>
    <row r="239">
      <c r="A239" s="94" t="n">
        <v>39267</v>
      </c>
      <c r="B239" t="n">
        <v>876611</v>
      </c>
    </row>
    <row r="240">
      <c r="A240" s="94" t="n">
        <v>39274</v>
      </c>
      <c r="B240" t="n">
        <v>869407</v>
      </c>
    </row>
    <row r="241">
      <c r="A241" s="94" t="n">
        <v>39281</v>
      </c>
      <c r="B241" t="n">
        <v>872916</v>
      </c>
    </row>
    <row r="242">
      <c r="A242" s="94" t="n">
        <v>39288</v>
      </c>
      <c r="B242" t="n">
        <v>863890</v>
      </c>
    </row>
    <row r="243">
      <c r="A243" s="94" t="n">
        <v>39295</v>
      </c>
      <c r="B243" t="n">
        <v>870261</v>
      </c>
    </row>
    <row r="244">
      <c r="A244" s="94" t="n">
        <v>39302</v>
      </c>
      <c r="B244" t="n">
        <v>865453</v>
      </c>
    </row>
    <row r="245">
      <c r="A245" s="94" t="n">
        <v>39309</v>
      </c>
      <c r="B245" t="n">
        <v>864931</v>
      </c>
    </row>
    <row r="246">
      <c r="A246" s="94" t="n">
        <v>39316</v>
      </c>
      <c r="B246" t="n">
        <v>862775</v>
      </c>
    </row>
    <row r="247">
      <c r="A247" s="94" t="n">
        <v>39323</v>
      </c>
      <c r="B247" t="n">
        <v>872873</v>
      </c>
    </row>
    <row r="248">
      <c r="A248" s="94" t="n">
        <v>39330</v>
      </c>
      <c r="B248" t="n">
        <v>871156</v>
      </c>
    </row>
    <row r="249">
      <c r="A249" s="94" t="n">
        <v>39337</v>
      </c>
      <c r="B249" t="n">
        <v>886314</v>
      </c>
    </row>
    <row r="250">
      <c r="A250" s="94" t="n">
        <v>39344</v>
      </c>
      <c r="B250" t="n">
        <v>867732</v>
      </c>
    </row>
    <row r="251">
      <c r="A251" s="94" t="n">
        <v>39351</v>
      </c>
      <c r="B251" t="n">
        <v>889900</v>
      </c>
    </row>
    <row r="252">
      <c r="A252" s="94" t="n">
        <v>39358</v>
      </c>
      <c r="B252" t="n">
        <v>869051</v>
      </c>
    </row>
    <row r="253">
      <c r="A253" s="94" t="n">
        <v>39365</v>
      </c>
      <c r="B253" t="n">
        <v>886363</v>
      </c>
    </row>
    <row r="254">
      <c r="A254" s="94" t="n">
        <v>39372</v>
      </c>
      <c r="B254" t="n">
        <v>869509</v>
      </c>
    </row>
    <row r="255">
      <c r="A255" s="94" t="n">
        <v>39379</v>
      </c>
      <c r="B255" t="n">
        <v>881395</v>
      </c>
    </row>
    <row r="256">
      <c r="A256" s="94" t="n">
        <v>39386</v>
      </c>
      <c r="B256" t="n">
        <v>883385</v>
      </c>
    </row>
    <row r="257">
      <c r="A257" s="94" t="n">
        <v>39393</v>
      </c>
      <c r="B257" t="n">
        <v>885724</v>
      </c>
    </row>
    <row r="258">
      <c r="A258" s="94" t="n">
        <v>39400</v>
      </c>
      <c r="B258" t="n">
        <v>889537</v>
      </c>
    </row>
    <row r="259">
      <c r="A259" s="94" t="n">
        <v>39407</v>
      </c>
      <c r="B259" t="n">
        <v>891028</v>
      </c>
    </row>
    <row r="260">
      <c r="A260" s="94" t="n">
        <v>39414</v>
      </c>
      <c r="B260" t="n">
        <v>879417</v>
      </c>
    </row>
    <row r="261">
      <c r="A261" s="94" t="n">
        <v>39421</v>
      </c>
      <c r="B261" t="n">
        <v>882764</v>
      </c>
    </row>
    <row r="262">
      <c r="A262" s="94" t="n">
        <v>39428</v>
      </c>
      <c r="B262" t="n">
        <v>881750</v>
      </c>
    </row>
    <row r="263">
      <c r="A263" s="94" t="n">
        <v>39435</v>
      </c>
      <c r="B263" t="n">
        <v>887983</v>
      </c>
    </row>
    <row r="264">
      <c r="A264" s="94" t="n">
        <v>39442</v>
      </c>
      <c r="B264" t="n">
        <v>890662</v>
      </c>
    </row>
    <row r="265">
      <c r="A265" s="94" t="n">
        <v>39449</v>
      </c>
      <c r="B265" t="n">
        <v>922187</v>
      </c>
    </row>
    <row r="266">
      <c r="A266" s="94" t="n">
        <v>39456</v>
      </c>
      <c r="B266" t="n">
        <v>880754</v>
      </c>
    </row>
    <row r="267">
      <c r="A267" s="94" t="n">
        <v>39463</v>
      </c>
      <c r="B267" t="n">
        <v>893581</v>
      </c>
    </row>
    <row r="268">
      <c r="A268" s="94" t="n">
        <v>39470</v>
      </c>
      <c r="B268" t="n">
        <v>877253</v>
      </c>
    </row>
    <row r="269">
      <c r="A269" s="94" t="n">
        <v>39477</v>
      </c>
      <c r="B269" t="n">
        <v>900264</v>
      </c>
    </row>
    <row r="270">
      <c r="A270" s="94" t="n">
        <v>39484</v>
      </c>
      <c r="B270" t="n">
        <v>871022</v>
      </c>
    </row>
    <row r="271">
      <c r="A271" s="94" t="n">
        <v>39491</v>
      </c>
      <c r="B271" t="n">
        <v>883005</v>
      </c>
    </row>
    <row r="272">
      <c r="A272" s="94" t="n">
        <v>39498</v>
      </c>
      <c r="B272" t="n">
        <v>878949</v>
      </c>
    </row>
    <row r="273">
      <c r="A273" s="94" t="n">
        <v>39505</v>
      </c>
      <c r="B273" t="n">
        <v>893825</v>
      </c>
    </row>
    <row r="274">
      <c r="A274" s="94" t="n">
        <v>39512</v>
      </c>
      <c r="B274" t="n">
        <v>881208</v>
      </c>
    </row>
    <row r="275">
      <c r="A275" s="94" t="n">
        <v>39519</v>
      </c>
      <c r="B275" t="n">
        <v>896565</v>
      </c>
    </row>
    <row r="276">
      <c r="A276" s="94" t="n">
        <v>39526</v>
      </c>
      <c r="B276" t="n">
        <v>888646</v>
      </c>
    </row>
    <row r="277">
      <c r="A277" s="94" t="n">
        <v>39533</v>
      </c>
      <c r="B277" t="n">
        <v>893965</v>
      </c>
    </row>
    <row r="278">
      <c r="A278" s="94" t="n">
        <v>39540</v>
      </c>
      <c r="B278" t="n">
        <v>883708</v>
      </c>
    </row>
    <row r="279">
      <c r="A279" s="94" t="n">
        <v>39547</v>
      </c>
      <c r="B279" t="n">
        <v>893029</v>
      </c>
    </row>
    <row r="280">
      <c r="A280" s="94" t="n">
        <v>39554</v>
      </c>
      <c r="B280" t="n">
        <v>881904</v>
      </c>
    </row>
    <row r="281">
      <c r="A281" s="94" t="n">
        <v>39561</v>
      </c>
      <c r="B281" t="n">
        <v>885781</v>
      </c>
    </row>
    <row r="282">
      <c r="A282" s="94" t="n">
        <v>39568</v>
      </c>
      <c r="B282" t="n">
        <v>888131</v>
      </c>
    </row>
    <row r="283">
      <c r="A283" s="94" t="n">
        <v>39575</v>
      </c>
      <c r="B283" t="n">
        <v>889228</v>
      </c>
    </row>
    <row r="284">
      <c r="A284" s="94" t="n">
        <v>39582</v>
      </c>
      <c r="B284" t="n">
        <v>880175</v>
      </c>
    </row>
    <row r="285">
      <c r="A285" s="94" t="n">
        <v>39589</v>
      </c>
      <c r="B285" t="n">
        <v>898487</v>
      </c>
    </row>
    <row r="286">
      <c r="A286" s="94" t="n">
        <v>39596</v>
      </c>
      <c r="B286" t="n">
        <v>904054</v>
      </c>
    </row>
    <row r="287">
      <c r="A287" s="94" t="n">
        <v>39603</v>
      </c>
      <c r="B287" t="n">
        <v>895939</v>
      </c>
    </row>
    <row r="288">
      <c r="A288" s="94" t="n">
        <v>39610</v>
      </c>
      <c r="B288" t="n">
        <v>890610</v>
      </c>
    </row>
    <row r="289">
      <c r="A289" s="94" t="n">
        <v>39617</v>
      </c>
      <c r="B289" t="n">
        <v>902304</v>
      </c>
    </row>
    <row r="290">
      <c r="A290" s="94" t="n">
        <v>39624</v>
      </c>
      <c r="B290" t="n">
        <v>892713</v>
      </c>
    </row>
    <row r="291">
      <c r="A291" s="94" t="n">
        <v>39631</v>
      </c>
      <c r="B291" t="n">
        <v>902962</v>
      </c>
    </row>
    <row r="292">
      <c r="A292" s="94" t="n">
        <v>39638</v>
      </c>
      <c r="B292" t="n">
        <v>898034</v>
      </c>
    </row>
    <row r="293">
      <c r="A293" s="94" t="n">
        <v>39645</v>
      </c>
      <c r="B293" t="n">
        <v>910681</v>
      </c>
    </row>
    <row r="294">
      <c r="A294" s="94" t="n">
        <v>39652</v>
      </c>
      <c r="B294" t="n">
        <v>899665</v>
      </c>
    </row>
    <row r="295">
      <c r="A295" s="94" t="n">
        <v>39659</v>
      </c>
      <c r="B295" t="n">
        <v>918625</v>
      </c>
    </row>
    <row r="296">
      <c r="A296" s="94" t="n">
        <v>39666</v>
      </c>
      <c r="B296" t="n">
        <v>901710</v>
      </c>
    </row>
    <row r="297">
      <c r="A297" s="94" t="n">
        <v>39673</v>
      </c>
      <c r="B297" t="n">
        <v>914632</v>
      </c>
    </row>
    <row r="298">
      <c r="A298" s="94" t="n">
        <v>39680</v>
      </c>
      <c r="B298" t="n">
        <v>898611</v>
      </c>
    </row>
    <row r="299">
      <c r="A299" s="94" t="n">
        <v>39687</v>
      </c>
      <c r="B299" t="n">
        <v>909982</v>
      </c>
    </row>
    <row r="300">
      <c r="A300" s="94" t="n">
        <v>39694</v>
      </c>
      <c r="B300" t="n">
        <v>905253</v>
      </c>
    </row>
    <row r="301">
      <c r="A301" s="94" t="n">
        <v>39701</v>
      </c>
      <c r="B301" t="n">
        <v>925725</v>
      </c>
    </row>
    <row r="302">
      <c r="A302" s="94" t="n">
        <v>39708</v>
      </c>
      <c r="B302" t="n">
        <v>995093</v>
      </c>
    </row>
    <row r="303">
      <c r="A303" s="94" t="n">
        <v>39715</v>
      </c>
      <c r="B303" t="n">
        <v>1211825</v>
      </c>
    </row>
    <row r="304">
      <c r="A304" s="94" t="n">
        <v>39722</v>
      </c>
      <c r="B304" t="n">
        <v>1503989</v>
      </c>
    </row>
    <row r="305">
      <c r="A305" s="94" t="n">
        <v>39729</v>
      </c>
      <c r="B305" t="n">
        <v>1591587</v>
      </c>
    </row>
    <row r="306">
      <c r="A306" s="94" t="n">
        <v>39736</v>
      </c>
      <c r="B306" t="n">
        <v>1770809</v>
      </c>
    </row>
    <row r="307">
      <c r="A307" s="94" t="n">
        <v>39743</v>
      </c>
      <c r="B307" t="n">
        <v>1802602</v>
      </c>
    </row>
    <row r="308">
      <c r="A308" s="94" t="n">
        <v>39750</v>
      </c>
      <c r="B308" t="n">
        <v>1969086</v>
      </c>
    </row>
    <row r="309">
      <c r="A309" s="94" t="n">
        <v>39757</v>
      </c>
      <c r="B309" t="n">
        <v>2074205</v>
      </c>
    </row>
    <row r="310">
      <c r="A310" s="94" t="n">
        <v>39764</v>
      </c>
      <c r="B310" t="n">
        <v>2212852</v>
      </c>
    </row>
    <row r="311">
      <c r="A311" s="94" t="n">
        <v>39771</v>
      </c>
      <c r="B311" t="n">
        <v>2187137</v>
      </c>
    </row>
    <row r="312">
      <c r="A312" s="94" t="n">
        <v>39778</v>
      </c>
      <c r="B312" t="n">
        <v>2106117</v>
      </c>
    </row>
    <row r="313">
      <c r="A313" s="94" t="n">
        <v>39785</v>
      </c>
      <c r="B313" t="n">
        <v>2136924</v>
      </c>
    </row>
    <row r="314">
      <c r="A314" s="94" t="n">
        <v>39792</v>
      </c>
      <c r="B314" t="n">
        <v>2250012</v>
      </c>
    </row>
    <row r="315">
      <c r="A315" s="94" t="n">
        <v>39799</v>
      </c>
      <c r="B315" t="n">
        <v>2254983</v>
      </c>
    </row>
    <row r="316">
      <c r="A316" s="94" t="n">
        <v>39806</v>
      </c>
      <c r="B316" t="n">
        <v>2232311</v>
      </c>
    </row>
    <row r="317">
      <c r="A317" s="94" t="n">
        <v>39813</v>
      </c>
      <c r="B317" t="n">
        <v>2239457</v>
      </c>
    </row>
    <row r="318">
      <c r="A318" s="94" t="n">
        <v>39820</v>
      </c>
      <c r="B318" t="n">
        <v>2121439</v>
      </c>
    </row>
    <row r="319">
      <c r="A319" s="94" t="n">
        <v>39827</v>
      </c>
      <c r="B319" t="n">
        <v>2049714</v>
      </c>
    </row>
    <row r="320">
      <c r="A320" s="94" t="n">
        <v>39834</v>
      </c>
      <c r="B320" t="n">
        <v>2037112</v>
      </c>
    </row>
    <row r="321">
      <c r="A321" s="94" t="n">
        <v>39841</v>
      </c>
      <c r="B321" t="n">
        <v>1927082</v>
      </c>
    </row>
    <row r="322">
      <c r="A322" s="94" t="n">
        <v>39848</v>
      </c>
      <c r="B322" t="n">
        <v>1851437</v>
      </c>
    </row>
    <row r="323">
      <c r="A323" s="94" t="n">
        <v>39855</v>
      </c>
      <c r="B323" t="n">
        <v>1843400</v>
      </c>
    </row>
    <row r="324">
      <c r="A324" s="94" t="n">
        <v>39862</v>
      </c>
      <c r="B324" t="n">
        <v>1915562</v>
      </c>
    </row>
    <row r="325">
      <c r="A325" s="94" t="n">
        <v>39869</v>
      </c>
      <c r="B325" t="n">
        <v>1916115</v>
      </c>
    </row>
    <row r="326">
      <c r="A326" s="94" t="n">
        <v>39876</v>
      </c>
      <c r="B326" t="n">
        <v>1901317</v>
      </c>
    </row>
    <row r="327">
      <c r="A327" s="94" t="n">
        <v>39883</v>
      </c>
      <c r="B327" t="n">
        <v>1899514</v>
      </c>
    </row>
    <row r="328">
      <c r="A328" s="94" t="n">
        <v>39890</v>
      </c>
      <c r="B328" t="n">
        <v>2066942</v>
      </c>
    </row>
    <row r="329">
      <c r="A329" s="94" t="n">
        <v>39897</v>
      </c>
      <c r="B329" t="n">
        <v>2071556</v>
      </c>
    </row>
    <row r="330">
      <c r="A330" s="94" t="n">
        <v>39904</v>
      </c>
      <c r="B330" t="n">
        <v>2078936</v>
      </c>
    </row>
    <row r="331">
      <c r="A331" s="94" t="n">
        <v>39911</v>
      </c>
      <c r="B331" t="n">
        <v>2088573</v>
      </c>
    </row>
    <row r="332">
      <c r="A332" s="94" t="n">
        <v>39918</v>
      </c>
      <c r="B332" t="n">
        <v>2186498</v>
      </c>
    </row>
    <row r="333">
      <c r="A333" s="94" t="n">
        <v>39925</v>
      </c>
      <c r="B333" t="n">
        <v>2196812</v>
      </c>
    </row>
    <row r="334">
      <c r="A334" s="94" t="n">
        <v>39932</v>
      </c>
      <c r="B334" t="n">
        <v>2066712</v>
      </c>
    </row>
    <row r="335">
      <c r="A335" s="94" t="n">
        <v>39939</v>
      </c>
      <c r="B335" t="n">
        <v>2079758</v>
      </c>
    </row>
    <row r="336">
      <c r="A336" s="94" t="n">
        <v>39946</v>
      </c>
      <c r="B336" t="n">
        <v>2196351</v>
      </c>
    </row>
    <row r="337">
      <c r="A337" s="94" t="n">
        <v>39953</v>
      </c>
      <c r="B337" t="n">
        <v>2181632</v>
      </c>
    </row>
    <row r="338">
      <c r="A338" s="94" t="n">
        <v>39960</v>
      </c>
      <c r="B338" t="n">
        <v>2080115</v>
      </c>
    </row>
    <row r="339">
      <c r="A339" s="94" t="n">
        <v>39967</v>
      </c>
      <c r="B339" t="n">
        <v>2077695</v>
      </c>
    </row>
    <row r="340">
      <c r="A340" s="94" t="n">
        <v>39974</v>
      </c>
      <c r="B340" t="n">
        <v>2052297</v>
      </c>
    </row>
    <row r="341">
      <c r="A341" s="94" t="n">
        <v>39981</v>
      </c>
      <c r="B341" t="n">
        <v>2072527</v>
      </c>
    </row>
    <row r="342">
      <c r="A342" s="94" t="n">
        <v>39988</v>
      </c>
      <c r="B342" t="n">
        <v>2025571</v>
      </c>
    </row>
    <row r="343">
      <c r="A343" s="94" t="n">
        <v>39995</v>
      </c>
      <c r="B343" t="n">
        <v>2005627</v>
      </c>
    </row>
    <row r="344">
      <c r="A344" s="94" t="n">
        <v>40002</v>
      </c>
      <c r="B344" t="n">
        <v>1992740</v>
      </c>
    </row>
    <row r="345">
      <c r="A345" s="94" t="n">
        <v>40009</v>
      </c>
      <c r="B345" t="n">
        <v>2072451</v>
      </c>
    </row>
    <row r="346">
      <c r="A346" s="94" t="n">
        <v>40016</v>
      </c>
      <c r="B346" t="n">
        <v>2039001</v>
      </c>
    </row>
    <row r="347">
      <c r="A347" s="94" t="n">
        <v>40023</v>
      </c>
      <c r="B347" t="n">
        <v>2000547</v>
      </c>
    </row>
    <row r="348">
      <c r="A348" s="94" t="n">
        <v>40030</v>
      </c>
      <c r="B348" t="n">
        <v>1989203</v>
      </c>
    </row>
    <row r="349">
      <c r="A349" s="94" t="n">
        <v>40037</v>
      </c>
      <c r="B349" t="n">
        <v>2014899</v>
      </c>
    </row>
    <row r="350">
      <c r="A350" s="94" t="n">
        <v>40044</v>
      </c>
      <c r="B350" t="n">
        <v>2060641</v>
      </c>
    </row>
    <row r="351">
      <c r="A351" s="94" t="n">
        <v>40051</v>
      </c>
      <c r="B351" t="n">
        <v>2074902</v>
      </c>
    </row>
    <row r="352">
      <c r="A352" s="94" t="n">
        <v>40058</v>
      </c>
      <c r="B352" t="n">
        <v>2083720</v>
      </c>
    </row>
    <row r="353">
      <c r="A353" s="94" t="n">
        <v>40065</v>
      </c>
      <c r="B353" t="n">
        <v>2087946</v>
      </c>
    </row>
    <row r="354">
      <c r="A354" s="94" t="n">
        <v>40072</v>
      </c>
      <c r="B354" t="n">
        <v>2139783</v>
      </c>
    </row>
    <row r="355">
      <c r="A355" s="94" t="n">
        <v>40079</v>
      </c>
      <c r="B355" t="n">
        <v>2158631</v>
      </c>
    </row>
    <row r="356">
      <c r="A356" s="94" t="n">
        <v>40086</v>
      </c>
      <c r="B356" t="n">
        <v>2141020</v>
      </c>
    </row>
    <row r="357">
      <c r="A357" s="94" t="n">
        <v>40093</v>
      </c>
      <c r="B357" t="n">
        <v>2138086</v>
      </c>
    </row>
    <row r="358">
      <c r="A358" s="94" t="n">
        <v>40100</v>
      </c>
      <c r="B358" t="n">
        <v>2192787</v>
      </c>
    </row>
    <row r="359">
      <c r="A359" s="94" t="n">
        <v>40107</v>
      </c>
      <c r="B359" t="n">
        <v>2201119</v>
      </c>
    </row>
    <row r="360">
      <c r="A360" s="94" t="n">
        <v>40114</v>
      </c>
      <c r="B360" t="n">
        <v>2161537</v>
      </c>
    </row>
    <row r="361">
      <c r="A361" s="94" t="n">
        <v>40121</v>
      </c>
      <c r="B361" t="n">
        <v>2165067</v>
      </c>
    </row>
    <row r="362">
      <c r="A362" s="94" t="n">
        <v>40128</v>
      </c>
      <c r="B362" t="n">
        <v>2135035</v>
      </c>
    </row>
    <row r="363">
      <c r="A363" s="94" t="n">
        <v>40135</v>
      </c>
      <c r="B363" t="n">
        <v>2208721</v>
      </c>
    </row>
    <row r="364">
      <c r="A364" s="94" t="n">
        <v>40142</v>
      </c>
      <c r="B364" t="n">
        <v>2206359</v>
      </c>
    </row>
    <row r="365">
      <c r="A365" s="94" t="n">
        <v>40149</v>
      </c>
      <c r="B365" t="n">
        <v>2204074</v>
      </c>
    </row>
    <row r="366">
      <c r="A366" s="94" t="n">
        <v>40156</v>
      </c>
      <c r="B366" t="n">
        <v>2186383</v>
      </c>
    </row>
    <row r="367">
      <c r="A367" s="94" t="n">
        <v>40163</v>
      </c>
      <c r="B367" t="n">
        <v>2235763</v>
      </c>
    </row>
    <row r="368">
      <c r="A368" s="94" t="n">
        <v>40170</v>
      </c>
      <c r="B368" t="n">
        <v>2235803</v>
      </c>
    </row>
    <row r="369">
      <c r="A369" s="94" t="n">
        <v>40177</v>
      </c>
      <c r="B369" t="n">
        <v>2234067</v>
      </c>
    </row>
    <row r="370">
      <c r="A370" s="94" t="n">
        <v>40184</v>
      </c>
      <c r="B370" t="n">
        <v>2235304</v>
      </c>
    </row>
    <row r="371">
      <c r="A371" s="94" t="n">
        <v>40191</v>
      </c>
      <c r="B371" t="n">
        <v>2291700</v>
      </c>
    </row>
    <row r="372">
      <c r="A372" s="94" t="n">
        <v>40198</v>
      </c>
      <c r="B372" t="n">
        <v>2251806</v>
      </c>
    </row>
    <row r="373">
      <c r="A373" s="94" t="n">
        <v>40205</v>
      </c>
      <c r="B373" t="n">
        <v>2246886</v>
      </c>
    </row>
    <row r="374">
      <c r="A374" s="94" t="n">
        <v>40212</v>
      </c>
      <c r="B374" t="n">
        <v>2249319</v>
      </c>
    </row>
    <row r="375">
      <c r="A375" s="94" t="n">
        <v>40219</v>
      </c>
      <c r="B375" t="n">
        <v>2256679</v>
      </c>
    </row>
    <row r="376">
      <c r="A376" s="94" t="n">
        <v>40226</v>
      </c>
      <c r="B376" t="n">
        <v>2277574</v>
      </c>
    </row>
    <row r="377">
      <c r="A377" s="94" t="n">
        <v>40233</v>
      </c>
      <c r="B377" t="n">
        <v>2286127</v>
      </c>
    </row>
    <row r="378">
      <c r="A378" s="94" t="n">
        <v>40240</v>
      </c>
      <c r="B378" t="n">
        <v>2280147</v>
      </c>
    </row>
    <row r="379">
      <c r="A379" s="94" t="n">
        <v>40247</v>
      </c>
      <c r="B379" t="n">
        <v>2282474</v>
      </c>
    </row>
    <row r="380">
      <c r="A380" s="94" t="n">
        <v>40254</v>
      </c>
      <c r="B380" t="n">
        <v>2307997</v>
      </c>
    </row>
    <row r="381">
      <c r="A381" s="94" t="n">
        <v>40261</v>
      </c>
      <c r="B381" t="n">
        <v>2313149</v>
      </c>
    </row>
    <row r="382">
      <c r="A382" s="94" t="n">
        <v>40268</v>
      </c>
      <c r="B382" t="n">
        <v>2307150</v>
      </c>
    </row>
    <row r="383">
      <c r="A383" s="94" t="n">
        <v>40275</v>
      </c>
      <c r="B383" t="n">
        <v>2307575</v>
      </c>
    </row>
    <row r="384">
      <c r="A384" s="94" t="n">
        <v>40282</v>
      </c>
      <c r="B384" t="n">
        <v>2339345</v>
      </c>
    </row>
    <row r="385">
      <c r="A385" s="94" t="n">
        <v>40289</v>
      </c>
      <c r="B385" t="n">
        <v>2337556</v>
      </c>
    </row>
    <row r="386">
      <c r="A386" s="94" t="n">
        <v>40296</v>
      </c>
      <c r="B386" t="n">
        <v>2330472</v>
      </c>
    </row>
    <row r="387">
      <c r="A387" s="94" t="n">
        <v>40303</v>
      </c>
      <c r="B387" t="n">
        <v>2326164</v>
      </c>
    </row>
    <row r="388">
      <c r="A388" s="94" t="n">
        <v>40310</v>
      </c>
      <c r="B388" t="n">
        <v>2336103</v>
      </c>
    </row>
    <row r="389">
      <c r="A389" s="94" t="n">
        <v>40317</v>
      </c>
      <c r="B389" t="n">
        <v>2350890</v>
      </c>
    </row>
    <row r="390">
      <c r="A390" s="94" t="n">
        <v>40324</v>
      </c>
      <c r="B390" t="n">
        <v>2334041</v>
      </c>
    </row>
    <row r="391">
      <c r="A391" s="94" t="n">
        <v>40331</v>
      </c>
      <c r="B391" t="n">
        <v>2336216</v>
      </c>
    </row>
    <row r="392">
      <c r="A392" s="94" t="n">
        <v>40338</v>
      </c>
      <c r="B392" t="n">
        <v>2331529</v>
      </c>
    </row>
    <row r="393">
      <c r="A393" s="94" t="n">
        <v>40345</v>
      </c>
      <c r="B393" t="n">
        <v>2344316</v>
      </c>
    </row>
    <row r="394">
      <c r="A394" s="94" t="n">
        <v>40352</v>
      </c>
      <c r="B394" t="n">
        <v>2344497</v>
      </c>
    </row>
    <row r="395">
      <c r="A395" s="94" t="n">
        <v>40359</v>
      </c>
      <c r="B395" t="n">
        <v>2330851</v>
      </c>
    </row>
    <row r="396">
      <c r="A396" s="94" t="n">
        <v>40366</v>
      </c>
      <c r="B396" t="n">
        <v>2332017</v>
      </c>
    </row>
    <row r="397">
      <c r="A397" s="94" t="n">
        <v>40373</v>
      </c>
      <c r="B397" t="n">
        <v>2340717</v>
      </c>
    </row>
    <row r="398">
      <c r="A398" s="94" t="n">
        <v>40380</v>
      </c>
      <c r="B398" t="n">
        <v>2332322</v>
      </c>
    </row>
    <row r="399">
      <c r="A399" s="94" t="n">
        <v>40387</v>
      </c>
      <c r="B399" t="n">
        <v>2325298</v>
      </c>
    </row>
    <row r="400">
      <c r="A400" s="94" t="n">
        <v>40394</v>
      </c>
      <c r="B400" t="n">
        <v>2326479</v>
      </c>
    </row>
    <row r="401">
      <c r="A401" s="94" t="n">
        <v>40401</v>
      </c>
      <c r="B401" t="n">
        <v>2327533</v>
      </c>
    </row>
    <row r="402">
      <c r="A402" s="94" t="n">
        <v>40408</v>
      </c>
      <c r="B402" t="n">
        <v>2313662</v>
      </c>
    </row>
    <row r="403">
      <c r="A403" s="94" t="n">
        <v>40415</v>
      </c>
      <c r="B403" t="n">
        <v>2301015</v>
      </c>
    </row>
    <row r="404">
      <c r="A404" s="94" t="n">
        <v>40422</v>
      </c>
      <c r="B404" t="n">
        <v>2301996</v>
      </c>
    </row>
    <row r="405">
      <c r="A405" s="94" t="n">
        <v>40429</v>
      </c>
      <c r="B405" t="n">
        <v>2305802</v>
      </c>
    </row>
    <row r="406">
      <c r="A406" s="94" t="n">
        <v>40436</v>
      </c>
      <c r="B406" t="n">
        <v>2296079</v>
      </c>
    </row>
    <row r="407">
      <c r="A407" s="94" t="n">
        <v>40443</v>
      </c>
      <c r="B407" t="n">
        <v>2307171</v>
      </c>
    </row>
    <row r="408">
      <c r="A408" s="94" t="n">
        <v>40450</v>
      </c>
      <c r="B408" t="n">
        <v>2298691</v>
      </c>
    </row>
    <row r="409">
      <c r="A409" s="94" t="n">
        <v>40457</v>
      </c>
      <c r="B409" t="n">
        <v>2308092</v>
      </c>
    </row>
    <row r="410">
      <c r="A410" s="94" t="n">
        <v>40464</v>
      </c>
      <c r="B410" t="n">
        <v>2309885</v>
      </c>
    </row>
    <row r="411">
      <c r="A411" s="94" t="n">
        <v>40471</v>
      </c>
      <c r="B411" t="n">
        <v>2305227</v>
      </c>
    </row>
    <row r="412">
      <c r="A412" s="94" t="n">
        <v>40478</v>
      </c>
      <c r="B412" t="n">
        <v>2295392</v>
      </c>
    </row>
    <row r="413">
      <c r="A413" s="94" t="n">
        <v>40485</v>
      </c>
      <c r="B413" t="n">
        <v>2300353</v>
      </c>
    </row>
    <row r="414">
      <c r="A414" s="94" t="n">
        <v>40492</v>
      </c>
      <c r="B414" t="n">
        <v>2312768</v>
      </c>
    </row>
    <row r="415">
      <c r="A415" s="94" t="n">
        <v>40499</v>
      </c>
      <c r="B415" t="n">
        <v>2314757</v>
      </c>
    </row>
    <row r="416">
      <c r="A416" s="94" t="n">
        <v>40506</v>
      </c>
      <c r="B416" t="n">
        <v>2346001</v>
      </c>
    </row>
    <row r="417">
      <c r="A417" s="94" t="n">
        <v>40513</v>
      </c>
      <c r="B417" t="n">
        <v>2346920</v>
      </c>
    </row>
    <row r="418">
      <c r="A418" s="94" t="n">
        <v>40520</v>
      </c>
      <c r="B418" t="n">
        <v>2382294</v>
      </c>
    </row>
    <row r="419">
      <c r="A419" s="94" t="n">
        <v>40527</v>
      </c>
      <c r="B419" t="n">
        <v>2385754</v>
      </c>
    </row>
    <row r="420">
      <c r="A420" s="94" t="n">
        <v>40534</v>
      </c>
      <c r="B420" t="n">
        <v>2427921</v>
      </c>
    </row>
    <row r="421">
      <c r="A421" s="94" t="n">
        <v>40541</v>
      </c>
      <c r="B421" t="n">
        <v>2420570</v>
      </c>
    </row>
    <row r="422">
      <c r="A422" s="94" t="n">
        <v>40548</v>
      </c>
      <c r="B422" t="n">
        <v>2436064</v>
      </c>
    </row>
    <row r="423">
      <c r="A423" s="94" t="n">
        <v>40555</v>
      </c>
      <c r="B423" t="n">
        <v>2468131</v>
      </c>
    </row>
    <row r="424">
      <c r="A424" s="94" t="n">
        <v>40562</v>
      </c>
      <c r="B424" t="n">
        <v>2425164</v>
      </c>
    </row>
    <row r="425">
      <c r="A425" s="94" t="n">
        <v>40569</v>
      </c>
      <c r="B425" t="n">
        <v>2443527</v>
      </c>
    </row>
    <row r="426">
      <c r="A426" s="94" t="n">
        <v>40576</v>
      </c>
      <c r="B426" t="n">
        <v>2469419</v>
      </c>
    </row>
    <row r="427">
      <c r="A427" s="94" t="n">
        <v>40583</v>
      </c>
      <c r="B427" t="n">
        <v>2500481</v>
      </c>
    </row>
    <row r="428">
      <c r="A428" s="94" t="n">
        <v>40590</v>
      </c>
      <c r="B428" t="n">
        <v>2508868</v>
      </c>
    </row>
    <row r="429">
      <c r="A429" s="94" t="n">
        <v>40597</v>
      </c>
      <c r="B429" t="n">
        <v>2533221</v>
      </c>
    </row>
    <row r="430">
      <c r="A430" s="94" t="n">
        <v>40604</v>
      </c>
      <c r="B430" t="n">
        <v>2545119</v>
      </c>
    </row>
    <row r="431">
      <c r="A431" s="94" t="n">
        <v>40611</v>
      </c>
      <c r="B431" t="n">
        <v>2577076</v>
      </c>
    </row>
    <row r="432">
      <c r="A432" s="94" t="n">
        <v>40618</v>
      </c>
      <c r="B432" t="n">
        <v>2583046</v>
      </c>
    </row>
    <row r="433">
      <c r="A433" s="94" t="n">
        <v>40625</v>
      </c>
      <c r="B433" t="n">
        <v>2601341</v>
      </c>
    </row>
    <row r="434">
      <c r="A434" s="94" t="n">
        <v>40632</v>
      </c>
      <c r="B434" t="n">
        <v>2622523</v>
      </c>
    </row>
    <row r="435">
      <c r="A435" s="94" t="n">
        <v>40639</v>
      </c>
      <c r="B435" t="n">
        <v>2648676</v>
      </c>
    </row>
    <row r="436">
      <c r="A436" s="94" t="n">
        <v>40646</v>
      </c>
      <c r="B436" t="n">
        <v>2665408</v>
      </c>
    </row>
    <row r="437">
      <c r="A437" s="94" t="n">
        <v>40653</v>
      </c>
      <c r="B437" t="n">
        <v>2685782</v>
      </c>
    </row>
    <row r="438">
      <c r="A438" s="94" t="n">
        <v>40660</v>
      </c>
      <c r="B438" t="n">
        <v>2690985</v>
      </c>
    </row>
    <row r="439">
      <c r="A439" s="94" t="n">
        <v>40667</v>
      </c>
      <c r="B439" t="n">
        <v>2718757</v>
      </c>
    </row>
    <row r="440">
      <c r="A440" s="94" t="n">
        <v>40674</v>
      </c>
      <c r="B440" t="n">
        <v>2744498</v>
      </c>
    </row>
    <row r="441">
      <c r="A441" s="94" t="n">
        <v>40681</v>
      </c>
      <c r="B441" t="n">
        <v>2758009</v>
      </c>
    </row>
    <row r="442">
      <c r="A442" s="94" t="n">
        <v>40688</v>
      </c>
      <c r="B442" t="n">
        <v>2774996</v>
      </c>
    </row>
    <row r="443">
      <c r="A443" s="94" t="n">
        <v>40695</v>
      </c>
      <c r="B443" t="n">
        <v>2788723</v>
      </c>
    </row>
    <row r="444">
      <c r="A444" s="94" t="n">
        <v>40702</v>
      </c>
      <c r="B444" t="n">
        <v>2811206</v>
      </c>
    </row>
    <row r="445">
      <c r="A445" s="94" t="n">
        <v>40709</v>
      </c>
      <c r="B445" t="n">
        <v>2827549</v>
      </c>
    </row>
    <row r="446">
      <c r="A446" s="94" t="n">
        <v>40716</v>
      </c>
      <c r="B446" t="n">
        <v>2856403</v>
      </c>
    </row>
    <row r="447">
      <c r="A447" s="94" t="n">
        <v>40723</v>
      </c>
      <c r="B447" t="n">
        <v>2865251</v>
      </c>
    </row>
    <row r="448">
      <c r="A448" s="94" t="n">
        <v>40730</v>
      </c>
      <c r="B448" t="n">
        <v>2870103</v>
      </c>
    </row>
    <row r="449">
      <c r="A449" s="94" t="n">
        <v>40737</v>
      </c>
      <c r="B449" t="n">
        <v>2878074</v>
      </c>
    </row>
    <row r="450">
      <c r="A450" s="94" t="n">
        <v>40744</v>
      </c>
      <c r="B450" t="n">
        <v>2871301</v>
      </c>
    </row>
    <row r="451">
      <c r="A451" s="94" t="n">
        <v>40751</v>
      </c>
      <c r="B451" t="n">
        <v>2863576</v>
      </c>
    </row>
    <row r="452">
      <c r="A452" s="94" t="n">
        <v>40758</v>
      </c>
      <c r="B452" t="n">
        <v>2867215</v>
      </c>
    </row>
    <row r="453">
      <c r="A453" s="94" t="n">
        <v>40765</v>
      </c>
      <c r="B453" t="n">
        <v>2872423</v>
      </c>
    </row>
    <row r="454">
      <c r="A454" s="94" t="n">
        <v>40772</v>
      </c>
      <c r="B454" t="n">
        <v>2857906</v>
      </c>
    </row>
    <row r="455">
      <c r="A455" s="94" t="n">
        <v>40779</v>
      </c>
      <c r="B455" t="n">
        <v>2859433</v>
      </c>
    </row>
    <row r="456">
      <c r="A456" s="94" t="n">
        <v>40786</v>
      </c>
      <c r="B456" t="n">
        <v>2853888</v>
      </c>
    </row>
    <row r="457">
      <c r="A457" s="94" t="n">
        <v>40793</v>
      </c>
      <c r="B457" t="n">
        <v>2858660</v>
      </c>
    </row>
    <row r="458">
      <c r="A458" s="94" t="n">
        <v>40800</v>
      </c>
      <c r="B458" t="n">
        <v>2863540</v>
      </c>
    </row>
    <row r="459">
      <c r="A459" s="94" t="n">
        <v>40807</v>
      </c>
      <c r="B459" t="n">
        <v>2857747</v>
      </c>
    </row>
    <row r="460">
      <c r="A460" s="94" t="n">
        <v>40814</v>
      </c>
      <c r="B460" t="n">
        <v>2850921</v>
      </c>
    </row>
    <row r="461">
      <c r="A461" s="94" t="n">
        <v>40821</v>
      </c>
      <c r="B461" t="n">
        <v>2859701</v>
      </c>
    </row>
    <row r="462">
      <c r="A462" s="94" t="n">
        <v>40828</v>
      </c>
      <c r="B462" t="n">
        <v>2860822</v>
      </c>
    </row>
    <row r="463">
      <c r="A463" s="94" t="n">
        <v>40835</v>
      </c>
      <c r="B463" t="n">
        <v>2852390</v>
      </c>
    </row>
    <row r="464">
      <c r="A464" s="94" t="n">
        <v>40842</v>
      </c>
      <c r="B464" t="n">
        <v>2845685</v>
      </c>
    </row>
    <row r="465">
      <c r="A465" s="94" t="n">
        <v>40849</v>
      </c>
      <c r="B465" t="n">
        <v>2822034</v>
      </c>
    </row>
    <row r="466">
      <c r="A466" s="94" t="n">
        <v>40856</v>
      </c>
      <c r="B466" t="n">
        <v>2839786</v>
      </c>
    </row>
    <row r="467">
      <c r="A467" s="94" t="n">
        <v>40863</v>
      </c>
      <c r="B467" t="n">
        <v>2831576</v>
      </c>
    </row>
    <row r="468">
      <c r="A468" s="94" t="n">
        <v>40870</v>
      </c>
      <c r="B468" t="n">
        <v>2821980</v>
      </c>
    </row>
    <row r="469">
      <c r="A469" s="94" t="n">
        <v>40877</v>
      </c>
      <c r="B469" t="n">
        <v>2814235</v>
      </c>
    </row>
    <row r="470">
      <c r="A470" s="94" t="n">
        <v>40884</v>
      </c>
      <c r="B470" t="n">
        <v>2820691</v>
      </c>
    </row>
    <row r="471">
      <c r="A471" s="94" t="n">
        <v>40891</v>
      </c>
      <c r="B471" t="n">
        <v>2902488</v>
      </c>
    </row>
    <row r="472">
      <c r="A472" s="94" t="n">
        <v>40898</v>
      </c>
      <c r="B472" t="n">
        <v>2916085</v>
      </c>
    </row>
    <row r="473">
      <c r="A473" s="94" t="n">
        <v>40905</v>
      </c>
      <c r="B473" t="n">
        <v>2926095</v>
      </c>
    </row>
    <row r="474">
      <c r="A474" s="94" t="n">
        <v>40912</v>
      </c>
      <c r="B474" t="n">
        <v>2917689</v>
      </c>
    </row>
    <row r="475">
      <c r="A475" s="94" t="n">
        <v>40919</v>
      </c>
      <c r="B475" t="n">
        <v>2899149</v>
      </c>
    </row>
    <row r="476">
      <c r="A476" s="94" t="n">
        <v>40926</v>
      </c>
      <c r="B476" t="n">
        <v>2919423</v>
      </c>
    </row>
    <row r="477">
      <c r="A477" s="94" t="n">
        <v>40933</v>
      </c>
      <c r="B477" t="n">
        <v>2919545</v>
      </c>
    </row>
    <row r="478">
      <c r="A478" s="94" t="n">
        <v>40940</v>
      </c>
      <c r="B478" t="n">
        <v>2924947</v>
      </c>
    </row>
    <row r="479">
      <c r="A479" s="94" t="n">
        <v>40947</v>
      </c>
      <c r="B479" t="n">
        <v>2928275</v>
      </c>
    </row>
    <row r="480">
      <c r="A480" s="94" t="n">
        <v>40954</v>
      </c>
      <c r="B480" t="n">
        <v>2937893</v>
      </c>
    </row>
    <row r="481">
      <c r="A481" s="94" t="n">
        <v>40961</v>
      </c>
      <c r="B481" t="n">
        <v>2932813</v>
      </c>
    </row>
    <row r="482">
      <c r="A482" s="94" t="n">
        <v>40968</v>
      </c>
      <c r="B482" t="n">
        <v>2925722</v>
      </c>
    </row>
    <row r="483">
      <c r="A483" s="94" t="n">
        <v>40975</v>
      </c>
      <c r="B483" t="n">
        <v>2884747</v>
      </c>
    </row>
    <row r="484">
      <c r="A484" s="94" t="n">
        <v>40982</v>
      </c>
      <c r="B484" t="n">
        <v>2893560</v>
      </c>
    </row>
    <row r="485">
      <c r="A485" s="94" t="n">
        <v>40989</v>
      </c>
      <c r="B485" t="n">
        <v>2892646</v>
      </c>
    </row>
    <row r="486">
      <c r="A486" s="94" t="n">
        <v>40996</v>
      </c>
      <c r="B486" t="n">
        <v>2878137</v>
      </c>
    </row>
    <row r="487">
      <c r="A487" s="94" t="n">
        <v>41003</v>
      </c>
      <c r="B487" t="n">
        <v>2865478</v>
      </c>
    </row>
    <row r="488">
      <c r="A488" s="94" t="n">
        <v>41010</v>
      </c>
      <c r="B488" t="n">
        <v>2867200</v>
      </c>
    </row>
    <row r="489">
      <c r="A489" s="94" t="n">
        <v>41017</v>
      </c>
      <c r="B489" t="n">
        <v>2875470</v>
      </c>
    </row>
    <row r="490">
      <c r="A490" s="94" t="n">
        <v>41024</v>
      </c>
      <c r="B490" t="n">
        <v>2866561</v>
      </c>
    </row>
    <row r="491">
      <c r="A491" s="94" t="n">
        <v>41031</v>
      </c>
      <c r="B491" t="n">
        <v>2864280</v>
      </c>
    </row>
    <row r="492">
      <c r="A492" s="94" t="n">
        <v>41038</v>
      </c>
      <c r="B492" t="n">
        <v>2864150</v>
      </c>
    </row>
    <row r="493">
      <c r="A493" s="94" t="n">
        <v>41045</v>
      </c>
      <c r="B493" t="n">
        <v>2850984</v>
      </c>
    </row>
    <row r="494">
      <c r="A494" s="94" t="n">
        <v>41052</v>
      </c>
      <c r="B494" t="n">
        <v>2859495</v>
      </c>
    </row>
    <row r="495">
      <c r="A495" s="94" t="n">
        <v>41059</v>
      </c>
      <c r="B495" t="n">
        <v>2842654</v>
      </c>
    </row>
    <row r="496">
      <c r="A496" s="94" t="n">
        <v>41066</v>
      </c>
      <c r="B496" t="n">
        <v>2852018</v>
      </c>
    </row>
    <row r="497">
      <c r="A497" s="94" t="n">
        <v>41073</v>
      </c>
      <c r="B497" t="n">
        <v>2869071</v>
      </c>
    </row>
    <row r="498">
      <c r="A498" s="94" t="n">
        <v>41080</v>
      </c>
      <c r="B498" t="n">
        <v>2870846</v>
      </c>
    </row>
    <row r="499">
      <c r="A499" s="94" t="n">
        <v>41087</v>
      </c>
      <c r="B499" t="n">
        <v>2863547</v>
      </c>
    </row>
    <row r="500">
      <c r="A500" s="94" t="n">
        <v>41094</v>
      </c>
      <c r="B500" t="n">
        <v>2865858</v>
      </c>
    </row>
    <row r="501">
      <c r="A501" s="94" t="n">
        <v>41101</v>
      </c>
      <c r="B501" t="n">
        <v>2866279</v>
      </c>
    </row>
    <row r="502">
      <c r="A502" s="94" t="n">
        <v>41108</v>
      </c>
      <c r="B502" t="n">
        <v>2855807</v>
      </c>
    </row>
    <row r="503">
      <c r="A503" s="94" t="n">
        <v>41115</v>
      </c>
      <c r="B503" t="n">
        <v>2846757</v>
      </c>
    </row>
    <row r="504">
      <c r="A504" s="94" t="n">
        <v>41122</v>
      </c>
      <c r="B504" t="n">
        <v>2851118</v>
      </c>
    </row>
    <row r="505">
      <c r="A505" s="94" t="n">
        <v>41129</v>
      </c>
      <c r="B505" t="n">
        <v>2856181</v>
      </c>
    </row>
    <row r="506">
      <c r="A506" s="94" t="n">
        <v>41136</v>
      </c>
      <c r="B506" t="n">
        <v>2833317</v>
      </c>
    </row>
    <row r="507">
      <c r="A507" s="94" t="n">
        <v>41143</v>
      </c>
      <c r="B507" t="n">
        <v>2825661</v>
      </c>
    </row>
    <row r="508">
      <c r="A508" s="94" t="n">
        <v>41150</v>
      </c>
      <c r="B508" t="n">
        <v>2812806</v>
      </c>
    </row>
    <row r="509">
      <c r="A509" s="94" t="n">
        <v>41157</v>
      </c>
      <c r="B509" t="n">
        <v>2822169</v>
      </c>
    </row>
    <row r="510">
      <c r="A510" s="94" t="n">
        <v>41164</v>
      </c>
      <c r="B510" t="n">
        <v>2823448</v>
      </c>
    </row>
    <row r="511">
      <c r="A511" s="94" t="n">
        <v>41171</v>
      </c>
      <c r="B511" t="n">
        <v>2821574</v>
      </c>
    </row>
    <row r="512">
      <c r="A512" s="94" t="n">
        <v>41178</v>
      </c>
      <c r="B512" t="n">
        <v>2804457</v>
      </c>
    </row>
    <row r="513">
      <c r="A513" s="94" t="n">
        <v>41185</v>
      </c>
      <c r="B513" t="n">
        <v>2808512</v>
      </c>
    </row>
    <row r="514">
      <c r="A514" s="94" t="n">
        <v>41192</v>
      </c>
      <c r="B514" t="n">
        <v>2811623</v>
      </c>
    </row>
    <row r="515">
      <c r="A515" s="94" t="n">
        <v>41199</v>
      </c>
      <c r="B515" t="n">
        <v>2846920</v>
      </c>
    </row>
    <row r="516">
      <c r="A516" s="94" t="n">
        <v>41206</v>
      </c>
      <c r="B516" t="n">
        <v>2840964</v>
      </c>
    </row>
    <row r="517">
      <c r="A517" s="94" t="n">
        <v>41213</v>
      </c>
      <c r="B517" t="n">
        <v>2823137</v>
      </c>
    </row>
    <row r="518">
      <c r="A518" s="94" t="n">
        <v>41220</v>
      </c>
      <c r="B518" t="n">
        <v>2830791</v>
      </c>
    </row>
    <row r="519">
      <c r="A519" s="94" t="n">
        <v>41227</v>
      </c>
      <c r="B519" t="n">
        <v>2877244</v>
      </c>
    </row>
    <row r="520">
      <c r="A520" s="94" t="n">
        <v>41234</v>
      </c>
      <c r="B520" t="n">
        <v>2871161</v>
      </c>
    </row>
    <row r="521">
      <c r="A521" s="94" t="n">
        <v>41241</v>
      </c>
      <c r="B521" t="n">
        <v>2851362</v>
      </c>
    </row>
    <row r="522">
      <c r="A522" s="94" t="n">
        <v>41248</v>
      </c>
      <c r="B522" t="n">
        <v>2859807</v>
      </c>
    </row>
    <row r="523">
      <c r="A523" s="94" t="n">
        <v>41255</v>
      </c>
      <c r="B523" t="n">
        <v>2917260</v>
      </c>
    </row>
    <row r="524">
      <c r="A524" s="94" t="n">
        <v>41262</v>
      </c>
      <c r="B524" t="n">
        <v>2920231</v>
      </c>
    </row>
    <row r="525">
      <c r="A525" s="94" t="n">
        <v>41269</v>
      </c>
      <c r="B525" t="n">
        <v>2907300</v>
      </c>
    </row>
    <row r="526">
      <c r="A526" s="94" t="n">
        <v>41276</v>
      </c>
      <c r="B526" t="n">
        <v>2917189</v>
      </c>
    </row>
    <row r="527">
      <c r="A527" s="94" t="n">
        <v>41283</v>
      </c>
      <c r="B527" t="n">
        <v>2928728</v>
      </c>
    </row>
    <row r="528">
      <c r="A528" s="94" t="n">
        <v>41290</v>
      </c>
      <c r="B528" t="n">
        <v>2963812</v>
      </c>
    </row>
    <row r="529">
      <c r="A529" s="94" t="n">
        <v>41297</v>
      </c>
      <c r="B529" t="n">
        <v>3011697</v>
      </c>
    </row>
    <row r="530">
      <c r="A530" s="94" t="n">
        <v>41304</v>
      </c>
      <c r="B530" t="n">
        <v>3008704</v>
      </c>
    </row>
    <row r="531">
      <c r="A531" s="94" t="n">
        <v>41311</v>
      </c>
      <c r="B531" t="n">
        <v>3014975</v>
      </c>
    </row>
    <row r="532">
      <c r="A532" s="94" t="n">
        <v>41318</v>
      </c>
      <c r="B532" t="n">
        <v>3074225</v>
      </c>
    </row>
    <row r="533">
      <c r="A533" s="94" t="n">
        <v>41325</v>
      </c>
      <c r="B533" t="n">
        <v>3095150</v>
      </c>
    </row>
    <row r="534">
      <c r="A534" s="94" t="n">
        <v>41332</v>
      </c>
      <c r="B534" t="n">
        <v>3090600</v>
      </c>
    </row>
    <row r="535">
      <c r="A535" s="94" t="n">
        <v>41339</v>
      </c>
      <c r="B535" t="n">
        <v>3108805</v>
      </c>
    </row>
    <row r="536">
      <c r="A536" s="94" t="n">
        <v>41346</v>
      </c>
      <c r="B536" t="n">
        <v>3165396</v>
      </c>
    </row>
    <row r="537">
      <c r="A537" s="94" t="n">
        <v>41353</v>
      </c>
      <c r="B537" t="n">
        <v>3206888</v>
      </c>
    </row>
    <row r="538">
      <c r="A538" s="94" t="n">
        <v>41360</v>
      </c>
      <c r="B538" t="n">
        <v>3202256</v>
      </c>
    </row>
    <row r="539">
      <c r="A539" s="94" t="n">
        <v>41367</v>
      </c>
      <c r="B539" t="n">
        <v>3215432</v>
      </c>
    </row>
    <row r="540">
      <c r="A540" s="94" t="n">
        <v>41374</v>
      </c>
      <c r="B540" t="n">
        <v>3227762</v>
      </c>
    </row>
    <row r="541">
      <c r="A541" s="94" t="n">
        <v>41381</v>
      </c>
      <c r="B541" t="n">
        <v>3295109</v>
      </c>
    </row>
    <row r="542">
      <c r="A542" s="94" t="n">
        <v>41388</v>
      </c>
      <c r="B542" t="n">
        <v>3318649</v>
      </c>
    </row>
    <row r="543">
      <c r="A543" s="94" t="n">
        <v>41395</v>
      </c>
      <c r="B543" t="n">
        <v>3317194</v>
      </c>
    </row>
    <row r="544">
      <c r="A544" s="94" t="n">
        <v>41402</v>
      </c>
      <c r="B544" t="n">
        <v>3324615</v>
      </c>
    </row>
    <row r="545">
      <c r="A545" s="94" t="n">
        <v>41409</v>
      </c>
      <c r="B545" t="n">
        <v>3354269</v>
      </c>
    </row>
    <row r="546">
      <c r="A546" s="94" t="n">
        <v>41416</v>
      </c>
      <c r="B546" t="n">
        <v>3398713</v>
      </c>
    </row>
    <row r="547">
      <c r="A547" s="94" t="n">
        <v>41423</v>
      </c>
      <c r="B547" t="n">
        <v>3385128</v>
      </c>
    </row>
    <row r="548">
      <c r="A548" s="94" t="n">
        <v>41430</v>
      </c>
      <c r="B548" t="n">
        <v>3400183</v>
      </c>
    </row>
    <row r="549">
      <c r="A549" s="94" t="n">
        <v>41437</v>
      </c>
      <c r="B549" t="n">
        <v>3410842</v>
      </c>
    </row>
    <row r="550">
      <c r="A550" s="94" t="n">
        <v>41444</v>
      </c>
      <c r="B550" t="n">
        <v>3470530</v>
      </c>
    </row>
    <row r="551">
      <c r="A551" s="94" t="n">
        <v>41451</v>
      </c>
      <c r="B551" t="n">
        <v>3478672</v>
      </c>
    </row>
    <row r="552">
      <c r="A552" s="94" t="n">
        <v>41458</v>
      </c>
      <c r="B552" t="n">
        <v>3492742</v>
      </c>
    </row>
    <row r="553">
      <c r="A553" s="94" t="n">
        <v>41465</v>
      </c>
      <c r="B553" t="n">
        <v>3504095</v>
      </c>
    </row>
    <row r="554">
      <c r="A554" s="94" t="n">
        <v>41472</v>
      </c>
      <c r="B554" t="n">
        <v>3537861</v>
      </c>
    </row>
    <row r="555">
      <c r="A555" s="94" t="n">
        <v>41479</v>
      </c>
      <c r="B555" t="n">
        <v>3574574</v>
      </c>
    </row>
    <row r="556">
      <c r="A556" s="94" t="n">
        <v>41486</v>
      </c>
      <c r="B556" t="n">
        <v>3571797</v>
      </c>
    </row>
    <row r="557">
      <c r="A557" s="94" t="n">
        <v>41493</v>
      </c>
      <c r="B557" t="n">
        <v>3585359</v>
      </c>
    </row>
    <row r="558">
      <c r="A558" s="94" t="n">
        <v>41500</v>
      </c>
      <c r="B558" t="n">
        <v>3646323</v>
      </c>
    </row>
    <row r="559">
      <c r="A559" s="94" t="n">
        <v>41507</v>
      </c>
      <c r="B559" t="n">
        <v>3645668</v>
      </c>
    </row>
    <row r="560">
      <c r="A560" s="94" t="n">
        <v>41514</v>
      </c>
      <c r="B560" t="n">
        <v>3644456</v>
      </c>
    </row>
    <row r="561">
      <c r="A561" s="94" t="n">
        <v>41521</v>
      </c>
      <c r="B561" t="n">
        <v>3654182</v>
      </c>
    </row>
    <row r="562">
      <c r="A562" s="94" t="n">
        <v>41528</v>
      </c>
      <c r="B562" t="n">
        <v>3662035</v>
      </c>
    </row>
    <row r="563">
      <c r="A563" s="94" t="n">
        <v>41535</v>
      </c>
      <c r="B563" t="n">
        <v>3722192</v>
      </c>
    </row>
    <row r="564">
      <c r="A564" s="94" t="n">
        <v>41542</v>
      </c>
      <c r="B564" t="n">
        <v>3734018</v>
      </c>
    </row>
    <row r="565">
      <c r="A565" s="94" t="n">
        <v>41549</v>
      </c>
      <c r="B565" t="n">
        <v>3747387</v>
      </c>
    </row>
    <row r="566">
      <c r="A566" s="94" t="n">
        <v>41556</v>
      </c>
      <c r="B566" t="n">
        <v>3758663</v>
      </c>
    </row>
    <row r="567">
      <c r="A567" s="94" t="n">
        <v>41563</v>
      </c>
      <c r="B567" t="n">
        <v>3813599</v>
      </c>
    </row>
    <row r="568">
      <c r="A568" s="94" t="n">
        <v>41570</v>
      </c>
      <c r="B568" t="n">
        <v>3839033</v>
      </c>
    </row>
    <row r="569">
      <c r="A569" s="94" t="n">
        <v>41577</v>
      </c>
      <c r="B569" t="n">
        <v>3843396</v>
      </c>
    </row>
    <row r="570">
      <c r="A570" s="94" t="n">
        <v>41584</v>
      </c>
      <c r="B570" t="n">
        <v>3851623</v>
      </c>
    </row>
    <row r="571">
      <c r="A571" s="94" t="n">
        <v>41591</v>
      </c>
      <c r="B571" t="n">
        <v>3907424</v>
      </c>
    </row>
    <row r="572">
      <c r="A572" s="94" t="n">
        <v>41598</v>
      </c>
      <c r="B572" t="n">
        <v>3906620</v>
      </c>
    </row>
    <row r="573">
      <c r="A573" s="94" t="n">
        <v>41605</v>
      </c>
      <c r="B573" t="n">
        <v>3925876</v>
      </c>
    </row>
    <row r="574">
      <c r="A574" s="94" t="n">
        <v>41612</v>
      </c>
      <c r="B574" t="n">
        <v>3932626</v>
      </c>
    </row>
    <row r="575">
      <c r="A575" s="94" t="n">
        <v>41619</v>
      </c>
      <c r="B575" t="n">
        <v>3993955</v>
      </c>
    </row>
    <row r="576">
      <c r="A576" s="94" t="n">
        <v>41626</v>
      </c>
      <c r="B576" t="n">
        <v>4008062</v>
      </c>
    </row>
    <row r="577">
      <c r="A577" s="94" t="n">
        <v>41633</v>
      </c>
      <c r="B577" t="n">
        <v>4032575</v>
      </c>
    </row>
    <row r="578">
      <c r="A578" s="94" t="n">
        <v>41640</v>
      </c>
      <c r="B578" t="n">
        <v>4023640</v>
      </c>
    </row>
    <row r="579">
      <c r="A579" s="94" t="n">
        <v>41647</v>
      </c>
      <c r="B579" t="n">
        <v>4028185</v>
      </c>
    </row>
    <row r="580">
      <c r="A580" s="94" t="n">
        <v>41654</v>
      </c>
      <c r="B580" t="n">
        <v>4071528</v>
      </c>
    </row>
    <row r="581">
      <c r="A581" s="94" t="n">
        <v>41661</v>
      </c>
      <c r="B581" t="n">
        <v>4097914</v>
      </c>
    </row>
    <row r="582">
      <c r="A582" s="94" t="n">
        <v>41668</v>
      </c>
      <c r="B582" t="n">
        <v>4102138</v>
      </c>
    </row>
    <row r="583">
      <c r="A583" s="94" t="n">
        <v>41675</v>
      </c>
      <c r="B583" t="n">
        <v>4109285</v>
      </c>
    </row>
    <row r="584">
      <c r="A584" s="94" t="n">
        <v>41682</v>
      </c>
      <c r="B584" t="n">
        <v>4119474</v>
      </c>
    </row>
    <row r="585">
      <c r="A585" s="94" t="n">
        <v>41689</v>
      </c>
      <c r="B585" t="n">
        <v>4149224</v>
      </c>
    </row>
    <row r="586">
      <c r="A586" s="94" t="n">
        <v>41696</v>
      </c>
      <c r="B586" t="n">
        <v>4159972</v>
      </c>
    </row>
    <row r="587">
      <c r="A587" s="94" t="n">
        <v>41703</v>
      </c>
      <c r="B587" t="n">
        <v>4171762</v>
      </c>
    </row>
    <row r="588">
      <c r="A588" s="94" t="n">
        <v>41710</v>
      </c>
      <c r="B588" t="n">
        <v>4181361</v>
      </c>
    </row>
    <row r="589">
      <c r="A589" s="94" t="n">
        <v>41717</v>
      </c>
      <c r="B589" t="n">
        <v>4222081</v>
      </c>
    </row>
    <row r="590">
      <c r="A590" s="94" t="n">
        <v>41724</v>
      </c>
      <c r="B590" t="n">
        <v>4226971</v>
      </c>
    </row>
    <row r="591">
      <c r="A591" s="94" t="n">
        <v>41731</v>
      </c>
      <c r="B591" t="n">
        <v>4236441</v>
      </c>
    </row>
    <row r="592">
      <c r="A592" s="94" t="n">
        <v>41738</v>
      </c>
      <c r="B592" t="n">
        <v>4244188</v>
      </c>
    </row>
    <row r="593">
      <c r="A593" s="94" t="n">
        <v>41745</v>
      </c>
      <c r="B593" t="n">
        <v>4283967</v>
      </c>
    </row>
    <row r="594">
      <c r="A594" s="94" t="n">
        <v>41752</v>
      </c>
      <c r="B594" t="n">
        <v>4296339</v>
      </c>
    </row>
    <row r="595">
      <c r="A595" s="94" t="n">
        <v>41759</v>
      </c>
      <c r="B595" t="n">
        <v>4296049</v>
      </c>
    </row>
    <row r="596">
      <c r="A596" s="94" t="n">
        <v>41766</v>
      </c>
      <c r="B596" t="n">
        <v>4303143</v>
      </c>
    </row>
    <row r="597">
      <c r="A597" s="94" t="n">
        <v>41773</v>
      </c>
      <c r="B597" t="n">
        <v>4336649</v>
      </c>
    </row>
    <row r="598">
      <c r="A598" s="94" t="n">
        <v>41780</v>
      </c>
      <c r="B598" t="n">
        <v>4327560</v>
      </c>
    </row>
    <row r="599">
      <c r="A599" s="94" t="n">
        <v>41787</v>
      </c>
      <c r="B599" t="n">
        <v>4322654</v>
      </c>
    </row>
    <row r="600">
      <c r="A600" s="94" t="n">
        <v>41794</v>
      </c>
      <c r="B600" t="n">
        <v>4330917</v>
      </c>
    </row>
    <row r="601">
      <c r="A601" s="94" t="n">
        <v>41801</v>
      </c>
      <c r="B601" t="n">
        <v>4340904</v>
      </c>
    </row>
    <row r="602">
      <c r="A602" s="94" t="n">
        <v>41808</v>
      </c>
      <c r="B602" t="n">
        <v>4368168</v>
      </c>
    </row>
    <row r="603">
      <c r="A603" s="94" t="n">
        <v>41815</v>
      </c>
      <c r="B603" t="n">
        <v>4368348</v>
      </c>
    </row>
    <row r="604">
      <c r="A604" s="94" t="n">
        <v>41822</v>
      </c>
      <c r="B604" t="n">
        <v>4377031</v>
      </c>
    </row>
    <row r="605">
      <c r="A605" s="94" t="n">
        <v>41829</v>
      </c>
      <c r="B605" t="n">
        <v>4383401</v>
      </c>
    </row>
    <row r="606">
      <c r="A606" s="94" t="n">
        <v>41836</v>
      </c>
      <c r="B606" t="n">
        <v>4398201</v>
      </c>
    </row>
    <row r="607">
      <c r="A607" s="94" t="n">
        <v>41843</v>
      </c>
      <c r="B607" t="n">
        <v>4410746</v>
      </c>
    </row>
    <row r="608">
      <c r="A608" s="94" t="n">
        <v>41850</v>
      </c>
      <c r="B608" t="n">
        <v>4406637</v>
      </c>
    </row>
    <row r="609">
      <c r="A609" s="94" t="n">
        <v>41857</v>
      </c>
      <c r="B609" t="n">
        <v>4410111</v>
      </c>
    </row>
    <row r="610">
      <c r="A610" s="94" t="n">
        <v>41864</v>
      </c>
      <c r="B610" t="n">
        <v>4431923</v>
      </c>
    </row>
    <row r="611">
      <c r="A611" s="94" t="n">
        <v>41871</v>
      </c>
      <c r="B611" t="n">
        <v>4412924</v>
      </c>
    </row>
    <row r="612">
      <c r="A612" s="94" t="n">
        <v>41878</v>
      </c>
      <c r="B612" t="n">
        <v>4413736</v>
      </c>
    </row>
    <row r="613">
      <c r="A613" s="94" t="n">
        <v>41885</v>
      </c>
      <c r="B613" t="n">
        <v>4415587</v>
      </c>
    </row>
    <row r="614">
      <c r="A614" s="94" t="n">
        <v>41892</v>
      </c>
      <c r="B614" t="n">
        <v>4421408</v>
      </c>
    </row>
    <row r="615">
      <c r="A615" s="94" t="n">
        <v>41899</v>
      </c>
      <c r="B615" t="n">
        <v>4449588</v>
      </c>
    </row>
    <row r="616">
      <c r="A616" s="94" t="n">
        <v>41906</v>
      </c>
      <c r="B616" t="n">
        <v>4459050</v>
      </c>
    </row>
    <row r="617">
      <c r="A617" s="94" t="n">
        <v>41913</v>
      </c>
      <c r="B617" t="n">
        <v>4450260</v>
      </c>
    </row>
    <row r="618">
      <c r="A618" s="94" t="n">
        <v>41920</v>
      </c>
      <c r="B618" t="n">
        <v>4455403</v>
      </c>
    </row>
    <row r="619">
      <c r="A619" s="94" t="n">
        <v>41927</v>
      </c>
      <c r="B619" t="n">
        <v>4474360</v>
      </c>
    </row>
    <row r="620">
      <c r="A620" s="94" t="n">
        <v>41934</v>
      </c>
      <c r="B620" t="n">
        <v>4481616</v>
      </c>
    </row>
    <row r="621">
      <c r="A621" s="94" t="n">
        <v>41941</v>
      </c>
      <c r="B621" t="n">
        <v>4486754</v>
      </c>
    </row>
    <row r="622">
      <c r="A622" s="94" t="n">
        <v>41948</v>
      </c>
      <c r="B622" t="n">
        <v>4486585</v>
      </c>
    </row>
    <row r="623">
      <c r="A623" s="94" t="n">
        <v>41955</v>
      </c>
      <c r="B623" t="n">
        <v>4488895</v>
      </c>
    </row>
    <row r="624">
      <c r="A624" s="94" t="n">
        <v>41962</v>
      </c>
      <c r="B624" t="n">
        <v>4492759</v>
      </c>
    </row>
    <row r="625">
      <c r="A625" s="94" t="n">
        <v>41969</v>
      </c>
      <c r="B625" t="n">
        <v>4485931</v>
      </c>
    </row>
    <row r="626">
      <c r="A626" s="94" t="n">
        <v>41976</v>
      </c>
      <c r="B626" t="n">
        <v>4486190</v>
      </c>
    </row>
    <row r="627">
      <c r="A627" s="94" t="n">
        <v>41983</v>
      </c>
      <c r="B627" t="n">
        <v>4488865</v>
      </c>
    </row>
    <row r="628">
      <c r="A628" s="94" t="n">
        <v>41990</v>
      </c>
      <c r="B628" t="n">
        <v>4502247</v>
      </c>
    </row>
    <row r="629">
      <c r="A629" s="94" t="n">
        <v>41997</v>
      </c>
      <c r="B629" t="n">
        <v>4509462</v>
      </c>
    </row>
    <row r="630">
      <c r="A630" s="94" t="n">
        <v>42004</v>
      </c>
      <c r="B630" t="n">
        <v>4497660</v>
      </c>
    </row>
    <row r="631">
      <c r="A631" s="94" t="n">
        <v>42011</v>
      </c>
      <c r="B631" t="n">
        <v>4499524</v>
      </c>
    </row>
    <row r="632">
      <c r="A632" s="94" t="n">
        <v>42018</v>
      </c>
      <c r="B632" t="n">
        <v>4516077</v>
      </c>
    </row>
    <row r="633">
      <c r="A633" s="94" t="n">
        <v>42025</v>
      </c>
      <c r="B633" t="n">
        <v>4512936</v>
      </c>
    </row>
    <row r="634">
      <c r="A634" s="94" t="n">
        <v>42032</v>
      </c>
      <c r="B634" t="n">
        <v>4500064</v>
      </c>
    </row>
    <row r="635">
      <c r="A635" s="94" t="n">
        <v>42039</v>
      </c>
      <c r="B635" t="n">
        <v>4500348</v>
      </c>
    </row>
    <row r="636">
      <c r="A636" s="94" t="n">
        <v>42046</v>
      </c>
      <c r="B636" t="n">
        <v>4501685</v>
      </c>
    </row>
    <row r="637">
      <c r="A637" s="94" t="n">
        <v>42053</v>
      </c>
      <c r="B637" t="n">
        <v>4496851</v>
      </c>
    </row>
    <row r="638">
      <c r="A638" s="94" t="n">
        <v>42060</v>
      </c>
      <c r="B638" t="n">
        <v>4486725</v>
      </c>
    </row>
    <row r="639">
      <c r="A639" s="94" t="n">
        <v>42067</v>
      </c>
      <c r="B639" t="n">
        <v>4487583</v>
      </c>
    </row>
    <row r="640">
      <c r="A640" s="94" t="n">
        <v>42074</v>
      </c>
      <c r="B640" t="n">
        <v>4489279</v>
      </c>
    </row>
    <row r="641">
      <c r="A641" s="94" t="n">
        <v>42081</v>
      </c>
      <c r="B641" t="n">
        <v>4495888</v>
      </c>
    </row>
    <row r="642">
      <c r="A642" s="94" t="n">
        <v>42088</v>
      </c>
      <c r="B642" t="n">
        <v>4480603</v>
      </c>
    </row>
    <row r="643">
      <c r="A643" s="94" t="n">
        <v>42095</v>
      </c>
      <c r="B643" t="n">
        <v>4481799</v>
      </c>
    </row>
    <row r="644">
      <c r="A644" s="94" t="n">
        <v>42102</v>
      </c>
      <c r="B644" t="n">
        <v>4483419</v>
      </c>
    </row>
    <row r="645">
      <c r="A645" s="94" t="n">
        <v>42109</v>
      </c>
      <c r="B645" t="n">
        <v>4485366</v>
      </c>
    </row>
    <row r="646">
      <c r="A646" s="94" t="n">
        <v>42116</v>
      </c>
      <c r="B646" t="n">
        <v>4489695</v>
      </c>
    </row>
    <row r="647">
      <c r="A647" s="94" t="n">
        <v>42123</v>
      </c>
      <c r="B647" t="n">
        <v>4471499</v>
      </c>
    </row>
    <row r="648">
      <c r="A648" s="94" t="n">
        <v>42130</v>
      </c>
      <c r="B648" t="n">
        <v>4472703</v>
      </c>
    </row>
    <row r="649">
      <c r="A649" s="94" t="n">
        <v>42137</v>
      </c>
      <c r="B649" t="n">
        <v>4501188</v>
      </c>
    </row>
    <row r="650">
      <c r="A650" s="94" t="n">
        <v>42144</v>
      </c>
      <c r="B650" t="n">
        <v>4480384</v>
      </c>
    </row>
    <row r="651">
      <c r="A651" s="94" t="n">
        <v>42151</v>
      </c>
      <c r="B651" t="n">
        <v>4463981</v>
      </c>
    </row>
    <row r="652">
      <c r="A652" s="94" t="n">
        <v>42158</v>
      </c>
      <c r="B652" t="n">
        <v>4465360</v>
      </c>
    </row>
    <row r="653">
      <c r="A653" s="94" t="n">
        <v>42165</v>
      </c>
      <c r="B653" t="n">
        <v>4468005</v>
      </c>
    </row>
    <row r="654">
      <c r="A654" s="94" t="n">
        <v>42172</v>
      </c>
      <c r="B654" t="n">
        <v>4487817</v>
      </c>
    </row>
    <row r="655">
      <c r="A655" s="94" t="n">
        <v>42179</v>
      </c>
      <c r="B655" t="n">
        <v>4495055</v>
      </c>
    </row>
    <row r="656">
      <c r="A656" s="94" t="n">
        <v>42186</v>
      </c>
      <c r="B656" t="n">
        <v>4479130</v>
      </c>
    </row>
    <row r="657">
      <c r="A657" s="94" t="n">
        <v>42193</v>
      </c>
      <c r="B657" t="n">
        <v>4481289</v>
      </c>
    </row>
    <row r="658">
      <c r="A658" s="94" t="n">
        <v>42200</v>
      </c>
      <c r="B658" t="n">
        <v>4493605</v>
      </c>
    </row>
    <row r="659">
      <c r="A659" s="94" t="n">
        <v>42207</v>
      </c>
      <c r="B659" t="n">
        <v>4500503</v>
      </c>
    </row>
    <row r="660">
      <c r="A660" s="94" t="n">
        <v>42214</v>
      </c>
      <c r="B660" t="n">
        <v>4485480</v>
      </c>
    </row>
    <row r="661">
      <c r="A661" s="94" t="n">
        <v>42221</v>
      </c>
      <c r="B661" t="n">
        <v>4486329</v>
      </c>
    </row>
    <row r="662">
      <c r="A662" s="94" t="n">
        <v>42228</v>
      </c>
      <c r="B662" t="n">
        <v>4489250</v>
      </c>
    </row>
    <row r="663">
      <c r="A663" s="94" t="n">
        <v>42235</v>
      </c>
      <c r="B663" t="n">
        <v>4487208</v>
      </c>
    </row>
    <row r="664">
      <c r="A664" s="94" t="n">
        <v>42242</v>
      </c>
      <c r="B664" t="n">
        <v>4475105</v>
      </c>
    </row>
    <row r="665">
      <c r="A665" s="94" t="n">
        <v>42249</v>
      </c>
      <c r="B665" t="n">
        <v>4475886</v>
      </c>
    </row>
    <row r="666">
      <c r="A666" s="94" t="n">
        <v>42256</v>
      </c>
      <c r="B666" t="n">
        <v>4478213</v>
      </c>
    </row>
    <row r="667">
      <c r="A667" s="94" t="n">
        <v>42263</v>
      </c>
      <c r="B667" t="n">
        <v>4487809</v>
      </c>
    </row>
    <row r="668">
      <c r="A668" s="94" t="n">
        <v>42270</v>
      </c>
      <c r="B668" t="n">
        <v>4497484</v>
      </c>
    </row>
    <row r="669">
      <c r="A669" s="94" t="n">
        <v>42277</v>
      </c>
      <c r="B669" t="n">
        <v>4484111</v>
      </c>
    </row>
    <row r="670">
      <c r="A670" s="94" t="n">
        <v>42284</v>
      </c>
      <c r="B670" t="n">
        <v>4486185</v>
      </c>
    </row>
    <row r="671">
      <c r="A671" s="94" t="n">
        <v>42291</v>
      </c>
      <c r="B671" t="n">
        <v>4504704</v>
      </c>
    </row>
    <row r="672">
      <c r="A672" s="94" t="n">
        <v>42298</v>
      </c>
      <c r="B672" t="n">
        <v>4501372</v>
      </c>
    </row>
    <row r="673">
      <c r="A673" s="94" t="n">
        <v>42305</v>
      </c>
      <c r="B673" t="n">
        <v>4489339</v>
      </c>
    </row>
    <row r="674">
      <c r="A674" s="94" t="n">
        <v>42312</v>
      </c>
      <c r="B674" t="n">
        <v>4489702</v>
      </c>
    </row>
    <row r="675">
      <c r="A675" s="94" t="n">
        <v>42319</v>
      </c>
      <c r="B675" t="n">
        <v>4492012</v>
      </c>
    </row>
    <row r="676">
      <c r="A676" s="94" t="n">
        <v>42326</v>
      </c>
      <c r="B676" t="n">
        <v>4486721</v>
      </c>
    </row>
    <row r="677">
      <c r="A677" s="94" t="n">
        <v>42333</v>
      </c>
      <c r="B677" t="n">
        <v>4477088</v>
      </c>
    </row>
    <row r="678">
      <c r="A678" s="94" t="n">
        <v>42340</v>
      </c>
      <c r="B678" t="n">
        <v>4478069</v>
      </c>
    </row>
    <row r="679">
      <c r="A679" s="94" t="n">
        <v>42347</v>
      </c>
      <c r="B679" t="n">
        <v>4480436</v>
      </c>
    </row>
    <row r="680">
      <c r="A680" s="94" t="n">
        <v>42354</v>
      </c>
      <c r="B680" t="n">
        <v>4489593</v>
      </c>
    </row>
    <row r="681">
      <c r="A681" s="94" t="n">
        <v>42361</v>
      </c>
      <c r="B681" t="n">
        <v>4496523</v>
      </c>
    </row>
    <row r="682">
      <c r="A682" s="94" t="n">
        <v>42368</v>
      </c>
      <c r="B682" t="n">
        <v>4486587</v>
      </c>
    </row>
    <row r="683">
      <c r="A683" s="94" t="n">
        <v>42375</v>
      </c>
      <c r="B683" t="n">
        <v>4486606</v>
      </c>
    </row>
    <row r="684">
      <c r="A684" s="94" t="n">
        <v>42382</v>
      </c>
      <c r="B684" t="n">
        <v>4501695</v>
      </c>
    </row>
    <row r="685">
      <c r="A685" s="94" t="n">
        <v>42389</v>
      </c>
      <c r="B685" t="n">
        <v>4488840</v>
      </c>
    </row>
    <row r="686">
      <c r="A686" s="94" t="n">
        <v>42396</v>
      </c>
      <c r="B686" t="n">
        <v>4482349</v>
      </c>
    </row>
    <row r="687">
      <c r="A687" s="94" t="n">
        <v>42403</v>
      </c>
      <c r="B687" t="n">
        <v>4483495</v>
      </c>
    </row>
    <row r="688">
      <c r="A688" s="94" t="n">
        <v>42410</v>
      </c>
      <c r="B688" t="n">
        <v>4486278</v>
      </c>
    </row>
    <row r="689">
      <c r="A689" s="94" t="n">
        <v>42417</v>
      </c>
      <c r="B689" t="n">
        <v>4483629</v>
      </c>
    </row>
    <row r="690">
      <c r="A690" s="94" t="n">
        <v>42424</v>
      </c>
      <c r="B690" t="n">
        <v>4489796</v>
      </c>
    </row>
    <row r="691">
      <c r="A691" s="94" t="n">
        <v>42431</v>
      </c>
      <c r="B691" t="n">
        <v>4478485</v>
      </c>
    </row>
    <row r="692">
      <c r="A692" s="94" t="n">
        <v>42438</v>
      </c>
      <c r="B692" t="n">
        <v>4481083</v>
      </c>
    </row>
    <row r="693">
      <c r="A693" s="94" t="n">
        <v>42445</v>
      </c>
      <c r="B693" t="n">
        <v>4486333</v>
      </c>
    </row>
    <row r="694">
      <c r="A694" s="94" t="n">
        <v>42452</v>
      </c>
      <c r="B694" t="n">
        <v>4492857</v>
      </c>
    </row>
    <row r="695">
      <c r="A695" s="94" t="n">
        <v>42459</v>
      </c>
      <c r="B695" t="n">
        <v>4482840</v>
      </c>
    </row>
    <row r="696">
      <c r="A696" s="94" t="n">
        <v>42466</v>
      </c>
      <c r="B696" t="n">
        <v>4484069</v>
      </c>
    </row>
    <row r="697">
      <c r="A697" s="94" t="n">
        <v>42473</v>
      </c>
      <c r="B697" t="n">
        <v>4499729</v>
      </c>
    </row>
    <row r="698">
      <c r="A698" s="94" t="n">
        <v>42480</v>
      </c>
      <c r="B698" t="n">
        <v>4490131</v>
      </c>
    </row>
    <row r="699">
      <c r="A699" s="94" t="n">
        <v>42487</v>
      </c>
      <c r="B699" t="n">
        <v>4474665</v>
      </c>
    </row>
    <row r="700">
      <c r="A700" s="94" t="n">
        <v>42494</v>
      </c>
      <c r="B700" t="n">
        <v>4477270</v>
      </c>
    </row>
    <row r="701">
      <c r="A701" s="94" t="n">
        <v>42501</v>
      </c>
      <c r="B701" t="n">
        <v>4478411</v>
      </c>
    </row>
    <row r="702">
      <c r="A702" s="94" t="n">
        <v>42508</v>
      </c>
      <c r="B702" t="n">
        <v>4473741</v>
      </c>
    </row>
    <row r="703">
      <c r="A703" s="94" t="n">
        <v>42515</v>
      </c>
      <c r="B703" t="n">
        <v>4461111</v>
      </c>
    </row>
    <row r="704">
      <c r="A704" s="94" t="n">
        <v>42522</v>
      </c>
      <c r="B704" t="n">
        <v>4461393</v>
      </c>
    </row>
    <row r="705">
      <c r="A705" s="94" t="n">
        <v>42529</v>
      </c>
      <c r="B705" t="n">
        <v>4463542</v>
      </c>
    </row>
    <row r="706">
      <c r="A706" s="94" t="n">
        <v>42536</v>
      </c>
      <c r="B706" t="n">
        <v>4472817</v>
      </c>
    </row>
    <row r="707">
      <c r="A707" s="94" t="n">
        <v>42543</v>
      </c>
      <c r="B707" t="n">
        <v>4482009</v>
      </c>
    </row>
    <row r="708">
      <c r="A708" s="94" t="n">
        <v>42550</v>
      </c>
      <c r="B708" t="n">
        <v>4466482</v>
      </c>
    </row>
    <row r="709">
      <c r="A709" s="94" t="n">
        <v>42557</v>
      </c>
      <c r="B709" t="n">
        <v>4470605</v>
      </c>
    </row>
    <row r="710">
      <c r="A710" s="94" t="n">
        <v>42564</v>
      </c>
      <c r="B710" t="n">
        <v>4472202</v>
      </c>
    </row>
    <row r="711">
      <c r="A711" s="94" t="n">
        <v>42571</v>
      </c>
      <c r="B711" t="n">
        <v>4480973</v>
      </c>
    </row>
    <row r="712">
      <c r="A712" s="94" t="n">
        <v>42578</v>
      </c>
      <c r="B712" t="n">
        <v>4464498</v>
      </c>
    </row>
    <row r="713">
      <c r="A713" s="94" t="n">
        <v>42585</v>
      </c>
      <c r="B713" t="n">
        <v>4466793</v>
      </c>
    </row>
    <row r="714">
      <c r="A714" s="94" t="n">
        <v>42592</v>
      </c>
      <c r="B714" t="n">
        <v>4468929</v>
      </c>
    </row>
    <row r="715">
      <c r="A715" s="94" t="n">
        <v>42599</v>
      </c>
      <c r="B715" t="n">
        <v>4466476</v>
      </c>
    </row>
    <row r="716">
      <c r="A716" s="94" t="n">
        <v>42606</v>
      </c>
      <c r="B716" t="n">
        <v>4473840</v>
      </c>
    </row>
    <row r="717">
      <c r="A717" s="94" t="n">
        <v>42613</v>
      </c>
      <c r="B717" t="n">
        <v>4457907</v>
      </c>
    </row>
    <row r="718">
      <c r="A718" s="94" t="n">
        <v>42620</v>
      </c>
      <c r="B718" t="n">
        <v>4459394</v>
      </c>
    </row>
    <row r="719">
      <c r="A719" s="94" t="n">
        <v>42627</v>
      </c>
      <c r="B719" t="n">
        <v>4481635</v>
      </c>
    </row>
    <row r="720">
      <c r="A720" s="94" t="n">
        <v>42634</v>
      </c>
      <c r="B720" t="n">
        <v>4473032</v>
      </c>
    </row>
    <row r="721">
      <c r="A721" s="94" t="n">
        <v>42641</v>
      </c>
      <c r="B721" t="n">
        <v>4452002</v>
      </c>
    </row>
    <row r="722">
      <c r="A722" s="94" t="n">
        <v>42648</v>
      </c>
      <c r="B722" t="n">
        <v>4459407</v>
      </c>
    </row>
    <row r="723">
      <c r="A723" s="94" t="n">
        <v>42655</v>
      </c>
      <c r="B723" t="n">
        <v>4457698</v>
      </c>
    </row>
    <row r="724">
      <c r="A724" s="94" t="n">
        <v>42662</v>
      </c>
      <c r="B724" t="n">
        <v>4467382</v>
      </c>
    </row>
    <row r="725">
      <c r="A725" s="94" t="n">
        <v>42669</v>
      </c>
      <c r="B725" t="n">
        <v>4454326</v>
      </c>
    </row>
    <row r="726">
      <c r="A726" s="94" t="n">
        <v>42676</v>
      </c>
      <c r="B726" t="n">
        <v>4453087</v>
      </c>
    </row>
    <row r="727">
      <c r="A727" s="94" t="n">
        <v>42683</v>
      </c>
      <c r="B727" t="n">
        <v>4455087</v>
      </c>
    </row>
    <row r="728">
      <c r="A728" s="94" t="n">
        <v>42690</v>
      </c>
      <c r="B728" t="n">
        <v>4453633</v>
      </c>
    </row>
    <row r="729">
      <c r="A729" s="94" t="n">
        <v>42697</v>
      </c>
      <c r="B729" t="n">
        <v>4465782</v>
      </c>
    </row>
    <row r="730">
      <c r="A730" s="94" t="n">
        <v>42704</v>
      </c>
      <c r="B730" t="n">
        <v>4446307</v>
      </c>
    </row>
    <row r="731">
      <c r="A731" s="94" t="n">
        <v>42711</v>
      </c>
      <c r="B731" t="n">
        <v>4448618</v>
      </c>
    </row>
    <row r="732">
      <c r="A732" s="94" t="n">
        <v>42718</v>
      </c>
      <c r="B732" t="n">
        <v>4470973</v>
      </c>
    </row>
    <row r="733">
      <c r="A733" s="94" t="n">
        <v>42725</v>
      </c>
      <c r="B733" t="n">
        <v>4469089</v>
      </c>
    </row>
    <row r="734">
      <c r="A734" s="94" t="n">
        <v>42732</v>
      </c>
      <c r="B734" t="n">
        <v>4451451</v>
      </c>
    </row>
    <row r="735">
      <c r="A735" s="94" t="n">
        <v>42739</v>
      </c>
      <c r="B735" t="n">
        <v>4453101</v>
      </c>
    </row>
    <row r="736">
      <c r="A736" s="94" t="n">
        <v>42746</v>
      </c>
      <c r="B736" t="n">
        <v>4452509</v>
      </c>
    </row>
    <row r="737">
      <c r="A737" s="94" t="n">
        <v>42753</v>
      </c>
      <c r="B737" t="n">
        <v>4460758</v>
      </c>
    </row>
    <row r="738">
      <c r="A738" s="94" t="n">
        <v>42760</v>
      </c>
      <c r="B738" t="n">
        <v>4452838</v>
      </c>
    </row>
    <row r="739">
      <c r="A739" s="94" t="n">
        <v>42767</v>
      </c>
      <c r="B739" t="n">
        <v>4453881</v>
      </c>
    </row>
    <row r="740">
      <c r="A740" s="94" t="n">
        <v>42774</v>
      </c>
      <c r="B740" t="n">
        <v>4456236</v>
      </c>
    </row>
    <row r="741">
      <c r="A741" s="94" t="n">
        <v>42781</v>
      </c>
      <c r="B741" t="n">
        <v>4454676</v>
      </c>
    </row>
    <row r="742">
      <c r="A742" s="94" t="n">
        <v>42788</v>
      </c>
      <c r="B742" t="n">
        <v>4468702</v>
      </c>
    </row>
    <row r="743">
      <c r="A743" s="94" t="n">
        <v>42795</v>
      </c>
      <c r="B743" t="n">
        <v>4458018</v>
      </c>
    </row>
    <row r="744">
      <c r="A744" s="94" t="n">
        <v>42802</v>
      </c>
      <c r="B744" t="n">
        <v>4459840</v>
      </c>
    </row>
    <row r="745">
      <c r="A745" s="94" t="n">
        <v>42809</v>
      </c>
      <c r="B745" t="n">
        <v>4469577</v>
      </c>
    </row>
    <row r="746">
      <c r="A746" s="94" t="n">
        <v>42816</v>
      </c>
      <c r="B746" t="n">
        <v>4478236</v>
      </c>
    </row>
    <row r="747">
      <c r="A747" s="94" t="n">
        <v>42823</v>
      </c>
      <c r="B747" t="n">
        <v>4469618</v>
      </c>
    </row>
    <row r="748">
      <c r="A748" s="94" t="n">
        <v>42830</v>
      </c>
      <c r="B748" t="n">
        <v>4474634</v>
      </c>
    </row>
    <row r="749">
      <c r="A749" s="94" t="n">
        <v>42837</v>
      </c>
      <c r="B749" t="n">
        <v>4484492</v>
      </c>
    </row>
    <row r="750">
      <c r="A750" s="94" t="n">
        <v>42844</v>
      </c>
      <c r="B750" t="n">
        <v>4479270</v>
      </c>
    </row>
    <row r="751">
      <c r="A751" s="94" t="n">
        <v>42851</v>
      </c>
      <c r="B751" t="n">
        <v>4470142</v>
      </c>
    </row>
    <row r="752">
      <c r="A752" s="94" t="n">
        <v>42858</v>
      </c>
      <c r="B752" t="n">
        <v>4471246</v>
      </c>
    </row>
    <row r="753">
      <c r="A753" s="94" t="n">
        <v>42865</v>
      </c>
      <c r="B753" t="n">
        <v>4473459</v>
      </c>
    </row>
    <row r="754">
      <c r="A754" s="94" t="n">
        <v>42872</v>
      </c>
      <c r="B754" t="n">
        <v>4467108</v>
      </c>
    </row>
    <row r="755">
      <c r="A755" s="94" t="n">
        <v>42879</v>
      </c>
      <c r="B755" t="n">
        <v>4470852</v>
      </c>
    </row>
    <row r="756">
      <c r="A756" s="94" t="n">
        <v>42886</v>
      </c>
      <c r="B756" t="n">
        <v>4459914</v>
      </c>
    </row>
    <row r="757">
      <c r="A757" s="94" t="n">
        <v>42893</v>
      </c>
      <c r="B757" t="n">
        <v>4462443</v>
      </c>
    </row>
    <row r="758">
      <c r="A758" s="94" t="n">
        <v>42900</v>
      </c>
      <c r="B758" t="n">
        <v>4476269</v>
      </c>
    </row>
    <row r="759">
      <c r="A759" s="94" t="n">
        <v>42907</v>
      </c>
      <c r="B759" t="n">
        <v>4474257</v>
      </c>
    </row>
    <row r="760">
      <c r="A760" s="94" t="n">
        <v>42914</v>
      </c>
      <c r="B760" t="n">
        <v>4463347</v>
      </c>
    </row>
    <row r="761">
      <c r="A761" s="94" t="n">
        <v>42921</v>
      </c>
      <c r="B761" t="n">
        <v>4467272</v>
      </c>
    </row>
    <row r="762">
      <c r="A762" s="94" t="n">
        <v>42928</v>
      </c>
      <c r="B762" t="n">
        <v>4466702</v>
      </c>
    </row>
    <row r="763">
      <c r="A763" s="94" t="n">
        <v>42935</v>
      </c>
      <c r="B763" t="n">
        <v>4476903</v>
      </c>
    </row>
    <row r="764">
      <c r="A764" s="94" t="n">
        <v>42942</v>
      </c>
      <c r="B764" t="n">
        <v>4465284</v>
      </c>
    </row>
    <row r="765">
      <c r="A765" s="94" t="n">
        <v>42949</v>
      </c>
      <c r="B765" t="n">
        <v>4466846</v>
      </c>
    </row>
    <row r="766">
      <c r="A766" s="94" t="n">
        <v>42956</v>
      </c>
      <c r="B766" t="n">
        <v>4469083</v>
      </c>
    </row>
    <row r="767">
      <c r="A767" s="94" t="n">
        <v>42963</v>
      </c>
      <c r="B767" t="n">
        <v>4462871</v>
      </c>
    </row>
    <row r="768">
      <c r="A768" s="94" t="n">
        <v>42970</v>
      </c>
      <c r="B768" t="n">
        <v>4463837</v>
      </c>
    </row>
    <row r="769">
      <c r="A769" s="94" t="n">
        <v>42977</v>
      </c>
      <c r="B769" t="n">
        <v>4452360</v>
      </c>
    </row>
    <row r="770">
      <c r="A770" s="94" t="n">
        <v>42984</v>
      </c>
      <c r="B770" t="n">
        <v>4453474</v>
      </c>
    </row>
    <row r="771">
      <c r="A771" s="94" t="n">
        <v>42991</v>
      </c>
      <c r="B771" t="n">
        <v>4471174</v>
      </c>
    </row>
    <row r="772">
      <c r="A772" s="94" t="n">
        <v>42998</v>
      </c>
      <c r="B772" t="n">
        <v>4458576</v>
      </c>
    </row>
    <row r="773">
      <c r="A773" s="94" t="n">
        <v>43005</v>
      </c>
      <c r="B773" t="n">
        <v>4455661</v>
      </c>
    </row>
    <row r="774">
      <c r="A774" s="94" t="n">
        <v>43012</v>
      </c>
      <c r="B774" t="n">
        <v>4460422</v>
      </c>
    </row>
    <row r="775">
      <c r="A775" s="94" t="n">
        <v>43019</v>
      </c>
      <c r="B775" t="n">
        <v>4459415</v>
      </c>
    </row>
    <row r="776">
      <c r="A776" s="94" t="n">
        <v>43026</v>
      </c>
      <c r="B776" t="n">
        <v>4469723</v>
      </c>
    </row>
    <row r="777">
      <c r="A777" s="94" t="n">
        <v>43033</v>
      </c>
      <c r="B777" t="n">
        <v>4461117</v>
      </c>
    </row>
    <row r="778">
      <c r="A778" s="94" t="n">
        <v>43040</v>
      </c>
      <c r="B778" t="n">
        <v>4455887</v>
      </c>
    </row>
    <row r="779">
      <c r="A779" s="94" t="n">
        <v>43047</v>
      </c>
      <c r="B779" t="n">
        <v>4458552</v>
      </c>
    </row>
    <row r="780">
      <c r="A780" s="94" t="n">
        <v>43054</v>
      </c>
      <c r="B780" t="n">
        <v>4448289</v>
      </c>
    </row>
    <row r="781">
      <c r="A781" s="94" t="n">
        <v>43061</v>
      </c>
      <c r="B781" t="n">
        <v>4450615</v>
      </c>
    </row>
    <row r="782">
      <c r="A782" s="94" t="n">
        <v>43068</v>
      </c>
      <c r="B782" t="n">
        <v>4438592</v>
      </c>
    </row>
    <row r="783">
      <c r="A783" s="94" t="n">
        <v>43075</v>
      </c>
      <c r="B783" t="n">
        <v>4437148</v>
      </c>
    </row>
    <row r="784">
      <c r="A784" s="94" t="n">
        <v>43082</v>
      </c>
      <c r="B784" t="n">
        <v>4452726</v>
      </c>
    </row>
    <row r="785">
      <c r="A785" s="94" t="n">
        <v>43089</v>
      </c>
      <c r="B785" t="n">
        <v>4447470</v>
      </c>
    </row>
    <row r="786">
      <c r="A786" s="94" t="n">
        <v>43096</v>
      </c>
      <c r="B786" t="n">
        <v>4448680</v>
      </c>
    </row>
    <row r="787">
      <c r="A787" s="94" t="n">
        <v>43103</v>
      </c>
      <c r="B787" t="n">
        <v>4443718</v>
      </c>
    </row>
    <row r="788">
      <c r="A788" s="94" t="n">
        <v>43110</v>
      </c>
      <c r="B788" t="n">
        <v>4446062</v>
      </c>
    </row>
    <row r="789">
      <c r="A789" s="94" t="n">
        <v>43117</v>
      </c>
      <c r="B789" t="n">
        <v>4439145</v>
      </c>
    </row>
    <row r="790">
      <c r="A790" s="94" t="n">
        <v>43124</v>
      </c>
      <c r="B790" t="n">
        <v>4441317</v>
      </c>
    </row>
    <row r="791">
      <c r="A791" s="94" t="n">
        <v>43131</v>
      </c>
      <c r="B791" t="n">
        <v>4419225</v>
      </c>
    </row>
    <row r="792">
      <c r="A792" s="94" t="n">
        <v>43138</v>
      </c>
      <c r="B792" t="n">
        <v>4420745</v>
      </c>
    </row>
    <row r="793">
      <c r="A793" s="94" t="n">
        <v>43145</v>
      </c>
      <c r="B793" t="n">
        <v>4434863</v>
      </c>
    </row>
    <row r="794">
      <c r="A794" s="94" t="n">
        <v>43152</v>
      </c>
      <c r="B794" t="n">
        <v>4411660</v>
      </c>
    </row>
    <row r="795">
      <c r="A795" s="94" t="n">
        <v>43159</v>
      </c>
      <c r="B795" t="n">
        <v>4393401</v>
      </c>
    </row>
    <row r="796">
      <c r="A796" s="94" t="n">
        <v>43166</v>
      </c>
      <c r="B796" t="n">
        <v>4396097</v>
      </c>
    </row>
    <row r="797">
      <c r="A797" s="94" t="n">
        <v>43173</v>
      </c>
      <c r="B797" t="n">
        <v>4407258</v>
      </c>
    </row>
    <row r="798">
      <c r="A798" s="94" t="n">
        <v>43180</v>
      </c>
      <c r="B798" t="n">
        <v>4401222</v>
      </c>
    </row>
    <row r="799">
      <c r="A799" s="94" t="n">
        <v>43187</v>
      </c>
      <c r="B799" t="n">
        <v>4392198</v>
      </c>
    </row>
    <row r="800">
      <c r="A800" s="94" t="n">
        <v>43194</v>
      </c>
      <c r="B800" t="n">
        <v>4386104</v>
      </c>
    </row>
    <row r="801">
      <c r="A801" s="94" t="n">
        <v>43201</v>
      </c>
      <c r="B801" t="n">
        <v>4383684</v>
      </c>
    </row>
    <row r="802">
      <c r="A802" s="94" t="n">
        <v>43208</v>
      </c>
      <c r="B802" t="n">
        <v>4385903</v>
      </c>
    </row>
    <row r="803">
      <c r="A803" s="94" t="n">
        <v>43215</v>
      </c>
      <c r="B803" t="n">
        <v>4372886</v>
      </c>
    </row>
    <row r="804">
      <c r="A804" s="94" t="n">
        <v>43222</v>
      </c>
      <c r="B804" t="n">
        <v>4356129</v>
      </c>
    </row>
    <row r="805">
      <c r="A805" s="94" t="n">
        <v>43229</v>
      </c>
      <c r="B805" t="n">
        <v>4358207</v>
      </c>
    </row>
    <row r="806">
      <c r="A806" s="94" t="n">
        <v>43236</v>
      </c>
      <c r="B806" t="n">
        <v>4337609</v>
      </c>
    </row>
    <row r="807">
      <c r="A807" s="94" t="n">
        <v>43243</v>
      </c>
      <c r="B807" t="n">
        <v>4337301</v>
      </c>
    </row>
    <row r="808">
      <c r="A808" s="94" t="n">
        <v>43250</v>
      </c>
      <c r="B808" t="n">
        <v>4327519</v>
      </c>
    </row>
    <row r="809">
      <c r="A809" s="94" t="n">
        <v>43257</v>
      </c>
      <c r="B809" t="n">
        <v>4319191</v>
      </c>
    </row>
    <row r="810">
      <c r="A810" s="94" t="n">
        <v>43264</v>
      </c>
      <c r="B810" t="n">
        <v>4324906</v>
      </c>
    </row>
    <row r="811">
      <c r="A811" s="94" t="n">
        <v>43271</v>
      </c>
      <c r="B811" t="n">
        <v>4315896</v>
      </c>
    </row>
    <row r="812">
      <c r="A812" s="94" t="n">
        <v>43278</v>
      </c>
      <c r="B812" t="n">
        <v>4305491</v>
      </c>
    </row>
    <row r="813">
      <c r="A813" s="94" t="n">
        <v>43285</v>
      </c>
      <c r="B813" t="n">
        <v>4289764</v>
      </c>
    </row>
    <row r="814">
      <c r="A814" s="94" t="n">
        <v>43292</v>
      </c>
      <c r="B814" t="n">
        <v>4291201</v>
      </c>
    </row>
    <row r="815">
      <c r="A815" s="94" t="n">
        <v>43299</v>
      </c>
      <c r="B815" t="n">
        <v>4291615</v>
      </c>
    </row>
    <row r="816">
      <c r="A816" s="94" t="n">
        <v>43306</v>
      </c>
      <c r="B816" t="n">
        <v>4277681</v>
      </c>
    </row>
    <row r="817">
      <c r="A817" s="94" t="n">
        <v>43313</v>
      </c>
      <c r="B817" t="n">
        <v>4255653</v>
      </c>
    </row>
    <row r="818">
      <c r="A818" s="94" t="n">
        <v>43320</v>
      </c>
      <c r="B818" t="n">
        <v>4258030</v>
      </c>
    </row>
    <row r="819">
      <c r="A819" s="94" t="n">
        <v>43327</v>
      </c>
      <c r="B819" t="n">
        <v>4228924</v>
      </c>
    </row>
    <row r="820">
      <c r="A820" s="94" t="n">
        <v>43334</v>
      </c>
      <c r="B820" t="n">
        <v>4228818</v>
      </c>
    </row>
    <row r="821">
      <c r="A821" s="94" t="n">
        <v>43341</v>
      </c>
      <c r="B821" t="n">
        <v>4218914</v>
      </c>
    </row>
    <row r="822">
      <c r="A822" s="94" t="n">
        <v>43348</v>
      </c>
      <c r="B822" t="n">
        <v>4208496</v>
      </c>
    </row>
    <row r="823">
      <c r="A823" s="94" t="n">
        <v>43355</v>
      </c>
      <c r="B823" t="n">
        <v>4210812</v>
      </c>
    </row>
    <row r="824">
      <c r="A824" s="94" t="n">
        <v>43362</v>
      </c>
      <c r="B824" t="n">
        <v>4208059</v>
      </c>
    </row>
    <row r="825">
      <c r="A825" s="94" t="n">
        <v>43369</v>
      </c>
      <c r="B825" t="n">
        <v>4192909</v>
      </c>
    </row>
    <row r="826">
      <c r="A826" s="94" t="n">
        <v>43376</v>
      </c>
      <c r="B826" t="n">
        <v>4174704</v>
      </c>
    </row>
    <row r="827">
      <c r="A827" s="94" t="n">
        <v>43383</v>
      </c>
      <c r="B827" t="n">
        <v>4176906</v>
      </c>
    </row>
    <row r="828">
      <c r="A828" s="94" t="n">
        <v>43390</v>
      </c>
      <c r="B828" t="n">
        <v>4175446</v>
      </c>
    </row>
    <row r="829">
      <c r="A829" s="94" t="n">
        <v>43397</v>
      </c>
      <c r="B829" t="n">
        <v>4173070</v>
      </c>
    </row>
    <row r="830">
      <c r="A830" s="94" t="n">
        <v>43404</v>
      </c>
      <c r="B830" t="n">
        <v>4139731</v>
      </c>
    </row>
    <row r="831">
      <c r="A831" s="94" t="n">
        <v>43411</v>
      </c>
      <c r="B831" t="n">
        <v>4141936</v>
      </c>
    </row>
    <row r="832">
      <c r="A832" s="94" t="n">
        <v>43418</v>
      </c>
      <c r="B832" t="n">
        <v>4145892</v>
      </c>
    </row>
    <row r="833">
      <c r="A833" s="94" t="n">
        <v>43425</v>
      </c>
      <c r="B833" t="n">
        <v>4106198</v>
      </c>
    </row>
    <row r="834">
      <c r="A834" s="94" t="n">
        <v>43432</v>
      </c>
      <c r="B834" t="n">
        <v>4097170</v>
      </c>
    </row>
    <row r="835">
      <c r="A835" s="94" t="n">
        <v>43439</v>
      </c>
      <c r="B835" t="n">
        <v>4086044</v>
      </c>
    </row>
    <row r="836">
      <c r="A836" s="94" t="n">
        <v>43446</v>
      </c>
      <c r="B836" t="n">
        <v>4088314</v>
      </c>
    </row>
    <row r="837">
      <c r="A837" s="94" t="n">
        <v>43453</v>
      </c>
      <c r="B837" t="n">
        <v>4084274</v>
      </c>
    </row>
    <row r="838">
      <c r="A838" s="94" t="n">
        <v>43460</v>
      </c>
      <c r="B838" t="n">
        <v>4075636</v>
      </c>
    </row>
    <row r="839">
      <c r="A839" s="94" t="n">
        <v>43467</v>
      </c>
      <c r="B839" t="n">
        <v>4058378</v>
      </c>
    </row>
    <row r="840">
      <c r="A840" s="94" t="n">
        <v>43474</v>
      </c>
      <c r="B840" t="n">
        <v>4056563</v>
      </c>
    </row>
    <row r="841">
      <c r="A841" s="94" t="n">
        <v>43481</v>
      </c>
      <c r="B841" t="n">
        <v>4050044</v>
      </c>
    </row>
    <row r="842">
      <c r="A842" s="94" t="n">
        <v>43488</v>
      </c>
      <c r="B842" t="n">
        <v>4047052</v>
      </c>
    </row>
    <row r="843">
      <c r="A843" s="94" t="n">
        <v>43495</v>
      </c>
      <c r="B843" t="n">
        <v>4039678</v>
      </c>
    </row>
    <row r="844">
      <c r="A844" s="94" t="n">
        <v>43502</v>
      </c>
      <c r="B844" t="n">
        <v>4026350</v>
      </c>
    </row>
    <row r="845">
      <c r="A845" s="94" t="n">
        <v>43509</v>
      </c>
      <c r="B845" t="n">
        <v>4028431</v>
      </c>
    </row>
    <row r="846">
      <c r="A846" s="94" t="n">
        <v>43516</v>
      </c>
      <c r="B846" t="n">
        <v>3981420</v>
      </c>
    </row>
    <row r="847">
      <c r="A847" s="94" t="n">
        <v>43523</v>
      </c>
      <c r="B847" t="n">
        <v>3974590</v>
      </c>
    </row>
    <row r="848">
      <c r="A848" s="94" t="n">
        <v>43530</v>
      </c>
      <c r="B848" t="n">
        <v>3969134</v>
      </c>
    </row>
    <row r="849">
      <c r="A849" s="94" t="n">
        <v>43537</v>
      </c>
      <c r="B849" t="n">
        <v>3971559</v>
      </c>
    </row>
    <row r="850">
      <c r="A850" s="94" t="n">
        <v>43544</v>
      </c>
      <c r="B850" t="n">
        <v>3962748</v>
      </c>
    </row>
    <row r="851">
      <c r="A851" s="94" t="n">
        <v>43551</v>
      </c>
      <c r="B851" t="n">
        <v>3955617</v>
      </c>
    </row>
    <row r="852">
      <c r="A852" s="94" t="n">
        <v>43558</v>
      </c>
      <c r="B852" t="n">
        <v>3935509</v>
      </c>
    </row>
    <row r="853">
      <c r="A853" s="94" t="n">
        <v>43565</v>
      </c>
      <c r="B853" t="n">
        <v>3936784</v>
      </c>
    </row>
    <row r="854">
      <c r="A854" s="94" t="n">
        <v>43572</v>
      </c>
      <c r="B854" t="n">
        <v>3931827</v>
      </c>
    </row>
    <row r="855">
      <c r="A855" s="94" t="n">
        <v>43579</v>
      </c>
      <c r="B855" t="n">
        <v>3928273</v>
      </c>
    </row>
    <row r="856">
      <c r="A856" s="94" t="n">
        <v>43586</v>
      </c>
      <c r="B856" t="n">
        <v>3889691</v>
      </c>
    </row>
    <row r="857">
      <c r="A857" s="94" t="n">
        <v>43593</v>
      </c>
      <c r="B857" t="n">
        <v>3892216</v>
      </c>
    </row>
    <row r="858">
      <c r="A858" s="94" t="n">
        <v>43600</v>
      </c>
      <c r="B858" t="n">
        <v>3864749</v>
      </c>
    </row>
    <row r="859">
      <c r="A859" s="94" t="n">
        <v>43607</v>
      </c>
      <c r="B859" t="n">
        <v>3860435</v>
      </c>
    </row>
    <row r="860">
      <c r="A860" s="94" t="n">
        <v>43614</v>
      </c>
      <c r="B860" t="n">
        <v>3851444</v>
      </c>
    </row>
    <row r="861">
      <c r="A861" s="94" t="n">
        <v>43621</v>
      </c>
      <c r="B861" t="n">
        <v>3847645</v>
      </c>
    </row>
    <row r="862">
      <c r="A862" s="94" t="n">
        <v>43628</v>
      </c>
      <c r="B862" t="n">
        <v>3849955</v>
      </c>
    </row>
    <row r="863">
      <c r="A863" s="94" t="n">
        <v>43635</v>
      </c>
      <c r="B863" t="n">
        <v>3844016</v>
      </c>
    </row>
    <row r="864">
      <c r="A864" s="94" t="n">
        <v>43642</v>
      </c>
      <c r="B864" t="n">
        <v>3826817</v>
      </c>
    </row>
    <row r="865">
      <c r="A865" s="94" t="n">
        <v>43649</v>
      </c>
      <c r="B865" t="n">
        <v>3813198</v>
      </c>
    </row>
    <row r="866">
      <c r="A866" s="94" t="n">
        <v>43656</v>
      </c>
      <c r="B866" t="n">
        <v>3815038</v>
      </c>
    </row>
    <row r="867">
      <c r="A867" s="94" t="n">
        <v>43663</v>
      </c>
      <c r="B867" t="n">
        <v>3808110</v>
      </c>
    </row>
    <row r="868">
      <c r="A868" s="94" t="n">
        <v>43670</v>
      </c>
      <c r="B868" t="n">
        <v>3803436</v>
      </c>
    </row>
    <row r="869">
      <c r="A869" s="94" t="n">
        <v>43677</v>
      </c>
      <c r="B869" t="n">
        <v>3779102</v>
      </c>
    </row>
    <row r="870">
      <c r="A870" s="94" t="n">
        <v>43684</v>
      </c>
      <c r="B870" t="n">
        <v>3781543</v>
      </c>
    </row>
    <row r="871">
      <c r="A871" s="94" t="n">
        <v>43691</v>
      </c>
      <c r="B871" t="n">
        <v>3786018</v>
      </c>
    </row>
    <row r="872">
      <c r="A872" s="94" t="n">
        <v>43698</v>
      </c>
      <c r="B872" t="n">
        <v>3764866</v>
      </c>
    </row>
    <row r="873">
      <c r="A873" s="94" t="n">
        <v>43705</v>
      </c>
      <c r="B873" t="n">
        <v>3759946</v>
      </c>
    </row>
    <row r="874">
      <c r="A874" s="94" t="n">
        <v>43712</v>
      </c>
      <c r="B874" t="n">
        <v>3761508</v>
      </c>
    </row>
    <row r="875">
      <c r="A875" s="94" t="n">
        <v>43719</v>
      </c>
      <c r="B875" t="n">
        <v>3769673</v>
      </c>
    </row>
    <row r="876">
      <c r="A876" s="94" t="n">
        <v>43726</v>
      </c>
      <c r="B876" t="n">
        <v>3844695</v>
      </c>
    </row>
    <row r="877">
      <c r="A877" s="94" t="n">
        <v>43733</v>
      </c>
      <c r="B877" t="n">
        <v>3857715</v>
      </c>
    </row>
    <row r="878">
      <c r="A878" s="94" t="n">
        <v>43740</v>
      </c>
      <c r="B878" t="n">
        <v>3945831</v>
      </c>
    </row>
    <row r="879">
      <c r="A879" s="94" t="n">
        <v>43747</v>
      </c>
      <c r="B879" t="n">
        <v>3949955</v>
      </c>
    </row>
    <row r="880">
      <c r="A880" s="94" t="n">
        <v>43754</v>
      </c>
      <c r="B880" t="n">
        <v>3966471</v>
      </c>
    </row>
    <row r="881">
      <c r="A881" s="94" t="n">
        <v>43761</v>
      </c>
      <c r="B881" t="n">
        <v>3968700</v>
      </c>
    </row>
    <row r="882">
      <c r="A882" s="94" t="n">
        <v>43768</v>
      </c>
      <c r="B882" t="n">
        <v>4019823</v>
      </c>
    </row>
    <row r="883">
      <c r="A883" s="94" t="n">
        <v>43775</v>
      </c>
      <c r="B883" t="n">
        <v>4039443</v>
      </c>
    </row>
    <row r="884">
      <c r="A884" s="94" t="n">
        <v>43782</v>
      </c>
      <c r="B884" t="n">
        <v>4047882</v>
      </c>
    </row>
    <row r="885">
      <c r="A885" s="94" t="n">
        <v>43789</v>
      </c>
      <c r="B885" t="n">
        <v>4030249</v>
      </c>
    </row>
    <row r="886">
      <c r="A886" s="94" t="n">
        <v>43796</v>
      </c>
      <c r="B886" t="n">
        <v>4052875</v>
      </c>
    </row>
    <row r="887">
      <c r="A887" s="94" t="n">
        <v>43803</v>
      </c>
      <c r="B887" t="n">
        <v>4065696</v>
      </c>
    </row>
    <row r="888">
      <c r="A888" s="94" t="n">
        <v>43810</v>
      </c>
      <c r="B888" t="n">
        <v>4095491</v>
      </c>
    </row>
    <row r="889">
      <c r="A889" s="94" t="n">
        <v>43817</v>
      </c>
      <c r="B889" t="n">
        <v>4137052</v>
      </c>
    </row>
    <row r="890">
      <c r="A890" s="94" t="n">
        <v>43824</v>
      </c>
      <c r="B890" t="n">
        <v>4165591</v>
      </c>
    </row>
    <row r="891">
      <c r="A891" s="94" t="n">
        <v>43831</v>
      </c>
      <c r="B891" t="n">
        <v>4173626</v>
      </c>
    </row>
    <row r="892">
      <c r="A892" s="94" t="n">
        <v>43838</v>
      </c>
      <c r="B892" t="n">
        <v>4149544</v>
      </c>
    </row>
    <row r="893">
      <c r="A893" s="94" t="n">
        <v>43845</v>
      </c>
      <c r="B893" t="n">
        <v>4175850</v>
      </c>
    </row>
    <row r="894">
      <c r="A894" s="94" t="n">
        <v>43852</v>
      </c>
      <c r="B894" t="n">
        <v>4145912</v>
      </c>
    </row>
    <row r="895">
      <c r="A895" s="94" t="n">
        <v>43859</v>
      </c>
      <c r="B895" t="n">
        <v>4151630</v>
      </c>
    </row>
    <row r="896">
      <c r="A896" s="94" t="n">
        <v>43866</v>
      </c>
      <c r="B896" t="n">
        <v>4166707</v>
      </c>
    </row>
    <row r="897">
      <c r="A897" s="94" t="n">
        <v>43873</v>
      </c>
      <c r="B897" t="n">
        <v>4182689</v>
      </c>
    </row>
    <row r="898">
      <c r="A898" s="94" t="n">
        <v>43880</v>
      </c>
      <c r="B898" t="n">
        <v>4171570</v>
      </c>
    </row>
    <row r="899">
      <c r="A899" s="94" t="n">
        <v>43887</v>
      </c>
      <c r="B899" t="n">
        <v>4158637</v>
      </c>
    </row>
    <row r="900">
      <c r="A900" s="94" t="n">
        <v>43894</v>
      </c>
      <c r="B900" t="n">
        <v>4241507</v>
      </c>
    </row>
    <row r="901">
      <c r="A901" s="94" t="n">
        <v>43901</v>
      </c>
      <c r="B901" t="n">
        <v>4311911</v>
      </c>
    </row>
    <row r="902">
      <c r="A902" s="94" t="n">
        <v>43908</v>
      </c>
      <c r="B902" t="n">
        <v>4668212</v>
      </c>
    </row>
    <row r="903">
      <c r="A903" s="94" t="n">
        <v>43915</v>
      </c>
      <c r="B903" t="n">
        <v>5254278</v>
      </c>
    </row>
    <row r="904">
      <c r="A904" s="94" t="n">
        <v>43922</v>
      </c>
      <c r="B904" t="n">
        <v>5811607</v>
      </c>
    </row>
    <row r="905">
      <c r="A905" s="94" t="n">
        <v>43929</v>
      </c>
      <c r="B905" t="n">
        <v>6083141</v>
      </c>
    </row>
    <row r="906">
      <c r="A906" s="94" t="n">
        <v>43936</v>
      </c>
      <c r="B906" t="n">
        <v>6367887</v>
      </c>
    </row>
    <row r="907">
      <c r="A907" s="94" t="n">
        <v>43943</v>
      </c>
      <c r="B907" t="n">
        <v>6573136</v>
      </c>
    </row>
    <row r="908">
      <c r="A908" s="94" t="n">
        <v>43950</v>
      </c>
      <c r="B908" t="n">
        <v>6655929</v>
      </c>
    </row>
    <row r="909">
      <c r="A909" s="94" t="n">
        <v>43957</v>
      </c>
      <c r="B909" t="n">
        <v>6721420</v>
      </c>
    </row>
    <row r="910">
      <c r="A910" s="94" t="n">
        <v>43964</v>
      </c>
      <c r="B910" t="n">
        <v>6934227</v>
      </c>
    </row>
    <row r="911">
      <c r="A911" s="94" t="n">
        <v>43971</v>
      </c>
      <c r="B911" t="n">
        <v>7037258</v>
      </c>
    </row>
    <row r="912">
      <c r="A912" s="94" t="n">
        <v>43978</v>
      </c>
      <c r="B912" t="n">
        <v>7097316</v>
      </c>
    </row>
    <row r="913">
      <c r="A913" s="94" t="n">
        <v>43985</v>
      </c>
      <c r="B913" t="n">
        <v>7165217</v>
      </c>
    </row>
    <row r="914">
      <c r="A914" s="94" t="n">
        <v>43992</v>
      </c>
      <c r="B914" t="n">
        <v>7168936</v>
      </c>
    </row>
    <row r="915">
      <c r="A915" s="94" t="n">
        <v>43999</v>
      </c>
      <c r="B915" t="n">
        <v>7094690</v>
      </c>
    </row>
    <row r="916">
      <c r="A916" s="94" t="n">
        <v>44006</v>
      </c>
      <c r="B916" t="n">
        <v>7082302</v>
      </c>
    </row>
    <row r="917">
      <c r="A917" s="94" t="n">
        <v>44013</v>
      </c>
      <c r="B917" t="n">
        <v>7009040</v>
      </c>
    </row>
    <row r="918">
      <c r="A918" s="94" t="n">
        <v>44020</v>
      </c>
      <c r="B918" t="n">
        <v>6920716</v>
      </c>
    </row>
    <row r="919">
      <c r="A919" s="94" t="n">
        <v>44027</v>
      </c>
      <c r="B919" t="n">
        <v>6958604</v>
      </c>
    </row>
    <row r="920">
      <c r="A920" s="94" t="n">
        <v>44034</v>
      </c>
      <c r="B920" t="n">
        <v>6964755</v>
      </c>
    </row>
    <row r="921">
      <c r="A921" s="94" t="n">
        <v>44041</v>
      </c>
      <c r="B921" t="n">
        <v>6949032</v>
      </c>
    </row>
    <row r="922">
      <c r="A922" s="94" t="n">
        <v>44048</v>
      </c>
      <c r="B922" t="n">
        <v>6945237</v>
      </c>
    </row>
    <row r="923">
      <c r="A923" s="94" t="n">
        <v>44055</v>
      </c>
      <c r="B923" t="n">
        <v>6957277</v>
      </c>
    </row>
    <row r="924">
      <c r="A924" s="94" t="n">
        <v>44062</v>
      </c>
      <c r="B924" t="n">
        <v>7010637</v>
      </c>
    </row>
    <row r="925">
      <c r="A925" s="94" t="n">
        <v>44069</v>
      </c>
      <c r="B925" t="n">
        <v>6990418</v>
      </c>
    </row>
    <row r="926">
      <c r="A926" s="94" t="n">
        <v>44076</v>
      </c>
      <c r="B926" t="n">
        <v>7017492</v>
      </c>
    </row>
    <row r="927">
      <c r="A927" s="94" t="n">
        <v>44083</v>
      </c>
      <c r="B927" t="n">
        <v>7010614</v>
      </c>
    </row>
    <row r="928">
      <c r="A928" s="94" t="n">
        <v>44090</v>
      </c>
      <c r="B928" t="n">
        <v>7064475</v>
      </c>
    </row>
    <row r="929">
      <c r="A929" s="94" t="n">
        <v>44097</v>
      </c>
      <c r="B929" t="n">
        <v>7093161</v>
      </c>
    </row>
    <row r="930">
      <c r="A930" s="94" t="n">
        <v>44104</v>
      </c>
      <c r="B930" t="n">
        <v>7056129</v>
      </c>
    </row>
    <row r="931">
      <c r="A931" s="94" t="n">
        <v>44111</v>
      </c>
      <c r="B931" t="n">
        <v>7074649</v>
      </c>
    </row>
    <row r="932">
      <c r="A932" s="94" t="n">
        <v>44118</v>
      </c>
      <c r="B932" t="n">
        <v>7151426</v>
      </c>
    </row>
    <row r="933">
      <c r="A933" s="94" t="n">
        <v>44125</v>
      </c>
      <c r="B933" t="n">
        <v>7177265</v>
      </c>
    </row>
    <row r="934">
      <c r="A934" s="94" t="n">
        <v>44132</v>
      </c>
      <c r="B934" t="n">
        <v>7146306</v>
      </c>
    </row>
    <row r="935">
      <c r="A935" s="94" t="n">
        <v>44139</v>
      </c>
      <c r="B935" t="n">
        <v>7157479</v>
      </c>
    </row>
    <row r="936">
      <c r="A936" s="94" t="n">
        <v>44146</v>
      </c>
      <c r="B936" t="n">
        <v>7175417</v>
      </c>
    </row>
    <row r="937">
      <c r="A937" s="94" t="n">
        <v>44153</v>
      </c>
      <c r="B937" t="n">
        <v>7243080</v>
      </c>
    </row>
    <row r="938">
      <c r="A938" s="94" t="n">
        <v>44160</v>
      </c>
      <c r="B938" t="n">
        <v>7216480</v>
      </c>
    </row>
    <row r="939">
      <c r="A939" s="94" t="n">
        <v>44167</v>
      </c>
      <c r="B939" t="n">
        <v>7222414</v>
      </c>
    </row>
    <row r="940">
      <c r="A940" s="94" t="n">
        <v>44174</v>
      </c>
      <c r="B940" t="n">
        <v>7242658</v>
      </c>
    </row>
    <row r="941">
      <c r="A941" s="94" t="n">
        <v>44181</v>
      </c>
      <c r="B941" t="n">
        <v>7362592</v>
      </c>
    </row>
    <row r="942">
      <c r="A942" s="94" t="n">
        <v>44188</v>
      </c>
      <c r="B942" t="n">
        <v>7404039</v>
      </c>
    </row>
    <row r="943">
      <c r="A943" s="94" t="n">
        <v>44195</v>
      </c>
      <c r="B943" t="n">
        <v>7363351</v>
      </c>
    </row>
    <row r="944">
      <c r="A944" s="94" t="n">
        <v>44202</v>
      </c>
      <c r="B944" t="n">
        <v>7334809</v>
      </c>
    </row>
    <row r="945">
      <c r="A945" s="94" t="n">
        <v>44209</v>
      </c>
      <c r="B945" t="n">
        <v>7333968</v>
      </c>
    </row>
    <row r="946">
      <c r="A946" s="94" t="n">
        <v>44216</v>
      </c>
      <c r="B946" t="n">
        <v>7414942</v>
      </c>
    </row>
    <row r="947">
      <c r="A947" s="94" t="n">
        <v>44223</v>
      </c>
      <c r="B947" t="n">
        <v>7404926</v>
      </c>
    </row>
    <row r="948">
      <c r="A948" s="94" t="n">
        <v>44230</v>
      </c>
      <c r="B948" t="n">
        <v>7410598</v>
      </c>
    </row>
    <row r="949">
      <c r="A949" s="94" t="n">
        <v>44237</v>
      </c>
      <c r="B949" t="n">
        <v>7442225</v>
      </c>
    </row>
    <row r="950">
      <c r="A950" s="94" t="n">
        <v>44244</v>
      </c>
      <c r="B950" t="n">
        <v>7557402</v>
      </c>
    </row>
    <row r="951">
      <c r="A951" s="94" t="n">
        <v>44251</v>
      </c>
      <c r="B951" t="n">
        <v>7590111</v>
      </c>
    </row>
    <row r="952">
      <c r="A952" s="94" t="n">
        <v>44258</v>
      </c>
      <c r="B952" t="n">
        <v>7557524</v>
      </c>
    </row>
    <row r="953">
      <c r="A953" s="94" t="n">
        <v>44265</v>
      </c>
      <c r="B953" t="n">
        <v>7579901</v>
      </c>
    </row>
    <row r="954">
      <c r="A954" s="94" t="n">
        <v>44272</v>
      </c>
      <c r="B954" t="n">
        <v>7693506</v>
      </c>
    </row>
    <row r="955">
      <c r="A955" s="94" t="n">
        <v>44279</v>
      </c>
      <c r="B955" t="n">
        <v>7719622</v>
      </c>
    </row>
    <row r="956">
      <c r="A956" s="94" t="n">
        <v>44286</v>
      </c>
      <c r="B956" t="n">
        <v>7688988</v>
      </c>
    </row>
    <row r="957">
      <c r="A957" s="94" t="n">
        <v>44293</v>
      </c>
      <c r="B957" t="n">
        <v>7708882</v>
      </c>
    </row>
    <row r="958">
      <c r="A958" s="94" t="n">
        <v>44300</v>
      </c>
      <c r="B958" t="n">
        <v>7793104</v>
      </c>
    </row>
    <row r="959">
      <c r="A959" s="94" t="n">
        <v>44307</v>
      </c>
      <c r="B959" t="n">
        <v>7820948</v>
      </c>
    </row>
    <row r="960">
      <c r="A960" s="94" t="n">
        <v>44314</v>
      </c>
      <c r="B960" t="n">
        <v>7780962</v>
      </c>
    </row>
    <row r="961">
      <c r="A961" s="94" t="n">
        <v>44321</v>
      </c>
      <c r="B961" t="n">
        <v>7810486</v>
      </c>
    </row>
    <row r="962">
      <c r="A962" s="94" t="n">
        <v>44328</v>
      </c>
      <c r="B962" t="n">
        <v>7830663</v>
      </c>
    </row>
    <row r="963">
      <c r="A963" s="94" t="n">
        <v>44335</v>
      </c>
      <c r="B963" t="n">
        <v>7922883</v>
      </c>
    </row>
    <row r="964">
      <c r="A964" s="94" t="n">
        <v>44342</v>
      </c>
      <c r="B964" t="n">
        <v>7903541</v>
      </c>
    </row>
    <row r="965">
      <c r="A965" s="94" t="n">
        <v>44349</v>
      </c>
      <c r="B965" t="n">
        <v>7935703</v>
      </c>
    </row>
    <row r="966">
      <c r="A966" s="94" t="n">
        <v>44356</v>
      </c>
      <c r="B966" t="n">
        <v>7952327</v>
      </c>
    </row>
    <row r="967">
      <c r="A967" s="94" t="n">
        <v>44363</v>
      </c>
      <c r="B967" t="n">
        <v>8064257</v>
      </c>
    </row>
    <row r="968">
      <c r="A968" s="94" t="n">
        <v>44370</v>
      </c>
      <c r="B968" t="n">
        <v>8101945</v>
      </c>
    </row>
    <row r="969">
      <c r="A969" s="94" t="n">
        <v>44377</v>
      </c>
      <c r="B969" t="n">
        <v>8078544</v>
      </c>
    </row>
    <row r="970">
      <c r="A970" s="94" t="n">
        <v>44384</v>
      </c>
      <c r="B970" t="n">
        <v>8097773</v>
      </c>
    </row>
    <row r="971">
      <c r="A971" s="94" t="n">
        <v>44391</v>
      </c>
      <c r="B971" t="n">
        <v>8201651</v>
      </c>
    </row>
    <row r="972">
      <c r="A972" s="94" t="n">
        <v>44398</v>
      </c>
      <c r="B972" t="n">
        <v>8240530</v>
      </c>
    </row>
    <row r="973">
      <c r="A973" s="94" t="n">
        <v>44405</v>
      </c>
      <c r="B973" t="n">
        <v>8221473</v>
      </c>
    </row>
    <row r="974">
      <c r="A974" s="94" t="n">
        <v>44412</v>
      </c>
      <c r="B974" t="n">
        <v>8235073</v>
      </c>
    </row>
    <row r="975">
      <c r="A975" s="94" t="n">
        <v>44419</v>
      </c>
      <c r="B975" t="n">
        <v>8257159</v>
      </c>
    </row>
    <row r="976">
      <c r="A976" s="94" t="n">
        <v>44426</v>
      </c>
      <c r="B976" t="n">
        <v>8342598</v>
      </c>
    </row>
    <row r="977">
      <c r="A977" s="94" t="n">
        <v>44433</v>
      </c>
      <c r="B977" t="n">
        <v>8332743</v>
      </c>
    </row>
    <row r="978">
      <c r="A978" s="94" t="n">
        <v>44440</v>
      </c>
      <c r="B978" t="n">
        <v>8349173</v>
      </c>
    </row>
    <row r="979">
      <c r="A979" s="94" t="n">
        <v>44447</v>
      </c>
      <c r="B979" t="n">
        <v>8357314</v>
      </c>
    </row>
    <row r="980">
      <c r="A980" s="94" t="n">
        <v>44454</v>
      </c>
      <c r="B980" t="n">
        <v>8448770</v>
      </c>
    </row>
    <row r="981">
      <c r="A981" s="94" t="n">
        <v>44461</v>
      </c>
      <c r="B981" t="n">
        <v>8489824</v>
      </c>
    </row>
    <row r="982">
      <c r="A982" s="94" t="n">
        <v>44468</v>
      </c>
      <c r="B982" t="n">
        <v>8447981</v>
      </c>
    </row>
    <row r="983">
      <c r="A983" s="94" t="n">
        <v>44475</v>
      </c>
      <c r="B983" t="n">
        <v>8464032</v>
      </c>
    </row>
    <row r="984">
      <c r="A984" s="94" t="n">
        <v>44482</v>
      </c>
      <c r="B984" t="n">
        <v>8480942</v>
      </c>
    </row>
    <row r="985">
      <c r="A985" s="94" t="n">
        <v>44489</v>
      </c>
      <c r="B985" t="n">
        <v>8564943</v>
      </c>
    </row>
    <row r="986">
      <c r="A986" s="94" t="n">
        <v>44496</v>
      </c>
      <c r="B986" t="n">
        <v>8556181</v>
      </c>
    </row>
    <row r="987">
      <c r="A987" s="94" t="n">
        <v>44503</v>
      </c>
      <c r="B987" t="n">
        <v>8574871</v>
      </c>
    </row>
    <row r="988">
      <c r="A988" s="94" t="n">
        <v>44510</v>
      </c>
      <c r="B988" t="n">
        <v>8663117</v>
      </c>
    </row>
    <row r="989">
      <c r="A989" s="94" t="n">
        <v>44517</v>
      </c>
      <c r="B989" t="n">
        <v>8674970</v>
      </c>
    </row>
    <row r="990">
      <c r="A990" s="94" t="n">
        <v>44524</v>
      </c>
      <c r="B990" t="n">
        <v>8681771</v>
      </c>
    </row>
    <row r="991">
      <c r="A991" s="94" t="n">
        <v>44531</v>
      </c>
      <c r="B991" t="n">
        <v>8650402</v>
      </c>
    </row>
    <row r="992">
      <c r="A992" s="94" t="n">
        <v>44538</v>
      </c>
      <c r="B992" t="n">
        <v>8664524</v>
      </c>
    </row>
    <row r="993">
      <c r="A993" s="94" t="n">
        <v>44545</v>
      </c>
      <c r="B993" t="n">
        <v>8756666</v>
      </c>
    </row>
    <row r="994">
      <c r="A994" s="94" t="n">
        <v>44552</v>
      </c>
      <c r="B994" t="n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B285"/>
  <sheetViews>
    <sheetView workbookViewId="0">
      <selection activeCell="B1" sqref="B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</row>
    <row r="2">
      <c r="A2" s="94" t="n">
        <v>35886</v>
      </c>
      <c r="B2" t="n">
        <v>800652</v>
      </c>
    </row>
    <row r="3">
      <c r="A3" s="94" t="n">
        <v>35916</v>
      </c>
      <c r="B3" t="n">
        <v>771888</v>
      </c>
    </row>
    <row r="4">
      <c r="A4" s="94" t="n">
        <v>35947</v>
      </c>
      <c r="B4" t="n">
        <v>753964</v>
      </c>
    </row>
    <row r="5">
      <c r="A5" s="94" t="n">
        <v>35977</v>
      </c>
      <c r="B5" t="n">
        <v>724375</v>
      </c>
    </row>
    <row r="6">
      <c r="A6" s="94" t="n">
        <v>36008</v>
      </c>
      <c r="B6" t="n">
        <v>763742</v>
      </c>
    </row>
    <row r="7">
      <c r="A7" s="94" t="n">
        <v>36039</v>
      </c>
      <c r="B7" t="n">
        <v>783667</v>
      </c>
    </row>
    <row r="8">
      <c r="A8" s="94" t="n">
        <v>36069</v>
      </c>
      <c r="B8" t="n">
        <v>775368</v>
      </c>
    </row>
    <row r="9">
      <c r="A9" s="94" t="n">
        <v>36100</v>
      </c>
      <c r="B9" t="n">
        <v>883012</v>
      </c>
    </row>
    <row r="10">
      <c r="A10" s="94" t="n">
        <v>36130</v>
      </c>
      <c r="B10" t="n">
        <v>912382</v>
      </c>
    </row>
    <row r="11">
      <c r="A11" s="94" t="n">
        <v>36161</v>
      </c>
      <c r="B11" t="n">
        <v>797188</v>
      </c>
    </row>
    <row r="12">
      <c r="A12" s="94" t="n">
        <v>36192</v>
      </c>
      <c r="B12" t="n">
        <v>755897</v>
      </c>
    </row>
    <row r="13">
      <c r="A13" s="94" t="n">
        <v>36220</v>
      </c>
      <c r="B13" t="n">
        <v>797450</v>
      </c>
    </row>
    <row r="14">
      <c r="A14" s="94" t="n">
        <v>36251</v>
      </c>
      <c r="B14" t="n">
        <v>791152</v>
      </c>
    </row>
    <row r="15">
      <c r="A15" s="94" t="n">
        <v>36281</v>
      </c>
      <c r="B15" t="n">
        <v>744742</v>
      </c>
    </row>
    <row r="16">
      <c r="A16" s="94" t="n">
        <v>36312</v>
      </c>
      <c r="B16" t="n">
        <v>734211</v>
      </c>
    </row>
    <row r="17">
      <c r="A17" s="94" t="n">
        <v>36342</v>
      </c>
      <c r="B17" t="n">
        <v>686329</v>
      </c>
    </row>
    <row r="18">
      <c r="A18" s="94" t="n">
        <v>36373</v>
      </c>
      <c r="B18" t="n">
        <v>680224</v>
      </c>
    </row>
    <row r="19">
      <c r="A19" s="94" t="n">
        <v>36404</v>
      </c>
      <c r="B19" t="n">
        <v>688207</v>
      </c>
    </row>
    <row r="20">
      <c r="A20" s="94" t="n">
        <v>36434</v>
      </c>
      <c r="B20" t="n">
        <v>680064</v>
      </c>
    </row>
    <row r="21">
      <c r="A21" s="94" t="n">
        <v>36465</v>
      </c>
      <c r="B21" t="n">
        <v>841508</v>
      </c>
    </row>
    <row r="22">
      <c r="A22" s="94" t="n">
        <v>36495</v>
      </c>
      <c r="B22" t="n">
        <v>1113478</v>
      </c>
    </row>
    <row r="23">
      <c r="A23" s="94" t="n">
        <v>36526</v>
      </c>
      <c r="B23" t="n">
        <v>905251</v>
      </c>
    </row>
    <row r="24">
      <c r="A24" s="94" t="n">
        <v>36557</v>
      </c>
      <c r="B24" t="n">
        <v>941085</v>
      </c>
    </row>
    <row r="25">
      <c r="A25" s="94" t="n">
        <v>36586</v>
      </c>
      <c r="B25" t="n">
        <v>1062017</v>
      </c>
    </row>
    <row r="26">
      <c r="A26" s="94" t="n">
        <v>36617</v>
      </c>
      <c r="B26" t="n">
        <v>797289</v>
      </c>
    </row>
    <row r="27">
      <c r="A27" s="94" t="n">
        <v>36647</v>
      </c>
      <c r="B27" t="n">
        <v>838507</v>
      </c>
    </row>
    <row r="28">
      <c r="A28" s="94" t="n">
        <v>36678</v>
      </c>
      <c r="B28" t="n">
        <v>837194</v>
      </c>
    </row>
    <row r="29">
      <c r="A29" s="94" t="n">
        <v>36708</v>
      </c>
      <c r="B29" t="n">
        <v>807840</v>
      </c>
    </row>
    <row r="30">
      <c r="A30" s="94" t="n">
        <v>36739</v>
      </c>
      <c r="B30" t="n">
        <v>885391</v>
      </c>
    </row>
    <row r="31">
      <c r="A31" s="94" t="n">
        <v>36770</v>
      </c>
      <c r="B31" t="n">
        <v>853390</v>
      </c>
    </row>
    <row r="32">
      <c r="A32" s="94" t="n">
        <v>36800</v>
      </c>
      <c r="B32" t="n">
        <v>920988</v>
      </c>
    </row>
    <row r="33">
      <c r="A33" s="94" t="n">
        <v>36831</v>
      </c>
      <c r="B33" t="n">
        <v>1054097</v>
      </c>
    </row>
    <row r="34">
      <c r="A34" s="94" t="n">
        <v>36861</v>
      </c>
      <c r="B34" t="n">
        <v>1067962</v>
      </c>
    </row>
    <row r="35">
      <c r="A35" s="94" t="n">
        <v>36892</v>
      </c>
      <c r="B35" t="n">
        <v>1078487</v>
      </c>
    </row>
    <row r="36">
      <c r="A36" s="94" t="n">
        <v>36923</v>
      </c>
      <c r="B36" t="n">
        <v>1102160</v>
      </c>
    </row>
    <row r="37">
      <c r="A37" s="94" t="n">
        <v>36951</v>
      </c>
      <c r="B37" t="n">
        <v>1150959</v>
      </c>
    </row>
    <row r="38">
      <c r="A38" s="94" t="n">
        <v>36982</v>
      </c>
      <c r="B38" t="n">
        <v>1123259</v>
      </c>
    </row>
    <row r="39">
      <c r="A39" s="94" t="n">
        <v>37012</v>
      </c>
      <c r="B39" t="n">
        <v>1138146</v>
      </c>
    </row>
    <row r="40">
      <c r="A40" s="94" t="n">
        <v>37043</v>
      </c>
      <c r="B40" t="n">
        <v>1169329</v>
      </c>
    </row>
    <row r="41">
      <c r="A41" s="94" t="n">
        <v>37073</v>
      </c>
      <c r="B41" t="n">
        <v>1163779</v>
      </c>
    </row>
    <row r="42">
      <c r="A42" s="94" t="n">
        <v>37104</v>
      </c>
      <c r="B42" t="n">
        <v>1133882</v>
      </c>
    </row>
    <row r="43">
      <c r="A43" s="94" t="n">
        <v>37135</v>
      </c>
      <c r="B43" t="n">
        <v>1156156</v>
      </c>
    </row>
    <row r="44">
      <c r="A44" s="94" t="n">
        <v>37165</v>
      </c>
      <c r="B44" t="n">
        <v>1107271</v>
      </c>
    </row>
    <row r="45">
      <c r="A45" s="94" t="n">
        <v>37196</v>
      </c>
      <c r="B45" t="n">
        <v>1133942</v>
      </c>
    </row>
    <row r="46">
      <c r="A46" s="94" t="n">
        <v>37226</v>
      </c>
      <c r="B46" t="n">
        <v>1175079</v>
      </c>
    </row>
    <row r="47">
      <c r="A47" s="94" t="n">
        <v>37257</v>
      </c>
      <c r="B47" t="n">
        <v>1224388</v>
      </c>
    </row>
    <row r="48">
      <c r="A48" s="94" t="n">
        <v>37288</v>
      </c>
      <c r="B48" t="n">
        <v>1313520</v>
      </c>
    </row>
    <row r="49">
      <c r="A49" s="94" t="n">
        <v>37316</v>
      </c>
      <c r="B49" t="n">
        <v>1385648</v>
      </c>
    </row>
    <row r="50">
      <c r="A50" s="94" t="n">
        <v>37347</v>
      </c>
      <c r="B50" t="n">
        <v>1328094</v>
      </c>
    </row>
    <row r="51">
      <c r="A51" s="94" t="n">
        <v>37377</v>
      </c>
      <c r="B51" t="n">
        <v>1279453</v>
      </c>
    </row>
    <row r="52">
      <c r="A52" s="94" t="n">
        <v>37408</v>
      </c>
      <c r="B52" t="n">
        <v>1241193</v>
      </c>
    </row>
    <row r="53">
      <c r="A53" s="94" t="n">
        <v>37438</v>
      </c>
      <c r="B53" t="n">
        <v>1265421</v>
      </c>
    </row>
    <row r="54">
      <c r="A54" s="94" t="n">
        <v>37469</v>
      </c>
      <c r="B54" t="n">
        <v>1284793</v>
      </c>
    </row>
    <row r="55">
      <c r="A55" s="94" t="n">
        <v>37500</v>
      </c>
      <c r="B55" t="n">
        <v>1244691</v>
      </c>
    </row>
    <row r="56">
      <c r="A56" s="94" t="n">
        <v>37530</v>
      </c>
      <c r="B56" t="n">
        <v>1246432</v>
      </c>
    </row>
    <row r="57">
      <c r="A57" s="94" t="n">
        <v>37561</v>
      </c>
      <c r="B57" t="n">
        <v>1250866</v>
      </c>
    </row>
    <row r="58">
      <c r="A58" s="94" t="n">
        <v>37591</v>
      </c>
      <c r="B58" t="n">
        <v>1251263</v>
      </c>
    </row>
    <row r="59">
      <c r="A59" s="94" t="n">
        <v>37622</v>
      </c>
      <c r="B59" t="n">
        <v>1245386</v>
      </c>
    </row>
    <row r="60">
      <c r="A60" s="94" t="n">
        <v>37653</v>
      </c>
      <c r="B60" t="n">
        <v>1325273</v>
      </c>
    </row>
    <row r="61">
      <c r="A61" s="94" t="n">
        <v>37681</v>
      </c>
      <c r="B61" t="n">
        <v>1411674</v>
      </c>
    </row>
    <row r="62">
      <c r="A62" s="94" t="n">
        <v>37712</v>
      </c>
      <c r="B62" t="n">
        <v>1283101</v>
      </c>
    </row>
    <row r="63">
      <c r="A63" s="94" t="n">
        <v>37742</v>
      </c>
      <c r="B63" t="n">
        <v>1306815</v>
      </c>
    </row>
    <row r="64">
      <c r="A64" s="94" t="n">
        <v>37773</v>
      </c>
      <c r="B64" t="n">
        <v>1252605</v>
      </c>
    </row>
    <row r="65">
      <c r="A65" s="94" t="n">
        <v>37803</v>
      </c>
      <c r="B65" t="n">
        <v>1263771</v>
      </c>
    </row>
    <row r="66">
      <c r="A66" s="94" t="n">
        <v>37834</v>
      </c>
      <c r="B66" t="n">
        <v>1283228</v>
      </c>
    </row>
    <row r="67">
      <c r="A67" s="94" t="n">
        <v>37865</v>
      </c>
      <c r="B67" t="n">
        <v>1339295</v>
      </c>
    </row>
    <row r="68">
      <c r="A68" s="94" t="n">
        <v>37895</v>
      </c>
      <c r="B68" t="n">
        <v>1322521</v>
      </c>
    </row>
    <row r="69">
      <c r="A69" s="94" t="n">
        <v>37926</v>
      </c>
      <c r="B69" t="n">
        <v>1347558</v>
      </c>
    </row>
    <row r="70">
      <c r="A70" s="94" t="n">
        <v>37956</v>
      </c>
      <c r="B70" t="n">
        <v>1313685</v>
      </c>
    </row>
    <row r="71">
      <c r="A71" s="94" t="n">
        <v>37987</v>
      </c>
      <c r="B71" t="n">
        <v>1354300</v>
      </c>
    </row>
    <row r="72">
      <c r="A72" s="94" t="n">
        <v>38018</v>
      </c>
      <c r="B72" t="n">
        <v>1405509</v>
      </c>
    </row>
    <row r="73">
      <c r="A73" s="94" t="n">
        <v>38047</v>
      </c>
      <c r="B73" t="n">
        <v>1493819</v>
      </c>
    </row>
    <row r="74">
      <c r="A74" s="94" t="n">
        <v>38078</v>
      </c>
      <c r="B74" t="n">
        <v>1382514</v>
      </c>
    </row>
    <row r="75">
      <c r="A75" s="94" t="n">
        <v>38108</v>
      </c>
      <c r="B75" t="n">
        <v>1390667</v>
      </c>
    </row>
    <row r="76">
      <c r="A76" s="94" t="n">
        <v>38139</v>
      </c>
      <c r="B76" t="n">
        <v>1347362</v>
      </c>
    </row>
    <row r="77">
      <c r="A77" s="94" t="n">
        <v>38169</v>
      </c>
      <c r="B77" t="n">
        <v>1314783</v>
      </c>
    </row>
    <row r="78">
      <c r="A78" s="94" t="n">
        <v>38200</v>
      </c>
      <c r="B78" t="n">
        <v>1382251</v>
      </c>
    </row>
    <row r="79">
      <c r="A79" s="94" t="n">
        <v>38231</v>
      </c>
      <c r="B79" t="n">
        <v>1394564</v>
      </c>
    </row>
    <row r="80">
      <c r="A80" s="94" t="n">
        <v>38261</v>
      </c>
      <c r="B80" t="n">
        <v>1384015</v>
      </c>
    </row>
    <row r="81">
      <c r="A81" s="94" t="n">
        <v>38292</v>
      </c>
      <c r="B81" t="n">
        <v>1478802</v>
      </c>
    </row>
    <row r="82">
      <c r="A82" s="94" t="n">
        <v>38322</v>
      </c>
      <c r="B82" t="n">
        <v>1445467</v>
      </c>
    </row>
    <row r="83">
      <c r="A83" s="94" t="n">
        <v>38353</v>
      </c>
      <c r="B83" t="n">
        <v>1473561</v>
      </c>
    </row>
    <row r="84">
      <c r="A84" s="94" t="n">
        <v>38384</v>
      </c>
      <c r="B84" t="n">
        <v>1514085</v>
      </c>
    </row>
    <row r="85">
      <c r="A85" s="94" t="n">
        <v>38412</v>
      </c>
      <c r="B85" t="n">
        <v>1505173</v>
      </c>
    </row>
    <row r="86">
      <c r="A86" s="94" t="n">
        <v>38443</v>
      </c>
      <c r="B86" t="n">
        <v>1473513</v>
      </c>
    </row>
    <row r="87">
      <c r="A87" s="94" t="n">
        <v>38473</v>
      </c>
      <c r="B87" t="n">
        <v>1477619</v>
      </c>
    </row>
    <row r="88">
      <c r="A88" s="94" t="n">
        <v>38504</v>
      </c>
      <c r="B88" t="n">
        <v>1442122</v>
      </c>
    </row>
    <row r="89">
      <c r="A89" s="94" t="n">
        <v>38534</v>
      </c>
      <c r="B89" t="n">
        <v>1476503</v>
      </c>
    </row>
    <row r="90">
      <c r="A90" s="94" t="n">
        <v>38565</v>
      </c>
      <c r="B90" t="n">
        <v>1513847</v>
      </c>
    </row>
    <row r="91">
      <c r="A91" s="94" t="n">
        <v>38596</v>
      </c>
      <c r="B91" t="n">
        <v>1481357</v>
      </c>
    </row>
    <row r="92">
      <c r="A92" s="94" t="n">
        <v>38626</v>
      </c>
      <c r="B92" t="n">
        <v>1477546</v>
      </c>
    </row>
    <row r="93">
      <c r="A93" s="94" t="n">
        <v>38657</v>
      </c>
      <c r="B93" t="n">
        <v>1519701</v>
      </c>
    </row>
    <row r="94">
      <c r="A94" s="94" t="n">
        <v>38687</v>
      </c>
      <c r="B94" t="n">
        <v>1556071</v>
      </c>
    </row>
    <row r="95">
      <c r="A95" s="94" t="n">
        <v>38718</v>
      </c>
      <c r="B95" t="n">
        <v>1528656</v>
      </c>
    </row>
    <row r="96">
      <c r="A96" s="94" t="n">
        <v>38749</v>
      </c>
      <c r="B96" t="n">
        <v>1523477</v>
      </c>
    </row>
    <row r="97">
      <c r="A97" s="94" t="n">
        <v>38777</v>
      </c>
      <c r="B97" t="n">
        <v>1448629</v>
      </c>
    </row>
    <row r="98">
      <c r="A98" s="94" t="n">
        <v>38808</v>
      </c>
      <c r="B98" t="n">
        <v>1299799</v>
      </c>
    </row>
    <row r="99">
      <c r="A99" s="94" t="n">
        <v>38838</v>
      </c>
      <c r="B99" t="n">
        <v>1227935</v>
      </c>
    </row>
    <row r="100">
      <c r="A100" s="94" t="n">
        <v>38869</v>
      </c>
      <c r="B100" t="n">
        <v>1138328</v>
      </c>
    </row>
    <row r="101">
      <c r="A101" s="94" t="n">
        <v>38899</v>
      </c>
      <c r="B101" t="n">
        <v>1159675</v>
      </c>
    </row>
    <row r="102">
      <c r="A102" s="94" t="n">
        <v>38930</v>
      </c>
      <c r="B102" t="n">
        <v>1132672</v>
      </c>
    </row>
    <row r="103">
      <c r="A103" s="94" t="n">
        <v>38961</v>
      </c>
      <c r="B103" t="n">
        <v>1174523</v>
      </c>
    </row>
    <row r="104">
      <c r="A104" s="94" t="n">
        <v>38991</v>
      </c>
      <c r="B104" t="n">
        <v>1151993</v>
      </c>
    </row>
    <row r="105">
      <c r="A105" s="94" t="n">
        <v>39022</v>
      </c>
      <c r="B105" t="n">
        <v>1185414</v>
      </c>
    </row>
    <row r="106">
      <c r="A106" s="94" t="n">
        <v>39052</v>
      </c>
      <c r="B106" t="n">
        <v>1155436</v>
      </c>
    </row>
    <row r="107">
      <c r="A107" s="94" t="n">
        <v>39083</v>
      </c>
      <c r="B107" t="n">
        <v>1146223</v>
      </c>
    </row>
    <row r="108">
      <c r="A108" s="94" t="n">
        <v>39114</v>
      </c>
      <c r="B108" t="n">
        <v>1176947</v>
      </c>
    </row>
    <row r="109">
      <c r="A109" s="94" t="n">
        <v>39142</v>
      </c>
      <c r="B109" t="n">
        <v>1127409</v>
      </c>
    </row>
    <row r="110">
      <c r="A110" s="94" t="n">
        <v>39173</v>
      </c>
      <c r="B110" t="n">
        <v>1060053</v>
      </c>
    </row>
    <row r="111">
      <c r="A111" s="94" t="n">
        <v>39203</v>
      </c>
      <c r="B111" t="n">
        <v>1075105</v>
      </c>
    </row>
    <row r="112">
      <c r="A112" s="94" t="n">
        <v>39234</v>
      </c>
      <c r="B112" t="n">
        <v>1000712</v>
      </c>
    </row>
    <row r="113">
      <c r="A113" s="94" t="n">
        <v>39264</v>
      </c>
      <c r="B113" t="n">
        <v>1077171</v>
      </c>
    </row>
    <row r="114">
      <c r="A114" s="94" t="n">
        <v>39295</v>
      </c>
      <c r="B114" t="n">
        <v>1107917</v>
      </c>
    </row>
    <row r="115">
      <c r="A115" s="94" t="n">
        <v>39326</v>
      </c>
      <c r="B115" t="n">
        <v>1110324</v>
      </c>
    </row>
    <row r="116">
      <c r="A116" s="94" t="n">
        <v>39356</v>
      </c>
      <c r="B116" t="n">
        <v>1073472</v>
      </c>
    </row>
    <row r="117">
      <c r="A117" s="94" t="n">
        <v>39387</v>
      </c>
      <c r="B117" t="n">
        <v>1114939</v>
      </c>
    </row>
    <row r="118">
      <c r="A118" s="94" t="n">
        <v>39417</v>
      </c>
      <c r="B118" t="n">
        <v>1112844</v>
      </c>
    </row>
    <row r="119">
      <c r="A119" s="94" t="n">
        <v>39448</v>
      </c>
      <c r="B119" t="n">
        <v>1130604</v>
      </c>
    </row>
    <row r="120">
      <c r="A120" s="94" t="n">
        <v>39479</v>
      </c>
      <c r="B120" t="n">
        <v>1142477</v>
      </c>
    </row>
    <row r="121">
      <c r="A121" s="94" t="n">
        <v>39508</v>
      </c>
      <c r="B121" t="n">
        <v>1134262</v>
      </c>
    </row>
    <row r="122">
      <c r="A122" s="94" t="n">
        <v>39539</v>
      </c>
      <c r="B122" t="n">
        <v>1072225</v>
      </c>
    </row>
    <row r="123">
      <c r="A123" s="94" t="n">
        <v>39569</v>
      </c>
      <c r="B123" t="n">
        <v>1101273</v>
      </c>
    </row>
    <row r="124">
      <c r="A124" s="94" t="n">
        <v>39600</v>
      </c>
      <c r="B124" t="n">
        <v>1014199</v>
      </c>
    </row>
    <row r="125">
      <c r="A125" s="94" t="n">
        <v>39630</v>
      </c>
      <c r="B125" t="n">
        <v>1083652</v>
      </c>
    </row>
    <row r="126">
      <c r="A126" s="94" t="n">
        <v>39661</v>
      </c>
      <c r="B126" t="n">
        <v>1098870</v>
      </c>
    </row>
    <row r="127">
      <c r="A127" s="94" t="n">
        <v>39692</v>
      </c>
      <c r="B127" t="n">
        <v>1125287</v>
      </c>
    </row>
    <row r="128">
      <c r="A128" s="94" t="n">
        <v>39722</v>
      </c>
      <c r="B128" t="n">
        <v>1168028</v>
      </c>
    </row>
    <row r="129">
      <c r="A129" s="94" t="n">
        <v>39753</v>
      </c>
      <c r="B129" t="n">
        <v>1215262</v>
      </c>
    </row>
    <row r="130">
      <c r="A130" s="94" t="n">
        <v>39783</v>
      </c>
      <c r="B130" t="n">
        <v>1227708</v>
      </c>
    </row>
    <row r="131">
      <c r="A131" s="94" t="n">
        <v>39814</v>
      </c>
      <c r="B131" t="n">
        <v>1195135</v>
      </c>
    </row>
    <row r="132">
      <c r="A132" s="94" t="n">
        <v>39845</v>
      </c>
      <c r="B132" t="n">
        <v>1221730</v>
      </c>
    </row>
    <row r="133">
      <c r="A133" s="94" t="n">
        <v>39873</v>
      </c>
      <c r="B133" t="n">
        <v>1238886</v>
      </c>
    </row>
    <row r="134">
      <c r="A134" s="94" t="n">
        <v>39904</v>
      </c>
      <c r="B134" t="n">
        <v>1147983</v>
      </c>
    </row>
    <row r="135">
      <c r="A135" s="94" t="n">
        <v>39934</v>
      </c>
      <c r="B135" t="n">
        <v>1187973</v>
      </c>
    </row>
    <row r="136">
      <c r="A136" s="94" t="n">
        <v>39965</v>
      </c>
      <c r="B136" t="n">
        <v>1098429</v>
      </c>
    </row>
    <row r="137">
      <c r="A137" s="94" t="n">
        <v>39995</v>
      </c>
      <c r="B137" t="n">
        <v>1147349</v>
      </c>
    </row>
    <row r="138">
      <c r="A138" s="94" t="n">
        <v>40026</v>
      </c>
      <c r="B138" t="n">
        <v>1171842</v>
      </c>
    </row>
    <row r="139">
      <c r="A139" s="94" t="n">
        <v>40057</v>
      </c>
      <c r="B139" t="n">
        <v>1163248</v>
      </c>
    </row>
    <row r="140">
      <c r="A140" s="94" t="n">
        <v>40087</v>
      </c>
      <c r="B140" t="n">
        <v>1114000</v>
      </c>
    </row>
    <row r="141">
      <c r="A141" s="94" t="n">
        <v>40118</v>
      </c>
      <c r="B141" t="n">
        <v>1172964</v>
      </c>
    </row>
    <row r="142">
      <c r="A142" s="94" t="n">
        <v>40148</v>
      </c>
      <c r="B142" t="n">
        <v>1225336</v>
      </c>
    </row>
    <row r="143">
      <c r="A143" s="94" t="n">
        <v>40179</v>
      </c>
      <c r="B143" t="n">
        <v>1224342</v>
      </c>
    </row>
    <row r="144">
      <c r="A144" s="94" t="n">
        <v>40210</v>
      </c>
      <c r="B144" t="n">
        <v>1267675</v>
      </c>
    </row>
    <row r="145">
      <c r="A145" s="94" t="n">
        <v>40238</v>
      </c>
      <c r="B145" t="n">
        <v>1218241</v>
      </c>
    </row>
    <row r="146">
      <c r="A146" s="94" t="n">
        <v>40269</v>
      </c>
      <c r="B146" t="n">
        <v>1142013</v>
      </c>
    </row>
    <row r="147">
      <c r="A147" s="94" t="n">
        <v>40299</v>
      </c>
      <c r="B147" t="n">
        <v>1209586</v>
      </c>
    </row>
    <row r="148">
      <c r="A148" s="94" t="n">
        <v>40330</v>
      </c>
      <c r="B148" t="n">
        <v>1132336</v>
      </c>
    </row>
    <row r="149">
      <c r="A149" s="94" t="n">
        <v>40360</v>
      </c>
      <c r="B149" t="n">
        <v>1173742</v>
      </c>
    </row>
    <row r="150">
      <c r="A150" s="94" t="n">
        <v>40391</v>
      </c>
      <c r="B150" t="n">
        <v>1230414</v>
      </c>
    </row>
    <row r="151">
      <c r="A151" s="94" t="n">
        <v>40422</v>
      </c>
      <c r="B151" t="n">
        <v>1203317</v>
      </c>
    </row>
    <row r="152">
      <c r="A152" s="94" t="n">
        <v>40452</v>
      </c>
      <c r="B152" t="n">
        <v>1214171</v>
      </c>
    </row>
    <row r="153">
      <c r="A153" s="94" t="n">
        <v>40483</v>
      </c>
      <c r="B153" t="n">
        <v>1270457</v>
      </c>
    </row>
    <row r="154">
      <c r="A154" s="94" t="n">
        <v>40513</v>
      </c>
      <c r="B154" t="n">
        <v>1287104</v>
      </c>
    </row>
    <row r="155">
      <c r="A155" s="94" t="n">
        <v>40544</v>
      </c>
      <c r="B155" t="n">
        <v>1279996</v>
      </c>
    </row>
    <row r="156">
      <c r="A156" s="94" t="n">
        <v>40575</v>
      </c>
      <c r="B156" t="n">
        <v>1301181</v>
      </c>
    </row>
    <row r="157">
      <c r="A157" s="94" t="n">
        <v>40603</v>
      </c>
      <c r="B157" t="n">
        <v>1423631</v>
      </c>
    </row>
    <row r="158">
      <c r="A158" s="94" t="n">
        <v>40634</v>
      </c>
      <c r="B158" t="n">
        <v>1346213</v>
      </c>
    </row>
    <row r="159">
      <c r="A159" s="94" t="n">
        <v>40664</v>
      </c>
      <c r="B159" t="n">
        <v>1351200</v>
      </c>
    </row>
    <row r="160">
      <c r="A160" s="94" t="n">
        <v>40695</v>
      </c>
      <c r="B160" t="n">
        <v>1295844</v>
      </c>
    </row>
    <row r="161">
      <c r="A161" s="94" t="n">
        <v>40725</v>
      </c>
      <c r="B161" t="n">
        <v>1344737</v>
      </c>
    </row>
    <row r="162">
      <c r="A162" s="94" t="n">
        <v>40756</v>
      </c>
      <c r="B162" t="n">
        <v>1414829</v>
      </c>
    </row>
    <row r="163">
      <c r="A163" s="94" t="n">
        <v>40787</v>
      </c>
      <c r="B163" t="n">
        <v>1376890</v>
      </c>
    </row>
    <row r="164">
      <c r="A164" s="94" t="n">
        <v>40817</v>
      </c>
      <c r="B164" t="n">
        <v>1329858</v>
      </c>
    </row>
    <row r="165">
      <c r="A165" s="94" t="n">
        <v>40848</v>
      </c>
      <c r="B165" t="n">
        <v>1432056</v>
      </c>
    </row>
    <row r="166">
      <c r="A166" s="94" t="n">
        <v>40878</v>
      </c>
      <c r="B166" t="n">
        <v>1430219</v>
      </c>
    </row>
    <row r="167">
      <c r="A167" s="94" t="n">
        <v>40909</v>
      </c>
      <c r="B167" t="n">
        <v>1369064</v>
      </c>
    </row>
    <row r="168">
      <c r="A168" s="94" t="n">
        <v>40940</v>
      </c>
      <c r="B168" t="n">
        <v>1442443</v>
      </c>
    </row>
    <row r="169">
      <c r="A169" s="94" t="n">
        <v>40969</v>
      </c>
      <c r="B169" t="n">
        <v>1394569</v>
      </c>
    </row>
    <row r="170">
      <c r="A170" s="94" t="n">
        <v>41000</v>
      </c>
      <c r="B170" t="n">
        <v>1412065</v>
      </c>
    </row>
    <row r="171">
      <c r="A171" s="94" t="n">
        <v>41030</v>
      </c>
      <c r="B171" t="n">
        <v>1428007</v>
      </c>
    </row>
    <row r="172">
      <c r="A172" s="94" t="n">
        <v>41061</v>
      </c>
      <c r="B172" t="n">
        <v>1436265</v>
      </c>
    </row>
    <row r="173">
      <c r="A173" s="94" t="n">
        <v>41091</v>
      </c>
      <c r="B173" t="n">
        <v>1454954</v>
      </c>
    </row>
    <row r="174">
      <c r="A174" s="94" t="n">
        <v>41122</v>
      </c>
      <c r="B174" t="n">
        <v>1499672</v>
      </c>
    </row>
    <row r="175">
      <c r="A175" s="94" t="n">
        <v>41153</v>
      </c>
      <c r="B175" t="n">
        <v>1499208</v>
      </c>
    </row>
    <row r="176">
      <c r="A176" s="94" t="n">
        <v>41183</v>
      </c>
      <c r="B176" t="n">
        <v>1537316</v>
      </c>
    </row>
    <row r="177">
      <c r="A177" s="94" t="n">
        <v>41214</v>
      </c>
      <c r="B177" t="n">
        <v>1563579</v>
      </c>
    </row>
    <row r="178">
      <c r="A178" s="94" t="n">
        <v>41244</v>
      </c>
      <c r="B178" t="n">
        <v>1583627</v>
      </c>
    </row>
    <row r="179">
      <c r="A179" s="94" t="n">
        <v>41275</v>
      </c>
      <c r="B179" t="n">
        <v>1597903</v>
      </c>
    </row>
    <row r="180">
      <c r="A180" s="94" t="n">
        <v>41306</v>
      </c>
      <c r="B180" t="n">
        <v>1635325</v>
      </c>
    </row>
    <row r="181">
      <c r="A181" s="94" t="n">
        <v>41334</v>
      </c>
      <c r="B181" t="n">
        <v>1648127</v>
      </c>
    </row>
    <row r="182">
      <c r="A182" s="94" t="n">
        <v>41365</v>
      </c>
      <c r="B182" t="n">
        <v>1746913</v>
      </c>
    </row>
    <row r="183">
      <c r="A183" s="94" t="n">
        <v>41395</v>
      </c>
      <c r="B183" t="n">
        <v>1842861</v>
      </c>
    </row>
    <row r="184">
      <c r="A184" s="94" t="n">
        <v>41426</v>
      </c>
      <c r="B184" t="n">
        <v>1870684</v>
      </c>
    </row>
    <row r="185">
      <c r="A185" s="94" t="n">
        <v>41456</v>
      </c>
      <c r="B185" t="n">
        <v>1967581</v>
      </c>
    </row>
    <row r="186">
      <c r="A186" s="94" t="n">
        <v>41487</v>
      </c>
      <c r="B186" t="n">
        <v>2056918</v>
      </c>
    </row>
    <row r="187">
      <c r="A187" s="94" t="n">
        <v>41518</v>
      </c>
      <c r="B187" t="n">
        <v>2088625</v>
      </c>
    </row>
    <row r="188">
      <c r="A188" s="94" t="n">
        <v>41548</v>
      </c>
      <c r="B188" t="n">
        <v>2155142</v>
      </c>
    </row>
    <row r="189">
      <c r="A189" s="94" t="n">
        <v>41579</v>
      </c>
      <c r="B189" t="n">
        <v>2240888</v>
      </c>
    </row>
    <row r="190">
      <c r="A190" s="94" t="n">
        <v>41609</v>
      </c>
      <c r="B190" t="n">
        <v>2241897</v>
      </c>
    </row>
    <row r="191">
      <c r="A191" s="94" t="n">
        <v>41640</v>
      </c>
      <c r="B191" t="n">
        <v>2321780</v>
      </c>
    </row>
    <row r="192">
      <c r="A192" s="94" t="n">
        <v>41671</v>
      </c>
      <c r="B192" t="n">
        <v>2404502</v>
      </c>
    </row>
    <row r="193">
      <c r="A193" s="94" t="n">
        <v>41699</v>
      </c>
      <c r="B193" t="n">
        <v>2415798</v>
      </c>
    </row>
    <row r="194">
      <c r="A194" s="94" t="n">
        <v>41730</v>
      </c>
      <c r="B194" t="n">
        <v>2461764</v>
      </c>
    </row>
    <row r="195">
      <c r="A195" s="94" t="n">
        <v>41760</v>
      </c>
      <c r="B195" t="n">
        <v>2539730</v>
      </c>
    </row>
    <row r="196">
      <c r="A196" s="94" t="n">
        <v>41791</v>
      </c>
      <c r="B196" t="n">
        <v>2577613</v>
      </c>
    </row>
    <row r="197">
      <c r="A197" s="94" t="n">
        <v>41821</v>
      </c>
      <c r="B197" t="n">
        <v>2689676</v>
      </c>
    </row>
    <row r="198">
      <c r="A198" s="94" t="n">
        <v>41852</v>
      </c>
      <c r="B198" t="n">
        <v>2758955</v>
      </c>
    </row>
    <row r="199">
      <c r="A199" s="94" t="n">
        <v>41883</v>
      </c>
      <c r="B199" t="n">
        <v>2770994</v>
      </c>
    </row>
    <row r="200">
      <c r="A200" s="94" t="n">
        <v>41913</v>
      </c>
      <c r="B200" t="n">
        <v>2868380</v>
      </c>
    </row>
    <row r="201">
      <c r="A201" s="94" t="n">
        <v>41944</v>
      </c>
      <c r="B201" t="n">
        <v>2973747</v>
      </c>
    </row>
    <row r="202">
      <c r="A202" s="94" t="n">
        <v>41974</v>
      </c>
      <c r="B202" t="n">
        <v>3002117</v>
      </c>
    </row>
    <row r="203">
      <c r="A203" s="94" t="n">
        <v>42005</v>
      </c>
      <c r="B203" t="n">
        <v>3111731</v>
      </c>
    </row>
    <row r="204">
      <c r="A204" s="94" t="n">
        <v>42036</v>
      </c>
      <c r="B204" t="n">
        <v>3204418</v>
      </c>
    </row>
    <row r="205">
      <c r="A205" s="94" t="n">
        <v>42064</v>
      </c>
      <c r="B205" t="n">
        <v>3235937</v>
      </c>
    </row>
    <row r="206">
      <c r="A206" s="94" t="n">
        <v>42095</v>
      </c>
      <c r="B206" t="n">
        <v>3328186</v>
      </c>
    </row>
    <row r="207">
      <c r="A207" s="94" t="n">
        <v>42125</v>
      </c>
      <c r="B207" t="n">
        <v>3431402</v>
      </c>
    </row>
    <row r="208">
      <c r="A208" s="94" t="n">
        <v>42156</v>
      </c>
      <c r="B208" t="n">
        <v>3454395</v>
      </c>
    </row>
    <row r="209">
      <c r="A209" s="94" t="n">
        <v>42186</v>
      </c>
      <c r="B209" t="n">
        <v>3542941</v>
      </c>
    </row>
    <row r="210">
      <c r="A210" s="94" t="n">
        <v>42217</v>
      </c>
      <c r="B210" t="n">
        <v>3614591</v>
      </c>
    </row>
    <row r="211">
      <c r="A211" s="94" t="n">
        <v>42248</v>
      </c>
      <c r="B211" t="n">
        <v>3661278</v>
      </c>
    </row>
    <row r="212">
      <c r="A212" s="94" t="n">
        <v>42278</v>
      </c>
      <c r="B212" t="n">
        <v>3735537</v>
      </c>
    </row>
    <row r="213">
      <c r="A213" s="94" t="n">
        <v>42309</v>
      </c>
      <c r="B213" t="n">
        <v>3812542</v>
      </c>
    </row>
    <row r="214">
      <c r="A214" s="94" t="n">
        <v>42339</v>
      </c>
      <c r="B214" t="n">
        <v>3831076</v>
      </c>
    </row>
    <row r="215">
      <c r="A215" s="94" t="n">
        <v>42370</v>
      </c>
      <c r="B215" t="n">
        <v>3964498</v>
      </c>
    </row>
    <row r="216">
      <c r="A216" s="94" t="n">
        <v>42401</v>
      </c>
      <c r="B216" t="n">
        <v>4037909</v>
      </c>
    </row>
    <row r="217">
      <c r="A217" s="94" t="n">
        <v>42430</v>
      </c>
      <c r="B217" t="n">
        <v>4056481</v>
      </c>
    </row>
    <row r="218">
      <c r="A218" s="94" t="n">
        <v>42461</v>
      </c>
      <c r="B218" t="n">
        <v>4144163</v>
      </c>
    </row>
    <row r="219">
      <c r="A219" s="94" t="n">
        <v>42491</v>
      </c>
      <c r="B219" t="n">
        <v>4256697</v>
      </c>
    </row>
    <row r="220">
      <c r="A220" s="94" t="n">
        <v>42522</v>
      </c>
      <c r="B220" t="n">
        <v>4327586</v>
      </c>
    </row>
    <row r="221">
      <c r="A221" s="94" t="n">
        <v>42552</v>
      </c>
      <c r="B221" t="n">
        <v>4430848</v>
      </c>
    </row>
    <row r="222">
      <c r="A222" s="94" t="n">
        <v>42583</v>
      </c>
      <c r="B222" t="n">
        <v>4529802</v>
      </c>
    </row>
    <row r="223">
      <c r="A223" s="94" t="n">
        <v>42614</v>
      </c>
      <c r="B223" t="n">
        <v>4568058</v>
      </c>
    </row>
    <row r="224">
      <c r="A224" s="94" t="n">
        <v>42644</v>
      </c>
      <c r="B224" t="n">
        <v>4633922</v>
      </c>
    </row>
    <row r="225">
      <c r="A225" s="94" t="n">
        <v>42675</v>
      </c>
      <c r="B225" t="n">
        <v>4711310</v>
      </c>
    </row>
    <row r="226">
      <c r="A226" s="94" t="n">
        <v>42705</v>
      </c>
      <c r="B226" t="n">
        <v>4764980</v>
      </c>
    </row>
    <row r="227">
      <c r="A227" s="94" t="n">
        <v>42736</v>
      </c>
      <c r="B227" t="n">
        <v>4819817</v>
      </c>
    </row>
    <row r="228">
      <c r="A228" s="94" t="n">
        <v>42767</v>
      </c>
      <c r="B228" t="n">
        <v>4879011</v>
      </c>
    </row>
    <row r="229">
      <c r="A229" s="94" t="n">
        <v>42795</v>
      </c>
      <c r="B229" t="n">
        <v>4900893</v>
      </c>
    </row>
    <row r="230">
      <c r="A230" s="94" t="n">
        <v>42826</v>
      </c>
      <c r="B230" t="n">
        <v>4977463</v>
      </c>
    </row>
    <row r="231">
      <c r="A231" s="94" t="n">
        <v>42856</v>
      </c>
      <c r="B231" t="n">
        <v>5008008</v>
      </c>
    </row>
    <row r="232">
      <c r="A232" s="94" t="n">
        <v>42887</v>
      </c>
      <c r="B232" t="n">
        <v>5021084</v>
      </c>
    </row>
    <row r="233">
      <c r="A233" s="94" t="n">
        <v>42917</v>
      </c>
      <c r="B233" t="n">
        <v>5055602</v>
      </c>
    </row>
    <row r="234">
      <c r="A234" s="94" t="n">
        <v>42948</v>
      </c>
      <c r="B234" t="n">
        <v>5115845</v>
      </c>
    </row>
    <row r="235">
      <c r="A235" s="94" t="n">
        <v>42979</v>
      </c>
      <c r="B235" t="n">
        <v>5134438</v>
      </c>
    </row>
    <row r="236">
      <c r="A236" s="94" t="n">
        <v>43009</v>
      </c>
      <c r="B236" t="n">
        <v>5180461</v>
      </c>
    </row>
    <row r="237">
      <c r="A237" s="94" t="n">
        <v>43040</v>
      </c>
      <c r="B237" t="n">
        <v>5218600</v>
      </c>
    </row>
    <row r="238">
      <c r="A238" s="94" t="n">
        <v>43070</v>
      </c>
      <c r="B238" t="n">
        <v>5214161</v>
      </c>
    </row>
    <row r="239">
      <c r="A239" s="94" t="n">
        <v>43101</v>
      </c>
      <c r="B239" t="n">
        <v>5267036</v>
      </c>
    </row>
    <row r="240">
      <c r="A240" s="94" t="n">
        <v>43132</v>
      </c>
      <c r="B240" t="n">
        <v>5331792</v>
      </c>
    </row>
    <row r="241">
      <c r="A241" s="94" t="n">
        <v>43160</v>
      </c>
      <c r="B241" t="n">
        <v>5282856</v>
      </c>
    </row>
    <row r="242">
      <c r="A242" s="94" t="n">
        <v>43191</v>
      </c>
      <c r="B242" t="n">
        <v>5350510</v>
      </c>
    </row>
    <row r="243">
      <c r="A243" s="94" t="n">
        <v>43221</v>
      </c>
      <c r="B243" t="n">
        <v>5408036</v>
      </c>
    </row>
    <row r="244">
      <c r="A244" s="94" t="n">
        <v>43252</v>
      </c>
      <c r="B244" t="n">
        <v>5370168</v>
      </c>
    </row>
    <row r="245">
      <c r="A245" s="94" t="n">
        <v>43282</v>
      </c>
      <c r="B245" t="n">
        <v>5463108</v>
      </c>
    </row>
    <row r="246">
      <c r="A246" s="94" t="n">
        <v>43313</v>
      </c>
      <c r="B246" t="n">
        <v>5509363</v>
      </c>
    </row>
    <row r="247">
      <c r="A247" s="94" t="n">
        <v>43344</v>
      </c>
      <c r="B247" t="n">
        <v>5456615</v>
      </c>
    </row>
    <row r="248">
      <c r="A248" s="94" t="n">
        <v>43374</v>
      </c>
      <c r="B248" t="n">
        <v>5518054</v>
      </c>
    </row>
    <row r="249">
      <c r="A249" s="94" t="n">
        <v>43405</v>
      </c>
      <c r="B249" t="n">
        <v>5555010</v>
      </c>
    </row>
    <row r="250">
      <c r="A250" s="94" t="n">
        <v>43435</v>
      </c>
      <c r="B250" t="n">
        <v>5520843</v>
      </c>
    </row>
    <row r="251">
      <c r="A251" s="94" t="n">
        <v>43466</v>
      </c>
      <c r="B251" t="n">
        <v>5569180</v>
      </c>
    </row>
    <row r="252">
      <c r="A252" s="94" t="n">
        <v>43497</v>
      </c>
      <c r="B252" t="n">
        <v>5619262</v>
      </c>
    </row>
    <row r="253">
      <c r="A253" s="94" t="n">
        <v>43525</v>
      </c>
      <c r="B253" t="n">
        <v>5570243</v>
      </c>
    </row>
    <row r="254">
      <c r="A254" s="94" t="n">
        <v>43556</v>
      </c>
      <c r="B254" t="n">
        <v>5620357</v>
      </c>
    </row>
    <row r="255">
      <c r="A255" s="94" t="n">
        <v>43586</v>
      </c>
      <c r="B255" t="n">
        <v>5671565</v>
      </c>
    </row>
    <row r="256">
      <c r="A256" s="94" t="n">
        <v>43617</v>
      </c>
      <c r="B256" t="n">
        <v>5648665</v>
      </c>
    </row>
    <row r="257">
      <c r="A257" s="94" t="n">
        <v>43647</v>
      </c>
      <c r="B257" t="n">
        <v>5683142</v>
      </c>
    </row>
    <row r="258">
      <c r="A258" s="94" t="n">
        <v>43678</v>
      </c>
      <c r="B258" t="n">
        <v>5727192</v>
      </c>
    </row>
    <row r="259">
      <c r="A259" s="94" t="n">
        <v>43709</v>
      </c>
      <c r="B259" t="n">
        <v>5698026</v>
      </c>
    </row>
    <row r="260">
      <c r="A260" s="94" t="n">
        <v>43739</v>
      </c>
      <c r="B260" t="n">
        <v>5756702</v>
      </c>
    </row>
    <row r="261">
      <c r="A261" s="94" t="n">
        <v>43770</v>
      </c>
      <c r="B261" t="n">
        <v>5785322</v>
      </c>
    </row>
    <row r="262">
      <c r="A262" s="94" t="n">
        <v>43800</v>
      </c>
      <c r="B262" t="n">
        <v>5730531</v>
      </c>
    </row>
    <row r="263">
      <c r="A263" s="94" t="n">
        <v>43831</v>
      </c>
      <c r="B263" t="n">
        <v>5783352</v>
      </c>
    </row>
    <row r="264">
      <c r="A264" s="94" t="n">
        <v>43862</v>
      </c>
      <c r="B264" t="n">
        <v>5849208</v>
      </c>
    </row>
    <row r="265">
      <c r="A265" s="94" t="n">
        <v>43891</v>
      </c>
      <c r="B265" t="n">
        <v>6044846</v>
      </c>
    </row>
    <row r="266">
      <c r="A266" s="94" t="n">
        <v>43922</v>
      </c>
      <c r="B266" t="n">
        <v>6190306</v>
      </c>
    </row>
    <row r="267">
      <c r="A267" s="94" t="n">
        <v>43952</v>
      </c>
      <c r="B267" t="n">
        <v>6385922</v>
      </c>
    </row>
    <row r="268">
      <c r="A268" s="94" t="n">
        <v>43983</v>
      </c>
      <c r="B268" t="n">
        <v>6489462</v>
      </c>
    </row>
    <row r="269">
      <c r="A269" s="94" t="n">
        <v>44013</v>
      </c>
      <c r="B269" t="n">
        <v>6658852</v>
      </c>
    </row>
    <row r="270">
      <c r="A270" s="94" t="n">
        <v>44044</v>
      </c>
      <c r="B270" t="n">
        <v>6828990</v>
      </c>
    </row>
    <row r="271">
      <c r="A271" s="94" t="n">
        <v>44075</v>
      </c>
      <c r="B271" t="n">
        <v>6900269</v>
      </c>
    </row>
    <row r="272">
      <c r="A272" s="94" t="n">
        <v>44105</v>
      </c>
      <c r="B272" t="n">
        <v>6982309</v>
      </c>
    </row>
    <row r="273">
      <c r="A273" s="94" t="n">
        <v>44136</v>
      </c>
      <c r="B273" t="n">
        <v>7053047</v>
      </c>
    </row>
    <row r="274">
      <c r="A274" s="94" t="n">
        <v>44166</v>
      </c>
      <c r="B274" t="n">
        <v>7025822</v>
      </c>
    </row>
    <row r="275">
      <c r="A275" s="94" t="n">
        <v>44197</v>
      </c>
      <c r="B275" t="n">
        <v>7094935</v>
      </c>
    </row>
    <row r="276">
      <c r="A276" s="94" t="n">
        <v>44228</v>
      </c>
      <c r="B276" t="n">
        <v>7126021</v>
      </c>
    </row>
    <row r="277">
      <c r="A277" s="94" t="n">
        <v>44256</v>
      </c>
      <c r="B277" t="n">
        <v>7145566</v>
      </c>
    </row>
    <row r="278">
      <c r="A278" s="94" t="n">
        <v>44287</v>
      </c>
      <c r="B278" t="n">
        <v>7202316</v>
      </c>
    </row>
    <row r="279">
      <c r="A279" s="94" t="n">
        <v>44317</v>
      </c>
      <c r="B279" t="n">
        <v>7246409</v>
      </c>
    </row>
    <row r="280">
      <c r="A280" s="94" t="n">
        <v>44348</v>
      </c>
      <c r="B280" t="n">
        <v>7169006</v>
      </c>
    </row>
    <row r="281">
      <c r="A281" s="94" t="n">
        <v>44378</v>
      </c>
      <c r="B281" t="n">
        <v>7229429</v>
      </c>
    </row>
    <row r="282">
      <c r="A282" s="94" t="n">
        <v>44409</v>
      </c>
      <c r="B282" t="n">
        <v>7267102</v>
      </c>
    </row>
    <row r="283">
      <c r="A283" s="94" t="n">
        <v>44440</v>
      </c>
      <c r="B283" t="n">
        <v>7240579</v>
      </c>
    </row>
    <row r="284">
      <c r="A284" s="94" t="n">
        <v>44470</v>
      </c>
      <c r="B284" t="n">
        <v>7251886</v>
      </c>
    </row>
    <row r="285">
      <c r="A285" s="94" t="n">
        <v>44501</v>
      </c>
      <c r="B285" t="n">
        <v>7282186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0"/>
  <sheetViews>
    <sheetView workbookViewId="0">
      <selection activeCell="E17" sqref="E17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94" t="n">
        <v>36161</v>
      </c>
      <c r="B2" t="n">
        <v>697160</v>
      </c>
    </row>
    <row r="3">
      <c r="A3" s="94" t="n">
        <v>36168</v>
      </c>
      <c r="B3" t="n">
        <v>685128</v>
      </c>
    </row>
    <row r="4">
      <c r="A4" s="94" t="n">
        <v>36175</v>
      </c>
      <c r="B4" t="n">
        <v>686992</v>
      </c>
    </row>
    <row r="5">
      <c r="A5" s="94" t="n">
        <v>36182</v>
      </c>
      <c r="B5" t="n">
        <v>667622</v>
      </c>
    </row>
    <row r="6">
      <c r="A6" s="94" t="n">
        <v>36189</v>
      </c>
      <c r="B6" t="n">
        <v>694638</v>
      </c>
    </row>
    <row r="7">
      <c r="A7" s="94" t="n">
        <v>36196</v>
      </c>
      <c r="B7" t="n">
        <v>687447</v>
      </c>
    </row>
    <row r="8">
      <c r="A8" s="94" t="n">
        <v>36203</v>
      </c>
      <c r="B8" t="n">
        <v>680236</v>
      </c>
    </row>
    <row r="9">
      <c r="A9" s="94" t="n">
        <v>36210</v>
      </c>
      <c r="B9" t="n">
        <v>681891</v>
      </c>
    </row>
    <row r="10">
      <c r="A10" s="94" t="n">
        <v>36217</v>
      </c>
      <c r="B10" t="n">
        <v>692641</v>
      </c>
    </row>
    <row r="11">
      <c r="A11" s="94" t="n">
        <v>36224</v>
      </c>
      <c r="B11" t="n">
        <v>698073</v>
      </c>
    </row>
    <row r="12">
      <c r="A12" s="94" t="n">
        <v>36231</v>
      </c>
      <c r="B12" t="n">
        <v>693054</v>
      </c>
    </row>
    <row r="13">
      <c r="A13" s="94" t="n">
        <v>36238</v>
      </c>
      <c r="B13" t="n">
        <v>668283</v>
      </c>
    </row>
    <row r="14">
      <c r="A14" s="94" t="n">
        <v>36245</v>
      </c>
      <c r="B14" t="n">
        <v>699396</v>
      </c>
    </row>
    <row r="15">
      <c r="A15" s="94" t="n">
        <v>36252</v>
      </c>
      <c r="B15" t="n">
        <v>774421</v>
      </c>
    </row>
    <row r="16">
      <c r="A16" s="94" t="n">
        <v>36259</v>
      </c>
      <c r="B16" t="n">
        <v>679468</v>
      </c>
    </row>
    <row r="17">
      <c r="A17" s="94" t="n">
        <v>36266</v>
      </c>
      <c r="B17" t="n">
        <v>705590</v>
      </c>
    </row>
    <row r="18">
      <c r="A18" s="94" t="n">
        <v>36273</v>
      </c>
      <c r="B18" t="n">
        <v>691717</v>
      </c>
    </row>
    <row r="19">
      <c r="A19" s="94" t="n">
        <v>36280</v>
      </c>
      <c r="B19" t="n">
        <v>698296</v>
      </c>
    </row>
    <row r="20">
      <c r="A20" s="94" t="n">
        <v>36287</v>
      </c>
      <c r="B20" t="n">
        <v>692124</v>
      </c>
    </row>
    <row r="21">
      <c r="A21" s="94" t="n">
        <v>36294</v>
      </c>
      <c r="B21" t="n">
        <v>687527</v>
      </c>
    </row>
    <row r="22">
      <c r="A22" s="94" t="n">
        <v>36301</v>
      </c>
      <c r="B22" t="n">
        <v>691085</v>
      </c>
    </row>
    <row r="23">
      <c r="A23" s="94" t="n">
        <v>36308</v>
      </c>
      <c r="B23" t="n">
        <v>705060</v>
      </c>
    </row>
    <row r="24">
      <c r="A24" s="94" t="n">
        <v>36315</v>
      </c>
      <c r="B24" t="n">
        <v>706426</v>
      </c>
    </row>
    <row r="25">
      <c r="A25" s="94" t="n">
        <v>36322</v>
      </c>
      <c r="B25" t="n">
        <v>697053</v>
      </c>
    </row>
    <row r="26">
      <c r="A26" s="94" t="n">
        <v>36329</v>
      </c>
      <c r="B26" t="n">
        <v>691771</v>
      </c>
    </row>
    <row r="27">
      <c r="A27" s="94" t="n">
        <v>36336</v>
      </c>
      <c r="B27" t="n">
        <v>695644</v>
      </c>
    </row>
    <row r="28">
      <c r="A28" s="94" t="n">
        <v>36343</v>
      </c>
      <c r="B28" t="n">
        <v>722715</v>
      </c>
    </row>
    <row r="29">
      <c r="A29" s="94" t="n">
        <v>36350</v>
      </c>
      <c r="B29" t="n">
        <v>722715</v>
      </c>
    </row>
    <row r="30">
      <c r="A30" s="94" t="n">
        <v>36357</v>
      </c>
      <c r="B30" t="n">
        <v>721569</v>
      </c>
    </row>
    <row r="31">
      <c r="A31" s="94" t="n">
        <v>36364</v>
      </c>
      <c r="B31" t="n">
        <v>721882</v>
      </c>
    </row>
    <row r="32">
      <c r="A32" s="94" t="n">
        <v>36371</v>
      </c>
      <c r="B32" t="n">
        <v>739725</v>
      </c>
    </row>
    <row r="33">
      <c r="A33" s="94" t="n">
        <v>36378</v>
      </c>
      <c r="B33" t="n">
        <v>722964</v>
      </c>
    </row>
    <row r="34">
      <c r="A34" s="94" t="n">
        <v>36385</v>
      </c>
      <c r="B34" t="n">
        <v>716260</v>
      </c>
    </row>
    <row r="35">
      <c r="A35" s="94" t="n">
        <v>36392</v>
      </c>
      <c r="B35" t="n">
        <v>713379</v>
      </c>
    </row>
    <row r="36">
      <c r="A36" s="94" t="n">
        <v>36399</v>
      </c>
      <c r="B36" t="n">
        <v>733966</v>
      </c>
    </row>
    <row r="37">
      <c r="A37" s="94" t="n">
        <v>36406</v>
      </c>
      <c r="B37" t="n">
        <v>727128</v>
      </c>
    </row>
    <row r="38">
      <c r="A38" s="94" t="n">
        <v>36413</v>
      </c>
      <c r="B38" t="n">
        <v>721270</v>
      </c>
    </row>
    <row r="39">
      <c r="A39" s="94" t="n">
        <v>36420</v>
      </c>
      <c r="B39" t="n">
        <v>717914</v>
      </c>
    </row>
    <row r="40">
      <c r="A40" s="94" t="n">
        <v>36427</v>
      </c>
      <c r="B40" t="n">
        <v>728600</v>
      </c>
    </row>
    <row r="41">
      <c r="A41" s="94" t="n">
        <v>36434</v>
      </c>
      <c r="B41" t="n">
        <v>730616</v>
      </c>
    </row>
    <row r="42">
      <c r="A42" s="94" t="n">
        <v>36441</v>
      </c>
      <c r="B42" t="n">
        <v>729413</v>
      </c>
    </row>
    <row r="43">
      <c r="A43" s="94" t="n">
        <v>36448</v>
      </c>
      <c r="B43" t="n">
        <v>724358</v>
      </c>
    </row>
    <row r="44">
      <c r="A44" s="94" t="n">
        <v>36455</v>
      </c>
      <c r="B44" t="n">
        <v>709946</v>
      </c>
    </row>
    <row r="45">
      <c r="A45" s="94" t="n">
        <v>36462</v>
      </c>
      <c r="B45" t="n">
        <v>742624</v>
      </c>
    </row>
    <row r="46">
      <c r="A46" s="94" t="n">
        <v>36469</v>
      </c>
      <c r="B46" t="n">
        <v>737141</v>
      </c>
    </row>
    <row r="47">
      <c r="A47" s="94" t="n">
        <v>36476</v>
      </c>
      <c r="B47" t="n">
        <v>733848</v>
      </c>
    </row>
    <row r="48">
      <c r="A48" s="94" t="n">
        <v>36483</v>
      </c>
      <c r="B48" t="n">
        <v>734998</v>
      </c>
    </row>
    <row r="49">
      <c r="A49" s="94" t="n">
        <v>36490</v>
      </c>
      <c r="B49" t="n">
        <v>743495</v>
      </c>
    </row>
    <row r="50">
      <c r="A50" s="94" t="n">
        <v>36497</v>
      </c>
      <c r="B50" t="n">
        <v>747164</v>
      </c>
    </row>
    <row r="51">
      <c r="A51" s="94" t="n">
        <v>36504</v>
      </c>
      <c r="B51" t="n">
        <v>764737</v>
      </c>
    </row>
    <row r="52">
      <c r="A52" s="94" t="n">
        <v>36511</v>
      </c>
      <c r="B52" t="n">
        <v>753217</v>
      </c>
    </row>
    <row r="53">
      <c r="A53" s="94" t="n">
        <v>36518</v>
      </c>
      <c r="B53" t="n">
        <v>760669</v>
      </c>
    </row>
    <row r="54">
      <c r="A54" s="94" t="n">
        <v>36525</v>
      </c>
      <c r="B54" t="n">
        <v>803192</v>
      </c>
    </row>
    <row r="55">
      <c r="A55" s="94" t="n">
        <v>36532</v>
      </c>
      <c r="B55" t="n">
        <v>791851</v>
      </c>
    </row>
    <row r="56">
      <c r="A56" s="94" t="n">
        <v>36539</v>
      </c>
      <c r="B56" t="n">
        <v>736485</v>
      </c>
    </row>
    <row r="57">
      <c r="A57" s="94" t="n">
        <v>36546</v>
      </c>
      <c r="B57" t="n">
        <v>745291</v>
      </c>
    </row>
    <row r="58">
      <c r="A58" s="94" t="n">
        <v>36553</v>
      </c>
      <c r="B58" t="n">
        <v>772749</v>
      </c>
    </row>
    <row r="59">
      <c r="A59" s="94" t="n">
        <v>36560</v>
      </c>
      <c r="B59" t="n">
        <v>762476</v>
      </c>
    </row>
    <row r="60">
      <c r="A60" s="94" t="n">
        <v>36567</v>
      </c>
      <c r="B60" t="n">
        <v>759425</v>
      </c>
    </row>
    <row r="61">
      <c r="A61" s="94" t="n">
        <v>36574</v>
      </c>
      <c r="B61" t="n">
        <v>755854</v>
      </c>
    </row>
    <row r="62">
      <c r="A62" s="94" t="n">
        <v>36581</v>
      </c>
      <c r="B62" t="n">
        <v>752207</v>
      </c>
    </row>
    <row r="63">
      <c r="A63" s="94" t="n">
        <v>36588</v>
      </c>
      <c r="B63" t="n">
        <v>777649</v>
      </c>
    </row>
    <row r="64">
      <c r="A64" s="94" t="n">
        <v>36595</v>
      </c>
      <c r="B64" t="n">
        <v>759989</v>
      </c>
    </row>
    <row r="65">
      <c r="A65" s="94" t="n">
        <v>36602</v>
      </c>
      <c r="B65" t="n">
        <v>757188</v>
      </c>
    </row>
    <row r="66">
      <c r="A66" s="94" t="n">
        <v>36609</v>
      </c>
      <c r="B66" t="n">
        <v>761178</v>
      </c>
    </row>
    <row r="67">
      <c r="A67" s="94" t="n">
        <v>36616</v>
      </c>
      <c r="B67" t="n">
        <v>774421</v>
      </c>
    </row>
    <row r="68">
      <c r="A68" s="94" t="n">
        <v>36623</v>
      </c>
      <c r="B68" t="n">
        <v>770428</v>
      </c>
    </row>
    <row r="69">
      <c r="A69" s="94" t="n">
        <v>36630</v>
      </c>
      <c r="B69" t="n">
        <v>765602</v>
      </c>
    </row>
    <row r="70">
      <c r="A70" s="94" t="n">
        <v>36637</v>
      </c>
      <c r="B70" t="n">
        <v>777205</v>
      </c>
    </row>
    <row r="71">
      <c r="A71" s="94" t="n">
        <v>36644</v>
      </c>
      <c r="B71" t="n">
        <v>782962</v>
      </c>
    </row>
    <row r="72">
      <c r="A72" s="94" t="n">
        <v>36651</v>
      </c>
      <c r="B72" t="n">
        <v>786480</v>
      </c>
    </row>
    <row r="73">
      <c r="A73" s="94" t="n">
        <v>36658</v>
      </c>
      <c r="B73" t="n">
        <v>768074</v>
      </c>
    </row>
    <row r="74">
      <c r="A74" s="94" t="n">
        <v>36665</v>
      </c>
      <c r="B74" t="n">
        <v>775903</v>
      </c>
    </row>
    <row r="75">
      <c r="A75" s="94" t="n">
        <v>36672</v>
      </c>
      <c r="B75" t="n">
        <v>779222</v>
      </c>
    </row>
    <row r="76">
      <c r="A76" s="94" t="n">
        <v>36679</v>
      </c>
      <c r="B76" t="n">
        <v>774894</v>
      </c>
    </row>
    <row r="77">
      <c r="A77" s="94" t="n">
        <v>36686</v>
      </c>
      <c r="B77" t="n">
        <v>769982</v>
      </c>
    </row>
    <row r="78">
      <c r="A78" s="94" t="n">
        <v>36693</v>
      </c>
      <c r="B78" t="n">
        <v>774819</v>
      </c>
    </row>
    <row r="79">
      <c r="A79" s="94" t="n">
        <v>36700</v>
      </c>
      <c r="B79" t="n">
        <v>776768</v>
      </c>
    </row>
    <row r="80">
      <c r="A80" s="94" t="n">
        <v>36707</v>
      </c>
      <c r="B80" t="n">
        <v>812468</v>
      </c>
    </row>
    <row r="81">
      <c r="A81" s="94" t="n">
        <v>36714</v>
      </c>
      <c r="B81" t="n">
        <v>793480</v>
      </c>
    </row>
    <row r="82">
      <c r="A82" s="94" t="n">
        <v>36721</v>
      </c>
      <c r="B82" t="n">
        <v>791179</v>
      </c>
    </row>
    <row r="83">
      <c r="A83" s="94" t="n">
        <v>36728</v>
      </c>
      <c r="B83" t="n">
        <v>786691</v>
      </c>
    </row>
    <row r="84">
      <c r="A84" s="94" t="n">
        <v>36735</v>
      </c>
      <c r="B84" t="n">
        <v>800725</v>
      </c>
    </row>
    <row r="85">
      <c r="A85" s="94" t="n">
        <v>36742</v>
      </c>
      <c r="B85" t="n">
        <v>792086</v>
      </c>
    </row>
    <row r="86">
      <c r="A86" s="94" t="n">
        <v>36749</v>
      </c>
      <c r="B86" t="n">
        <v>783778</v>
      </c>
    </row>
    <row r="87">
      <c r="A87" s="94" t="n">
        <v>36756</v>
      </c>
      <c r="B87" t="n">
        <v>794289</v>
      </c>
    </row>
    <row r="88">
      <c r="A88" s="94" t="n">
        <v>36763</v>
      </c>
      <c r="B88" t="n">
        <v>796968</v>
      </c>
    </row>
    <row r="89">
      <c r="A89" s="94" t="n">
        <v>36770</v>
      </c>
      <c r="B89" t="n">
        <v>802418</v>
      </c>
    </row>
    <row r="90">
      <c r="A90" s="94" t="n">
        <v>36777</v>
      </c>
      <c r="B90" t="n">
        <v>797766</v>
      </c>
    </row>
    <row r="91">
      <c r="A91" s="94" t="n">
        <v>36784</v>
      </c>
      <c r="B91" t="n">
        <v>792783</v>
      </c>
    </row>
    <row r="92">
      <c r="A92" s="94" t="n">
        <v>36791</v>
      </c>
      <c r="B92" t="n">
        <v>788510</v>
      </c>
    </row>
    <row r="93">
      <c r="A93" s="94" t="n">
        <v>36798</v>
      </c>
      <c r="B93" t="n">
        <v>826310</v>
      </c>
    </row>
    <row r="94">
      <c r="A94" s="94" t="n">
        <v>36805</v>
      </c>
      <c r="B94" t="n">
        <v>821621</v>
      </c>
    </row>
    <row r="95">
      <c r="A95" s="94" t="n">
        <v>36812</v>
      </c>
      <c r="B95" t="n">
        <v>816322</v>
      </c>
    </row>
    <row r="96">
      <c r="A96" s="94" t="n">
        <v>36819</v>
      </c>
      <c r="B96" t="n">
        <v>809796</v>
      </c>
    </row>
    <row r="97">
      <c r="A97" s="94" t="n">
        <v>36826</v>
      </c>
      <c r="B97" t="n">
        <v>822086</v>
      </c>
    </row>
    <row r="98">
      <c r="A98" s="94" t="n">
        <v>36833</v>
      </c>
      <c r="B98" t="n">
        <v>821281</v>
      </c>
    </row>
    <row r="99">
      <c r="A99" s="94" t="n">
        <v>36840</v>
      </c>
      <c r="B99" t="n">
        <v>821918</v>
      </c>
    </row>
    <row r="100">
      <c r="A100" s="94" t="n">
        <v>36847</v>
      </c>
      <c r="B100" t="n">
        <v>818956</v>
      </c>
    </row>
    <row r="101">
      <c r="A101" s="94" t="n">
        <v>36854</v>
      </c>
      <c r="B101" t="n">
        <v>833103</v>
      </c>
    </row>
    <row r="102">
      <c r="A102" s="94" t="n">
        <v>36861</v>
      </c>
      <c r="B102" t="n">
        <v>834584</v>
      </c>
    </row>
    <row r="103">
      <c r="A103" s="94" t="n">
        <v>36868</v>
      </c>
      <c r="B103" t="n">
        <v>855968</v>
      </c>
    </row>
    <row r="104">
      <c r="A104" s="94" t="n">
        <v>36875</v>
      </c>
      <c r="B104" t="n">
        <v>854381</v>
      </c>
    </row>
    <row r="105">
      <c r="A105" s="94" t="n">
        <v>36882</v>
      </c>
      <c r="B105" t="n">
        <v>848610</v>
      </c>
    </row>
    <row r="106">
      <c r="A106" s="94" t="n">
        <v>36889</v>
      </c>
      <c r="B106" t="n">
        <v>835065</v>
      </c>
    </row>
    <row r="107">
      <c r="A107" s="94" t="n">
        <v>36896</v>
      </c>
      <c r="B107" t="n">
        <v>843751</v>
      </c>
    </row>
    <row r="108">
      <c r="A108" s="94" t="n">
        <v>36903</v>
      </c>
      <c r="B108" t="n">
        <v>836782</v>
      </c>
    </row>
    <row r="109">
      <c r="A109" s="94" t="n">
        <v>36910</v>
      </c>
      <c r="B109" t="n">
        <v>840210</v>
      </c>
    </row>
    <row r="110">
      <c r="A110" s="94" t="n">
        <v>36917</v>
      </c>
      <c r="B110" t="n">
        <v>853462</v>
      </c>
    </row>
    <row r="111">
      <c r="A111" s="94" t="n">
        <v>36924</v>
      </c>
      <c r="B111" t="n">
        <v>835215</v>
      </c>
    </row>
    <row r="112">
      <c r="A112" s="94" t="n">
        <v>36931</v>
      </c>
      <c r="B112" t="n">
        <v>829737</v>
      </c>
    </row>
    <row r="113">
      <c r="A113" s="94" t="n">
        <v>36938</v>
      </c>
      <c r="B113" t="n">
        <v>811621</v>
      </c>
    </row>
    <row r="114">
      <c r="A114" s="94" t="n">
        <v>36945</v>
      </c>
      <c r="B114" t="n">
        <v>871589</v>
      </c>
    </row>
    <row r="115">
      <c r="A115" s="94" t="n">
        <v>36952</v>
      </c>
      <c r="B115" t="n">
        <v>831539</v>
      </c>
    </row>
    <row r="116">
      <c r="A116" s="94" t="n">
        <v>36959</v>
      </c>
      <c r="B116" t="n">
        <v>818190</v>
      </c>
    </row>
    <row r="117">
      <c r="A117" s="94" t="n">
        <v>36966</v>
      </c>
      <c r="B117" t="n">
        <v>840112</v>
      </c>
    </row>
    <row r="118">
      <c r="A118" s="94" t="n">
        <v>36973</v>
      </c>
      <c r="B118" t="n">
        <v>832777</v>
      </c>
    </row>
    <row r="119">
      <c r="A119" s="94" t="n">
        <v>36980</v>
      </c>
      <c r="B119" t="n">
        <v>847959</v>
      </c>
    </row>
    <row r="120">
      <c r="A120" s="94" t="n">
        <v>36987</v>
      </c>
      <c r="B120" t="n">
        <v>829109</v>
      </c>
    </row>
    <row r="121">
      <c r="A121" s="94" t="n">
        <v>36994</v>
      </c>
      <c r="B121" t="n">
        <v>814720</v>
      </c>
    </row>
    <row r="122">
      <c r="A122" s="94" t="n">
        <v>37001</v>
      </c>
      <c r="B122" t="n">
        <v>858769</v>
      </c>
    </row>
    <row r="123">
      <c r="A123" s="94" t="n">
        <v>37008</v>
      </c>
      <c r="B123" t="n">
        <v>839272</v>
      </c>
    </row>
    <row r="124">
      <c r="A124" s="94" t="n">
        <v>37015</v>
      </c>
      <c r="B124" t="n">
        <v>819675</v>
      </c>
    </row>
    <row r="125">
      <c r="A125" s="94" t="n">
        <v>37022</v>
      </c>
      <c r="B125" t="n">
        <v>820898</v>
      </c>
    </row>
    <row r="126">
      <c r="A126" s="94" t="n">
        <v>37029</v>
      </c>
      <c r="B126" t="n">
        <v>814941</v>
      </c>
    </row>
    <row r="127">
      <c r="A127" s="94" t="n">
        <v>37036</v>
      </c>
      <c r="B127" t="n">
        <v>825427</v>
      </c>
    </row>
    <row r="128">
      <c r="A128" s="94" t="n">
        <v>37043</v>
      </c>
      <c r="B128" t="n">
        <v>830431</v>
      </c>
    </row>
    <row r="129">
      <c r="A129" s="94" t="n">
        <v>37050</v>
      </c>
      <c r="B129" t="n">
        <v>827440</v>
      </c>
    </row>
    <row r="130">
      <c r="A130" s="94" t="n">
        <v>37057</v>
      </c>
      <c r="B130" t="n">
        <v>819049</v>
      </c>
    </row>
    <row r="131">
      <c r="A131" s="94" t="n">
        <v>37064</v>
      </c>
      <c r="B131" t="n">
        <v>824444</v>
      </c>
    </row>
    <row r="132">
      <c r="A132" s="94" t="n">
        <v>37071</v>
      </c>
      <c r="B132" t="n">
        <v>862767</v>
      </c>
    </row>
    <row r="133">
      <c r="A133" s="94" t="n">
        <v>37078</v>
      </c>
      <c r="B133" t="n">
        <v>852890</v>
      </c>
    </row>
    <row r="134">
      <c r="A134" s="94" t="n">
        <v>37085</v>
      </c>
      <c r="B134" t="n">
        <v>842370</v>
      </c>
    </row>
    <row r="135">
      <c r="A135" s="94" t="n">
        <v>37092</v>
      </c>
      <c r="B135" t="n">
        <v>841946</v>
      </c>
    </row>
    <row r="136">
      <c r="A136" s="94" t="n">
        <v>37099</v>
      </c>
      <c r="B136" t="n">
        <v>862061</v>
      </c>
    </row>
    <row r="137">
      <c r="A137" s="94" t="n">
        <v>37106</v>
      </c>
      <c r="B137" t="n">
        <v>852105</v>
      </c>
    </row>
    <row r="138">
      <c r="A138" s="94" t="n">
        <v>37113</v>
      </c>
      <c r="B138" t="n">
        <v>840988</v>
      </c>
    </row>
    <row r="139">
      <c r="A139" s="94" t="n">
        <v>37120</v>
      </c>
      <c r="B139" t="n">
        <v>840603</v>
      </c>
    </row>
    <row r="140">
      <c r="A140" s="94" t="n">
        <v>37127</v>
      </c>
      <c r="B140" t="n">
        <v>832360</v>
      </c>
    </row>
    <row r="141">
      <c r="A141" s="94" t="n">
        <v>37134</v>
      </c>
      <c r="B141" t="n">
        <v>833389</v>
      </c>
    </row>
    <row r="142">
      <c r="A142" s="94" t="n">
        <v>37141</v>
      </c>
      <c r="B142" t="n">
        <v>828051</v>
      </c>
    </row>
    <row r="143">
      <c r="A143" s="94" t="n">
        <v>37148</v>
      </c>
      <c r="B143" t="n">
        <v>820690</v>
      </c>
    </row>
    <row r="144">
      <c r="A144" s="94" t="n">
        <v>37155</v>
      </c>
      <c r="B144" t="n">
        <v>806105</v>
      </c>
    </row>
    <row r="145">
      <c r="A145" s="94" t="n">
        <v>37162</v>
      </c>
      <c r="B145" t="n">
        <v>817364</v>
      </c>
    </row>
    <row r="146">
      <c r="A146" s="94" t="n">
        <v>37169</v>
      </c>
      <c r="B146" t="n">
        <v>798851</v>
      </c>
    </row>
    <row r="147">
      <c r="A147" s="94" t="n">
        <v>37176</v>
      </c>
      <c r="B147" t="n">
        <v>782084</v>
      </c>
    </row>
    <row r="148">
      <c r="A148" s="94" t="n">
        <v>37183</v>
      </c>
      <c r="B148" t="n">
        <v>810439</v>
      </c>
    </row>
    <row r="149">
      <c r="A149" s="94" t="n">
        <v>37190</v>
      </c>
      <c r="B149" t="n">
        <v>809996</v>
      </c>
    </row>
    <row r="150">
      <c r="A150" s="94" t="n">
        <v>37197</v>
      </c>
      <c r="B150" t="n">
        <v>795654</v>
      </c>
    </row>
    <row r="151">
      <c r="A151" s="94" t="n">
        <v>37204</v>
      </c>
      <c r="B151" t="n">
        <v>771984</v>
      </c>
    </row>
    <row r="152">
      <c r="A152" s="94" t="n">
        <v>37211</v>
      </c>
      <c r="B152" t="n">
        <v>821504</v>
      </c>
    </row>
    <row r="153">
      <c r="A153" s="94" t="n">
        <v>37218</v>
      </c>
      <c r="B153" t="n">
        <v>802491</v>
      </c>
    </row>
    <row r="154">
      <c r="A154" s="94" t="n">
        <v>37225</v>
      </c>
      <c r="B154" t="n">
        <v>810690</v>
      </c>
    </row>
    <row r="155">
      <c r="A155" s="94" t="n">
        <v>37232</v>
      </c>
      <c r="B155" t="n">
        <v>809860</v>
      </c>
    </row>
    <row r="156">
      <c r="A156" s="94" t="n">
        <v>37239</v>
      </c>
      <c r="B156" t="n">
        <v>805551</v>
      </c>
    </row>
    <row r="157">
      <c r="A157" s="94" t="n">
        <v>37246</v>
      </c>
      <c r="B157" t="n">
        <v>795432</v>
      </c>
    </row>
    <row r="158">
      <c r="A158" s="94" t="n">
        <v>37253</v>
      </c>
      <c r="B158" t="n">
        <v>814662</v>
      </c>
    </row>
    <row r="159">
      <c r="A159" s="94" t="n">
        <v>37260</v>
      </c>
      <c r="B159" t="n">
        <v>899232</v>
      </c>
    </row>
    <row r="160">
      <c r="A160" s="94" t="n">
        <v>37267</v>
      </c>
      <c r="B160" t="n">
        <v>872101</v>
      </c>
    </row>
    <row r="161">
      <c r="A161" s="94" t="n">
        <v>37274</v>
      </c>
      <c r="B161" t="n">
        <v>864853</v>
      </c>
    </row>
    <row r="162">
      <c r="A162" s="94" t="n">
        <v>37281</v>
      </c>
      <c r="B162" t="n">
        <v>839687</v>
      </c>
    </row>
    <row r="163">
      <c r="A163" s="94" t="n">
        <v>37288</v>
      </c>
      <c r="B163" t="n">
        <v>810126</v>
      </c>
    </row>
    <row r="164">
      <c r="A164" s="94" t="n">
        <v>37295</v>
      </c>
      <c r="B164" t="n">
        <v>796924</v>
      </c>
    </row>
    <row r="165">
      <c r="A165" s="94" t="n">
        <v>37302</v>
      </c>
      <c r="B165" t="n">
        <v>796794</v>
      </c>
    </row>
    <row r="166">
      <c r="A166" s="94" t="n">
        <v>37309</v>
      </c>
      <c r="B166" t="n">
        <v>777402</v>
      </c>
    </row>
    <row r="167">
      <c r="A167" s="94" t="n">
        <v>37316</v>
      </c>
      <c r="B167" t="n">
        <v>790171</v>
      </c>
    </row>
    <row r="168">
      <c r="A168" s="94" t="n">
        <v>37323</v>
      </c>
      <c r="B168" t="n">
        <v>786325</v>
      </c>
    </row>
    <row r="169">
      <c r="A169" s="94" t="n">
        <v>37330</v>
      </c>
      <c r="B169" t="n">
        <v>778974</v>
      </c>
    </row>
    <row r="170">
      <c r="A170" s="94" t="n">
        <v>37337</v>
      </c>
      <c r="B170" t="n">
        <v>781840</v>
      </c>
    </row>
    <row r="171">
      <c r="A171" s="94" t="n">
        <v>37344</v>
      </c>
      <c r="B171" t="n">
        <v>814901</v>
      </c>
    </row>
    <row r="172">
      <c r="A172" s="94" t="n">
        <v>37351</v>
      </c>
      <c r="B172" t="n">
        <v>800142</v>
      </c>
    </row>
    <row r="173">
      <c r="A173" s="94" t="n">
        <v>37358</v>
      </c>
      <c r="B173" t="n">
        <v>782916</v>
      </c>
    </row>
    <row r="174">
      <c r="A174" s="94" t="n">
        <v>37365</v>
      </c>
      <c r="B174" t="n">
        <v>778804</v>
      </c>
    </row>
    <row r="175">
      <c r="A175" s="94" t="n">
        <v>37372</v>
      </c>
      <c r="B175" t="n">
        <v>788835</v>
      </c>
    </row>
    <row r="176">
      <c r="A176" s="94" t="n">
        <v>37379</v>
      </c>
      <c r="B176" t="n">
        <v>783833</v>
      </c>
    </row>
    <row r="177">
      <c r="A177" s="94" t="n">
        <v>37386</v>
      </c>
      <c r="B177" t="n">
        <v>791617</v>
      </c>
    </row>
    <row r="178">
      <c r="A178" s="94" t="n">
        <v>37393</v>
      </c>
      <c r="B178" t="n">
        <v>785510</v>
      </c>
    </row>
    <row r="179">
      <c r="A179" s="94" t="n">
        <v>37400</v>
      </c>
      <c r="B179" t="n">
        <v>788812</v>
      </c>
    </row>
    <row r="180">
      <c r="A180" s="94" t="n">
        <v>37407</v>
      </c>
      <c r="B180" t="n">
        <v>793333</v>
      </c>
    </row>
    <row r="181">
      <c r="A181" s="94" t="n">
        <v>37414</v>
      </c>
      <c r="B181" t="n">
        <v>788433</v>
      </c>
    </row>
    <row r="182">
      <c r="A182" s="94" t="n">
        <v>37421</v>
      </c>
      <c r="B182" t="n">
        <v>783564</v>
      </c>
    </row>
    <row r="183">
      <c r="A183" s="94" t="n">
        <v>37428</v>
      </c>
      <c r="B183" t="n">
        <v>793674</v>
      </c>
    </row>
    <row r="184">
      <c r="A184" s="94" t="n">
        <v>37435</v>
      </c>
      <c r="B184" t="n">
        <v>780845</v>
      </c>
    </row>
    <row r="185">
      <c r="A185" s="94" t="n">
        <v>37442</v>
      </c>
      <c r="B185" t="n">
        <v>764716</v>
      </c>
    </row>
    <row r="186">
      <c r="A186" s="94" t="n">
        <v>37449</v>
      </c>
      <c r="B186" t="n">
        <v>765635</v>
      </c>
    </row>
    <row r="187">
      <c r="A187" s="94" t="n">
        <v>37456</v>
      </c>
      <c r="B187" t="n">
        <v>775995</v>
      </c>
    </row>
    <row r="188">
      <c r="A188" s="94" t="n">
        <v>37463</v>
      </c>
      <c r="B188" t="n">
        <v>783540</v>
      </c>
    </row>
    <row r="189">
      <c r="A189" s="94" t="n">
        <v>37470</v>
      </c>
      <c r="B189" t="n">
        <v>771591</v>
      </c>
    </row>
    <row r="190">
      <c r="A190" s="94" t="n">
        <v>37477</v>
      </c>
      <c r="B190" t="n">
        <v>768630</v>
      </c>
    </row>
    <row r="191">
      <c r="A191" s="94" t="n">
        <v>37484</v>
      </c>
      <c r="B191" t="n">
        <v>763509</v>
      </c>
    </row>
    <row r="192">
      <c r="A192" s="94" t="n">
        <v>37491</v>
      </c>
      <c r="B192" t="n">
        <v>764092</v>
      </c>
    </row>
    <row r="193">
      <c r="A193" s="94" t="n">
        <v>37498</v>
      </c>
      <c r="B193" t="n">
        <v>770838</v>
      </c>
    </row>
    <row r="194">
      <c r="A194" s="94" t="n">
        <v>37505</v>
      </c>
      <c r="B194" t="n">
        <v>765573</v>
      </c>
    </row>
    <row r="195">
      <c r="A195" s="94" t="n">
        <v>37512</v>
      </c>
      <c r="B195" t="n">
        <v>762139</v>
      </c>
    </row>
    <row r="196">
      <c r="A196" s="94" t="n">
        <v>37519</v>
      </c>
      <c r="B196" t="n">
        <v>772638</v>
      </c>
    </row>
    <row r="197">
      <c r="A197" s="94" t="n">
        <v>37526</v>
      </c>
      <c r="B197" t="n">
        <v>772822</v>
      </c>
    </row>
    <row r="198">
      <c r="A198" s="94" t="n">
        <v>37533</v>
      </c>
      <c r="B198" t="n">
        <v>778337</v>
      </c>
    </row>
    <row r="199">
      <c r="A199" s="94" t="n">
        <v>37540</v>
      </c>
      <c r="B199" t="n">
        <v>778706</v>
      </c>
    </row>
    <row r="200">
      <c r="A200" s="94" t="n">
        <v>37547</v>
      </c>
      <c r="B200" t="n">
        <v>774314</v>
      </c>
    </row>
    <row r="201">
      <c r="A201" s="94" t="n">
        <v>37554</v>
      </c>
      <c r="B201" t="n">
        <v>798028</v>
      </c>
    </row>
    <row r="202">
      <c r="A202" s="94" t="n">
        <v>37561</v>
      </c>
      <c r="B202" t="n">
        <v>779659</v>
      </c>
    </row>
    <row r="203">
      <c r="A203" s="94" t="n">
        <v>37568</v>
      </c>
      <c r="B203" t="n">
        <v>777495</v>
      </c>
    </row>
    <row r="204">
      <c r="A204" s="94" t="n">
        <v>37575</v>
      </c>
      <c r="B204" t="n">
        <v>773332</v>
      </c>
    </row>
    <row r="205">
      <c r="A205" s="94" t="n">
        <v>37582</v>
      </c>
      <c r="B205" t="n">
        <v>788667</v>
      </c>
    </row>
    <row r="206">
      <c r="A206" s="94" t="n">
        <v>37589</v>
      </c>
      <c r="B206" t="n">
        <v>796464</v>
      </c>
    </row>
    <row r="207">
      <c r="A207" s="94" t="n">
        <v>37596</v>
      </c>
      <c r="B207" t="n">
        <v>812706</v>
      </c>
    </row>
    <row r="208">
      <c r="A208" s="94" t="n">
        <v>37603</v>
      </c>
      <c r="B208" t="n">
        <v>818720</v>
      </c>
    </row>
    <row r="209">
      <c r="A209" s="94" t="n">
        <v>37610</v>
      </c>
      <c r="B209" t="n">
        <v>820448</v>
      </c>
    </row>
    <row r="210">
      <c r="A210" s="94" t="n">
        <v>37617</v>
      </c>
      <c r="B210" t="n">
        <v>832558</v>
      </c>
    </row>
    <row r="211">
      <c r="A211" s="94" t="n">
        <v>37624</v>
      </c>
      <c r="B211" t="n">
        <v>794992</v>
      </c>
    </row>
    <row r="212">
      <c r="A212" s="94" t="n">
        <v>37631</v>
      </c>
      <c r="B212" t="n">
        <v>786619</v>
      </c>
    </row>
    <row r="213">
      <c r="A213" s="94" t="n">
        <v>37638</v>
      </c>
      <c r="B213" t="n">
        <v>773267</v>
      </c>
    </row>
    <row r="214">
      <c r="A214" s="94" t="n">
        <v>37645</v>
      </c>
      <c r="B214" t="n">
        <v>778863</v>
      </c>
    </row>
    <row r="215">
      <c r="A215" s="94" t="n">
        <v>37652</v>
      </c>
      <c r="B215" t="n">
        <v>786730</v>
      </c>
    </row>
    <row r="216">
      <c r="A216" s="94" t="n">
        <v>37659</v>
      </c>
      <c r="B216" t="n">
        <v>782044</v>
      </c>
    </row>
    <row r="217">
      <c r="A217" s="94" t="n">
        <v>37666</v>
      </c>
      <c r="B217" t="n">
        <v>775370</v>
      </c>
    </row>
    <row r="218">
      <c r="A218" s="94" t="n">
        <v>37673</v>
      </c>
      <c r="B218" t="n">
        <v>784809</v>
      </c>
    </row>
    <row r="219">
      <c r="A219" s="94" t="n">
        <v>37680</v>
      </c>
      <c r="B219" t="n">
        <v>790649</v>
      </c>
    </row>
    <row r="220">
      <c r="A220" s="94" t="n">
        <v>37687</v>
      </c>
      <c r="B220" t="n">
        <v>749960</v>
      </c>
    </row>
    <row r="221">
      <c r="A221" s="94" t="n">
        <v>37694</v>
      </c>
      <c r="B221" t="n">
        <v>838923</v>
      </c>
    </row>
    <row r="222">
      <c r="A222" s="94" t="n">
        <v>37701</v>
      </c>
      <c r="B222" t="n">
        <v>802273</v>
      </c>
    </row>
    <row r="223">
      <c r="A223" s="94" t="n">
        <v>37708</v>
      </c>
      <c r="B223" t="n">
        <v>798674</v>
      </c>
    </row>
    <row r="224">
      <c r="A224" s="94" t="n">
        <v>37715</v>
      </c>
      <c r="B224" t="n">
        <v>774429</v>
      </c>
    </row>
    <row r="225">
      <c r="A225" s="94" t="n">
        <v>37722</v>
      </c>
      <c r="B225" t="n">
        <v>770550</v>
      </c>
    </row>
    <row r="226">
      <c r="A226" s="94" t="n">
        <v>37729</v>
      </c>
      <c r="B226" t="n">
        <v>776461</v>
      </c>
    </row>
    <row r="227">
      <c r="A227" s="94" t="n">
        <v>37736</v>
      </c>
      <c r="B227" t="n">
        <v>800643</v>
      </c>
    </row>
    <row r="228">
      <c r="A228" s="94" t="n">
        <v>37743</v>
      </c>
      <c r="B228" t="n">
        <v>760351</v>
      </c>
    </row>
    <row r="229">
      <c r="A229" s="94" t="n">
        <v>37750</v>
      </c>
      <c r="B229" t="n">
        <v>765135</v>
      </c>
    </row>
    <row r="230">
      <c r="A230" s="94" t="n">
        <v>37757</v>
      </c>
      <c r="B230" t="n">
        <v>771868</v>
      </c>
    </row>
    <row r="231">
      <c r="A231" s="94" t="n">
        <v>37764</v>
      </c>
      <c r="B231" t="n">
        <v>793894</v>
      </c>
    </row>
    <row r="232">
      <c r="A232" s="94" t="n">
        <v>37771</v>
      </c>
      <c r="B232" t="n">
        <v>801435</v>
      </c>
    </row>
    <row r="233">
      <c r="A233" s="94" t="n">
        <v>37778</v>
      </c>
      <c r="B233" t="n">
        <v>777056</v>
      </c>
    </row>
    <row r="234">
      <c r="A234" s="94" t="n">
        <v>37785</v>
      </c>
      <c r="B234" t="n">
        <v>801670</v>
      </c>
    </row>
    <row r="235">
      <c r="A235" s="94" t="n">
        <v>37792</v>
      </c>
      <c r="B235" t="n">
        <v>791707</v>
      </c>
    </row>
    <row r="236">
      <c r="A236" s="94" t="n">
        <v>37799</v>
      </c>
      <c r="B236" t="n">
        <v>813568</v>
      </c>
    </row>
    <row r="237">
      <c r="A237" s="94" t="n">
        <v>37806</v>
      </c>
      <c r="B237" t="n">
        <v>802107</v>
      </c>
    </row>
    <row r="238">
      <c r="A238" s="94" t="n">
        <v>37813</v>
      </c>
      <c r="B238" t="n">
        <v>797996</v>
      </c>
    </row>
    <row r="239">
      <c r="A239" s="94" t="n">
        <v>37820</v>
      </c>
      <c r="B239" t="n">
        <v>795274</v>
      </c>
    </row>
    <row r="240">
      <c r="A240" s="94" t="n">
        <v>37827</v>
      </c>
      <c r="B240" t="n">
        <v>828475</v>
      </c>
    </row>
    <row r="241">
      <c r="A241" s="94" t="n">
        <v>37834</v>
      </c>
      <c r="B241" t="n">
        <v>802942</v>
      </c>
    </row>
    <row r="242">
      <c r="A242" s="94" t="n">
        <v>37841</v>
      </c>
      <c r="B242" t="n">
        <v>812583</v>
      </c>
    </row>
    <row r="243">
      <c r="A243" s="94" t="n">
        <v>37848</v>
      </c>
      <c r="B243" t="n">
        <v>798392</v>
      </c>
    </row>
    <row r="244">
      <c r="A244" s="94" t="n">
        <v>37855</v>
      </c>
      <c r="B244" t="n">
        <v>800214</v>
      </c>
    </row>
    <row r="245">
      <c r="A245" s="94" t="n">
        <v>37862</v>
      </c>
      <c r="B245" t="n">
        <v>814810</v>
      </c>
    </row>
    <row r="246">
      <c r="A246" s="94" t="n">
        <v>37869</v>
      </c>
      <c r="B246" t="n">
        <v>809501</v>
      </c>
    </row>
    <row r="247">
      <c r="A247" s="94" t="n">
        <v>37876</v>
      </c>
      <c r="B247" t="n">
        <v>804358</v>
      </c>
    </row>
    <row r="248">
      <c r="A248" s="94" t="n">
        <v>37883</v>
      </c>
      <c r="B248" t="n">
        <v>813574</v>
      </c>
    </row>
    <row r="249">
      <c r="A249" s="94" t="n">
        <v>37890</v>
      </c>
      <c r="B249" t="n">
        <v>829239</v>
      </c>
    </row>
    <row r="250">
      <c r="A250" s="94" t="n">
        <v>37897</v>
      </c>
      <c r="B250" t="n">
        <v>813612</v>
      </c>
    </row>
    <row r="251">
      <c r="A251" s="94" t="n">
        <v>37904</v>
      </c>
      <c r="B251" t="n">
        <v>815927</v>
      </c>
    </row>
    <row r="252">
      <c r="A252" s="94" t="n">
        <v>37911</v>
      </c>
      <c r="B252" t="n">
        <v>803678</v>
      </c>
    </row>
    <row r="253">
      <c r="A253" s="94" t="n">
        <v>37918</v>
      </c>
      <c r="B253" t="n">
        <v>812517</v>
      </c>
    </row>
    <row r="254">
      <c r="A254" s="94" t="n">
        <v>37925</v>
      </c>
      <c r="B254" t="n">
        <v>818606</v>
      </c>
    </row>
    <row r="255">
      <c r="A255" s="94" t="n">
        <v>37932</v>
      </c>
      <c r="B255" t="n">
        <v>813549</v>
      </c>
    </row>
    <row r="256">
      <c r="A256" s="94" t="n">
        <v>37939</v>
      </c>
      <c r="B256" t="n">
        <v>811863</v>
      </c>
    </row>
    <row r="257">
      <c r="A257" s="94" t="n">
        <v>37946</v>
      </c>
      <c r="B257" t="n">
        <v>827063</v>
      </c>
    </row>
    <row r="258">
      <c r="A258" s="94" t="n">
        <v>37953</v>
      </c>
      <c r="B258" t="n">
        <v>833339</v>
      </c>
    </row>
    <row r="259">
      <c r="A259" s="94" t="n">
        <v>37960</v>
      </c>
      <c r="B259" t="n">
        <v>858338</v>
      </c>
    </row>
    <row r="260">
      <c r="A260" s="94" t="n">
        <v>37967</v>
      </c>
      <c r="B260" t="n">
        <v>847045</v>
      </c>
    </row>
    <row r="261">
      <c r="A261" s="94" t="n">
        <v>37974</v>
      </c>
      <c r="B261" t="n">
        <v>848705</v>
      </c>
    </row>
    <row r="262">
      <c r="A262" s="94" t="n">
        <v>37981</v>
      </c>
      <c r="B262" t="n">
        <v>835157</v>
      </c>
    </row>
    <row r="263">
      <c r="A263" s="94" t="n">
        <v>37988</v>
      </c>
      <c r="B263" t="n">
        <v>838321</v>
      </c>
    </row>
    <row r="264">
      <c r="A264" s="94" t="n">
        <v>37995</v>
      </c>
      <c r="B264" t="n">
        <v>811951</v>
      </c>
    </row>
    <row r="265">
      <c r="A265" s="94" t="n">
        <v>38002</v>
      </c>
      <c r="B265" t="n">
        <v>812604</v>
      </c>
    </row>
    <row r="266">
      <c r="A266" s="94" t="n">
        <v>38009</v>
      </c>
      <c r="B266" t="n">
        <v>823280</v>
      </c>
    </row>
    <row r="267">
      <c r="A267" s="94" t="n">
        <v>38016</v>
      </c>
      <c r="B267" t="n">
        <v>824392</v>
      </c>
    </row>
    <row r="268">
      <c r="A268" s="94" t="n">
        <v>38023</v>
      </c>
      <c r="B268" t="n">
        <v>817014</v>
      </c>
    </row>
    <row r="269">
      <c r="A269" s="94" t="n">
        <v>38030</v>
      </c>
      <c r="B269" t="n">
        <v>813160</v>
      </c>
    </row>
    <row r="270">
      <c r="A270" s="94" t="n">
        <v>38037</v>
      </c>
      <c r="B270" t="n">
        <v>816931</v>
      </c>
    </row>
    <row r="271">
      <c r="A271" s="94" t="n">
        <v>38044</v>
      </c>
      <c r="B271" t="n">
        <v>824024</v>
      </c>
    </row>
    <row r="272">
      <c r="A272" s="94" t="n">
        <v>38051</v>
      </c>
      <c r="B272" t="n">
        <v>826792</v>
      </c>
    </row>
    <row r="273">
      <c r="A273" s="94" t="n">
        <v>38058</v>
      </c>
      <c r="B273" t="n">
        <v>819689</v>
      </c>
    </row>
    <row r="274">
      <c r="A274" s="94" t="n">
        <v>38065</v>
      </c>
      <c r="B274" t="n">
        <v>822845</v>
      </c>
    </row>
    <row r="275">
      <c r="A275" s="94" t="n">
        <v>38072</v>
      </c>
      <c r="B275" t="n">
        <v>830349</v>
      </c>
    </row>
    <row r="276">
      <c r="A276" s="94" t="n">
        <v>38079</v>
      </c>
      <c r="B276" t="n">
        <v>847083</v>
      </c>
    </row>
    <row r="277">
      <c r="A277" s="94" t="n">
        <v>38086</v>
      </c>
      <c r="B277" t="n">
        <v>848113</v>
      </c>
    </row>
    <row r="278">
      <c r="A278" s="94" t="n">
        <v>38093</v>
      </c>
      <c r="B278" t="n">
        <v>835256</v>
      </c>
    </row>
    <row r="279">
      <c r="A279" s="94" t="n">
        <v>38100</v>
      </c>
      <c r="B279" t="n">
        <v>842718</v>
      </c>
    </row>
    <row r="280">
      <c r="A280" s="94" t="n">
        <v>38107</v>
      </c>
      <c r="B280" t="n">
        <v>853538</v>
      </c>
    </row>
    <row r="281">
      <c r="A281" s="94" t="n">
        <v>38114</v>
      </c>
      <c r="B281" t="n">
        <v>846214</v>
      </c>
    </row>
    <row r="282">
      <c r="A282" s="94" t="n">
        <v>38121</v>
      </c>
      <c r="B282" t="n">
        <v>842046</v>
      </c>
    </row>
    <row r="283">
      <c r="A283" s="94" t="n">
        <v>38128</v>
      </c>
      <c r="B283" t="n">
        <v>859992</v>
      </c>
    </row>
    <row r="284">
      <c r="A284" s="94" t="n">
        <v>38135</v>
      </c>
      <c r="B284" t="n">
        <v>867250</v>
      </c>
    </row>
    <row r="285">
      <c r="A285" s="94" t="n">
        <v>38142</v>
      </c>
      <c r="B285" t="n">
        <v>870114</v>
      </c>
    </row>
    <row r="286">
      <c r="A286" s="94" t="n">
        <v>38149</v>
      </c>
      <c r="B286" t="n">
        <v>869053</v>
      </c>
    </row>
    <row r="287">
      <c r="A287" s="94" t="n">
        <v>38156</v>
      </c>
      <c r="B287" t="n">
        <v>867795</v>
      </c>
    </row>
    <row r="288">
      <c r="A288" s="94" t="n">
        <v>38163</v>
      </c>
      <c r="B288" t="n">
        <v>895838</v>
      </c>
    </row>
    <row r="289">
      <c r="A289" s="94" t="n">
        <v>38170</v>
      </c>
      <c r="B289" t="n">
        <v>882359</v>
      </c>
    </row>
    <row r="290">
      <c r="A290" s="94" t="n">
        <v>38177</v>
      </c>
      <c r="B290" t="n">
        <v>881026</v>
      </c>
    </row>
    <row r="291">
      <c r="A291" s="94" t="n">
        <v>38184</v>
      </c>
      <c r="B291" t="n">
        <v>868840</v>
      </c>
    </row>
    <row r="292">
      <c r="A292" s="94" t="n">
        <v>38191</v>
      </c>
      <c r="B292" t="n">
        <v>887631</v>
      </c>
    </row>
    <row r="293">
      <c r="A293" s="94" t="n">
        <v>38198</v>
      </c>
      <c r="B293" t="n">
        <v>883749</v>
      </c>
    </row>
    <row r="294">
      <c r="A294" s="94" t="n">
        <v>38205</v>
      </c>
      <c r="B294" t="n">
        <v>880177</v>
      </c>
    </row>
    <row r="295">
      <c r="A295" s="94" t="n">
        <v>38212</v>
      </c>
      <c r="B295" t="n">
        <v>871636</v>
      </c>
    </row>
    <row r="296">
      <c r="A296" s="94" t="n">
        <v>38219</v>
      </c>
      <c r="B296" t="n">
        <v>871976</v>
      </c>
    </row>
    <row r="297">
      <c r="A297" s="94" t="n">
        <v>38226</v>
      </c>
      <c r="B297" t="n">
        <v>881876</v>
      </c>
    </row>
    <row r="298">
      <c r="A298" s="94" t="n">
        <v>38233</v>
      </c>
      <c r="B298" t="n">
        <v>876603</v>
      </c>
    </row>
    <row r="299">
      <c r="A299" s="94" t="n">
        <v>38240</v>
      </c>
      <c r="B299" t="n">
        <v>874610</v>
      </c>
    </row>
    <row r="300">
      <c r="A300" s="94" t="n">
        <v>38247</v>
      </c>
      <c r="B300" t="n">
        <v>875248</v>
      </c>
    </row>
    <row r="301">
      <c r="A301" s="94" t="n">
        <v>38254</v>
      </c>
      <c r="B301" t="n">
        <v>885811</v>
      </c>
    </row>
    <row r="302">
      <c r="A302" s="94" t="n">
        <v>38261</v>
      </c>
      <c r="B302" t="n">
        <v>882294</v>
      </c>
    </row>
    <row r="303">
      <c r="A303" s="94" t="n">
        <v>38268</v>
      </c>
      <c r="B303" t="n">
        <v>880574</v>
      </c>
    </row>
    <row r="304">
      <c r="A304" s="94" t="n">
        <v>38275</v>
      </c>
      <c r="B304" t="n">
        <v>868406</v>
      </c>
    </row>
    <row r="305">
      <c r="A305" s="94" t="n">
        <v>38282</v>
      </c>
      <c r="B305" t="n">
        <v>875418</v>
      </c>
    </row>
    <row r="306">
      <c r="A306" s="94" t="n">
        <v>38289</v>
      </c>
      <c r="B306" t="n">
        <v>893778</v>
      </c>
    </row>
    <row r="307">
      <c r="A307" s="94" t="n">
        <v>38296</v>
      </c>
      <c r="B307" t="n">
        <v>893246</v>
      </c>
    </row>
    <row r="308">
      <c r="A308" s="94" t="n">
        <v>38303</v>
      </c>
      <c r="B308" t="n">
        <v>887079</v>
      </c>
    </row>
    <row r="309">
      <c r="A309" s="94" t="n">
        <v>38310</v>
      </c>
      <c r="B309" t="n">
        <v>893837</v>
      </c>
    </row>
    <row r="310">
      <c r="A310" s="94" t="n">
        <v>38317</v>
      </c>
      <c r="B310" t="n">
        <v>899065</v>
      </c>
    </row>
    <row r="311">
      <c r="A311" s="94" t="n">
        <v>38324</v>
      </c>
      <c r="B311" t="n">
        <v>905475</v>
      </c>
    </row>
    <row r="312">
      <c r="A312" s="94" t="n">
        <v>38331</v>
      </c>
      <c r="B312" t="n">
        <v>914229</v>
      </c>
    </row>
    <row r="313">
      <c r="A313" s="94" t="n">
        <v>38338</v>
      </c>
      <c r="B313" t="n">
        <v>909199</v>
      </c>
    </row>
    <row r="314">
      <c r="A314" s="94" t="n">
        <v>38345</v>
      </c>
      <c r="B314" t="n">
        <v>915706</v>
      </c>
    </row>
    <row r="315">
      <c r="A315" s="94" t="n">
        <v>38352</v>
      </c>
      <c r="B315" t="n">
        <v>884233</v>
      </c>
    </row>
    <row r="316">
      <c r="A316" s="94" t="n">
        <v>38359</v>
      </c>
      <c r="B316" t="n">
        <v>873637</v>
      </c>
    </row>
    <row r="317">
      <c r="A317" s="94" t="n">
        <v>38366</v>
      </c>
      <c r="B317" t="n">
        <v>881046</v>
      </c>
    </row>
    <row r="318">
      <c r="A318" s="94" t="n">
        <v>38373</v>
      </c>
      <c r="B318" t="n">
        <v>896168</v>
      </c>
    </row>
    <row r="319">
      <c r="A319" s="94" t="n">
        <v>38380</v>
      </c>
      <c r="B319" t="n">
        <v>894782</v>
      </c>
    </row>
    <row r="320">
      <c r="A320" s="94" t="n">
        <v>38387</v>
      </c>
      <c r="B320" t="n">
        <v>899472</v>
      </c>
    </row>
    <row r="321">
      <c r="A321" s="94" t="n">
        <v>38394</v>
      </c>
      <c r="B321" t="n">
        <v>897105</v>
      </c>
    </row>
    <row r="322">
      <c r="A322" s="94" t="n">
        <v>38401</v>
      </c>
      <c r="B322" t="n">
        <v>900338</v>
      </c>
    </row>
    <row r="323">
      <c r="A323" s="94" t="n">
        <v>38408</v>
      </c>
      <c r="B323" t="n">
        <v>913849</v>
      </c>
    </row>
    <row r="324">
      <c r="A324" s="94" t="n">
        <v>38415</v>
      </c>
      <c r="B324" t="n">
        <v>906928</v>
      </c>
    </row>
    <row r="325">
      <c r="A325" s="94" t="n">
        <v>38422</v>
      </c>
      <c r="B325" t="n">
        <v>905375</v>
      </c>
    </row>
    <row r="326">
      <c r="A326" s="94" t="n">
        <v>38429</v>
      </c>
      <c r="B326" t="n">
        <v>912660</v>
      </c>
    </row>
    <row r="327">
      <c r="A327" s="94" t="n">
        <v>38436</v>
      </c>
      <c r="B327" t="n">
        <v>926434</v>
      </c>
    </row>
    <row r="328">
      <c r="A328" s="94" t="n">
        <v>38443</v>
      </c>
      <c r="B328" t="n">
        <v>927154</v>
      </c>
    </row>
    <row r="329">
      <c r="A329" s="94" t="n">
        <v>38450</v>
      </c>
      <c r="B329" t="n">
        <v>927243</v>
      </c>
    </row>
    <row r="330">
      <c r="A330" s="94" t="n">
        <v>38457</v>
      </c>
      <c r="B330" t="n">
        <v>922198</v>
      </c>
    </row>
    <row r="331">
      <c r="A331" s="94" t="n">
        <v>38464</v>
      </c>
      <c r="B331" t="n">
        <v>934543</v>
      </c>
    </row>
    <row r="332">
      <c r="A332" s="94" t="n">
        <v>38471</v>
      </c>
      <c r="B332" t="n">
        <v>934479</v>
      </c>
    </row>
    <row r="333">
      <c r="A333" s="94" t="n">
        <v>38478</v>
      </c>
      <c r="B333" t="n">
        <v>927113</v>
      </c>
    </row>
    <row r="334">
      <c r="A334" s="94" t="n">
        <v>38485</v>
      </c>
      <c r="B334" t="n">
        <v>922942</v>
      </c>
    </row>
    <row r="335">
      <c r="A335" s="94" t="n">
        <v>38492</v>
      </c>
      <c r="B335" t="n">
        <v>929804</v>
      </c>
    </row>
    <row r="336">
      <c r="A336" s="94" t="n">
        <v>38499</v>
      </c>
      <c r="B336" t="n">
        <v>927781</v>
      </c>
    </row>
    <row r="337">
      <c r="A337" s="94" t="n">
        <v>38506</v>
      </c>
      <c r="B337" t="n">
        <v>940150</v>
      </c>
    </row>
    <row r="338">
      <c r="A338" s="94" t="n">
        <v>38513</v>
      </c>
      <c r="B338" t="n">
        <v>937965</v>
      </c>
    </row>
    <row r="339">
      <c r="A339" s="94" t="n">
        <v>38520</v>
      </c>
      <c r="B339" t="n">
        <v>940839</v>
      </c>
    </row>
    <row r="340">
      <c r="A340" s="94" t="n">
        <v>38527</v>
      </c>
      <c r="B340" t="n">
        <v>967868</v>
      </c>
    </row>
    <row r="341">
      <c r="A341" s="94" t="n">
        <v>38534</v>
      </c>
      <c r="B341" t="n">
        <v>988441</v>
      </c>
    </row>
    <row r="342">
      <c r="A342" s="94" t="n">
        <v>38541</v>
      </c>
      <c r="B342" t="n">
        <v>988731</v>
      </c>
    </row>
    <row r="343">
      <c r="A343" s="94" t="n">
        <v>38548</v>
      </c>
      <c r="B343" t="n">
        <v>979453</v>
      </c>
    </row>
    <row r="344">
      <c r="A344" s="94" t="n">
        <v>38555</v>
      </c>
      <c r="B344" t="n">
        <v>989661</v>
      </c>
    </row>
    <row r="345">
      <c r="A345" s="94" t="n">
        <v>38562</v>
      </c>
      <c r="B345" t="n">
        <v>996796</v>
      </c>
    </row>
    <row r="346">
      <c r="A346" s="94" t="n">
        <v>38569</v>
      </c>
      <c r="B346" t="n">
        <v>994865</v>
      </c>
    </row>
    <row r="347">
      <c r="A347" s="94" t="n">
        <v>38576</v>
      </c>
      <c r="B347" t="n">
        <v>987757</v>
      </c>
    </row>
    <row r="348">
      <c r="A348" s="94" t="n">
        <v>38583</v>
      </c>
      <c r="B348" t="n">
        <v>984106</v>
      </c>
    </row>
    <row r="349">
      <c r="A349" s="94" t="n">
        <v>38590</v>
      </c>
      <c r="B349" t="n">
        <v>992270</v>
      </c>
    </row>
    <row r="350">
      <c r="A350" s="94" t="n">
        <v>38597</v>
      </c>
      <c r="B350" t="n">
        <v>977000</v>
      </c>
    </row>
    <row r="351">
      <c r="A351" s="94" t="n">
        <v>38604</v>
      </c>
      <c r="B351" t="n">
        <v>978982</v>
      </c>
    </row>
    <row r="352">
      <c r="A352" s="94" t="n">
        <v>38611</v>
      </c>
      <c r="B352" t="n">
        <v>964249</v>
      </c>
    </row>
    <row r="353">
      <c r="A353" s="94" t="n">
        <v>38618</v>
      </c>
      <c r="B353" t="n">
        <v>974180</v>
      </c>
    </row>
    <row r="354">
      <c r="A354" s="94" t="n">
        <v>38625</v>
      </c>
      <c r="B354" t="n">
        <v>996044</v>
      </c>
    </row>
    <row r="355">
      <c r="A355" s="94" t="n">
        <v>38632</v>
      </c>
      <c r="B355" t="n">
        <v>990996</v>
      </c>
    </row>
    <row r="356">
      <c r="A356" s="94" t="n">
        <v>38639</v>
      </c>
      <c r="B356" t="n">
        <v>983351</v>
      </c>
    </row>
    <row r="357">
      <c r="A357" s="94" t="n">
        <v>38646</v>
      </c>
      <c r="B357" t="n">
        <v>998552</v>
      </c>
    </row>
    <row r="358">
      <c r="A358" s="94" t="n">
        <v>38653</v>
      </c>
      <c r="B358" t="n">
        <v>1003504</v>
      </c>
    </row>
    <row r="359">
      <c r="A359" s="94" t="n">
        <v>38660</v>
      </c>
      <c r="B359" t="n">
        <v>998615</v>
      </c>
    </row>
    <row r="360">
      <c r="A360" s="94" t="n">
        <v>38667</v>
      </c>
      <c r="B360" t="n">
        <v>998301</v>
      </c>
    </row>
    <row r="361">
      <c r="A361" s="94" t="n">
        <v>38674</v>
      </c>
      <c r="B361" t="n">
        <v>999149</v>
      </c>
    </row>
    <row r="362">
      <c r="A362" s="94" t="n">
        <v>38681</v>
      </c>
      <c r="B362" t="n">
        <v>1017239</v>
      </c>
    </row>
    <row r="363">
      <c r="A363" s="94" t="n">
        <v>38688</v>
      </c>
      <c r="B363" t="n">
        <v>1013538</v>
      </c>
    </row>
    <row r="364">
      <c r="A364" s="94" t="n">
        <v>38695</v>
      </c>
      <c r="B364" t="n">
        <v>1041792</v>
      </c>
    </row>
    <row r="365">
      <c r="A365" s="94" t="n">
        <v>38702</v>
      </c>
      <c r="B365" t="n">
        <v>1016943</v>
      </c>
    </row>
    <row r="366">
      <c r="A366" s="94" t="n">
        <v>38709</v>
      </c>
      <c r="B366" t="n">
        <v>1019749</v>
      </c>
    </row>
    <row r="367">
      <c r="A367" s="94" t="n">
        <v>38716</v>
      </c>
      <c r="B367" t="n">
        <v>1038152</v>
      </c>
    </row>
    <row r="368">
      <c r="A368" s="94" t="n">
        <v>38723</v>
      </c>
      <c r="B368" t="n">
        <v>1038614</v>
      </c>
    </row>
    <row r="369">
      <c r="A369" s="94" t="n">
        <v>38730</v>
      </c>
      <c r="B369" t="n">
        <v>1033258</v>
      </c>
    </row>
    <row r="370">
      <c r="A370" s="94" t="n">
        <v>38737</v>
      </c>
      <c r="B370" t="n">
        <v>1051180</v>
      </c>
    </row>
    <row r="371">
      <c r="A371" s="94" t="n">
        <v>38744</v>
      </c>
      <c r="B371" t="n">
        <v>1055186</v>
      </c>
    </row>
    <row r="372">
      <c r="A372" s="94" t="n">
        <v>38751</v>
      </c>
      <c r="B372" t="n">
        <v>1030373</v>
      </c>
    </row>
    <row r="373">
      <c r="A373" s="94" t="n">
        <v>38758</v>
      </c>
      <c r="B373" t="n">
        <v>1035376</v>
      </c>
    </row>
    <row r="374">
      <c r="A374" s="94" t="n">
        <v>38765</v>
      </c>
      <c r="B374" t="n">
        <v>1039333</v>
      </c>
    </row>
    <row r="375">
      <c r="A375" s="94" t="n">
        <v>38772</v>
      </c>
      <c r="B375" t="n">
        <v>1062732</v>
      </c>
    </row>
    <row r="376">
      <c r="A376" s="94" t="n">
        <v>38779</v>
      </c>
      <c r="B376" t="n">
        <v>1055765</v>
      </c>
    </row>
    <row r="377">
      <c r="A377" s="94" t="n">
        <v>38786</v>
      </c>
      <c r="B377" t="n">
        <v>1052256</v>
      </c>
    </row>
    <row r="378">
      <c r="A378" s="94" t="n">
        <v>38793</v>
      </c>
      <c r="B378" t="n">
        <v>1043998</v>
      </c>
    </row>
    <row r="379">
      <c r="A379" s="94" t="n">
        <v>38800</v>
      </c>
      <c r="B379" t="n">
        <v>1056127</v>
      </c>
    </row>
    <row r="380">
      <c r="A380" s="94" t="n">
        <v>38807</v>
      </c>
      <c r="B380" t="n">
        <v>1067477</v>
      </c>
    </row>
    <row r="381">
      <c r="A381" s="94" t="n">
        <v>38814</v>
      </c>
      <c r="B381" t="n">
        <v>1067024</v>
      </c>
    </row>
    <row r="382">
      <c r="A382" s="94" t="n">
        <v>38821</v>
      </c>
      <c r="B382" t="n">
        <v>1075146</v>
      </c>
    </row>
    <row r="383">
      <c r="A383" s="94" t="n">
        <v>38828</v>
      </c>
      <c r="B383" t="n">
        <v>1084807</v>
      </c>
    </row>
    <row r="384">
      <c r="A384" s="94" t="n">
        <v>38835</v>
      </c>
      <c r="B384" t="n">
        <v>1080389</v>
      </c>
    </row>
    <row r="385">
      <c r="A385" s="94" t="n">
        <v>38842</v>
      </c>
      <c r="B385" t="n">
        <v>1079264</v>
      </c>
    </row>
    <row r="386">
      <c r="A386" s="94" t="n">
        <v>38849</v>
      </c>
      <c r="B386" t="n">
        <v>1075694</v>
      </c>
    </row>
    <row r="387">
      <c r="A387" s="94" t="n">
        <v>38856</v>
      </c>
      <c r="B387" t="n">
        <v>1076409</v>
      </c>
    </row>
    <row r="388">
      <c r="A388" s="94" t="n">
        <v>38863</v>
      </c>
      <c r="B388" t="n">
        <v>1084094</v>
      </c>
    </row>
    <row r="389">
      <c r="A389" s="94" t="n">
        <v>38870</v>
      </c>
      <c r="B389" t="n">
        <v>1084486</v>
      </c>
    </row>
    <row r="390">
      <c r="A390" s="94" t="n">
        <v>38877</v>
      </c>
      <c r="B390" t="n">
        <v>1080532</v>
      </c>
    </row>
    <row r="391">
      <c r="A391" s="94" t="n">
        <v>38884</v>
      </c>
      <c r="B391" t="n">
        <v>1087256</v>
      </c>
    </row>
    <row r="392">
      <c r="A392" s="94" t="n">
        <v>38891</v>
      </c>
      <c r="B392" t="n">
        <v>1112518</v>
      </c>
    </row>
    <row r="393">
      <c r="A393" s="94" t="n">
        <v>38898</v>
      </c>
      <c r="B393" t="n">
        <v>1112770</v>
      </c>
    </row>
    <row r="394">
      <c r="A394" s="94" t="n">
        <v>38905</v>
      </c>
      <c r="B394" t="n">
        <v>1111397</v>
      </c>
    </row>
    <row r="395">
      <c r="A395" s="94" t="n">
        <v>38912</v>
      </c>
      <c r="B395" t="n">
        <v>1107838</v>
      </c>
    </row>
    <row r="396">
      <c r="A396" s="94" t="n">
        <v>38919</v>
      </c>
      <c r="B396" t="n">
        <v>1125154</v>
      </c>
    </row>
    <row r="397">
      <c r="A397" s="94" t="n">
        <v>38926</v>
      </c>
      <c r="B397" t="n">
        <v>1128285</v>
      </c>
    </row>
    <row r="398">
      <c r="A398" s="94" t="n">
        <v>38933</v>
      </c>
      <c r="B398" t="n">
        <v>1114627</v>
      </c>
    </row>
    <row r="399">
      <c r="A399" s="94" t="n">
        <v>38940</v>
      </c>
      <c r="B399" t="n">
        <v>1112702</v>
      </c>
    </row>
    <row r="400">
      <c r="A400" s="94" t="n">
        <v>38947</v>
      </c>
      <c r="B400" t="n">
        <v>1103912</v>
      </c>
    </row>
    <row r="401">
      <c r="A401" s="94" t="n">
        <v>38954</v>
      </c>
      <c r="B401" t="n">
        <v>1113025</v>
      </c>
    </row>
    <row r="402">
      <c r="A402" s="94" t="n">
        <v>38961</v>
      </c>
      <c r="B402" t="n">
        <v>1107252</v>
      </c>
    </row>
    <row r="403">
      <c r="A403" s="94" t="n">
        <v>38968</v>
      </c>
      <c r="B403" t="n">
        <v>1105398</v>
      </c>
    </row>
    <row r="404">
      <c r="A404" s="94" t="n">
        <v>38975</v>
      </c>
      <c r="B404" t="n">
        <v>1102153</v>
      </c>
    </row>
    <row r="405">
      <c r="A405" s="94" t="n">
        <v>38982</v>
      </c>
      <c r="B405" t="n">
        <v>1112530</v>
      </c>
    </row>
    <row r="406">
      <c r="A406" s="94" t="n">
        <v>38989</v>
      </c>
      <c r="B406" t="n">
        <v>1118315</v>
      </c>
    </row>
    <row r="407">
      <c r="A407" s="94" t="n">
        <v>38996</v>
      </c>
      <c r="B407" t="n">
        <v>1114603</v>
      </c>
    </row>
    <row r="408">
      <c r="A408" s="94" t="n">
        <v>39003</v>
      </c>
      <c r="B408" t="n">
        <v>1110166</v>
      </c>
    </row>
    <row r="409">
      <c r="A409" s="94" t="n">
        <v>39010</v>
      </c>
      <c r="B409" t="n">
        <v>1121281</v>
      </c>
    </row>
    <row r="410">
      <c r="A410" s="94" t="n">
        <v>39017</v>
      </c>
      <c r="B410" t="n">
        <v>1118736</v>
      </c>
    </row>
    <row r="411">
      <c r="A411" s="94" t="n">
        <v>39024</v>
      </c>
      <c r="B411" t="n">
        <v>1113170</v>
      </c>
    </row>
    <row r="412">
      <c r="A412" s="94" t="n">
        <v>39031</v>
      </c>
      <c r="B412" t="n">
        <v>1112832</v>
      </c>
    </row>
    <row r="413">
      <c r="A413" s="94" t="n">
        <v>39038</v>
      </c>
      <c r="B413" t="n">
        <v>1113236</v>
      </c>
    </row>
    <row r="414">
      <c r="A414" s="94" t="n">
        <v>39045</v>
      </c>
      <c r="B414" t="n">
        <v>1133314</v>
      </c>
    </row>
    <row r="415">
      <c r="A415" s="94" t="n">
        <v>39052</v>
      </c>
      <c r="B415" t="n">
        <v>1126144</v>
      </c>
    </row>
    <row r="416">
      <c r="A416" s="94" t="n">
        <v>39059</v>
      </c>
      <c r="B416" t="n">
        <v>1146252</v>
      </c>
    </row>
    <row r="417">
      <c r="A417" s="94" t="n">
        <v>39066</v>
      </c>
      <c r="B417" t="n">
        <v>1138254</v>
      </c>
    </row>
    <row r="418">
      <c r="A418" s="94" t="n">
        <v>39073</v>
      </c>
      <c r="B418" t="n">
        <v>1142321</v>
      </c>
    </row>
    <row r="419">
      <c r="A419" s="94" t="n">
        <v>39080</v>
      </c>
      <c r="B419" t="n">
        <v>1150980</v>
      </c>
    </row>
    <row r="420">
      <c r="A420" s="94" t="n">
        <v>39087</v>
      </c>
      <c r="B420" t="n">
        <v>1154416</v>
      </c>
    </row>
    <row r="421">
      <c r="A421" s="94" t="n">
        <v>39094</v>
      </c>
      <c r="B421" t="n">
        <v>1138300</v>
      </c>
    </row>
    <row r="422">
      <c r="A422" s="94" t="n">
        <v>39101</v>
      </c>
      <c r="B422" t="n">
        <v>1141226</v>
      </c>
    </row>
    <row r="423">
      <c r="A423" s="94" t="n">
        <v>39108</v>
      </c>
      <c r="B423" t="n">
        <v>1148148</v>
      </c>
    </row>
    <row r="424">
      <c r="A424" s="94" t="n">
        <v>39115</v>
      </c>
      <c r="B424" t="n">
        <v>1136671</v>
      </c>
    </row>
    <row r="425">
      <c r="A425" s="94" t="n">
        <v>39122</v>
      </c>
      <c r="B425" t="n">
        <v>1127196</v>
      </c>
    </row>
    <row r="426">
      <c r="A426" s="94" t="n">
        <v>39129</v>
      </c>
      <c r="B426" t="n">
        <v>1135090</v>
      </c>
    </row>
    <row r="427">
      <c r="A427" s="94" t="n">
        <v>39136</v>
      </c>
      <c r="B427" t="n">
        <v>1150396</v>
      </c>
    </row>
    <row r="428">
      <c r="A428" s="94" t="n">
        <v>39143</v>
      </c>
      <c r="B428" t="n">
        <v>1148229</v>
      </c>
    </row>
    <row r="429">
      <c r="A429" s="94" t="n">
        <v>39150</v>
      </c>
      <c r="B429" t="n">
        <v>1139826</v>
      </c>
    </row>
    <row r="430">
      <c r="A430" s="94" t="n">
        <v>39157</v>
      </c>
      <c r="B430" t="n">
        <v>1129997</v>
      </c>
    </row>
    <row r="431">
      <c r="A431" s="94" t="n">
        <v>39164</v>
      </c>
      <c r="B431" t="n">
        <v>1142656</v>
      </c>
    </row>
    <row r="432">
      <c r="A432" s="94" t="n">
        <v>39171</v>
      </c>
      <c r="B432" t="n">
        <v>1162604</v>
      </c>
    </row>
    <row r="433">
      <c r="A433" s="94" t="n">
        <v>39178</v>
      </c>
      <c r="B433" t="n">
        <v>1171420</v>
      </c>
    </row>
    <row r="434">
      <c r="A434" s="94" t="n">
        <v>39185</v>
      </c>
      <c r="B434" t="n">
        <v>1161570</v>
      </c>
    </row>
    <row r="435">
      <c r="A435" s="94" t="n">
        <v>39192</v>
      </c>
      <c r="B435" t="n">
        <v>1164245</v>
      </c>
    </row>
    <row r="436">
      <c r="A436" s="94" t="n">
        <v>39199</v>
      </c>
      <c r="B436" t="n">
        <v>1176308</v>
      </c>
    </row>
    <row r="437">
      <c r="A437" s="94" t="n">
        <v>39206</v>
      </c>
      <c r="B437" t="n">
        <v>1165355</v>
      </c>
    </row>
    <row r="438">
      <c r="A438" s="94" t="n">
        <v>39213</v>
      </c>
      <c r="B438" t="n">
        <v>1164245</v>
      </c>
    </row>
    <row r="439">
      <c r="A439" s="94" t="n">
        <v>39220</v>
      </c>
      <c r="B439" t="n">
        <v>1168993</v>
      </c>
    </row>
    <row r="440">
      <c r="A440" s="94" t="n">
        <v>39227</v>
      </c>
      <c r="B440" t="n">
        <v>1187052</v>
      </c>
    </row>
    <row r="441">
      <c r="A441" s="94" t="n">
        <v>39234</v>
      </c>
      <c r="B441" t="n">
        <v>1178439</v>
      </c>
    </row>
    <row r="442">
      <c r="A442" s="94" t="n">
        <v>39241</v>
      </c>
      <c r="B442" t="n">
        <v>1176346</v>
      </c>
    </row>
    <row r="443">
      <c r="A443" s="94" t="n">
        <v>39248</v>
      </c>
      <c r="B443" t="n">
        <v>1180260</v>
      </c>
    </row>
    <row r="444">
      <c r="A444" s="94" t="n">
        <v>39255</v>
      </c>
      <c r="B444" t="n">
        <v>1186672</v>
      </c>
    </row>
    <row r="445">
      <c r="A445" s="94" t="n">
        <v>39262</v>
      </c>
      <c r="B445" t="n">
        <v>1208453</v>
      </c>
    </row>
    <row r="446">
      <c r="A446" s="94" t="n">
        <v>39269</v>
      </c>
      <c r="B446" t="n">
        <v>1191757</v>
      </c>
    </row>
    <row r="447">
      <c r="A447" s="94" t="n">
        <v>39276</v>
      </c>
      <c r="B447" t="n">
        <v>1185364</v>
      </c>
    </row>
    <row r="448">
      <c r="A448" s="94" t="n">
        <v>39283</v>
      </c>
      <c r="B448" t="n">
        <v>1196419</v>
      </c>
    </row>
    <row r="449">
      <c r="A449" s="94" t="n">
        <v>39290</v>
      </c>
      <c r="B449" t="n">
        <v>1212584</v>
      </c>
    </row>
    <row r="450">
      <c r="A450" s="94" t="n">
        <v>39297</v>
      </c>
      <c r="B450" t="n">
        <v>1195123</v>
      </c>
    </row>
    <row r="451">
      <c r="A451" s="94" t="n">
        <v>39304</v>
      </c>
      <c r="B451" t="n">
        <v>1253098</v>
      </c>
    </row>
    <row r="452">
      <c r="A452" s="94" t="n">
        <v>39311</v>
      </c>
      <c r="B452" t="n">
        <v>1207703</v>
      </c>
    </row>
    <row r="453">
      <c r="A453" s="94" t="n">
        <v>39318</v>
      </c>
      <c r="B453" t="n">
        <v>1216884</v>
      </c>
    </row>
    <row r="454">
      <c r="A454" s="94" t="n">
        <v>39325</v>
      </c>
      <c r="B454" t="n">
        <v>1157534</v>
      </c>
    </row>
    <row r="455">
      <c r="A455" s="94" t="n">
        <v>39332</v>
      </c>
      <c r="B455" t="n">
        <v>1207383</v>
      </c>
    </row>
    <row r="456">
      <c r="A456" s="94" t="n">
        <v>39339</v>
      </c>
      <c r="B456" t="n">
        <v>1299307</v>
      </c>
    </row>
    <row r="457">
      <c r="A457" s="94" t="n">
        <v>39346</v>
      </c>
      <c r="B457" t="n">
        <v>1189583</v>
      </c>
    </row>
    <row r="458">
      <c r="A458" s="94" t="n">
        <v>39353</v>
      </c>
      <c r="B458" t="n">
        <v>1250396</v>
      </c>
    </row>
    <row r="459">
      <c r="A459" s="94" t="n">
        <v>39360</v>
      </c>
      <c r="B459" t="n">
        <v>1228352</v>
      </c>
    </row>
    <row r="460">
      <c r="A460" s="94" t="n">
        <v>39367</v>
      </c>
      <c r="B460" t="n">
        <v>1289118</v>
      </c>
    </row>
    <row r="461">
      <c r="A461" s="94" t="n">
        <v>39374</v>
      </c>
      <c r="B461" t="n">
        <v>1249327</v>
      </c>
    </row>
    <row r="462">
      <c r="A462" s="94" t="n">
        <v>39381</v>
      </c>
      <c r="B462" t="n">
        <v>1263504</v>
      </c>
    </row>
    <row r="463">
      <c r="A463" s="94" t="n">
        <v>39388</v>
      </c>
      <c r="B463" t="n">
        <v>1256261</v>
      </c>
    </row>
    <row r="464">
      <c r="A464" s="94" t="n">
        <v>39395</v>
      </c>
      <c r="B464" t="n">
        <v>1248472</v>
      </c>
    </row>
    <row r="465">
      <c r="A465" s="94" t="n">
        <v>39402</v>
      </c>
      <c r="B465" t="n">
        <v>1271761</v>
      </c>
    </row>
    <row r="466">
      <c r="A466" s="94" t="n">
        <v>39409</v>
      </c>
      <c r="B466" t="n">
        <v>1285523</v>
      </c>
    </row>
    <row r="467">
      <c r="A467" s="94" t="n">
        <v>39416</v>
      </c>
      <c r="B467" t="n">
        <v>1297266</v>
      </c>
    </row>
    <row r="468">
      <c r="A468" s="94" t="n">
        <v>39423</v>
      </c>
      <c r="B468" t="n">
        <v>1293026</v>
      </c>
    </row>
    <row r="469">
      <c r="A469" s="94" t="n">
        <v>39430</v>
      </c>
      <c r="B469" t="n">
        <v>1338418</v>
      </c>
    </row>
    <row r="470">
      <c r="A470" s="94" t="n">
        <v>39437</v>
      </c>
      <c r="B470" t="n">
        <v>1472961</v>
      </c>
    </row>
    <row r="471">
      <c r="A471" s="94" t="n">
        <v>39444</v>
      </c>
      <c r="B471" t="n">
        <v>1511244</v>
      </c>
    </row>
    <row r="472">
      <c r="A472" s="94" t="n">
        <v>39451</v>
      </c>
      <c r="B472" t="n">
        <v>1285790</v>
      </c>
    </row>
    <row r="473">
      <c r="A473" s="94" t="n">
        <v>39458</v>
      </c>
      <c r="B473" t="n">
        <v>1311062</v>
      </c>
    </row>
    <row r="474">
      <c r="A474" s="94" t="n">
        <v>39465</v>
      </c>
      <c r="B474" t="n">
        <v>1350779</v>
      </c>
    </row>
    <row r="475">
      <c r="A475" s="94" t="n">
        <v>39472</v>
      </c>
      <c r="B475" t="n">
        <v>1337542</v>
      </c>
    </row>
    <row r="476">
      <c r="A476" s="94" t="n">
        <v>39479</v>
      </c>
      <c r="B476" t="n">
        <v>1330918</v>
      </c>
    </row>
    <row r="477">
      <c r="A477" s="94" t="n">
        <v>39486</v>
      </c>
      <c r="B477" t="n">
        <v>1328292</v>
      </c>
    </row>
    <row r="478">
      <c r="A478" s="94" t="n">
        <v>39493</v>
      </c>
      <c r="B478" t="n">
        <v>1348061</v>
      </c>
    </row>
    <row r="479">
      <c r="A479" s="94" t="n">
        <v>39500</v>
      </c>
      <c r="B479" t="n">
        <v>1338874</v>
      </c>
    </row>
    <row r="480">
      <c r="A480" s="94" t="n">
        <v>39507</v>
      </c>
      <c r="B480" t="n">
        <v>1336758</v>
      </c>
    </row>
    <row r="481">
      <c r="A481" s="94" t="n">
        <v>39514</v>
      </c>
      <c r="B481" t="n">
        <v>1332977</v>
      </c>
    </row>
    <row r="482">
      <c r="A482" s="94" t="n">
        <v>39521</v>
      </c>
      <c r="B482" t="n">
        <v>1367702</v>
      </c>
    </row>
    <row r="483">
      <c r="A483" s="94" t="n">
        <v>39528</v>
      </c>
      <c r="B483" t="n">
        <v>1378930</v>
      </c>
    </row>
    <row r="484">
      <c r="A484" s="94" t="n">
        <v>39535</v>
      </c>
      <c r="B484" t="n">
        <v>1390804</v>
      </c>
    </row>
    <row r="485">
      <c r="A485" s="94" t="n">
        <v>39542</v>
      </c>
      <c r="B485" t="n">
        <v>1365793</v>
      </c>
    </row>
    <row r="486">
      <c r="A486" s="94" t="n">
        <v>39549</v>
      </c>
      <c r="B486" t="n">
        <v>1357162</v>
      </c>
    </row>
    <row r="487">
      <c r="A487" s="94" t="n">
        <v>39556</v>
      </c>
      <c r="B487" t="n">
        <v>1433190</v>
      </c>
    </row>
    <row r="488">
      <c r="A488" s="94" t="n">
        <v>39563</v>
      </c>
      <c r="B488" t="n">
        <v>1405859</v>
      </c>
    </row>
    <row r="489">
      <c r="A489" s="94" t="n">
        <v>39570</v>
      </c>
      <c r="B489" t="n">
        <v>1399774</v>
      </c>
    </row>
    <row r="490">
      <c r="A490" s="94" t="n">
        <v>39577</v>
      </c>
      <c r="B490" t="n">
        <v>1392863</v>
      </c>
    </row>
    <row r="491">
      <c r="A491" s="94" t="n">
        <v>39584</v>
      </c>
      <c r="B491" t="n">
        <v>1440879</v>
      </c>
    </row>
    <row r="492">
      <c r="A492" s="94" t="n">
        <v>39591</v>
      </c>
      <c r="B492" t="n">
        <v>1423797</v>
      </c>
    </row>
    <row r="493">
      <c r="A493" s="94" t="n">
        <v>39598</v>
      </c>
      <c r="B493" t="n">
        <v>1423245</v>
      </c>
    </row>
    <row r="494">
      <c r="A494" s="94" t="n">
        <v>39605</v>
      </c>
      <c r="B494" t="n">
        <v>1407746</v>
      </c>
    </row>
    <row r="495">
      <c r="A495" s="94" t="n">
        <v>39612</v>
      </c>
      <c r="B495" t="n">
        <v>1442612</v>
      </c>
    </row>
    <row r="496">
      <c r="A496" s="94" t="n">
        <v>39619</v>
      </c>
      <c r="B496" t="n">
        <v>1441151</v>
      </c>
    </row>
    <row r="497">
      <c r="A497" s="94" t="n">
        <v>39626</v>
      </c>
      <c r="B497" t="n">
        <v>1462710</v>
      </c>
    </row>
    <row r="498">
      <c r="A498" s="94" t="n">
        <v>39633</v>
      </c>
      <c r="B498" t="n">
        <v>1404892</v>
      </c>
    </row>
    <row r="499">
      <c r="A499" s="94" t="n">
        <v>39640</v>
      </c>
      <c r="B499" t="n">
        <v>1452177</v>
      </c>
    </row>
    <row r="500">
      <c r="A500" s="94" t="n">
        <v>39647</v>
      </c>
      <c r="B500" t="n">
        <v>1427348</v>
      </c>
    </row>
    <row r="501">
      <c r="A501" s="94" t="n">
        <v>39654</v>
      </c>
      <c r="B501" t="n">
        <v>1450899</v>
      </c>
    </row>
    <row r="502">
      <c r="A502" s="94" t="n">
        <v>39661</v>
      </c>
      <c r="B502" t="n">
        <v>1444562</v>
      </c>
    </row>
    <row r="503">
      <c r="A503" s="94" t="n">
        <v>39668</v>
      </c>
      <c r="B503" t="n">
        <v>1441639</v>
      </c>
    </row>
    <row r="504">
      <c r="A504" s="94" t="n">
        <v>39675</v>
      </c>
      <c r="B504" t="n">
        <v>1460207</v>
      </c>
    </row>
    <row r="505">
      <c r="A505" s="94" t="n">
        <v>39682</v>
      </c>
      <c r="B505" t="n">
        <v>1434957</v>
      </c>
    </row>
    <row r="506">
      <c r="A506" s="94" t="n">
        <v>39689</v>
      </c>
      <c r="B506" t="n">
        <v>1449139</v>
      </c>
    </row>
    <row r="507">
      <c r="A507" s="94" t="n">
        <v>39696</v>
      </c>
      <c r="B507" t="n">
        <v>1441019</v>
      </c>
    </row>
    <row r="508">
      <c r="A508" s="94" t="n">
        <v>39703</v>
      </c>
      <c r="B508" t="n">
        <v>1457726</v>
      </c>
    </row>
    <row r="509">
      <c r="A509" s="94" t="n">
        <v>39710</v>
      </c>
      <c r="B509" t="n">
        <v>1460585</v>
      </c>
    </row>
    <row r="510">
      <c r="A510" s="94" t="n">
        <v>39717</v>
      </c>
      <c r="B510" t="n">
        <v>1518548</v>
      </c>
    </row>
    <row r="511">
      <c r="A511" s="94" t="n">
        <v>39724</v>
      </c>
      <c r="B511" t="n">
        <v>1758697</v>
      </c>
    </row>
    <row r="512">
      <c r="A512" s="94" t="n">
        <v>39731</v>
      </c>
      <c r="B512" t="n">
        <v>1881854</v>
      </c>
    </row>
    <row r="513">
      <c r="A513" s="94" t="n">
        <v>39738</v>
      </c>
      <c r="B513" t="n">
        <v>1973084</v>
      </c>
    </row>
    <row r="514">
      <c r="A514" s="94" t="n">
        <v>39745</v>
      </c>
      <c r="B514" t="n">
        <v>1958164</v>
      </c>
    </row>
    <row r="515">
      <c r="A515" s="94" t="n">
        <v>39752</v>
      </c>
      <c r="B515" t="n">
        <v>2031447</v>
      </c>
    </row>
    <row r="516">
      <c r="A516" s="94" t="n">
        <v>39759</v>
      </c>
      <c r="B516" t="n">
        <v>1940367</v>
      </c>
    </row>
    <row r="517">
      <c r="A517" s="94" t="n">
        <v>39766</v>
      </c>
      <c r="B517" t="n">
        <v>1998720</v>
      </c>
    </row>
    <row r="518">
      <c r="A518" s="94" t="n">
        <v>39773</v>
      </c>
      <c r="B518" t="n">
        <v>1973981</v>
      </c>
    </row>
    <row r="519">
      <c r="A519" s="94" t="n">
        <v>39780</v>
      </c>
      <c r="B519" t="n">
        <v>1979051</v>
      </c>
    </row>
    <row r="520">
      <c r="A520" s="94" t="n">
        <v>39787</v>
      </c>
      <c r="B520" t="n">
        <v>2036524</v>
      </c>
    </row>
    <row r="521">
      <c r="A521" s="94" t="n">
        <v>39794</v>
      </c>
      <c r="B521" t="n">
        <v>2053837</v>
      </c>
    </row>
    <row r="522">
      <c r="A522" s="94" t="n">
        <v>39801</v>
      </c>
      <c r="B522" t="n">
        <v>2021484</v>
      </c>
    </row>
    <row r="523">
      <c r="A523" s="94" t="n">
        <v>39808</v>
      </c>
      <c r="B523" t="n">
        <v>2043465</v>
      </c>
    </row>
    <row r="524">
      <c r="A524" s="94" t="n">
        <v>39815</v>
      </c>
      <c r="B524" t="n">
        <v>2088878</v>
      </c>
    </row>
    <row r="525">
      <c r="A525" s="94" t="n">
        <v>39822</v>
      </c>
      <c r="B525" t="n">
        <v>2045566</v>
      </c>
    </row>
    <row r="526">
      <c r="A526" s="94" t="n">
        <v>39829</v>
      </c>
      <c r="B526" t="n">
        <v>2010655</v>
      </c>
    </row>
    <row r="527">
      <c r="A527" s="94" t="n">
        <v>39836</v>
      </c>
      <c r="B527" t="n">
        <v>2039799</v>
      </c>
    </row>
    <row r="528">
      <c r="A528" s="94" t="n">
        <v>39843</v>
      </c>
      <c r="B528" t="n">
        <v>1906979</v>
      </c>
    </row>
    <row r="529">
      <c r="A529" s="94" t="n">
        <v>39850</v>
      </c>
      <c r="B529" t="n">
        <v>1893796</v>
      </c>
    </row>
    <row r="530">
      <c r="A530" s="94" t="n">
        <v>39857</v>
      </c>
      <c r="B530" t="n">
        <v>1834051</v>
      </c>
    </row>
    <row r="531">
      <c r="A531" s="94" t="n">
        <v>39864</v>
      </c>
      <c r="B531" t="n">
        <v>1858375</v>
      </c>
    </row>
    <row r="532">
      <c r="A532" s="94" t="n">
        <v>39871</v>
      </c>
      <c r="B532" t="n">
        <v>1820268</v>
      </c>
    </row>
    <row r="533">
      <c r="A533" s="94" t="n">
        <v>39878</v>
      </c>
      <c r="B533" t="n">
        <v>1840819</v>
      </c>
    </row>
    <row r="534">
      <c r="A534" s="94" t="n">
        <v>39885</v>
      </c>
      <c r="B534" t="n">
        <v>1829433</v>
      </c>
    </row>
    <row r="535">
      <c r="A535" s="94" t="n">
        <v>39892</v>
      </c>
      <c r="B535" t="n">
        <v>1822548</v>
      </c>
    </row>
    <row r="536">
      <c r="A536" s="94" t="n">
        <v>39899</v>
      </c>
      <c r="B536" t="n">
        <v>1803083</v>
      </c>
    </row>
    <row r="537">
      <c r="A537" s="94" t="n">
        <v>39906</v>
      </c>
      <c r="B537" t="n">
        <v>1836384</v>
      </c>
    </row>
    <row r="538">
      <c r="A538" s="94" t="n">
        <v>39913</v>
      </c>
      <c r="B538" t="n">
        <v>1827798</v>
      </c>
    </row>
    <row r="539">
      <c r="A539" s="94" t="n">
        <v>39920</v>
      </c>
      <c r="B539" t="n">
        <v>1840083</v>
      </c>
    </row>
    <row r="540">
      <c r="A540" s="94" t="n">
        <v>39927</v>
      </c>
      <c r="B540" t="n">
        <v>1823963</v>
      </c>
    </row>
    <row r="541">
      <c r="A541" s="94" t="n">
        <v>39934</v>
      </c>
      <c r="B541" t="n">
        <v>1799225</v>
      </c>
    </row>
    <row r="542">
      <c r="A542" s="94" t="n">
        <v>39941</v>
      </c>
      <c r="B542" t="n">
        <v>1795099</v>
      </c>
    </row>
    <row r="543">
      <c r="A543" s="94" t="n">
        <v>39948</v>
      </c>
      <c r="B543" t="n">
        <v>1764158</v>
      </c>
    </row>
    <row r="544">
      <c r="A544" s="94" t="n">
        <v>39955</v>
      </c>
      <c r="B544" t="n">
        <v>1736870</v>
      </c>
    </row>
    <row r="545">
      <c r="A545" s="94" t="n">
        <v>39962</v>
      </c>
      <c r="B545" t="n">
        <v>1799610</v>
      </c>
    </row>
    <row r="546">
      <c r="A546" s="94" t="n">
        <v>39969</v>
      </c>
      <c r="B546" t="n">
        <v>1747838</v>
      </c>
    </row>
    <row r="547">
      <c r="A547" s="94" t="n">
        <v>39976</v>
      </c>
      <c r="B547" t="n">
        <v>1726624</v>
      </c>
    </row>
    <row r="548">
      <c r="A548" s="94" t="n">
        <v>39983</v>
      </c>
      <c r="B548" t="n">
        <v>1719718</v>
      </c>
    </row>
    <row r="549">
      <c r="A549" s="94" t="n">
        <v>39990</v>
      </c>
      <c r="B549" t="n">
        <v>1997319</v>
      </c>
    </row>
    <row r="550">
      <c r="A550" s="94" t="n">
        <v>39997</v>
      </c>
      <c r="B550" t="n">
        <v>1911628</v>
      </c>
    </row>
    <row r="551">
      <c r="A551" s="94" t="n">
        <v>40004</v>
      </c>
      <c r="B551" t="n">
        <v>1888909</v>
      </c>
    </row>
    <row r="552">
      <c r="A552" s="94" t="n">
        <v>40011</v>
      </c>
      <c r="B552" t="n">
        <v>1875712</v>
      </c>
    </row>
    <row r="553">
      <c r="A553" s="94" t="n">
        <v>40018</v>
      </c>
      <c r="B553" t="n">
        <v>1867848</v>
      </c>
    </row>
    <row r="554">
      <c r="A554" s="94" t="n">
        <v>40025</v>
      </c>
      <c r="B554" t="n">
        <v>1854093</v>
      </c>
    </row>
    <row r="555">
      <c r="A555" s="94" t="n">
        <v>40032</v>
      </c>
      <c r="B555" t="n">
        <v>1835895</v>
      </c>
    </row>
    <row r="556">
      <c r="A556" s="94" t="n">
        <v>40039</v>
      </c>
      <c r="B556" t="n">
        <v>1801757</v>
      </c>
    </row>
    <row r="557">
      <c r="A557" s="94" t="n">
        <v>40046</v>
      </c>
      <c r="B557" t="n">
        <v>1798364</v>
      </c>
    </row>
    <row r="558">
      <c r="A558" s="94" t="n">
        <v>40053</v>
      </c>
      <c r="B558" t="n">
        <v>1821371</v>
      </c>
    </row>
    <row r="559">
      <c r="A559" s="94" t="n">
        <v>40060</v>
      </c>
      <c r="B559" t="n">
        <v>1819488</v>
      </c>
    </row>
    <row r="560">
      <c r="A560" s="94" t="n">
        <v>40067</v>
      </c>
      <c r="B560" t="n">
        <v>1802473</v>
      </c>
    </row>
    <row r="561">
      <c r="A561" s="94" t="n">
        <v>40074</v>
      </c>
      <c r="B561" t="n">
        <v>1792972</v>
      </c>
    </row>
    <row r="562">
      <c r="A562" s="94" t="n">
        <v>40081</v>
      </c>
      <c r="B562" t="n">
        <v>1790242</v>
      </c>
    </row>
    <row r="563">
      <c r="A563" s="94" t="n">
        <v>40088</v>
      </c>
      <c r="B563" t="n">
        <v>1844567</v>
      </c>
    </row>
    <row r="564">
      <c r="A564" s="94" t="n">
        <v>40095</v>
      </c>
      <c r="B564" t="n">
        <v>1802742</v>
      </c>
    </row>
    <row r="565">
      <c r="A565" s="94" t="n">
        <v>40102</v>
      </c>
      <c r="B565" t="n">
        <v>1801388</v>
      </c>
    </row>
    <row r="566">
      <c r="A566" s="94" t="n">
        <v>40109</v>
      </c>
      <c r="B566" t="n">
        <v>1786122</v>
      </c>
    </row>
    <row r="567">
      <c r="A567" s="94" t="n">
        <v>40116</v>
      </c>
      <c r="B567" t="n">
        <v>1779000</v>
      </c>
    </row>
    <row r="568">
      <c r="A568" s="94" t="n">
        <v>40123</v>
      </c>
      <c r="B568" t="n">
        <v>1773685</v>
      </c>
    </row>
    <row r="569">
      <c r="A569" s="94" t="n">
        <v>40130</v>
      </c>
      <c r="B569" t="n">
        <v>1759605</v>
      </c>
    </row>
    <row r="570">
      <c r="A570" s="94" t="n">
        <v>40137</v>
      </c>
      <c r="B570" t="n">
        <v>1761476</v>
      </c>
    </row>
    <row r="571">
      <c r="A571" s="94" t="n">
        <v>40144</v>
      </c>
      <c r="B571" t="n">
        <v>1759186</v>
      </c>
    </row>
    <row r="572">
      <c r="A572" s="94" t="n">
        <v>40151</v>
      </c>
      <c r="B572" t="n">
        <v>1759429</v>
      </c>
    </row>
    <row r="573">
      <c r="A573" s="94" t="n">
        <v>40158</v>
      </c>
      <c r="B573" t="n">
        <v>1744542</v>
      </c>
    </row>
    <row r="574">
      <c r="A574" s="94" t="n">
        <v>40165</v>
      </c>
      <c r="B574" t="n">
        <v>1842352</v>
      </c>
    </row>
    <row r="575">
      <c r="A575" s="94" t="n">
        <v>40172</v>
      </c>
      <c r="B575" t="n">
        <v>1852463</v>
      </c>
    </row>
    <row r="576">
      <c r="A576" s="94" t="n">
        <v>40179</v>
      </c>
      <c r="B576" t="n">
        <v>1904935</v>
      </c>
    </row>
    <row r="577">
      <c r="A577" s="94" t="n">
        <v>40186</v>
      </c>
      <c r="B577" t="n">
        <v>1879590</v>
      </c>
    </row>
    <row r="578">
      <c r="A578" s="94" t="n">
        <v>40193</v>
      </c>
      <c r="B578" t="n">
        <v>1870606</v>
      </c>
    </row>
    <row r="579">
      <c r="A579" s="94" t="n">
        <v>40200</v>
      </c>
      <c r="B579" t="n">
        <v>1870342</v>
      </c>
    </row>
    <row r="580">
      <c r="A580" s="94" t="n">
        <v>40207</v>
      </c>
      <c r="B580" t="n">
        <v>1877655</v>
      </c>
    </row>
    <row r="581">
      <c r="A581" s="94" t="n">
        <v>40214</v>
      </c>
      <c r="B581" t="n">
        <v>1874500</v>
      </c>
    </row>
    <row r="582">
      <c r="A582" s="94" t="n">
        <v>40221</v>
      </c>
      <c r="B582" t="n">
        <v>1874687</v>
      </c>
    </row>
    <row r="583">
      <c r="A583" s="94" t="n">
        <v>40228</v>
      </c>
      <c r="B583" t="n">
        <v>1880871</v>
      </c>
    </row>
    <row r="584">
      <c r="A584" s="94" t="n">
        <v>40235</v>
      </c>
      <c r="B584" t="n">
        <v>1889017</v>
      </c>
    </row>
    <row r="585">
      <c r="A585" s="94" t="n">
        <v>40242</v>
      </c>
      <c r="B585" t="n">
        <v>1890311</v>
      </c>
    </row>
    <row r="586">
      <c r="A586" s="94" t="n">
        <v>40249</v>
      </c>
      <c r="B586" t="n">
        <v>1886697</v>
      </c>
    </row>
    <row r="587">
      <c r="A587" s="94" t="n">
        <v>40256</v>
      </c>
      <c r="B587" t="n">
        <v>1889712</v>
      </c>
    </row>
    <row r="588">
      <c r="A588" s="94" t="n">
        <v>40263</v>
      </c>
      <c r="B588" t="n">
        <v>1894898</v>
      </c>
    </row>
    <row r="589">
      <c r="A589" s="94" t="n">
        <v>40270</v>
      </c>
      <c r="B589" t="n">
        <v>1942548</v>
      </c>
    </row>
    <row r="590">
      <c r="A590" s="94" t="n">
        <v>40277</v>
      </c>
      <c r="B590" t="n">
        <v>1936654</v>
      </c>
    </row>
    <row r="591">
      <c r="A591" s="94" t="n">
        <v>40284</v>
      </c>
      <c r="B591" t="n">
        <v>1939989</v>
      </c>
    </row>
    <row r="592">
      <c r="A592" s="94" t="n">
        <v>40291</v>
      </c>
      <c r="B592" t="n">
        <v>1943260</v>
      </c>
    </row>
    <row r="593">
      <c r="A593" s="94" t="n">
        <v>40298</v>
      </c>
      <c r="B593" t="n">
        <v>1956819</v>
      </c>
    </row>
    <row r="594">
      <c r="A594" s="94" t="n">
        <v>40305</v>
      </c>
      <c r="B594" t="n">
        <v>1983241</v>
      </c>
    </row>
    <row r="595">
      <c r="A595" s="94" t="n">
        <v>40312</v>
      </c>
      <c r="B595" t="n">
        <v>2062943</v>
      </c>
    </row>
    <row r="596">
      <c r="A596" s="94" t="n">
        <v>40319</v>
      </c>
      <c r="B596" t="n">
        <v>2069968</v>
      </c>
    </row>
    <row r="597">
      <c r="A597" s="94" t="n">
        <v>40326</v>
      </c>
      <c r="B597" t="n">
        <v>2088450</v>
      </c>
    </row>
    <row r="598">
      <c r="A598" s="94" t="n">
        <v>40333</v>
      </c>
      <c r="B598" t="n">
        <v>2098508</v>
      </c>
    </row>
    <row r="599">
      <c r="A599" s="94" t="n">
        <v>40340</v>
      </c>
      <c r="B599" t="n">
        <v>2107126</v>
      </c>
    </row>
    <row r="600">
      <c r="A600" s="94" t="n">
        <v>40347</v>
      </c>
      <c r="B600" t="n">
        <v>2124740</v>
      </c>
    </row>
    <row r="601">
      <c r="A601" s="94" t="n">
        <v>40354</v>
      </c>
      <c r="B601" t="n">
        <v>2154245</v>
      </c>
    </row>
    <row r="602">
      <c r="A602" s="94" t="n">
        <v>40361</v>
      </c>
      <c r="B602" t="n">
        <v>2049811</v>
      </c>
    </row>
    <row r="603">
      <c r="A603" s="94" t="n">
        <v>40368</v>
      </c>
      <c r="B603" t="n">
        <v>2004747</v>
      </c>
    </row>
    <row r="604">
      <c r="A604" s="94" t="n">
        <v>40375</v>
      </c>
      <c r="B604" t="n">
        <v>1986989</v>
      </c>
    </row>
    <row r="605">
      <c r="A605" s="94" t="n">
        <v>40382</v>
      </c>
      <c r="B605" t="n">
        <v>1993612</v>
      </c>
    </row>
    <row r="606">
      <c r="A606" s="94" t="n">
        <v>40389</v>
      </c>
      <c r="B606" t="n">
        <v>2001660</v>
      </c>
    </row>
    <row r="607">
      <c r="A607" s="94" t="n">
        <v>40396</v>
      </c>
      <c r="B607" t="n">
        <v>1964906</v>
      </c>
    </row>
    <row r="608">
      <c r="A608" s="94" t="n">
        <v>40403</v>
      </c>
      <c r="B608" t="n">
        <v>1953086</v>
      </c>
    </row>
    <row r="609">
      <c r="A609" s="94" t="n">
        <v>40410</v>
      </c>
      <c r="B609" t="n">
        <v>1956064</v>
      </c>
    </row>
    <row r="610">
      <c r="A610" s="94" t="n">
        <v>40417</v>
      </c>
      <c r="B610" t="n">
        <v>1957926</v>
      </c>
    </row>
    <row r="611">
      <c r="A611" s="94" t="n">
        <v>40424</v>
      </c>
      <c r="B611" t="n">
        <v>1963223</v>
      </c>
    </row>
    <row r="612">
      <c r="A612" s="94" t="n">
        <v>40431</v>
      </c>
      <c r="B612" t="n">
        <v>1973255</v>
      </c>
    </row>
    <row r="613">
      <c r="A613" s="94" t="n">
        <v>40438</v>
      </c>
      <c r="B613" t="n">
        <v>1970482</v>
      </c>
    </row>
    <row r="614">
      <c r="A614" s="94" t="n">
        <v>40445</v>
      </c>
      <c r="B614" t="n">
        <v>1971356</v>
      </c>
    </row>
    <row r="615">
      <c r="A615" s="94" t="n">
        <v>40452</v>
      </c>
      <c r="B615" t="n">
        <v>1865885</v>
      </c>
    </row>
    <row r="616">
      <c r="A616" s="94" t="n">
        <v>40459</v>
      </c>
      <c r="B616" t="n">
        <v>1867952</v>
      </c>
    </row>
    <row r="617">
      <c r="A617" s="94" t="n">
        <v>40466</v>
      </c>
      <c r="B617" t="n">
        <v>1876946</v>
      </c>
    </row>
    <row r="618">
      <c r="A618" s="94" t="n">
        <v>40473</v>
      </c>
      <c r="B618" t="n">
        <v>1877963</v>
      </c>
    </row>
    <row r="619">
      <c r="A619" s="94" t="n">
        <v>40480</v>
      </c>
      <c r="B619" t="n">
        <v>1895679</v>
      </c>
    </row>
    <row r="620">
      <c r="A620" s="94" t="n">
        <v>40487</v>
      </c>
      <c r="B620" t="n">
        <v>1886353</v>
      </c>
    </row>
    <row r="621">
      <c r="A621" s="94" t="n">
        <v>40494</v>
      </c>
      <c r="B621" t="n">
        <v>1878979</v>
      </c>
    </row>
    <row r="622">
      <c r="A622" s="94" t="n">
        <v>40501</v>
      </c>
      <c r="B622" t="n">
        <v>1888388</v>
      </c>
    </row>
    <row r="623">
      <c r="A623" s="94" t="n">
        <v>40508</v>
      </c>
      <c r="B623" t="n">
        <v>1915961</v>
      </c>
    </row>
    <row r="624">
      <c r="A624" s="94" t="n">
        <v>40515</v>
      </c>
      <c r="B624" t="n">
        <v>1924130</v>
      </c>
    </row>
    <row r="625">
      <c r="A625" s="94" t="n">
        <v>40522</v>
      </c>
      <c r="B625" t="n">
        <v>1951661</v>
      </c>
    </row>
    <row r="626">
      <c r="A626" s="94" t="n">
        <v>40529</v>
      </c>
      <c r="B626" t="n">
        <v>1945232</v>
      </c>
    </row>
    <row r="627">
      <c r="A627" s="94" t="n">
        <v>40536</v>
      </c>
      <c r="B627" t="n">
        <v>1926154</v>
      </c>
    </row>
    <row r="628">
      <c r="A628" s="94" t="n">
        <v>40543</v>
      </c>
      <c r="B628" t="n">
        <v>2004432</v>
      </c>
    </row>
    <row r="629">
      <c r="A629" s="94" t="n">
        <v>40550</v>
      </c>
      <c r="B629" t="n">
        <v>1965895</v>
      </c>
    </row>
    <row r="630">
      <c r="A630" s="94" t="n">
        <v>40557</v>
      </c>
      <c r="B630" t="n">
        <v>1957146</v>
      </c>
    </row>
    <row r="631">
      <c r="A631" s="94" t="n">
        <v>40564</v>
      </c>
      <c r="B631" t="n">
        <v>1961122</v>
      </c>
    </row>
    <row r="632">
      <c r="A632" s="94" t="n">
        <v>40571</v>
      </c>
      <c r="B632" t="n">
        <v>1965568</v>
      </c>
    </row>
    <row r="633">
      <c r="A633" s="94" t="n">
        <v>40578</v>
      </c>
      <c r="B633" t="n">
        <v>2015599</v>
      </c>
    </row>
    <row r="634">
      <c r="A634" s="94" t="n">
        <v>40585</v>
      </c>
      <c r="B634" t="n">
        <v>1956143</v>
      </c>
    </row>
    <row r="635">
      <c r="A635" s="94" t="n">
        <v>40592</v>
      </c>
      <c r="B635" t="n">
        <v>1958491</v>
      </c>
    </row>
    <row r="636">
      <c r="A636" s="94" t="n">
        <v>40599</v>
      </c>
      <c r="B636" t="n">
        <v>1952278</v>
      </c>
    </row>
    <row r="637">
      <c r="A637" s="94" t="n">
        <v>40606</v>
      </c>
      <c r="B637" t="n">
        <v>1939219</v>
      </c>
    </row>
    <row r="638">
      <c r="A638" s="94" t="n">
        <v>40613</v>
      </c>
      <c r="B638" t="n">
        <v>1953018</v>
      </c>
    </row>
    <row r="639">
      <c r="A639" s="94" t="n">
        <v>40620</v>
      </c>
      <c r="B639" t="n">
        <v>1940378</v>
      </c>
    </row>
    <row r="640">
      <c r="A640" s="94" t="n">
        <v>40627</v>
      </c>
      <c r="B640" t="n">
        <v>1928055</v>
      </c>
    </row>
    <row r="641">
      <c r="A641" s="94" t="n">
        <v>40634</v>
      </c>
      <c r="B641" t="n">
        <v>1888496</v>
      </c>
    </row>
    <row r="642">
      <c r="A642" s="94" t="n">
        <v>40641</v>
      </c>
      <c r="B642" t="n">
        <v>1873111</v>
      </c>
    </row>
    <row r="643">
      <c r="A643" s="94" t="n">
        <v>40648</v>
      </c>
      <c r="B643" t="n">
        <v>1885017</v>
      </c>
    </row>
    <row r="644">
      <c r="A644" s="94" t="n">
        <v>40655</v>
      </c>
      <c r="B644" t="n">
        <v>1887882</v>
      </c>
    </row>
    <row r="645">
      <c r="A645" s="94" t="n">
        <v>40662</v>
      </c>
      <c r="B645" t="n">
        <v>1894101</v>
      </c>
    </row>
    <row r="646">
      <c r="A646" s="94" t="n">
        <v>40669</v>
      </c>
      <c r="B646" t="n">
        <v>1901850</v>
      </c>
    </row>
    <row r="647">
      <c r="A647" s="94" t="n">
        <v>40676</v>
      </c>
      <c r="B647" t="n">
        <v>1898665</v>
      </c>
    </row>
    <row r="648">
      <c r="A648" s="94" t="n">
        <v>40683</v>
      </c>
      <c r="B648" t="n">
        <v>1895870</v>
      </c>
    </row>
    <row r="649">
      <c r="A649" s="94" t="n">
        <v>40690</v>
      </c>
      <c r="B649" t="n">
        <v>1900610</v>
      </c>
    </row>
    <row r="650">
      <c r="A650" s="94" t="n">
        <v>40697</v>
      </c>
      <c r="B650" t="n">
        <v>1898989</v>
      </c>
    </row>
    <row r="651">
      <c r="A651" s="94" t="n">
        <v>40704</v>
      </c>
      <c r="B651" t="n">
        <v>1892579</v>
      </c>
    </row>
    <row r="652">
      <c r="A652" s="94" t="n">
        <v>40711</v>
      </c>
      <c r="B652" t="n">
        <v>1914538</v>
      </c>
    </row>
    <row r="653">
      <c r="A653" s="94" t="n">
        <v>40718</v>
      </c>
      <c r="B653" t="n">
        <v>1972174</v>
      </c>
    </row>
    <row r="654">
      <c r="A654" s="94" t="n">
        <v>40725</v>
      </c>
      <c r="B654" t="n">
        <v>1944583</v>
      </c>
    </row>
    <row r="655">
      <c r="A655" s="94" t="n">
        <v>40732</v>
      </c>
      <c r="B655" t="n">
        <v>1919501</v>
      </c>
    </row>
    <row r="656">
      <c r="A656" s="94" t="n">
        <v>40739</v>
      </c>
      <c r="B656" t="n">
        <v>1957194</v>
      </c>
    </row>
    <row r="657">
      <c r="A657" s="94" t="n">
        <v>40746</v>
      </c>
      <c r="B657" t="n">
        <v>2006061</v>
      </c>
    </row>
    <row r="658">
      <c r="A658" s="94" t="n">
        <v>40753</v>
      </c>
      <c r="B658" t="n">
        <v>2000471</v>
      </c>
    </row>
    <row r="659">
      <c r="A659" s="94" t="n">
        <v>40760</v>
      </c>
      <c r="B659" t="n">
        <v>2004290</v>
      </c>
    </row>
    <row r="660">
      <c r="A660" s="94" t="n">
        <v>40767</v>
      </c>
      <c r="B660" t="n">
        <v>2073026</v>
      </c>
    </row>
    <row r="661">
      <c r="A661" s="94" t="n">
        <v>40774</v>
      </c>
      <c r="B661" t="n">
        <v>2076647</v>
      </c>
    </row>
    <row r="662">
      <c r="A662" s="94" t="n">
        <v>40781</v>
      </c>
      <c r="B662" t="n">
        <v>2071633</v>
      </c>
    </row>
    <row r="663">
      <c r="A663" s="94" t="n">
        <v>40788</v>
      </c>
      <c r="B663" t="n">
        <v>2073122</v>
      </c>
    </row>
    <row r="664">
      <c r="A664" s="94" t="n">
        <v>40795</v>
      </c>
      <c r="B664" t="n">
        <v>2086364</v>
      </c>
    </row>
    <row r="665">
      <c r="A665" s="94" t="n">
        <v>40802</v>
      </c>
      <c r="B665" t="n">
        <v>2134721</v>
      </c>
    </row>
    <row r="666">
      <c r="A666" s="94" t="n">
        <v>40809</v>
      </c>
      <c r="B666" t="n">
        <v>2180075</v>
      </c>
    </row>
    <row r="667">
      <c r="A667" s="94" t="n">
        <v>40816</v>
      </c>
      <c r="B667" t="n">
        <v>2288571</v>
      </c>
    </row>
    <row r="668">
      <c r="A668" s="94" t="n">
        <v>40823</v>
      </c>
      <c r="B668" t="n">
        <v>2295727</v>
      </c>
    </row>
    <row r="669">
      <c r="A669" s="94" t="n">
        <v>40830</v>
      </c>
      <c r="B669" t="n">
        <v>2310857</v>
      </c>
    </row>
    <row r="670">
      <c r="A670" s="94" t="n">
        <v>40837</v>
      </c>
      <c r="B670" t="n">
        <v>2313175</v>
      </c>
    </row>
    <row r="671">
      <c r="A671" s="94" t="n">
        <v>40844</v>
      </c>
      <c r="B671" t="n">
        <v>2333373</v>
      </c>
    </row>
    <row r="672">
      <c r="A672" s="94" t="n">
        <v>40851</v>
      </c>
      <c r="B672" t="n">
        <v>2328553</v>
      </c>
    </row>
    <row r="673">
      <c r="A673" s="94" t="n">
        <v>40858</v>
      </c>
      <c r="B673" t="n">
        <v>2343547</v>
      </c>
    </row>
    <row r="674">
      <c r="A674" s="94" t="n">
        <v>40865</v>
      </c>
      <c r="B674" t="n">
        <v>2393350</v>
      </c>
    </row>
    <row r="675">
      <c r="A675" s="94" t="n">
        <v>40872</v>
      </c>
      <c r="B675" t="n">
        <v>2419548</v>
      </c>
    </row>
    <row r="676">
      <c r="A676" s="94" t="n">
        <v>40879</v>
      </c>
      <c r="B676" t="n">
        <v>2435688</v>
      </c>
    </row>
    <row r="677">
      <c r="A677" s="94" t="n">
        <v>40886</v>
      </c>
      <c r="B677" t="n">
        <v>2460813</v>
      </c>
    </row>
    <row r="678">
      <c r="A678" s="94" t="n">
        <v>40893</v>
      </c>
      <c r="B678" t="n">
        <v>2493806</v>
      </c>
    </row>
    <row r="679">
      <c r="A679" s="94" t="n">
        <v>40900</v>
      </c>
      <c r="B679" t="n">
        <v>2733235</v>
      </c>
    </row>
    <row r="680">
      <c r="A680" s="94" t="n">
        <v>40907</v>
      </c>
      <c r="B680" t="n">
        <v>2735628</v>
      </c>
    </row>
    <row r="681">
      <c r="A681" s="94" t="n">
        <v>40914</v>
      </c>
      <c r="B681" t="n">
        <v>2687871</v>
      </c>
    </row>
    <row r="682">
      <c r="A682" s="94" t="n">
        <v>40921</v>
      </c>
      <c r="B682" t="n">
        <v>2676987</v>
      </c>
    </row>
    <row r="683">
      <c r="A683" s="94" t="n">
        <v>40928</v>
      </c>
      <c r="B683" t="n">
        <v>2706197</v>
      </c>
    </row>
    <row r="684">
      <c r="A684" s="94" t="n">
        <v>40935</v>
      </c>
      <c r="B684" t="n">
        <v>2682576</v>
      </c>
    </row>
    <row r="685">
      <c r="A685" s="94" t="n">
        <v>40942</v>
      </c>
      <c r="B685" t="n">
        <v>2662126</v>
      </c>
    </row>
    <row r="686">
      <c r="A686" s="94" t="n">
        <v>40949</v>
      </c>
      <c r="B686" t="n">
        <v>2655784</v>
      </c>
    </row>
    <row r="687">
      <c r="A687" s="94" t="n">
        <v>40956</v>
      </c>
      <c r="B687" t="n">
        <v>2663261</v>
      </c>
    </row>
    <row r="688">
      <c r="A688" s="94" t="n">
        <v>40963</v>
      </c>
      <c r="B688" t="n">
        <v>2692598</v>
      </c>
    </row>
    <row r="689">
      <c r="A689" s="94" t="n">
        <v>40970</v>
      </c>
      <c r="B689" t="n">
        <v>3023159</v>
      </c>
    </row>
    <row r="690">
      <c r="A690" s="94" t="n">
        <v>40977</v>
      </c>
      <c r="B690" t="n">
        <v>3005782</v>
      </c>
    </row>
    <row r="691">
      <c r="A691" s="94" t="n">
        <v>40984</v>
      </c>
      <c r="B691" t="n">
        <v>2986294</v>
      </c>
    </row>
    <row r="692">
      <c r="A692" s="94" t="n">
        <v>40991</v>
      </c>
      <c r="B692" t="n">
        <v>2982849</v>
      </c>
    </row>
    <row r="693">
      <c r="A693" s="94" t="n">
        <v>40998</v>
      </c>
      <c r="B693" t="n">
        <v>2964427</v>
      </c>
    </row>
    <row r="694">
      <c r="A694" s="94" t="n">
        <v>41005</v>
      </c>
      <c r="B694" t="n">
        <v>2965333</v>
      </c>
    </row>
    <row r="695">
      <c r="A695" s="94" t="n">
        <v>41012</v>
      </c>
      <c r="B695" t="n">
        <v>2974859</v>
      </c>
    </row>
    <row r="696">
      <c r="A696" s="94" t="n">
        <v>41019</v>
      </c>
      <c r="B696" t="n">
        <v>2967109</v>
      </c>
    </row>
    <row r="697">
      <c r="A697" s="94" t="n">
        <v>41026</v>
      </c>
      <c r="B697" t="n">
        <v>2962103</v>
      </c>
    </row>
    <row r="698">
      <c r="A698" s="94" t="n">
        <v>41033</v>
      </c>
      <c r="B698" t="n">
        <v>2960317</v>
      </c>
    </row>
    <row r="699">
      <c r="A699" s="94" t="n">
        <v>41040</v>
      </c>
      <c r="B699" t="n">
        <v>2971515</v>
      </c>
    </row>
    <row r="700">
      <c r="A700" s="94" t="n">
        <v>41047</v>
      </c>
      <c r="B700" t="n">
        <v>2975261</v>
      </c>
    </row>
    <row r="701">
      <c r="A701" s="94" t="n">
        <v>41054</v>
      </c>
      <c r="B701" t="n">
        <v>2980310</v>
      </c>
    </row>
    <row r="702">
      <c r="A702" s="94" t="n">
        <v>41061</v>
      </c>
      <c r="B702" t="n">
        <v>3002593</v>
      </c>
    </row>
    <row r="703">
      <c r="A703" s="94" t="n">
        <v>41068</v>
      </c>
      <c r="B703" t="n">
        <v>3009684</v>
      </c>
    </row>
    <row r="704">
      <c r="A704" s="94" t="n">
        <v>41075</v>
      </c>
      <c r="B704" t="n">
        <v>3027305</v>
      </c>
    </row>
    <row r="705">
      <c r="A705" s="94" t="n">
        <v>41082</v>
      </c>
      <c r="B705" t="n">
        <v>3057892</v>
      </c>
    </row>
    <row r="706">
      <c r="A706" s="94" t="n">
        <v>41089</v>
      </c>
      <c r="B706" t="n">
        <v>3102227</v>
      </c>
    </row>
    <row r="707">
      <c r="A707" s="94" t="n">
        <v>41096</v>
      </c>
      <c r="B707" t="n">
        <v>3085006</v>
      </c>
    </row>
    <row r="708">
      <c r="A708" s="94" t="n">
        <v>41103</v>
      </c>
      <c r="B708" t="n">
        <v>3099646</v>
      </c>
    </row>
    <row r="709">
      <c r="A709" s="94" t="n">
        <v>41110</v>
      </c>
      <c r="B709" t="n">
        <v>3079749</v>
      </c>
    </row>
    <row r="710">
      <c r="A710" s="94" t="n">
        <v>41117</v>
      </c>
      <c r="B710" t="n">
        <v>3094144</v>
      </c>
    </row>
    <row r="711">
      <c r="A711" s="94" t="n">
        <v>41124</v>
      </c>
      <c r="B711" t="n">
        <v>3085214</v>
      </c>
    </row>
    <row r="712">
      <c r="A712" s="94" t="n">
        <v>41131</v>
      </c>
      <c r="B712" t="n">
        <v>3086822</v>
      </c>
    </row>
    <row r="713">
      <c r="A713" s="94" t="n">
        <v>41138</v>
      </c>
      <c r="B713" t="n">
        <v>3085845</v>
      </c>
    </row>
    <row r="714">
      <c r="A714" s="94" t="n">
        <v>41145</v>
      </c>
      <c r="B714" t="n">
        <v>3080452</v>
      </c>
    </row>
    <row r="715">
      <c r="A715" s="94" t="n">
        <v>41152</v>
      </c>
      <c r="B715" t="n">
        <v>3084769</v>
      </c>
    </row>
    <row r="716">
      <c r="A716" s="94" t="n">
        <v>41159</v>
      </c>
      <c r="B716" t="n">
        <v>3073494</v>
      </c>
    </row>
    <row r="717">
      <c r="A717" s="94" t="n">
        <v>41166</v>
      </c>
      <c r="B717" t="n">
        <v>3061012</v>
      </c>
    </row>
    <row r="718">
      <c r="A718" s="94" t="n">
        <v>41173</v>
      </c>
      <c r="B718" t="n">
        <v>3049539</v>
      </c>
    </row>
    <row r="719">
      <c r="A719" s="94" t="n">
        <v>41180</v>
      </c>
      <c r="B719" t="n">
        <v>3082432</v>
      </c>
    </row>
    <row r="720">
      <c r="A720" s="94" t="n">
        <v>41187</v>
      </c>
      <c r="B720" t="n">
        <v>3062589</v>
      </c>
    </row>
    <row r="721">
      <c r="A721" s="94" t="n">
        <v>41194</v>
      </c>
      <c r="B721" t="n">
        <v>3053641</v>
      </c>
    </row>
    <row r="722">
      <c r="A722" s="94" t="n">
        <v>41201</v>
      </c>
      <c r="B722" t="n">
        <v>3046569</v>
      </c>
    </row>
    <row r="723">
      <c r="A723" s="94" t="n">
        <v>41208</v>
      </c>
      <c r="B723" t="n">
        <v>3046543</v>
      </c>
    </row>
    <row r="724">
      <c r="A724" s="94" t="n">
        <v>41215</v>
      </c>
      <c r="B724" t="n">
        <v>3040693</v>
      </c>
    </row>
    <row r="725">
      <c r="A725" s="94" t="n">
        <v>41222</v>
      </c>
      <c r="B725" t="n">
        <v>3038871</v>
      </c>
    </row>
    <row r="726">
      <c r="A726" s="94" t="n">
        <v>41229</v>
      </c>
      <c r="B726" t="n">
        <v>3041305</v>
      </c>
    </row>
    <row r="727">
      <c r="A727" s="94" t="n">
        <v>41236</v>
      </c>
      <c r="B727" t="n">
        <v>3035280</v>
      </c>
    </row>
    <row r="728">
      <c r="A728" s="94" t="n">
        <v>41243</v>
      </c>
      <c r="B728" t="n">
        <v>3033294</v>
      </c>
    </row>
    <row r="729">
      <c r="A729" s="94" t="n">
        <v>41250</v>
      </c>
      <c r="B729" t="n">
        <v>3030422</v>
      </c>
    </row>
    <row r="730">
      <c r="A730" s="94" t="n">
        <v>41257</v>
      </c>
      <c r="B730" t="n">
        <v>3024812</v>
      </c>
    </row>
    <row r="731">
      <c r="A731" s="94" t="n">
        <v>41264</v>
      </c>
      <c r="B731" t="n">
        <v>3011200</v>
      </c>
    </row>
    <row r="732">
      <c r="A732" s="94" t="n">
        <v>41271</v>
      </c>
      <c r="B732" t="n">
        <v>3018198</v>
      </c>
    </row>
    <row r="733">
      <c r="A733" s="94" t="n">
        <v>41278</v>
      </c>
      <c r="B733" t="n">
        <v>2956165</v>
      </c>
    </row>
    <row r="734">
      <c r="A734" s="94" t="n">
        <v>41285</v>
      </c>
      <c r="B734" t="n">
        <v>2952532</v>
      </c>
    </row>
    <row r="735">
      <c r="A735" s="94" t="n">
        <v>41292</v>
      </c>
      <c r="B735" t="n">
        <v>2942211</v>
      </c>
    </row>
    <row r="736">
      <c r="A736" s="94" t="n">
        <v>41299</v>
      </c>
      <c r="B736" t="n">
        <v>2928781</v>
      </c>
    </row>
    <row r="737">
      <c r="A737" s="94" t="n">
        <v>41306</v>
      </c>
      <c r="B737" t="n">
        <v>2769695</v>
      </c>
    </row>
    <row r="738">
      <c r="A738" s="94" t="n">
        <v>41313</v>
      </c>
      <c r="B738" t="n">
        <v>2767571</v>
      </c>
    </row>
    <row r="739">
      <c r="A739" s="94" t="n">
        <v>41320</v>
      </c>
      <c r="B739" t="n">
        <v>2755725</v>
      </c>
    </row>
    <row r="740">
      <c r="A740" s="94" t="n">
        <v>41327</v>
      </c>
      <c r="B740" t="n">
        <v>2748823</v>
      </c>
    </row>
    <row r="741">
      <c r="A741" s="94" t="n">
        <v>41334</v>
      </c>
      <c r="B741" t="n">
        <v>2680619</v>
      </c>
    </row>
    <row r="742">
      <c r="A742" s="94" t="n">
        <v>41341</v>
      </c>
      <c r="B742" t="n">
        <v>2665947</v>
      </c>
    </row>
    <row r="743">
      <c r="A743" s="94" t="n">
        <v>41348</v>
      </c>
      <c r="B743" t="n">
        <v>2647844</v>
      </c>
    </row>
    <row r="744">
      <c r="A744" s="94" t="n">
        <v>41355</v>
      </c>
      <c r="B744" t="n">
        <v>2642700</v>
      </c>
    </row>
    <row r="745">
      <c r="A745" s="94" t="n">
        <v>41362</v>
      </c>
      <c r="B745" t="n">
        <v>2648126</v>
      </c>
    </row>
    <row r="746">
      <c r="A746" s="94" t="n">
        <v>41369</v>
      </c>
      <c r="B746" t="n">
        <v>2647097</v>
      </c>
    </row>
    <row r="747">
      <c r="A747" s="94" t="n">
        <v>41376</v>
      </c>
      <c r="B747" t="n">
        <v>2634454</v>
      </c>
    </row>
    <row r="748">
      <c r="A748" s="94" t="n">
        <v>41383</v>
      </c>
      <c r="B748" t="n">
        <v>2617263</v>
      </c>
    </row>
    <row r="749">
      <c r="A749" s="94" t="n">
        <v>41390</v>
      </c>
      <c r="B749" t="n">
        <v>2611252</v>
      </c>
    </row>
    <row r="750">
      <c r="A750" s="94" t="n">
        <v>41397</v>
      </c>
      <c r="B750" t="n">
        <v>2608120</v>
      </c>
    </row>
    <row r="751">
      <c r="A751" s="94" t="n">
        <v>41404</v>
      </c>
      <c r="B751" t="n">
        <v>2606277</v>
      </c>
    </row>
    <row r="752">
      <c r="A752" s="94" t="n">
        <v>41411</v>
      </c>
      <c r="B752" t="n">
        <v>2577406</v>
      </c>
    </row>
    <row r="753">
      <c r="A753" s="94" t="n">
        <v>41418</v>
      </c>
      <c r="B753" t="n">
        <v>2560202</v>
      </c>
    </row>
    <row r="754">
      <c r="A754" s="94" t="n">
        <v>41425</v>
      </c>
      <c r="B754" t="n">
        <v>2549449</v>
      </c>
    </row>
    <row r="755">
      <c r="A755" s="94" t="n">
        <v>41432</v>
      </c>
      <c r="B755" t="n">
        <v>2546600</v>
      </c>
    </row>
    <row r="756">
      <c r="A756" s="94" t="n">
        <v>41439</v>
      </c>
      <c r="B756" t="n">
        <v>2550684</v>
      </c>
    </row>
    <row r="757">
      <c r="A757" s="94" t="n">
        <v>41446</v>
      </c>
      <c r="B757" t="n">
        <v>2545321</v>
      </c>
    </row>
    <row r="758">
      <c r="A758" s="94" t="n">
        <v>41453</v>
      </c>
      <c r="B758" t="n">
        <v>2430423</v>
      </c>
    </row>
    <row r="759">
      <c r="A759" s="94" t="n">
        <v>41460</v>
      </c>
      <c r="B759" t="n">
        <v>2420347</v>
      </c>
    </row>
    <row r="760">
      <c r="A760" s="94" t="n">
        <v>41467</v>
      </c>
      <c r="B760" t="n">
        <v>2403333</v>
      </c>
    </row>
    <row r="761">
      <c r="A761" s="94" t="n">
        <v>41474</v>
      </c>
      <c r="B761" t="n">
        <v>2398959</v>
      </c>
    </row>
    <row r="762">
      <c r="A762" s="94" t="n">
        <v>41481</v>
      </c>
      <c r="B762" t="n">
        <v>2396181</v>
      </c>
    </row>
    <row r="763">
      <c r="A763" s="94" t="n">
        <v>41488</v>
      </c>
      <c r="B763" t="n">
        <v>2391090</v>
      </c>
    </row>
    <row r="764">
      <c r="A764" s="94" t="n">
        <v>41495</v>
      </c>
      <c r="B764" t="n">
        <v>2379322</v>
      </c>
    </row>
    <row r="765">
      <c r="A765" s="94" t="n">
        <v>41502</v>
      </c>
      <c r="B765" t="n">
        <v>2368521</v>
      </c>
    </row>
    <row r="766">
      <c r="A766" s="94" t="n">
        <v>41509</v>
      </c>
      <c r="B766" t="n">
        <v>2360832</v>
      </c>
    </row>
    <row r="767">
      <c r="A767" s="94" t="n">
        <v>41516</v>
      </c>
      <c r="B767" t="n">
        <v>2360639</v>
      </c>
    </row>
    <row r="768">
      <c r="A768" s="94" t="n">
        <v>41523</v>
      </c>
      <c r="B768" t="n">
        <v>2356675</v>
      </c>
    </row>
    <row r="769">
      <c r="A769" s="94" t="n">
        <v>41530</v>
      </c>
      <c r="B769" t="n">
        <v>2350127</v>
      </c>
    </row>
    <row r="770">
      <c r="A770" s="94" t="n">
        <v>41537</v>
      </c>
      <c r="B770" t="n">
        <v>2346591</v>
      </c>
    </row>
    <row r="771">
      <c r="A771" s="94" t="n">
        <v>41544</v>
      </c>
      <c r="B771" t="n">
        <v>2338044</v>
      </c>
    </row>
    <row r="772">
      <c r="A772" s="94" t="n">
        <v>41551</v>
      </c>
      <c r="B772" t="n">
        <v>2350580</v>
      </c>
    </row>
    <row r="773">
      <c r="A773" s="94" t="n">
        <v>41558</v>
      </c>
      <c r="B773" t="n">
        <v>2340421</v>
      </c>
    </row>
    <row r="774">
      <c r="A774" s="94" t="n">
        <v>41565</v>
      </c>
      <c r="B774" t="n">
        <v>2327962</v>
      </c>
    </row>
    <row r="775">
      <c r="A775" s="94" t="n">
        <v>41572</v>
      </c>
      <c r="B775" t="n">
        <v>2318744</v>
      </c>
    </row>
    <row r="776">
      <c r="A776" s="94" t="n">
        <v>41579</v>
      </c>
      <c r="B776" t="n">
        <v>2314393</v>
      </c>
    </row>
    <row r="777">
      <c r="A777" s="94" t="n">
        <v>41586</v>
      </c>
      <c r="B777" t="n">
        <v>2305431</v>
      </c>
    </row>
    <row r="778">
      <c r="A778" s="94" t="n">
        <v>41593</v>
      </c>
      <c r="B778" t="n">
        <v>2299017</v>
      </c>
    </row>
    <row r="779">
      <c r="A779" s="94" t="n">
        <v>41600</v>
      </c>
      <c r="B779" t="n">
        <v>2293601</v>
      </c>
    </row>
    <row r="780">
      <c r="A780" s="94" t="n">
        <v>41607</v>
      </c>
      <c r="B780" t="n">
        <v>2290956</v>
      </c>
    </row>
    <row r="781">
      <c r="A781" s="94" t="n">
        <v>41614</v>
      </c>
      <c r="B781" t="n">
        <v>2280794</v>
      </c>
    </row>
    <row r="782">
      <c r="A782" s="94" t="n">
        <v>41621</v>
      </c>
      <c r="B782" t="n">
        <v>2283020</v>
      </c>
    </row>
    <row r="783">
      <c r="A783" s="94" t="n">
        <v>41628</v>
      </c>
      <c r="B783" t="n">
        <v>2287531</v>
      </c>
    </row>
    <row r="784">
      <c r="A784" s="94" t="n">
        <v>41635</v>
      </c>
      <c r="B784" t="n">
        <v>2285399</v>
      </c>
    </row>
    <row r="785">
      <c r="A785" s="94" t="n">
        <v>41642</v>
      </c>
      <c r="B785" t="n">
        <v>2278560</v>
      </c>
    </row>
    <row r="786">
      <c r="A786" s="94" t="n">
        <v>41649</v>
      </c>
      <c r="B786" t="n">
        <v>2220507</v>
      </c>
    </row>
    <row r="787">
      <c r="A787" s="94" t="n">
        <v>41656</v>
      </c>
      <c r="B787" t="n">
        <v>2197860</v>
      </c>
    </row>
    <row r="788">
      <c r="A788" s="94" t="n">
        <v>41663</v>
      </c>
      <c r="B788" t="n">
        <v>2221296</v>
      </c>
    </row>
    <row r="789">
      <c r="A789" s="94" t="n">
        <v>41670</v>
      </c>
      <c r="B789" t="n">
        <v>2217061</v>
      </c>
    </row>
    <row r="790">
      <c r="A790" s="94" t="n">
        <v>41677</v>
      </c>
      <c r="B790" t="n">
        <v>2190338</v>
      </c>
    </row>
    <row r="791">
      <c r="A791" s="94" t="n">
        <v>41684</v>
      </c>
      <c r="B791" t="n">
        <v>2190099</v>
      </c>
    </row>
    <row r="792">
      <c r="A792" s="94" t="n">
        <v>41691</v>
      </c>
      <c r="B792" t="n">
        <v>2184848</v>
      </c>
    </row>
    <row r="793">
      <c r="A793" s="94" t="n">
        <v>41698</v>
      </c>
      <c r="B793" t="n">
        <v>2181079</v>
      </c>
    </row>
    <row r="794">
      <c r="A794" s="94" t="n">
        <v>41705</v>
      </c>
      <c r="B794" t="n">
        <v>2172324</v>
      </c>
    </row>
    <row r="795">
      <c r="A795" s="94" t="n">
        <v>41712</v>
      </c>
      <c r="B795" t="n">
        <v>2167771</v>
      </c>
    </row>
    <row r="796">
      <c r="A796" s="94" t="n">
        <v>41719</v>
      </c>
      <c r="B796" t="n">
        <v>2166080</v>
      </c>
    </row>
    <row r="797">
      <c r="A797" s="94" t="n">
        <v>41726</v>
      </c>
      <c r="B797" t="n">
        <v>2152103</v>
      </c>
    </row>
    <row r="798">
      <c r="A798" s="94" t="n">
        <v>41733</v>
      </c>
      <c r="B798" t="n">
        <v>2160987</v>
      </c>
    </row>
    <row r="799">
      <c r="A799" s="94" t="n">
        <v>41740</v>
      </c>
      <c r="B799" t="n">
        <v>2169081</v>
      </c>
    </row>
    <row r="800">
      <c r="A800" s="94" t="n">
        <v>41747</v>
      </c>
      <c r="B800" t="n">
        <v>2167801</v>
      </c>
    </row>
    <row r="801">
      <c r="A801" s="94" t="n">
        <v>41754</v>
      </c>
      <c r="B801" t="n">
        <v>2169061</v>
      </c>
    </row>
    <row r="802">
      <c r="A802" s="94" t="n">
        <v>41761</v>
      </c>
      <c r="B802" t="n">
        <v>2217128</v>
      </c>
    </row>
    <row r="803">
      <c r="A803" s="94" t="n">
        <v>41768</v>
      </c>
      <c r="B803" t="n">
        <v>2167718</v>
      </c>
    </row>
    <row r="804">
      <c r="A804" s="94" t="n">
        <v>41775</v>
      </c>
      <c r="B804" t="n">
        <v>2185009</v>
      </c>
    </row>
    <row r="805">
      <c r="A805" s="94" t="n">
        <v>41782</v>
      </c>
      <c r="B805" t="n">
        <v>2163727</v>
      </c>
    </row>
    <row r="806">
      <c r="A806" s="94" t="n">
        <v>41789</v>
      </c>
      <c r="B806" t="n">
        <v>2197095</v>
      </c>
    </row>
    <row r="807">
      <c r="A807" s="94" t="n">
        <v>41796</v>
      </c>
      <c r="B807" t="n">
        <v>2172316</v>
      </c>
    </row>
    <row r="808">
      <c r="A808" s="94" t="n">
        <v>41803</v>
      </c>
      <c r="B808" t="n">
        <v>2124281</v>
      </c>
    </row>
    <row r="809">
      <c r="A809" s="94" t="n">
        <v>41810</v>
      </c>
      <c r="B809" t="n">
        <v>2079975</v>
      </c>
    </row>
    <row r="810">
      <c r="A810" s="94" t="n">
        <v>41817</v>
      </c>
      <c r="B810" t="n">
        <v>2088099</v>
      </c>
    </row>
    <row r="811">
      <c r="A811" s="94" t="n">
        <v>41824</v>
      </c>
      <c r="B811" t="n">
        <v>2070293</v>
      </c>
    </row>
    <row r="812">
      <c r="A812" s="94" t="n">
        <v>41831</v>
      </c>
      <c r="B812" t="n">
        <v>2057083</v>
      </c>
    </row>
    <row r="813">
      <c r="A813" s="94" t="n">
        <v>41838</v>
      </c>
      <c r="B813" t="n">
        <v>2062474</v>
      </c>
    </row>
    <row r="814">
      <c r="A814" s="94" t="n">
        <v>41845</v>
      </c>
      <c r="B814" t="n">
        <v>2044312</v>
      </c>
    </row>
    <row r="815">
      <c r="A815" s="94" t="n">
        <v>41852</v>
      </c>
      <c r="B815" t="n">
        <v>2059683</v>
      </c>
    </row>
    <row r="816">
      <c r="A816" s="94" t="n">
        <v>41859</v>
      </c>
      <c r="B816" t="n">
        <v>2025258</v>
      </c>
    </row>
    <row r="817">
      <c r="A817" s="94" t="n">
        <v>41866</v>
      </c>
      <c r="B817" t="n">
        <v>2023176</v>
      </c>
    </row>
    <row r="818">
      <c r="A818" s="94" t="n">
        <v>41873</v>
      </c>
      <c r="B818" t="n">
        <v>2013019</v>
      </c>
    </row>
    <row r="819">
      <c r="A819" s="94" t="n">
        <v>41880</v>
      </c>
      <c r="B819" t="n">
        <v>2038716</v>
      </c>
    </row>
    <row r="820">
      <c r="A820" s="94" t="n">
        <v>41887</v>
      </c>
      <c r="B820" t="n">
        <v>2012130</v>
      </c>
    </row>
    <row r="821">
      <c r="A821" s="94" t="n">
        <v>41894</v>
      </c>
      <c r="B821" t="n">
        <v>2003802</v>
      </c>
    </row>
    <row r="822">
      <c r="A822" s="94" t="n">
        <v>41901</v>
      </c>
      <c r="B822" t="n">
        <v>1988153</v>
      </c>
    </row>
    <row r="823">
      <c r="A823" s="94" t="n">
        <v>41908</v>
      </c>
      <c r="B823" t="n">
        <v>2038235</v>
      </c>
    </row>
    <row r="824">
      <c r="A824" s="94" t="n">
        <v>41915</v>
      </c>
      <c r="B824" t="n">
        <v>2053668</v>
      </c>
    </row>
    <row r="825">
      <c r="A825" s="94" t="n">
        <v>41922</v>
      </c>
      <c r="B825" t="n">
        <v>2042685</v>
      </c>
    </row>
    <row r="826">
      <c r="A826" s="94" t="n">
        <v>41929</v>
      </c>
      <c r="B826" t="n">
        <v>2029725</v>
      </c>
    </row>
    <row r="827">
      <c r="A827" s="94" t="n">
        <v>41936</v>
      </c>
      <c r="B827" t="n">
        <v>2032783</v>
      </c>
    </row>
    <row r="828">
      <c r="A828" s="94" t="n">
        <v>41943</v>
      </c>
      <c r="B828" t="n">
        <v>2052070</v>
      </c>
    </row>
    <row r="829">
      <c r="A829" s="94" t="n">
        <v>41950</v>
      </c>
      <c r="B829" t="n">
        <v>2029737</v>
      </c>
    </row>
    <row r="830">
      <c r="A830" s="94" t="n">
        <v>41957</v>
      </c>
      <c r="B830" t="n">
        <v>2028156</v>
      </c>
    </row>
    <row r="831">
      <c r="A831" s="94" t="n">
        <v>41964</v>
      </c>
      <c r="B831" t="n">
        <v>2033165</v>
      </c>
    </row>
    <row r="832">
      <c r="A832" s="94" t="n">
        <v>41971</v>
      </c>
      <c r="B832" t="n">
        <v>2053892</v>
      </c>
    </row>
    <row r="833">
      <c r="A833" s="94" t="n">
        <v>41978</v>
      </c>
      <c r="B833" t="n">
        <v>2038091</v>
      </c>
    </row>
    <row r="834">
      <c r="A834" s="94" t="n">
        <v>41985</v>
      </c>
      <c r="B834" t="n">
        <v>2034746</v>
      </c>
    </row>
    <row r="835">
      <c r="A835" s="94" t="n">
        <v>41992</v>
      </c>
      <c r="B835" t="n">
        <v>2134802</v>
      </c>
    </row>
    <row r="836">
      <c r="A836" s="94" t="n">
        <v>41999</v>
      </c>
      <c r="B836" t="n">
        <v>2150247</v>
      </c>
    </row>
    <row r="837">
      <c r="A837" s="94" t="n">
        <v>42006</v>
      </c>
      <c r="B837" t="n">
        <v>2215995</v>
      </c>
    </row>
    <row r="838">
      <c r="A838" s="94" t="n">
        <v>42013</v>
      </c>
      <c r="B838" t="n">
        <v>2168821</v>
      </c>
    </row>
    <row r="839">
      <c r="A839" s="94" t="n">
        <v>42020</v>
      </c>
      <c r="B839" t="n">
        <v>2158222</v>
      </c>
    </row>
    <row r="840">
      <c r="A840" s="94" t="n">
        <v>42027</v>
      </c>
      <c r="B840" t="n">
        <v>2159796</v>
      </c>
    </row>
    <row r="841">
      <c r="A841" s="94" t="n">
        <v>42034</v>
      </c>
      <c r="B841" t="n">
        <v>2181954</v>
      </c>
    </row>
    <row r="842">
      <c r="A842" s="94" t="n">
        <v>42041</v>
      </c>
      <c r="B842" t="n">
        <v>2150212</v>
      </c>
    </row>
    <row r="843">
      <c r="A843" s="94" t="n">
        <v>42048</v>
      </c>
      <c r="B843" t="n">
        <v>2153125</v>
      </c>
    </row>
    <row r="844">
      <c r="A844" s="94" t="n">
        <v>42055</v>
      </c>
      <c r="B844" t="n">
        <v>2167794</v>
      </c>
    </row>
    <row r="845">
      <c r="A845" s="94" t="n">
        <v>42062</v>
      </c>
      <c r="B845" t="n">
        <v>2155836</v>
      </c>
    </row>
    <row r="846">
      <c r="A846" s="94" t="n">
        <v>42069</v>
      </c>
      <c r="B846" t="n">
        <v>2134819</v>
      </c>
    </row>
    <row r="847">
      <c r="A847" s="94" t="n">
        <v>42076</v>
      </c>
      <c r="B847" t="n">
        <v>2142116</v>
      </c>
    </row>
    <row r="848">
      <c r="A848" s="94" t="n">
        <v>42083</v>
      </c>
      <c r="B848" t="n">
        <v>2157841</v>
      </c>
    </row>
    <row r="849">
      <c r="A849" s="94" t="n">
        <v>42090</v>
      </c>
      <c r="B849" t="n">
        <v>2250801</v>
      </c>
    </row>
    <row r="850">
      <c r="A850" s="94" t="n">
        <v>42097</v>
      </c>
      <c r="B850" t="n">
        <v>2334126</v>
      </c>
    </row>
    <row r="851">
      <c r="A851" s="94" t="n">
        <v>42104</v>
      </c>
      <c r="B851" t="n">
        <v>2348963</v>
      </c>
    </row>
    <row r="852">
      <c r="A852" s="94" t="n">
        <v>42111</v>
      </c>
      <c r="B852" t="n">
        <v>2344062</v>
      </c>
    </row>
    <row r="853">
      <c r="A853" s="94" t="n">
        <v>42118</v>
      </c>
      <c r="B853" t="n">
        <v>2360790</v>
      </c>
    </row>
    <row r="854">
      <c r="A854" s="94" t="n">
        <v>42125</v>
      </c>
      <c r="B854" t="n">
        <v>2372553</v>
      </c>
    </row>
    <row r="855">
      <c r="A855" s="94" t="n">
        <v>42132</v>
      </c>
      <c r="B855" t="n">
        <v>2377854</v>
      </c>
    </row>
    <row r="856">
      <c r="A856" s="94" t="n">
        <v>42139</v>
      </c>
      <c r="B856" t="n">
        <v>2388627</v>
      </c>
    </row>
    <row r="857">
      <c r="A857" s="94" t="n">
        <v>42146</v>
      </c>
      <c r="B857" t="n">
        <v>2402553</v>
      </c>
    </row>
    <row r="858">
      <c r="A858" s="94" t="n">
        <v>42153</v>
      </c>
      <c r="B858" t="n">
        <v>2416666</v>
      </c>
    </row>
    <row r="859">
      <c r="A859" s="94" t="n">
        <v>42160</v>
      </c>
      <c r="B859" t="n">
        <v>2428326</v>
      </c>
    </row>
    <row r="860">
      <c r="A860" s="94" t="n">
        <v>42167</v>
      </c>
      <c r="B860" t="n">
        <v>2442098</v>
      </c>
    </row>
    <row r="861">
      <c r="A861" s="94" t="n">
        <v>42174</v>
      </c>
      <c r="B861" t="n">
        <v>2451947</v>
      </c>
    </row>
    <row r="862">
      <c r="A862" s="94" t="n">
        <v>42181</v>
      </c>
      <c r="B862" t="n">
        <v>2539544</v>
      </c>
    </row>
    <row r="863">
      <c r="A863" s="94" t="n">
        <v>42188</v>
      </c>
      <c r="B863" t="n">
        <v>2497003</v>
      </c>
    </row>
    <row r="864">
      <c r="A864" s="94" t="n">
        <v>42195</v>
      </c>
      <c r="B864" t="n">
        <v>2508195</v>
      </c>
    </row>
    <row r="865">
      <c r="A865" s="94" t="n">
        <v>42202</v>
      </c>
      <c r="B865" t="n">
        <v>2518972</v>
      </c>
    </row>
    <row r="866">
      <c r="A866" s="94" t="n">
        <v>42209</v>
      </c>
      <c r="B866" t="n">
        <v>2525159</v>
      </c>
    </row>
    <row r="867">
      <c r="A867" s="94" t="n">
        <v>42216</v>
      </c>
      <c r="B867" t="n">
        <v>2536592</v>
      </c>
    </row>
    <row r="868">
      <c r="A868" s="94" t="n">
        <v>42223</v>
      </c>
      <c r="B868" t="n">
        <v>2536634</v>
      </c>
    </row>
    <row r="869">
      <c r="A869" s="94" t="n">
        <v>42230</v>
      </c>
      <c r="B869" t="n">
        <v>2541947</v>
      </c>
    </row>
    <row r="870">
      <c r="A870" s="94" t="n">
        <v>42237</v>
      </c>
      <c r="B870" t="n">
        <v>2549254</v>
      </c>
    </row>
    <row r="871">
      <c r="A871" s="94" t="n">
        <v>42244</v>
      </c>
      <c r="B871" t="n">
        <v>2558780</v>
      </c>
    </row>
    <row r="872">
      <c r="A872" s="94" t="n">
        <v>42251</v>
      </c>
      <c r="B872" t="n">
        <v>2568311</v>
      </c>
    </row>
    <row r="873">
      <c r="A873" s="94" t="n">
        <v>42258</v>
      </c>
      <c r="B873" t="n">
        <v>2587280</v>
      </c>
    </row>
    <row r="874">
      <c r="A874" s="94" t="n">
        <v>42265</v>
      </c>
      <c r="B874" t="n">
        <v>2602314</v>
      </c>
    </row>
    <row r="875">
      <c r="A875" s="94" t="n">
        <v>42272</v>
      </c>
      <c r="B875" t="n">
        <v>2620631</v>
      </c>
    </row>
    <row r="876">
      <c r="A876" s="94" t="n">
        <v>42279</v>
      </c>
      <c r="B876" t="n">
        <v>2626835</v>
      </c>
    </row>
    <row r="877">
      <c r="A877" s="94" t="n">
        <v>42286</v>
      </c>
      <c r="B877" t="n">
        <v>2632300</v>
      </c>
    </row>
    <row r="878">
      <c r="A878" s="94" t="n">
        <v>42293</v>
      </c>
      <c r="B878" t="n">
        <v>2640557</v>
      </c>
    </row>
    <row r="879">
      <c r="A879" s="94" t="n">
        <v>42300</v>
      </c>
      <c r="B879" t="n">
        <v>2653233</v>
      </c>
    </row>
    <row r="880">
      <c r="A880" s="94" t="n">
        <v>42307</v>
      </c>
      <c r="B880" t="n">
        <v>2664996</v>
      </c>
    </row>
    <row r="881">
      <c r="A881" s="94" t="n">
        <v>42314</v>
      </c>
      <c r="B881" t="n">
        <v>2668903</v>
      </c>
    </row>
    <row r="882">
      <c r="A882" s="94" t="n">
        <v>42321</v>
      </c>
      <c r="B882" t="n">
        <v>2682374</v>
      </c>
    </row>
    <row r="883">
      <c r="A883" s="94" t="n">
        <v>42328</v>
      </c>
      <c r="B883" t="n">
        <v>2692443</v>
      </c>
    </row>
    <row r="884">
      <c r="A884" s="94" t="n">
        <v>42335</v>
      </c>
      <c r="B884" t="n">
        <v>2706740</v>
      </c>
    </row>
    <row r="885">
      <c r="A885" s="94" t="n">
        <v>42342</v>
      </c>
      <c r="B885" t="n">
        <v>2718650</v>
      </c>
    </row>
    <row r="886">
      <c r="A886" s="94" t="n">
        <v>42349</v>
      </c>
      <c r="B886" t="n">
        <v>2731936</v>
      </c>
    </row>
    <row r="887">
      <c r="A887" s="94" t="n">
        <v>42356</v>
      </c>
      <c r="B887" t="n">
        <v>2759255</v>
      </c>
    </row>
    <row r="888">
      <c r="A888" s="94" t="n">
        <v>42363</v>
      </c>
      <c r="B888" t="n">
        <v>2767815</v>
      </c>
    </row>
    <row r="889">
      <c r="A889" s="94" t="n">
        <v>42370</v>
      </c>
      <c r="B889" t="n">
        <v>2781145</v>
      </c>
    </row>
    <row r="890">
      <c r="A890" s="94" t="n">
        <v>42377</v>
      </c>
      <c r="B890" t="n">
        <v>2766889</v>
      </c>
    </row>
    <row r="891">
      <c r="A891" s="94" t="n">
        <v>42384</v>
      </c>
      <c r="B891" t="n">
        <v>2778265</v>
      </c>
    </row>
    <row r="892">
      <c r="A892" s="94" t="n">
        <v>42391</v>
      </c>
      <c r="B892" t="n">
        <v>2794527</v>
      </c>
    </row>
    <row r="893">
      <c r="A893" s="94" t="n">
        <v>42398</v>
      </c>
      <c r="B893" t="n">
        <v>2808331</v>
      </c>
    </row>
    <row r="894">
      <c r="A894" s="94" t="n">
        <v>42405</v>
      </c>
      <c r="B894" t="n">
        <v>2811913</v>
      </c>
    </row>
    <row r="895">
      <c r="A895" s="94" t="n">
        <v>42412</v>
      </c>
      <c r="B895" t="n">
        <v>2827603</v>
      </c>
    </row>
    <row r="896">
      <c r="A896" s="94" t="n">
        <v>42419</v>
      </c>
      <c r="B896" t="n">
        <v>2837575</v>
      </c>
    </row>
    <row r="897">
      <c r="A897" s="94" t="n">
        <v>42426</v>
      </c>
      <c r="B897" t="n">
        <v>2850299</v>
      </c>
    </row>
    <row r="898">
      <c r="A898" s="94" t="n">
        <v>42433</v>
      </c>
      <c r="B898" t="n">
        <v>2859841</v>
      </c>
    </row>
    <row r="899">
      <c r="A899" s="94" t="n">
        <v>42440</v>
      </c>
      <c r="B899" t="n">
        <v>2872321</v>
      </c>
    </row>
    <row r="900">
      <c r="A900" s="94" t="n">
        <v>42447</v>
      </c>
      <c r="B900" t="n">
        <v>2886198</v>
      </c>
    </row>
    <row r="901">
      <c r="A901" s="94" t="n">
        <v>42454</v>
      </c>
      <c r="B901" t="n">
        <v>2897696</v>
      </c>
    </row>
    <row r="902">
      <c r="A902" s="94" t="n">
        <v>42461</v>
      </c>
      <c r="B902" t="n">
        <v>2941761</v>
      </c>
    </row>
    <row r="903">
      <c r="A903" s="94" t="n">
        <v>42468</v>
      </c>
      <c r="B903" t="n">
        <v>2953136</v>
      </c>
    </row>
    <row r="904">
      <c r="A904" s="94" t="n">
        <v>42475</v>
      </c>
      <c r="B904" t="n">
        <v>2966107</v>
      </c>
    </row>
    <row r="905">
      <c r="A905" s="94" t="n">
        <v>42482</v>
      </c>
      <c r="B905" t="n">
        <v>2983183</v>
      </c>
    </row>
    <row r="906">
      <c r="A906" s="94" t="n">
        <v>42489</v>
      </c>
      <c r="B906" t="n">
        <v>3000759</v>
      </c>
    </row>
    <row r="907">
      <c r="A907" s="94" t="n">
        <v>42496</v>
      </c>
      <c r="B907" t="n">
        <v>3017789</v>
      </c>
    </row>
    <row r="908">
      <c r="A908" s="94" t="n">
        <v>42503</v>
      </c>
      <c r="B908" t="n">
        <v>3032840</v>
      </c>
    </row>
    <row r="909">
      <c r="A909" s="94" t="n">
        <v>42510</v>
      </c>
      <c r="B909" t="n">
        <v>3054101</v>
      </c>
    </row>
    <row r="910">
      <c r="A910" s="94" t="n">
        <v>42517</v>
      </c>
      <c r="B910" t="n">
        <v>3067481</v>
      </c>
    </row>
    <row r="911">
      <c r="A911" s="94" t="n">
        <v>42524</v>
      </c>
      <c r="B911" t="n">
        <v>3078612</v>
      </c>
    </row>
    <row r="912">
      <c r="A912" s="94" t="n">
        <v>42531</v>
      </c>
      <c r="B912" t="n">
        <v>3093866</v>
      </c>
    </row>
    <row r="913">
      <c r="A913" s="94" t="n">
        <v>42538</v>
      </c>
      <c r="B913" t="n">
        <v>3109588</v>
      </c>
    </row>
    <row r="914">
      <c r="A914" s="94" t="n">
        <v>42545</v>
      </c>
      <c r="B914" t="n">
        <v>3131095</v>
      </c>
    </row>
    <row r="915">
      <c r="A915" s="94" t="n">
        <v>42552</v>
      </c>
      <c r="B915" t="n">
        <v>3232618</v>
      </c>
    </row>
    <row r="916">
      <c r="A916" s="94" t="n">
        <v>42559</v>
      </c>
      <c r="B916" t="n">
        <v>3237920</v>
      </c>
    </row>
    <row r="917">
      <c r="A917" s="94" t="n">
        <v>42566</v>
      </c>
      <c r="B917" t="n">
        <v>3249177</v>
      </c>
    </row>
    <row r="918">
      <c r="A918" s="94" t="n">
        <v>42573</v>
      </c>
      <c r="B918" t="n">
        <v>3265838</v>
      </c>
    </row>
    <row r="919">
      <c r="A919" s="94" t="n">
        <v>42580</v>
      </c>
      <c r="B919" t="n">
        <v>3284309</v>
      </c>
    </row>
    <row r="920">
      <c r="A920" s="94" t="n">
        <v>42587</v>
      </c>
      <c r="B920" t="n">
        <v>3286139</v>
      </c>
    </row>
    <row r="921">
      <c r="A921" s="94" t="n">
        <v>42594</v>
      </c>
      <c r="B921" t="n">
        <v>3296568</v>
      </c>
    </row>
    <row r="922">
      <c r="A922" s="94" t="n">
        <v>42601</v>
      </c>
      <c r="B922" t="n">
        <v>3313323</v>
      </c>
    </row>
    <row r="923">
      <c r="A923" s="94" t="n">
        <v>42608</v>
      </c>
      <c r="B923" t="n">
        <v>3330487</v>
      </c>
    </row>
    <row r="924">
      <c r="A924" s="94" t="n">
        <v>42615</v>
      </c>
      <c r="B924" t="n">
        <v>3341775</v>
      </c>
    </row>
    <row r="925">
      <c r="A925" s="94" t="n">
        <v>42622</v>
      </c>
      <c r="B925" t="n">
        <v>3358742</v>
      </c>
    </row>
    <row r="926">
      <c r="A926" s="94" t="n">
        <v>42629</v>
      </c>
      <c r="B926" t="n">
        <v>3372373</v>
      </c>
    </row>
    <row r="927">
      <c r="A927" s="94" t="n">
        <v>42636</v>
      </c>
      <c r="B927" t="n">
        <v>3391402</v>
      </c>
    </row>
    <row r="928">
      <c r="A928" s="94" t="n">
        <v>42643</v>
      </c>
      <c r="B928" t="n">
        <v>3438145</v>
      </c>
    </row>
    <row r="929">
      <c r="A929" s="94" t="n">
        <v>42650</v>
      </c>
      <c r="B929" t="n">
        <v>3451426</v>
      </c>
    </row>
    <row r="930">
      <c r="A930" s="94" t="n">
        <v>42657</v>
      </c>
      <c r="B930" t="n">
        <v>3469281</v>
      </c>
    </row>
    <row r="931">
      <c r="A931" s="94" t="n">
        <v>42664</v>
      </c>
      <c r="B931" t="n">
        <v>3494929</v>
      </c>
    </row>
    <row r="932">
      <c r="A932" s="94" t="n">
        <v>42671</v>
      </c>
      <c r="B932" t="n">
        <v>3507401</v>
      </c>
    </row>
    <row r="933">
      <c r="A933" s="94" t="n">
        <v>42678</v>
      </c>
      <c r="B933" t="n">
        <v>3518455</v>
      </c>
    </row>
    <row r="934">
      <c r="A934" s="94" t="n">
        <v>42685</v>
      </c>
      <c r="B934" t="n">
        <v>3534266</v>
      </c>
    </row>
    <row r="935">
      <c r="A935" s="94" t="n">
        <v>42692</v>
      </c>
      <c r="B935" t="n">
        <v>3553353</v>
      </c>
    </row>
    <row r="936">
      <c r="A936" s="94" t="n">
        <v>42699</v>
      </c>
      <c r="B936" t="n">
        <v>3566230</v>
      </c>
    </row>
    <row r="937">
      <c r="A937" s="94" t="n">
        <v>42706</v>
      </c>
      <c r="B937" t="n">
        <v>3587380</v>
      </c>
    </row>
    <row r="938">
      <c r="A938" s="94" t="n">
        <v>42713</v>
      </c>
      <c r="B938" t="n">
        <v>3609773</v>
      </c>
    </row>
    <row r="939">
      <c r="A939" s="94" t="n">
        <v>42720</v>
      </c>
      <c r="B939" t="n">
        <v>3630732</v>
      </c>
    </row>
    <row r="940">
      <c r="A940" s="94" t="n">
        <v>42727</v>
      </c>
      <c r="B940" t="n">
        <v>3685708</v>
      </c>
    </row>
    <row r="941">
      <c r="A941" s="94" t="n">
        <v>42734</v>
      </c>
      <c r="B941" t="n">
        <v>3662901</v>
      </c>
    </row>
    <row r="942">
      <c r="A942" s="94" t="n">
        <v>42741</v>
      </c>
      <c r="B942" t="n">
        <v>3672638</v>
      </c>
    </row>
    <row r="943">
      <c r="A943" s="94" t="n">
        <v>42748</v>
      </c>
      <c r="B943" t="n">
        <v>3697302</v>
      </c>
    </row>
    <row r="944">
      <c r="A944" s="94" t="n">
        <v>42755</v>
      </c>
      <c r="B944" t="n">
        <v>3719624</v>
      </c>
    </row>
    <row r="945">
      <c r="A945" s="94" t="n">
        <v>42762</v>
      </c>
      <c r="B945" t="n">
        <v>3740766</v>
      </c>
    </row>
    <row r="946">
      <c r="A946" s="94" t="n">
        <v>42769</v>
      </c>
      <c r="B946" t="n">
        <v>3749499</v>
      </c>
    </row>
    <row r="947">
      <c r="A947" s="94" t="n">
        <v>42776</v>
      </c>
      <c r="B947" t="n">
        <v>3770942</v>
      </c>
    </row>
    <row r="948">
      <c r="A948" s="94" t="n">
        <v>42783</v>
      </c>
      <c r="B948" t="n">
        <v>3787893</v>
      </c>
    </row>
    <row r="949">
      <c r="A949" s="94" t="n">
        <v>42790</v>
      </c>
      <c r="B949" t="n">
        <v>3808242</v>
      </c>
    </row>
    <row r="950">
      <c r="A950" s="94" t="n">
        <v>42797</v>
      </c>
      <c r="B950" t="n">
        <v>3820341</v>
      </c>
    </row>
    <row r="951">
      <c r="A951" s="94" t="n">
        <v>42804</v>
      </c>
      <c r="B951" t="n">
        <v>3839855</v>
      </c>
    </row>
    <row r="952">
      <c r="A952" s="94" t="n">
        <v>42811</v>
      </c>
      <c r="B952" t="n">
        <v>3856913</v>
      </c>
    </row>
    <row r="953">
      <c r="A953" s="94" t="n">
        <v>42818</v>
      </c>
      <c r="B953" t="n">
        <v>3877037</v>
      </c>
    </row>
    <row r="954">
      <c r="A954" s="94" t="n">
        <v>42825</v>
      </c>
      <c r="B954" t="n">
        <v>4100730</v>
      </c>
    </row>
    <row r="955">
      <c r="A955" s="94" t="n">
        <v>42832</v>
      </c>
      <c r="B955" t="n">
        <v>4116353</v>
      </c>
    </row>
    <row r="956">
      <c r="A956" s="94" t="n">
        <v>42839</v>
      </c>
      <c r="B956" t="n">
        <v>4129996</v>
      </c>
    </row>
    <row r="957">
      <c r="A957" s="94" t="n">
        <v>42846</v>
      </c>
      <c r="B957" t="n">
        <v>4139398</v>
      </c>
    </row>
    <row r="958">
      <c r="A958" s="94" t="n">
        <v>42853</v>
      </c>
      <c r="B958" t="n">
        <v>4148032</v>
      </c>
    </row>
    <row r="959">
      <c r="A959" s="94" t="n">
        <v>42860</v>
      </c>
      <c r="B959" t="n">
        <v>4156826</v>
      </c>
    </row>
    <row r="960">
      <c r="A960" s="94" t="n">
        <v>42867</v>
      </c>
      <c r="B960" t="n">
        <v>4170588</v>
      </c>
    </row>
    <row r="961">
      <c r="A961" s="94" t="n">
        <v>42874</v>
      </c>
      <c r="B961" t="n">
        <v>4185693</v>
      </c>
    </row>
    <row r="962">
      <c r="A962" s="94" t="n">
        <v>42881</v>
      </c>
      <c r="B962" t="n">
        <v>4195685</v>
      </c>
    </row>
    <row r="963">
      <c r="A963" s="94" t="n">
        <v>42888</v>
      </c>
      <c r="B963" t="n">
        <v>4204543</v>
      </c>
    </row>
    <row r="964">
      <c r="A964" s="94" t="n">
        <v>42895</v>
      </c>
      <c r="B964" t="n">
        <v>4218129</v>
      </c>
    </row>
    <row r="965">
      <c r="A965" s="94" t="n">
        <v>42902</v>
      </c>
      <c r="B965" t="n">
        <v>4232941</v>
      </c>
    </row>
    <row r="966">
      <c r="A966" s="94" t="n">
        <v>42909</v>
      </c>
      <c r="B966" t="n">
        <v>4246150</v>
      </c>
    </row>
    <row r="967">
      <c r="A967" s="94" t="n">
        <v>42916</v>
      </c>
      <c r="B967" t="n">
        <v>4209510</v>
      </c>
    </row>
    <row r="968">
      <c r="A968" s="94" t="n">
        <v>42923</v>
      </c>
      <c r="B968" t="n">
        <v>4214696</v>
      </c>
    </row>
    <row r="969">
      <c r="A969" s="94" t="n">
        <v>42930</v>
      </c>
      <c r="B969" t="n">
        <v>4229286</v>
      </c>
    </row>
    <row r="970">
      <c r="A970" s="94" t="n">
        <v>42937</v>
      </c>
      <c r="B970" t="n">
        <v>4235758</v>
      </c>
    </row>
    <row r="971">
      <c r="A971" s="94" t="n">
        <v>42944</v>
      </c>
      <c r="B971" t="n">
        <v>4248280</v>
      </c>
    </row>
    <row r="972">
      <c r="A972" s="94" t="n">
        <v>42951</v>
      </c>
      <c r="B972" t="n">
        <v>4246485</v>
      </c>
    </row>
    <row r="973">
      <c r="A973" s="94" t="n">
        <v>42958</v>
      </c>
      <c r="B973" t="n">
        <v>4255955</v>
      </c>
    </row>
    <row r="974">
      <c r="A974" s="94" t="n">
        <v>42965</v>
      </c>
      <c r="B974" t="n">
        <v>4265713</v>
      </c>
    </row>
    <row r="975">
      <c r="A975" s="94" t="n">
        <v>42972</v>
      </c>
      <c r="B975" t="n">
        <v>4278881</v>
      </c>
    </row>
    <row r="976">
      <c r="A976" s="94" t="n">
        <v>42979</v>
      </c>
      <c r="B976" t="n">
        <v>4283727</v>
      </c>
    </row>
    <row r="977">
      <c r="A977" s="94" t="n">
        <v>42986</v>
      </c>
      <c r="B977" t="n">
        <v>4299776</v>
      </c>
    </row>
    <row r="978">
      <c r="A978" s="94" t="n">
        <v>42993</v>
      </c>
      <c r="B978" t="n">
        <v>4308875</v>
      </c>
    </row>
    <row r="979">
      <c r="A979" s="94" t="n">
        <v>43000</v>
      </c>
      <c r="B979" t="n">
        <v>4328211</v>
      </c>
    </row>
    <row r="980">
      <c r="A980" s="94" t="n">
        <v>43007</v>
      </c>
      <c r="B980" t="n">
        <v>4318624</v>
      </c>
    </row>
    <row r="981">
      <c r="A981" s="94" t="n">
        <v>43014</v>
      </c>
      <c r="B981" t="n">
        <v>4337684</v>
      </c>
    </row>
    <row r="982">
      <c r="A982" s="94" t="n">
        <v>43021</v>
      </c>
      <c r="B982" t="n">
        <v>4371623</v>
      </c>
    </row>
    <row r="983">
      <c r="A983" s="94" t="n">
        <v>43028</v>
      </c>
      <c r="B983" t="n">
        <v>4363408</v>
      </c>
    </row>
    <row r="984">
      <c r="A984" s="94" t="n">
        <v>43035</v>
      </c>
      <c r="B984" t="n">
        <v>4371222</v>
      </c>
    </row>
    <row r="985">
      <c r="A985" s="94" t="n">
        <v>43042</v>
      </c>
      <c r="B985" t="n">
        <v>4373200</v>
      </c>
    </row>
    <row r="986">
      <c r="A986" s="94" t="n">
        <v>43049</v>
      </c>
      <c r="B986" t="n">
        <v>4387732</v>
      </c>
    </row>
    <row r="987">
      <c r="A987" s="94" t="n">
        <v>43056</v>
      </c>
      <c r="B987" t="n">
        <v>4411864</v>
      </c>
    </row>
    <row r="988">
      <c r="A988" s="94" t="n">
        <v>43063</v>
      </c>
      <c r="B988" t="n">
        <v>4427474</v>
      </c>
    </row>
    <row r="989">
      <c r="A989" s="94" t="n">
        <v>43070</v>
      </c>
      <c r="B989" t="n">
        <v>4440791</v>
      </c>
    </row>
    <row r="990">
      <c r="A990" s="94" t="n">
        <v>43077</v>
      </c>
      <c r="B990" t="n">
        <v>4456579</v>
      </c>
    </row>
    <row r="991">
      <c r="A991" s="94" t="n">
        <v>43084</v>
      </c>
      <c r="B991" t="n">
        <v>4471856</v>
      </c>
    </row>
    <row r="992">
      <c r="A992" s="94" t="n">
        <v>43091</v>
      </c>
      <c r="B992" t="n">
        <v>4487284</v>
      </c>
    </row>
    <row r="993">
      <c r="A993" s="94" t="n">
        <v>43098</v>
      </c>
      <c r="B993" t="n">
        <v>4471563</v>
      </c>
    </row>
    <row r="994">
      <c r="A994" s="94" t="n">
        <v>43105</v>
      </c>
      <c r="B994" t="n">
        <v>4466001</v>
      </c>
    </row>
    <row r="995">
      <c r="A995" s="94" t="n">
        <v>43112</v>
      </c>
      <c r="B995" t="n">
        <v>4472739</v>
      </c>
    </row>
    <row r="996">
      <c r="A996" s="94" t="n">
        <v>43119</v>
      </c>
      <c r="B996" t="n">
        <v>4484003</v>
      </c>
    </row>
    <row r="997">
      <c r="A997" s="94" t="n">
        <v>43126</v>
      </c>
      <c r="B997" t="n">
        <v>4493058</v>
      </c>
    </row>
    <row r="998">
      <c r="A998" s="94" t="n">
        <v>43133</v>
      </c>
      <c r="B998" t="n">
        <v>4491151</v>
      </c>
    </row>
    <row r="999">
      <c r="A999" s="94" t="n">
        <v>43140</v>
      </c>
      <c r="B999" t="n">
        <v>4493672</v>
      </c>
    </row>
    <row r="1000">
      <c r="A1000" s="94" t="n">
        <v>43147</v>
      </c>
      <c r="B1000" t="n">
        <v>4504781</v>
      </c>
    </row>
    <row r="1001">
      <c r="A1001" s="94" t="n">
        <v>43154</v>
      </c>
      <c r="B1001" t="n">
        <v>4511540</v>
      </c>
    </row>
    <row r="1002">
      <c r="A1002" s="94" t="n">
        <v>43161</v>
      </c>
      <c r="B1002" t="n">
        <v>4519360</v>
      </c>
    </row>
    <row r="1003">
      <c r="A1003" s="94" t="n">
        <v>43168</v>
      </c>
      <c r="B1003" t="n">
        <v>4530083</v>
      </c>
    </row>
    <row r="1004">
      <c r="A1004" s="94" t="n">
        <v>43175</v>
      </c>
      <c r="B1004" t="n">
        <v>4532642</v>
      </c>
    </row>
    <row r="1005">
      <c r="A1005" s="94" t="n">
        <v>43182</v>
      </c>
      <c r="B1005" t="n">
        <v>4539072</v>
      </c>
    </row>
    <row r="1006">
      <c r="A1006" s="94" t="n">
        <v>43189</v>
      </c>
      <c r="B1006" t="n">
        <v>4529579</v>
      </c>
    </row>
    <row r="1007">
      <c r="A1007" s="94" t="n">
        <v>43196</v>
      </c>
      <c r="B1007" t="n">
        <v>4531497</v>
      </c>
    </row>
    <row r="1008">
      <c r="A1008" s="94" t="n">
        <v>43203</v>
      </c>
      <c r="B1008" t="n">
        <v>4548153</v>
      </c>
    </row>
    <row r="1009">
      <c r="A1009" s="94" t="n">
        <v>43210</v>
      </c>
      <c r="B1009" t="n">
        <v>4543973</v>
      </c>
    </row>
    <row r="1010">
      <c r="A1010" s="94" t="n">
        <v>43217</v>
      </c>
      <c r="B1010" t="n">
        <v>4554344</v>
      </c>
    </row>
    <row r="1011">
      <c r="A1011" s="94" t="n">
        <v>43224</v>
      </c>
      <c r="B1011" t="n">
        <v>4552564</v>
      </c>
    </row>
    <row r="1012">
      <c r="A1012" s="94" t="n">
        <v>43231</v>
      </c>
      <c r="B1012" t="n">
        <v>4562061</v>
      </c>
    </row>
    <row r="1013">
      <c r="A1013" s="94" t="n">
        <v>43238</v>
      </c>
      <c r="B1013" t="n">
        <v>4561577</v>
      </c>
    </row>
    <row r="1014">
      <c r="A1014" s="94" t="n">
        <v>43245</v>
      </c>
      <c r="B1014" t="n">
        <v>4562651</v>
      </c>
    </row>
    <row r="1015">
      <c r="A1015" s="94" t="n">
        <v>43252</v>
      </c>
      <c r="B1015" t="n">
        <v>4567744</v>
      </c>
    </row>
    <row r="1016">
      <c r="A1016" s="94" t="n">
        <v>43259</v>
      </c>
      <c r="B1016" t="n">
        <v>4577214</v>
      </c>
    </row>
    <row r="1017">
      <c r="A1017" s="94" t="n">
        <v>43266</v>
      </c>
      <c r="B1017" t="n">
        <v>4578465</v>
      </c>
    </row>
    <row r="1018">
      <c r="A1018" s="94" t="n">
        <v>43273</v>
      </c>
      <c r="B1018" t="n">
        <v>4585571</v>
      </c>
    </row>
    <row r="1019">
      <c r="A1019" s="94" t="n">
        <v>43280</v>
      </c>
      <c r="B1019" t="n">
        <v>4592518</v>
      </c>
    </row>
    <row r="1020">
      <c r="A1020" s="94" t="n">
        <v>43287</v>
      </c>
      <c r="B1020" t="n">
        <v>4591235</v>
      </c>
    </row>
    <row r="1021">
      <c r="A1021" s="94" t="n">
        <v>43294</v>
      </c>
      <c r="B1021" t="n">
        <v>4599857</v>
      </c>
    </row>
    <row r="1022">
      <c r="A1022" s="94" t="n">
        <v>43301</v>
      </c>
      <c r="B1022" t="n">
        <v>4605004</v>
      </c>
    </row>
    <row r="1023">
      <c r="A1023" s="94" t="n">
        <v>43308</v>
      </c>
      <c r="B1023" t="n">
        <v>4612006</v>
      </c>
    </row>
    <row r="1024">
      <c r="A1024" s="94" t="n">
        <v>43315</v>
      </c>
      <c r="B1024" t="n">
        <v>4602258</v>
      </c>
    </row>
    <row r="1025">
      <c r="A1025" s="94" t="n">
        <v>43322</v>
      </c>
      <c r="B1025" t="n">
        <v>4608108</v>
      </c>
    </row>
    <row r="1026">
      <c r="A1026" s="94" t="n">
        <v>43329</v>
      </c>
      <c r="B1026" t="n">
        <v>4614032</v>
      </c>
    </row>
    <row r="1027">
      <c r="A1027" s="94" t="n">
        <v>43336</v>
      </c>
      <c r="B1027" t="n">
        <v>4619437</v>
      </c>
    </row>
    <row r="1028">
      <c r="A1028" s="94" t="n">
        <v>43343</v>
      </c>
      <c r="B1028" t="n">
        <v>4621355</v>
      </c>
    </row>
    <row r="1029">
      <c r="A1029" s="94" t="n">
        <v>43350</v>
      </c>
      <c r="B1029" t="n">
        <v>4633963</v>
      </c>
    </row>
    <row r="1030">
      <c r="A1030" s="94" t="n">
        <v>43357</v>
      </c>
      <c r="B1030" t="n">
        <v>4638843</v>
      </c>
    </row>
    <row r="1031">
      <c r="A1031" s="94" t="n">
        <v>43364</v>
      </c>
      <c r="B1031" t="n">
        <v>4645821</v>
      </c>
    </row>
    <row r="1032">
      <c r="A1032" s="94" t="n">
        <v>43371</v>
      </c>
      <c r="B1032" t="n">
        <v>4619792</v>
      </c>
    </row>
    <row r="1033">
      <c r="A1033" s="94" t="n">
        <v>43378</v>
      </c>
      <c r="B1033" t="n">
        <v>4625045</v>
      </c>
    </row>
    <row r="1034">
      <c r="A1034" s="94" t="n">
        <v>43385</v>
      </c>
      <c r="B1034" t="n">
        <v>4632893</v>
      </c>
    </row>
    <row r="1035">
      <c r="A1035" s="94" t="n">
        <v>43392</v>
      </c>
      <c r="B1035" t="n">
        <v>4628278</v>
      </c>
    </row>
    <row r="1036">
      <c r="A1036" s="94" t="n">
        <v>43399</v>
      </c>
      <c r="B1036" t="n">
        <v>4624792</v>
      </c>
    </row>
    <row r="1037">
      <c r="A1037" s="94" t="n">
        <v>43406</v>
      </c>
      <c r="B1037" t="n">
        <v>4622163</v>
      </c>
    </row>
    <row r="1038">
      <c r="A1038" s="94" t="n">
        <v>43413</v>
      </c>
      <c r="B1038" t="n">
        <v>4626222</v>
      </c>
    </row>
    <row r="1039">
      <c r="A1039" s="94" t="n">
        <v>43420</v>
      </c>
      <c r="B1039" t="n">
        <v>4638303</v>
      </c>
    </row>
    <row r="1040">
      <c r="A1040" s="94" t="n">
        <v>43427</v>
      </c>
      <c r="B1040" t="n">
        <v>4646891</v>
      </c>
    </row>
    <row r="1041">
      <c r="A1041" s="94" t="n">
        <v>43434</v>
      </c>
      <c r="B1041" t="n">
        <v>4660299</v>
      </c>
    </row>
    <row r="1042">
      <c r="A1042" s="94" t="n">
        <v>43441</v>
      </c>
      <c r="B1042" t="n">
        <v>4662985</v>
      </c>
    </row>
    <row r="1043">
      <c r="A1043" s="94" t="n">
        <v>43448</v>
      </c>
      <c r="B1043" t="n">
        <v>4668116</v>
      </c>
    </row>
    <row r="1044">
      <c r="A1044" s="94" t="n">
        <v>43455</v>
      </c>
      <c r="B1044" t="n">
        <v>4674919</v>
      </c>
    </row>
    <row r="1045">
      <c r="A1045" s="94" t="n">
        <v>43462</v>
      </c>
      <c r="B1045" t="n">
        <v>4669003</v>
      </c>
    </row>
    <row r="1046">
      <c r="A1046" s="94" t="n">
        <v>43469</v>
      </c>
      <c r="B1046" t="n">
        <v>4694301</v>
      </c>
    </row>
    <row r="1047">
      <c r="A1047" s="94" t="n">
        <v>43476</v>
      </c>
      <c r="B1047" t="n">
        <v>4703402</v>
      </c>
    </row>
    <row r="1048">
      <c r="A1048" s="94" t="n">
        <v>43483</v>
      </c>
      <c r="B1048" t="n">
        <v>4705948</v>
      </c>
    </row>
    <row r="1049">
      <c r="A1049" s="94" t="n">
        <v>43490</v>
      </c>
      <c r="B1049" t="n">
        <v>4708899</v>
      </c>
    </row>
    <row r="1050">
      <c r="A1050" s="94" t="n">
        <v>43497</v>
      </c>
      <c r="B1050" t="n">
        <v>4695505</v>
      </c>
    </row>
    <row r="1051">
      <c r="A1051" s="94" t="n">
        <v>43504</v>
      </c>
      <c r="B1051" t="n">
        <v>4696466</v>
      </c>
    </row>
    <row r="1052">
      <c r="A1052" s="94" t="n">
        <v>43511</v>
      </c>
      <c r="B1052" t="n">
        <v>4702787</v>
      </c>
    </row>
    <row r="1053">
      <c r="A1053" s="94" t="n">
        <v>43518</v>
      </c>
      <c r="B1053" t="n">
        <v>4692062</v>
      </c>
    </row>
    <row r="1054">
      <c r="A1054" s="94" t="n">
        <v>43525</v>
      </c>
      <c r="B1054" t="n">
        <v>4686299</v>
      </c>
    </row>
    <row r="1055">
      <c r="A1055" s="94" t="n">
        <v>43532</v>
      </c>
      <c r="B1055" t="n">
        <v>4691325</v>
      </c>
    </row>
    <row r="1056">
      <c r="A1056" s="94" t="n">
        <v>43539</v>
      </c>
      <c r="B1056" t="n">
        <v>4680588</v>
      </c>
    </row>
    <row r="1057">
      <c r="A1057" s="94" t="n">
        <v>43546</v>
      </c>
      <c r="B1057" t="n">
        <v>4676984</v>
      </c>
    </row>
    <row r="1058">
      <c r="A1058" s="94" t="n">
        <v>43553</v>
      </c>
      <c r="B1058" t="n">
        <v>4695785</v>
      </c>
    </row>
    <row r="1059">
      <c r="A1059" s="94" t="n">
        <v>43560</v>
      </c>
      <c r="B1059" t="n">
        <v>4699605</v>
      </c>
    </row>
    <row r="1060">
      <c r="A1060" s="94" t="n">
        <v>43567</v>
      </c>
      <c r="B1060" t="n">
        <v>4701826</v>
      </c>
    </row>
    <row r="1061">
      <c r="A1061" s="94" t="n">
        <v>43574</v>
      </c>
      <c r="B1061" t="n">
        <v>4707931</v>
      </c>
    </row>
    <row r="1062">
      <c r="A1062" s="94" t="n">
        <v>43581</v>
      </c>
      <c r="B1062" t="n">
        <v>4697616</v>
      </c>
    </row>
    <row r="1063">
      <c r="A1063" s="94" t="n">
        <v>43588</v>
      </c>
      <c r="B1063" t="n">
        <v>4683918</v>
      </c>
    </row>
    <row r="1064">
      <c r="A1064" s="94" t="n">
        <v>43595</v>
      </c>
      <c r="B1064" t="n">
        <v>4685377</v>
      </c>
    </row>
    <row r="1065">
      <c r="A1065" s="94" t="n">
        <v>43602</v>
      </c>
      <c r="B1065" t="n">
        <v>4684866</v>
      </c>
    </row>
    <row r="1066">
      <c r="A1066" s="94" t="n">
        <v>43609</v>
      </c>
      <c r="B1066" t="n">
        <v>4692616</v>
      </c>
    </row>
    <row r="1067">
      <c r="A1067" s="94" t="n">
        <v>43616</v>
      </c>
      <c r="B1067" t="n">
        <v>4685961</v>
      </c>
    </row>
    <row r="1068">
      <c r="A1068" s="94" t="n">
        <v>43623</v>
      </c>
      <c r="B1068" t="n">
        <v>4690441</v>
      </c>
    </row>
    <row r="1069">
      <c r="A1069" s="94" t="n">
        <v>43630</v>
      </c>
      <c r="B1069" t="n">
        <v>4681351</v>
      </c>
    </row>
    <row r="1070">
      <c r="A1070" s="94" t="n">
        <v>43637</v>
      </c>
      <c r="B1070" t="n">
        <v>4682680</v>
      </c>
    </row>
    <row r="1071">
      <c r="A1071" s="94" t="n">
        <v>43644</v>
      </c>
      <c r="B1071" t="n">
        <v>4692614</v>
      </c>
    </row>
    <row r="1072">
      <c r="A1072" s="94" t="n">
        <v>43651</v>
      </c>
      <c r="B1072" t="n">
        <v>4677463</v>
      </c>
    </row>
    <row r="1073">
      <c r="A1073" s="94" t="n">
        <v>43658</v>
      </c>
      <c r="B1073" t="n">
        <v>4684376</v>
      </c>
    </row>
    <row r="1074">
      <c r="A1074" s="94" t="n">
        <v>43665</v>
      </c>
      <c r="B1074" t="n">
        <v>4688182</v>
      </c>
    </row>
    <row r="1075">
      <c r="A1075" s="94" t="n">
        <v>43672</v>
      </c>
      <c r="B1075" t="n">
        <v>4685716</v>
      </c>
    </row>
    <row r="1076">
      <c r="A1076" s="94" t="n">
        <v>43679</v>
      </c>
      <c r="B1076" t="n">
        <v>4679180</v>
      </c>
    </row>
    <row r="1077">
      <c r="A1077" s="94" t="n">
        <v>43686</v>
      </c>
      <c r="B1077" t="n">
        <v>4677751</v>
      </c>
    </row>
    <row r="1078">
      <c r="A1078" s="94" t="n">
        <v>43693</v>
      </c>
      <c r="B1078" t="n">
        <v>4676077</v>
      </c>
    </row>
    <row r="1079">
      <c r="A1079" s="94" t="n">
        <v>43700</v>
      </c>
      <c r="B1079" t="n">
        <v>4681001</v>
      </c>
    </row>
    <row r="1080">
      <c r="A1080" s="94" t="n">
        <v>43707</v>
      </c>
      <c r="B1080" t="n">
        <v>4683714</v>
      </c>
    </row>
    <row r="1081">
      <c r="A1081" s="94" t="n">
        <v>43714</v>
      </c>
      <c r="B1081" t="n">
        <v>4681637</v>
      </c>
    </row>
    <row r="1082">
      <c r="A1082" s="94" t="n">
        <v>43721</v>
      </c>
      <c r="B1082" t="n">
        <v>4674603</v>
      </c>
    </row>
    <row r="1083">
      <c r="A1083" s="94" t="n">
        <v>43728</v>
      </c>
      <c r="B1083" t="n">
        <v>4662978</v>
      </c>
    </row>
    <row r="1084">
      <c r="A1084" s="94" t="n">
        <v>43735</v>
      </c>
      <c r="B1084" t="n">
        <v>4638104</v>
      </c>
    </row>
    <row r="1085">
      <c r="A1085" s="94" t="n">
        <v>43742</v>
      </c>
      <c r="B1085" t="n">
        <v>4695111</v>
      </c>
    </row>
    <row r="1086">
      <c r="A1086" s="94" t="n">
        <v>43749</v>
      </c>
      <c r="B1086" t="n">
        <v>4692260</v>
      </c>
    </row>
    <row r="1087">
      <c r="A1087" s="94" t="n">
        <v>43756</v>
      </c>
      <c r="B1087" t="n">
        <v>4687115</v>
      </c>
    </row>
    <row r="1088">
      <c r="A1088" s="94" t="n">
        <v>43763</v>
      </c>
      <c r="B1088" t="n">
        <v>4680875</v>
      </c>
    </row>
    <row r="1089">
      <c r="A1089" s="94" t="n">
        <v>43770</v>
      </c>
      <c r="B1089" t="n">
        <v>4676258</v>
      </c>
    </row>
    <row r="1090">
      <c r="A1090" s="94" t="n">
        <v>43777</v>
      </c>
      <c r="B1090" t="n">
        <v>4684135</v>
      </c>
    </row>
    <row r="1091">
      <c r="A1091" s="94" t="n">
        <v>43784</v>
      </c>
      <c r="B1091" t="n">
        <v>4691919</v>
      </c>
    </row>
    <row r="1092">
      <c r="A1092" s="94" t="n">
        <v>43791</v>
      </c>
      <c r="B1092" t="n">
        <v>4696531</v>
      </c>
    </row>
    <row r="1093">
      <c r="A1093" s="94" t="n">
        <v>43798</v>
      </c>
      <c r="B1093" t="n">
        <v>4698291</v>
      </c>
    </row>
    <row r="1094">
      <c r="A1094" s="94" t="n">
        <v>43805</v>
      </c>
      <c r="B1094" t="n">
        <v>4709281</v>
      </c>
    </row>
    <row r="1095">
      <c r="A1095" s="94" t="n">
        <v>43812</v>
      </c>
      <c r="B1095" t="n">
        <v>4713568</v>
      </c>
    </row>
    <row r="1096">
      <c r="A1096" s="94" t="n">
        <v>43819</v>
      </c>
      <c r="B1096" t="n">
        <v>4682592</v>
      </c>
    </row>
    <row r="1097">
      <c r="A1097" s="94" t="n">
        <v>43826</v>
      </c>
      <c r="B1097" t="n">
        <v>4691998</v>
      </c>
    </row>
    <row r="1098">
      <c r="A1098" s="94" t="n">
        <v>43833</v>
      </c>
      <c r="B1098" t="n">
        <v>4664037</v>
      </c>
    </row>
    <row r="1099">
      <c r="A1099" s="94" t="n">
        <v>43840</v>
      </c>
      <c r="B1099" t="n">
        <v>4655772</v>
      </c>
    </row>
    <row r="1100">
      <c r="A1100" s="94" t="n">
        <v>43847</v>
      </c>
      <c r="B1100" t="n">
        <v>4660340</v>
      </c>
    </row>
    <row r="1101">
      <c r="A1101" s="94" t="n">
        <v>43854</v>
      </c>
      <c r="B1101" t="n">
        <v>4674369</v>
      </c>
    </row>
    <row r="1102">
      <c r="A1102" s="94" t="n">
        <v>43861</v>
      </c>
      <c r="B1102" t="n">
        <v>4671365</v>
      </c>
    </row>
    <row r="1103">
      <c r="A1103" s="94" t="n">
        <v>43868</v>
      </c>
      <c r="B1103" t="n">
        <v>4668900</v>
      </c>
    </row>
    <row r="1104">
      <c r="A1104" s="94" t="n">
        <v>43875</v>
      </c>
      <c r="B1104" t="n">
        <v>4679726</v>
      </c>
    </row>
    <row r="1105">
      <c r="A1105" s="94" t="n">
        <v>43882</v>
      </c>
      <c r="B1105" t="n">
        <v>4688301</v>
      </c>
    </row>
    <row r="1106">
      <c r="A1106" s="94" t="n">
        <v>43889</v>
      </c>
      <c r="B1106" t="n">
        <v>4691852</v>
      </c>
    </row>
    <row r="1107">
      <c r="A1107" s="94" t="n">
        <v>43896</v>
      </c>
      <c r="B1107" t="n">
        <v>4702214</v>
      </c>
    </row>
    <row r="1108">
      <c r="A1108" s="94" t="n">
        <v>43903</v>
      </c>
      <c r="B1108" t="n">
        <v>4704239</v>
      </c>
    </row>
    <row r="1109">
      <c r="A1109" s="94" t="n">
        <v>43910</v>
      </c>
      <c r="B1109" t="n">
        <v>4927267</v>
      </c>
    </row>
    <row r="1110">
      <c r="A1110" s="94" t="n">
        <v>43917</v>
      </c>
      <c r="B1110" t="n">
        <v>5062687</v>
      </c>
    </row>
    <row r="1111">
      <c r="A1111" s="94" t="n">
        <v>43924</v>
      </c>
      <c r="B1111" t="n">
        <v>5199822</v>
      </c>
    </row>
    <row r="1112">
      <c r="A1112" s="94" t="n">
        <v>43931</v>
      </c>
      <c r="B1112" t="n">
        <v>5257490</v>
      </c>
    </row>
    <row r="1113">
      <c r="A1113" s="94" t="n">
        <v>43938</v>
      </c>
      <c r="B1113" t="n">
        <v>5282926</v>
      </c>
    </row>
    <row r="1114">
      <c r="A1114" s="94" t="n">
        <v>43945</v>
      </c>
      <c r="B1114" t="n">
        <v>5347042</v>
      </c>
    </row>
    <row r="1115">
      <c r="A1115" s="94" t="n">
        <v>43952</v>
      </c>
      <c r="B1115" t="n">
        <v>5395184</v>
      </c>
    </row>
    <row r="1116">
      <c r="A1116" s="94" t="n">
        <v>43959</v>
      </c>
      <c r="B1116" t="n">
        <v>5451001</v>
      </c>
    </row>
    <row r="1117">
      <c r="A1117" s="94" t="n">
        <v>43966</v>
      </c>
      <c r="B1117" t="n">
        <v>5505521</v>
      </c>
    </row>
    <row r="1118">
      <c r="A1118" s="94" t="n">
        <v>43973</v>
      </c>
      <c r="B1118" t="n">
        <v>5555276</v>
      </c>
    </row>
    <row r="1119">
      <c r="A1119" s="94" t="n">
        <v>43980</v>
      </c>
      <c r="B1119" t="n">
        <v>5596070</v>
      </c>
    </row>
    <row r="1120">
      <c r="A1120" s="94" t="n">
        <v>43987</v>
      </c>
      <c r="B1120" t="n">
        <v>5655414</v>
      </c>
    </row>
    <row r="1121">
      <c r="A1121" s="94" t="n">
        <v>43994</v>
      </c>
      <c r="B1121" t="n">
        <v>5630275</v>
      </c>
    </row>
    <row r="1122">
      <c r="A1122" s="94" t="n">
        <v>44001</v>
      </c>
      <c r="B1122" t="n">
        <v>5636378</v>
      </c>
    </row>
    <row r="1123">
      <c r="A1123" s="94" t="n">
        <v>44008</v>
      </c>
      <c r="B1123" t="n">
        <v>6236143</v>
      </c>
    </row>
    <row r="1124">
      <c r="A1124" s="94" t="n">
        <v>44015</v>
      </c>
      <c r="B1124" t="n">
        <v>6288974</v>
      </c>
    </row>
    <row r="1125">
      <c r="A1125" s="94" t="n">
        <v>44022</v>
      </c>
      <c r="B1125" t="n">
        <v>6309160</v>
      </c>
    </row>
    <row r="1126">
      <c r="A1126" s="94" t="n">
        <v>44029</v>
      </c>
      <c r="B1126" t="n">
        <v>6322604</v>
      </c>
    </row>
    <row r="1127">
      <c r="A1127" s="94" t="n">
        <v>44036</v>
      </c>
      <c r="B1127" t="n">
        <v>6351419</v>
      </c>
    </row>
    <row r="1128">
      <c r="A1128" s="94" t="n">
        <v>44043</v>
      </c>
      <c r="B1128" t="n">
        <v>6360822</v>
      </c>
    </row>
    <row r="1129">
      <c r="A1129" s="94" t="n">
        <v>44050</v>
      </c>
      <c r="B1129" t="n">
        <v>6385307</v>
      </c>
    </row>
    <row r="1130">
      <c r="A1130" s="94" t="n">
        <v>44057</v>
      </c>
      <c r="B1130" t="n">
        <v>6404662</v>
      </c>
    </row>
    <row r="1131">
      <c r="A1131" s="94" t="n">
        <v>44064</v>
      </c>
      <c r="B1131" t="n">
        <v>6424042</v>
      </c>
    </row>
    <row r="1132">
      <c r="A1132" s="94" t="n">
        <v>44071</v>
      </c>
      <c r="B1132" t="n">
        <v>6440237</v>
      </c>
    </row>
    <row r="1133">
      <c r="A1133" s="94" t="n">
        <v>44078</v>
      </c>
      <c r="B1133" t="n">
        <v>6458857</v>
      </c>
    </row>
    <row r="1134">
      <c r="A1134" s="94" t="n">
        <v>44085</v>
      </c>
      <c r="B1134" t="n">
        <v>6474612</v>
      </c>
    </row>
    <row r="1135">
      <c r="A1135" s="94" t="n">
        <v>44092</v>
      </c>
      <c r="B1135" t="n">
        <v>6502422</v>
      </c>
    </row>
    <row r="1136">
      <c r="A1136" s="94" t="n">
        <v>44099</v>
      </c>
      <c r="B1136" t="n">
        <v>6534815</v>
      </c>
    </row>
    <row r="1137">
      <c r="A1137" s="94" t="n">
        <v>44106</v>
      </c>
      <c r="B1137" t="n">
        <v>6705112</v>
      </c>
    </row>
    <row r="1138">
      <c r="A1138" s="94" t="n">
        <v>44113</v>
      </c>
      <c r="B1138" t="n">
        <v>6725697</v>
      </c>
    </row>
    <row r="1139">
      <c r="A1139" s="94" t="n">
        <v>44120</v>
      </c>
      <c r="B1139" t="n">
        <v>6743525</v>
      </c>
    </row>
    <row r="1140">
      <c r="A1140" s="94" t="n">
        <v>44127</v>
      </c>
      <c r="B1140" t="n">
        <v>6781825</v>
      </c>
    </row>
    <row r="1141">
      <c r="A1141" s="94" t="n">
        <v>44134</v>
      </c>
      <c r="B1141" t="n">
        <v>6775763</v>
      </c>
    </row>
    <row r="1142">
      <c r="A1142" s="94" t="n">
        <v>44141</v>
      </c>
      <c r="B1142" t="n">
        <v>6796905</v>
      </c>
    </row>
    <row r="1143">
      <c r="A1143" s="94" t="n">
        <v>44148</v>
      </c>
      <c r="B1143" t="n">
        <v>6833483</v>
      </c>
    </row>
    <row r="1144">
      <c r="A1144" s="94" t="n">
        <v>44155</v>
      </c>
      <c r="B1144" t="n">
        <v>6867814</v>
      </c>
    </row>
    <row r="1145">
      <c r="A1145" s="94" t="n">
        <v>44162</v>
      </c>
      <c r="B1145" t="n">
        <v>6883402</v>
      </c>
    </row>
    <row r="1146">
      <c r="A1146" s="94" t="n">
        <v>44169</v>
      </c>
      <c r="B1146" t="n">
        <v>6923120</v>
      </c>
    </row>
    <row r="1147">
      <c r="A1147" s="94" t="n">
        <v>44176</v>
      </c>
      <c r="B1147" t="n">
        <v>6949632</v>
      </c>
    </row>
    <row r="1148">
      <c r="A1148" s="94" t="n">
        <v>44183</v>
      </c>
      <c r="B1148" t="n">
        <v>7008896</v>
      </c>
    </row>
    <row r="1149">
      <c r="A1149" s="94" t="n">
        <v>44190</v>
      </c>
      <c r="B1149" t="n">
        <v>7014661</v>
      </c>
    </row>
    <row r="1150">
      <c r="A1150" s="94" t="n">
        <v>44197</v>
      </c>
      <c r="B1150" t="n">
        <v>6979324</v>
      </c>
    </row>
    <row r="1151">
      <c r="A1151" s="94" t="n">
        <v>44204</v>
      </c>
      <c r="B1151" t="n">
        <v>6984713</v>
      </c>
    </row>
    <row r="1152">
      <c r="A1152" s="94" t="n">
        <v>44211</v>
      </c>
      <c r="B1152" t="n">
        <v>7015645</v>
      </c>
    </row>
    <row r="1153">
      <c r="A1153" s="94" t="n">
        <v>44218</v>
      </c>
      <c r="B1153" t="n">
        <v>7024240</v>
      </c>
    </row>
    <row r="1154">
      <c r="A1154" s="94" t="n">
        <v>44225</v>
      </c>
      <c r="B1154" t="n">
        <v>7033256</v>
      </c>
    </row>
    <row r="1155">
      <c r="A1155" s="94" t="n">
        <v>44232</v>
      </c>
      <c r="B1155" t="n">
        <v>7054472</v>
      </c>
    </row>
    <row r="1156">
      <c r="A1156" s="94" t="n">
        <v>44239</v>
      </c>
      <c r="B1156" t="n">
        <v>7079135</v>
      </c>
    </row>
    <row r="1157">
      <c r="A1157" s="94" t="n">
        <v>44246</v>
      </c>
      <c r="B1157" t="n">
        <v>7101159</v>
      </c>
    </row>
    <row r="1158">
      <c r="A1158" s="94" t="n">
        <v>44253</v>
      </c>
      <c r="B1158" t="n">
        <v>7110487</v>
      </c>
    </row>
    <row r="1159">
      <c r="A1159" s="94" t="n">
        <v>44260</v>
      </c>
      <c r="B1159" t="n">
        <v>7120334</v>
      </c>
    </row>
    <row r="1160">
      <c r="A1160" s="94" t="n">
        <v>44267</v>
      </c>
      <c r="B1160" t="n">
        <v>7137484</v>
      </c>
    </row>
    <row r="1161">
      <c r="A1161" s="94" t="n">
        <v>44274</v>
      </c>
      <c r="B1161" t="n">
        <v>7162230</v>
      </c>
    </row>
    <row r="1162">
      <c r="A1162" s="94" t="n">
        <v>44281</v>
      </c>
      <c r="B1162" t="n">
        <v>7505021</v>
      </c>
    </row>
    <row r="1163">
      <c r="A1163" s="94" t="n">
        <v>44288</v>
      </c>
      <c r="B1163" t="n">
        <v>7494111</v>
      </c>
    </row>
    <row r="1164">
      <c r="A1164" s="94" t="n">
        <v>44295</v>
      </c>
      <c r="B1164" t="n">
        <v>7514267</v>
      </c>
    </row>
    <row r="1165">
      <c r="A1165" s="94" t="n">
        <v>44302</v>
      </c>
      <c r="B1165" t="n">
        <v>7522199</v>
      </c>
    </row>
    <row r="1166">
      <c r="A1166" s="94" t="n">
        <v>44309</v>
      </c>
      <c r="B1166" t="n">
        <v>7558280</v>
      </c>
    </row>
    <row r="1167">
      <c r="A1167" s="94" t="n">
        <v>44316</v>
      </c>
      <c r="B1167" t="n">
        <v>7567945</v>
      </c>
    </row>
    <row r="1168">
      <c r="A1168" s="94" t="n">
        <v>44323</v>
      </c>
      <c r="B1168" t="n">
        <v>7588768</v>
      </c>
    </row>
    <row r="1169">
      <c r="A1169" s="94" t="n">
        <v>44330</v>
      </c>
      <c r="B1169" t="n">
        <v>7615694</v>
      </c>
    </row>
    <row r="1170">
      <c r="A1170" s="94" t="n">
        <v>44337</v>
      </c>
      <c r="B1170" t="n">
        <v>7643170</v>
      </c>
    </row>
    <row r="1171">
      <c r="A1171" s="94" t="n">
        <v>44344</v>
      </c>
      <c r="B1171" t="n">
        <v>7657629</v>
      </c>
    </row>
    <row r="1172">
      <c r="A1172" s="94" t="n">
        <v>44351</v>
      </c>
      <c r="B1172" t="n">
        <v>7680137</v>
      </c>
    </row>
    <row r="1173">
      <c r="A1173" s="94" t="n">
        <v>44358</v>
      </c>
      <c r="B1173" t="n">
        <v>7700937</v>
      </c>
    </row>
    <row r="1174">
      <c r="A1174" s="94" t="n">
        <v>44365</v>
      </c>
      <c r="B1174" t="n">
        <v>7736536</v>
      </c>
    </row>
    <row r="1175">
      <c r="A1175" s="94" t="n">
        <v>44372</v>
      </c>
      <c r="B1175" t="n">
        <v>7877127</v>
      </c>
    </row>
    <row r="1176">
      <c r="A1176" s="94" t="n">
        <v>44379</v>
      </c>
      <c r="B1176" t="n">
        <v>7907807</v>
      </c>
    </row>
    <row r="1177">
      <c r="A1177" s="94" t="n">
        <v>44386</v>
      </c>
      <c r="B1177" t="n">
        <v>7926550</v>
      </c>
    </row>
    <row r="1178">
      <c r="A1178" s="94" t="n">
        <v>44393</v>
      </c>
      <c r="B1178" t="n">
        <v>7950657</v>
      </c>
    </row>
    <row r="1179">
      <c r="A1179" s="94" t="n">
        <v>44400</v>
      </c>
      <c r="B1179" t="n">
        <v>7988045</v>
      </c>
    </row>
    <row r="1180">
      <c r="A1180" s="94" t="n">
        <v>44407</v>
      </c>
      <c r="B1180" t="n">
        <v>7987364</v>
      </c>
    </row>
    <row r="1181">
      <c r="A1181" s="94" t="n">
        <v>44414</v>
      </c>
      <c r="B1181" t="n">
        <v>8009676</v>
      </c>
    </row>
    <row r="1182">
      <c r="A1182" s="94" t="n">
        <v>44421</v>
      </c>
      <c r="B1182" t="n">
        <v>8036014</v>
      </c>
    </row>
    <row r="1183">
      <c r="A1183" s="94" t="n">
        <v>44428</v>
      </c>
      <c r="B1183" t="n">
        <v>8052776</v>
      </c>
    </row>
    <row r="1184">
      <c r="A1184" s="94" t="n">
        <v>44435</v>
      </c>
      <c r="B1184" t="n">
        <v>8191312</v>
      </c>
    </row>
    <row r="1185">
      <c r="A1185" s="94" t="n">
        <v>44442</v>
      </c>
      <c r="B1185" t="n">
        <v>8207534</v>
      </c>
    </row>
    <row r="1186">
      <c r="A1186" s="94" t="n">
        <v>44449</v>
      </c>
      <c r="B1186" t="n">
        <v>8222733</v>
      </c>
    </row>
    <row r="1187">
      <c r="A1187" s="94" t="n">
        <v>44456</v>
      </c>
      <c r="B1187" t="n">
        <v>8244572</v>
      </c>
    </row>
    <row r="1188">
      <c r="A1188" s="94" t="n">
        <v>44463</v>
      </c>
      <c r="B1188" t="n">
        <v>8273207</v>
      </c>
    </row>
    <row r="1189">
      <c r="A1189" s="94" t="n">
        <v>44470</v>
      </c>
      <c r="B1189" t="n">
        <v>8289148</v>
      </c>
    </row>
    <row r="1190">
      <c r="A1190" s="94" t="n">
        <v>44477</v>
      </c>
      <c r="B1190" t="n">
        <v>8314285</v>
      </c>
    </row>
    <row r="1191">
      <c r="A1191" s="94" t="n">
        <v>44484</v>
      </c>
      <c r="B1191" t="n">
        <v>8336713</v>
      </c>
    </row>
    <row r="1192">
      <c r="A1192" s="94" t="n">
        <v>44491</v>
      </c>
      <c r="B1192" t="n">
        <v>8368278</v>
      </c>
    </row>
    <row r="1193">
      <c r="A1193" s="94" t="n">
        <v>44498</v>
      </c>
      <c r="B1193" t="n">
        <v>8366071</v>
      </c>
    </row>
    <row r="1194">
      <c r="A1194" s="94" t="n">
        <v>44505</v>
      </c>
      <c r="B1194" t="n">
        <v>8382672</v>
      </c>
    </row>
    <row r="1195">
      <c r="A1195" s="94" t="n">
        <v>44512</v>
      </c>
      <c r="B1195" t="n">
        <v>8414393</v>
      </c>
    </row>
    <row r="1196">
      <c r="A1196" s="94" t="n">
        <v>44519</v>
      </c>
      <c r="B1196" t="n">
        <v>8442311</v>
      </c>
    </row>
    <row r="1197">
      <c r="A1197" s="94" t="n">
        <v>44526</v>
      </c>
      <c r="B1197" t="n">
        <v>8456991</v>
      </c>
    </row>
    <row r="1198">
      <c r="A1198" s="94" t="n">
        <v>44533</v>
      </c>
      <c r="B1198" t="n">
        <v>8469908</v>
      </c>
    </row>
    <row r="1199">
      <c r="A1199" s="94" t="n">
        <v>44540</v>
      </c>
      <c r="B1199" t="n">
        <v>8496633</v>
      </c>
    </row>
    <row r="1200">
      <c r="A1200" s="94" t="n">
        <v>44547</v>
      </c>
      <c r="B1200" t="n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868"/>
  <sheetViews>
    <sheetView zoomScale="180" zoomScaleNormal="180" workbookViewId="0">
      <pane ySplit="7" topLeftCell="A220" activePane="bottomLeft" state="frozen"/>
      <selection pane="bottomLeft" activeCell="B252" sqref="B252"/>
    </sheetView>
  </sheetViews>
  <sheetFormatPr baseColWidth="10" defaultColWidth="9.1640625" defaultRowHeight="15"/>
  <cols>
    <col width="13.83203125" customWidth="1" style="5" min="1" max="2"/>
    <col width="9.1640625" customWidth="1" style="72" min="3" max="3"/>
    <col width="9.1640625" customWidth="1" style="72" min="4" max="16384"/>
  </cols>
  <sheetData>
    <row r="1">
      <c r="A1" s="6" t="inlineStr">
        <is>
          <t>https://www.federalreserve.gov/data.htm</t>
        </is>
      </c>
      <c r="B1" s="4" t="n"/>
    </row>
    <row r="2">
      <c r="A2" s="4" t="n"/>
      <c r="B2" s="4" t="n"/>
    </row>
    <row r="3">
      <c r="A3" s="3" t="inlineStr">
        <is>
          <t>https://fred.stlouisfed.org/series/INTDSRUSM193N</t>
        </is>
      </c>
      <c r="B3" s="4" t="n"/>
    </row>
    <row r="4">
      <c r="A4" s="4" t="n"/>
      <c r="B4" s="4" t="n"/>
    </row>
    <row r="6" ht="16" customHeight="1" s="54" thickBot="1">
      <c r="A6" s="4" t="n"/>
      <c r="B6" s="4" t="n"/>
    </row>
    <row r="7" ht="16" customHeight="1" s="54" thickBot="1">
      <c r="A7" s="34" t="inlineStr">
        <is>
          <t>Month</t>
        </is>
      </c>
      <c r="B7" s="35" t="inlineStr">
        <is>
          <t>Discount Rate</t>
        </is>
      </c>
    </row>
    <row r="8">
      <c r="A8" s="79" t="n">
        <v>18264</v>
      </c>
      <c r="B8" s="33" t="n">
        <v>1.5</v>
      </c>
    </row>
    <row r="9">
      <c r="A9" s="80" t="n">
        <v>18295</v>
      </c>
      <c r="B9" s="31" t="n">
        <v>1.5</v>
      </c>
    </row>
    <row r="10">
      <c r="A10" s="80" t="n">
        <v>18323</v>
      </c>
      <c r="B10" s="31" t="n">
        <v>1.5</v>
      </c>
    </row>
    <row r="11">
      <c r="A11" s="80" t="n">
        <v>18354</v>
      </c>
      <c r="B11" s="31" t="n">
        <v>1.5</v>
      </c>
    </row>
    <row r="12">
      <c r="A12" s="80" t="n">
        <v>18384</v>
      </c>
      <c r="B12" s="31" t="n">
        <v>1.5</v>
      </c>
    </row>
    <row r="13">
      <c r="A13" s="80" t="n">
        <v>18415</v>
      </c>
      <c r="B13" s="31" t="n">
        <v>1.5</v>
      </c>
    </row>
    <row r="14">
      <c r="A14" s="80" t="n">
        <v>18445</v>
      </c>
      <c r="B14" s="31" t="n">
        <v>1.5</v>
      </c>
    </row>
    <row r="15">
      <c r="A15" s="80" t="n">
        <v>18476</v>
      </c>
      <c r="B15" s="31" t="n">
        <v>1.59</v>
      </c>
    </row>
    <row r="16">
      <c r="A16" s="80" t="n">
        <v>18507</v>
      </c>
      <c r="B16" s="31" t="n">
        <v>1.75</v>
      </c>
    </row>
    <row r="17">
      <c r="A17" s="80" t="n">
        <v>18537</v>
      </c>
      <c r="B17" s="31" t="n">
        <v>1.75</v>
      </c>
    </row>
    <row r="18">
      <c r="A18" s="80" t="n">
        <v>18568</v>
      </c>
      <c r="B18" s="31" t="n">
        <v>1.75</v>
      </c>
    </row>
    <row r="19">
      <c r="A19" s="80" t="n">
        <v>18598</v>
      </c>
      <c r="B19" s="31" t="n">
        <v>1.75</v>
      </c>
    </row>
    <row r="20">
      <c r="A20" s="80" t="n">
        <v>18629</v>
      </c>
      <c r="B20" s="31" t="n">
        <v>1.75</v>
      </c>
    </row>
    <row r="21">
      <c r="A21" s="80" t="n">
        <v>18660</v>
      </c>
      <c r="B21" s="31" t="n">
        <v>1.75</v>
      </c>
    </row>
    <row r="22">
      <c r="A22" s="80" t="n">
        <v>18688</v>
      </c>
      <c r="B22" s="31" t="n">
        <v>1.75</v>
      </c>
    </row>
    <row r="23">
      <c r="A23" s="80" t="n">
        <v>18719</v>
      </c>
      <c r="B23" s="31" t="n">
        <v>1.75</v>
      </c>
    </row>
    <row r="24">
      <c r="A24" s="80" t="n">
        <v>18749</v>
      </c>
      <c r="B24" s="31" t="n">
        <v>1.75</v>
      </c>
    </row>
    <row r="25">
      <c r="A25" s="80" t="n">
        <v>18780</v>
      </c>
      <c r="B25" s="31" t="n">
        <v>1.75</v>
      </c>
    </row>
    <row r="26">
      <c r="A26" s="80" t="n">
        <v>18810</v>
      </c>
      <c r="B26" s="31" t="n">
        <v>1.75</v>
      </c>
    </row>
    <row r="27">
      <c r="A27" s="80" t="n">
        <v>18841</v>
      </c>
      <c r="B27" s="31" t="n">
        <v>1.75</v>
      </c>
    </row>
    <row r="28">
      <c r="A28" s="80" t="n">
        <v>18872</v>
      </c>
      <c r="B28" s="31" t="n">
        <v>1.75</v>
      </c>
    </row>
    <row r="29">
      <c r="A29" s="80" t="n">
        <v>18902</v>
      </c>
      <c r="B29" s="31" t="n">
        <v>1.75</v>
      </c>
    </row>
    <row r="30">
      <c r="A30" s="80" t="n">
        <v>18933</v>
      </c>
      <c r="B30" s="31" t="n">
        <v>1.75</v>
      </c>
    </row>
    <row r="31">
      <c r="A31" s="80" t="n">
        <v>18963</v>
      </c>
      <c r="B31" s="31" t="n">
        <v>1.75</v>
      </c>
    </row>
    <row r="32">
      <c r="A32" s="80" t="n">
        <v>18994</v>
      </c>
      <c r="B32" s="31" t="n">
        <v>1.75</v>
      </c>
    </row>
    <row r="33">
      <c r="A33" s="80" t="n">
        <v>19025</v>
      </c>
      <c r="B33" s="31" t="n">
        <v>1.75</v>
      </c>
    </row>
    <row r="34">
      <c r="A34" s="80" t="n">
        <v>19054</v>
      </c>
      <c r="B34" s="31" t="n">
        <v>1.75</v>
      </c>
    </row>
    <row r="35">
      <c r="A35" s="80" t="n">
        <v>19085</v>
      </c>
      <c r="B35" s="31" t="n">
        <v>1.75</v>
      </c>
    </row>
    <row r="36">
      <c r="A36" s="80" t="n">
        <v>19115</v>
      </c>
      <c r="B36" s="31" t="n">
        <v>1.75</v>
      </c>
    </row>
    <row r="37">
      <c r="A37" s="80" t="n">
        <v>19146</v>
      </c>
      <c r="B37" s="31" t="n">
        <v>1.75</v>
      </c>
    </row>
    <row r="38">
      <c r="A38" s="80" t="n">
        <v>19176</v>
      </c>
      <c r="B38" s="31" t="n">
        <v>1.75</v>
      </c>
    </row>
    <row r="39">
      <c r="A39" s="80" t="n">
        <v>19207</v>
      </c>
      <c r="B39" s="31" t="n">
        <v>1.75</v>
      </c>
    </row>
    <row r="40">
      <c r="A40" s="80" t="n">
        <v>19238</v>
      </c>
      <c r="B40" s="31" t="n">
        <v>1.75</v>
      </c>
    </row>
    <row r="41">
      <c r="A41" s="80" t="n">
        <v>19268</v>
      </c>
      <c r="B41" s="31" t="n">
        <v>1.75</v>
      </c>
    </row>
    <row r="42">
      <c r="A42" s="80" t="n">
        <v>19299</v>
      </c>
      <c r="B42" s="31" t="n">
        <v>1.75</v>
      </c>
    </row>
    <row r="43">
      <c r="A43" s="80" t="n">
        <v>19329</v>
      </c>
      <c r="B43" s="31" t="n">
        <v>1.75</v>
      </c>
    </row>
    <row r="44">
      <c r="A44" s="80" t="n">
        <v>19360</v>
      </c>
      <c r="B44" s="31" t="n">
        <v>1.88</v>
      </c>
    </row>
    <row r="45">
      <c r="A45" s="80" t="n">
        <v>19391</v>
      </c>
      <c r="B45" s="31" t="n">
        <v>2</v>
      </c>
    </row>
    <row r="46">
      <c r="A46" s="80" t="n">
        <v>19419</v>
      </c>
      <c r="B46" s="31" t="n">
        <v>2</v>
      </c>
    </row>
    <row r="47">
      <c r="A47" s="80" t="n">
        <v>19450</v>
      </c>
      <c r="B47" s="31" t="n">
        <v>2</v>
      </c>
    </row>
    <row r="48">
      <c r="A48" s="80" t="n">
        <v>19480</v>
      </c>
      <c r="B48" s="31" t="n">
        <v>2</v>
      </c>
    </row>
    <row r="49">
      <c r="A49" s="80" t="n">
        <v>19511</v>
      </c>
      <c r="B49" s="31" t="n">
        <v>2</v>
      </c>
    </row>
    <row r="50">
      <c r="A50" s="80" t="n">
        <v>19541</v>
      </c>
      <c r="B50" s="31" t="n">
        <v>2</v>
      </c>
    </row>
    <row r="51">
      <c r="A51" s="80" t="n">
        <v>19572</v>
      </c>
      <c r="B51" s="31" t="n">
        <v>2</v>
      </c>
    </row>
    <row r="52">
      <c r="A52" s="80" t="n">
        <v>19603</v>
      </c>
      <c r="B52" s="31" t="n">
        <v>2</v>
      </c>
    </row>
    <row r="53">
      <c r="A53" s="80" t="n">
        <v>19633</v>
      </c>
      <c r="B53" s="31" t="n">
        <v>2</v>
      </c>
    </row>
    <row r="54">
      <c r="A54" s="80" t="n">
        <v>19664</v>
      </c>
      <c r="B54" s="31" t="n">
        <v>2</v>
      </c>
    </row>
    <row r="55">
      <c r="A55" s="80" t="n">
        <v>19694</v>
      </c>
      <c r="B55" s="31" t="n">
        <v>2</v>
      </c>
    </row>
    <row r="56">
      <c r="A56" s="80" t="n">
        <v>19725</v>
      </c>
      <c r="B56" s="31" t="n">
        <v>2</v>
      </c>
    </row>
    <row r="57">
      <c r="A57" s="80" t="n">
        <v>19756</v>
      </c>
      <c r="B57" s="31" t="n">
        <v>1.79</v>
      </c>
    </row>
    <row r="58">
      <c r="A58" s="80" t="n">
        <v>19784</v>
      </c>
      <c r="B58" s="31" t="n">
        <v>1.75</v>
      </c>
    </row>
    <row r="59">
      <c r="A59" s="80" t="n">
        <v>19815</v>
      </c>
      <c r="B59" s="31" t="n">
        <v>1.63</v>
      </c>
    </row>
    <row r="60">
      <c r="A60" s="80" t="n">
        <v>19845</v>
      </c>
      <c r="B60" s="31" t="n">
        <v>1.5</v>
      </c>
    </row>
    <row r="61">
      <c r="A61" s="80" t="n">
        <v>19876</v>
      </c>
      <c r="B61" s="31" t="n">
        <v>1.5</v>
      </c>
    </row>
    <row r="62">
      <c r="A62" s="80" t="n">
        <v>19906</v>
      </c>
      <c r="B62" s="31" t="n">
        <v>1.5</v>
      </c>
    </row>
    <row r="63">
      <c r="A63" s="80" t="n">
        <v>19937</v>
      </c>
      <c r="B63" s="31" t="n">
        <v>1.5</v>
      </c>
    </row>
    <row r="64">
      <c r="A64" s="80" t="n">
        <v>19968</v>
      </c>
      <c r="B64" s="31" t="n">
        <v>1.5</v>
      </c>
    </row>
    <row r="65">
      <c r="A65" s="80" t="n">
        <v>19998</v>
      </c>
      <c r="B65" s="31" t="n">
        <v>1.5</v>
      </c>
    </row>
    <row r="66">
      <c r="A66" s="80" t="n">
        <v>20029</v>
      </c>
      <c r="B66" s="31" t="n">
        <v>1.5</v>
      </c>
    </row>
    <row r="67">
      <c r="A67" s="80" t="n">
        <v>20059</v>
      </c>
      <c r="B67" s="31" t="n">
        <v>1.5</v>
      </c>
    </row>
    <row r="68">
      <c r="A68" s="80" t="n">
        <v>20090</v>
      </c>
      <c r="B68" s="31" t="n">
        <v>1.5</v>
      </c>
    </row>
    <row r="69">
      <c r="A69" s="80" t="n">
        <v>20121</v>
      </c>
      <c r="B69" s="31" t="n">
        <v>1.5</v>
      </c>
    </row>
    <row r="70">
      <c r="A70" s="80" t="n">
        <v>20149</v>
      </c>
      <c r="B70" s="31" t="n">
        <v>1.5</v>
      </c>
    </row>
    <row r="71">
      <c r="A71" s="80" t="n">
        <v>20180</v>
      </c>
      <c r="B71" s="31" t="n">
        <v>1.63</v>
      </c>
    </row>
    <row r="72">
      <c r="A72" s="80" t="n">
        <v>20210</v>
      </c>
      <c r="B72" s="31" t="n">
        <v>1.75</v>
      </c>
    </row>
    <row r="73">
      <c r="A73" s="80" t="n">
        <v>20241</v>
      </c>
      <c r="B73" s="31" t="n">
        <v>1.75</v>
      </c>
    </row>
    <row r="74">
      <c r="A74" s="80" t="n">
        <v>20271</v>
      </c>
      <c r="B74" s="31" t="n">
        <v>1.75</v>
      </c>
    </row>
    <row r="75">
      <c r="A75" s="80" t="n">
        <v>20302</v>
      </c>
      <c r="B75" s="31" t="n">
        <v>1.97</v>
      </c>
    </row>
    <row r="76">
      <c r="A76" s="80" t="n">
        <v>20333</v>
      </c>
      <c r="B76" s="31" t="n">
        <v>2.18</v>
      </c>
    </row>
    <row r="77">
      <c r="A77" s="80" t="n">
        <v>20363</v>
      </c>
      <c r="B77" s="31" t="n">
        <v>2.25</v>
      </c>
    </row>
    <row r="78">
      <c r="A78" s="80" t="n">
        <v>20394</v>
      </c>
      <c r="B78" s="31" t="n">
        <v>2.36</v>
      </c>
    </row>
    <row r="79">
      <c r="A79" s="80" t="n">
        <v>20424</v>
      </c>
      <c r="B79" s="31" t="n">
        <v>2.5</v>
      </c>
    </row>
    <row r="80">
      <c r="A80" s="80" t="n">
        <v>20455</v>
      </c>
      <c r="B80" s="31" t="n">
        <v>2.5</v>
      </c>
    </row>
    <row r="81">
      <c r="A81" s="80" t="n">
        <v>20486</v>
      </c>
      <c r="B81" s="31" t="n">
        <v>2.5</v>
      </c>
    </row>
    <row r="82">
      <c r="A82" s="80" t="n">
        <v>20515</v>
      </c>
      <c r="B82" s="31" t="n">
        <v>2.5</v>
      </c>
    </row>
    <row r="83">
      <c r="A83" s="80" t="n">
        <v>20546</v>
      </c>
      <c r="B83" s="31" t="n">
        <v>2.65</v>
      </c>
    </row>
    <row r="84">
      <c r="A84" s="80" t="n">
        <v>20576</v>
      </c>
      <c r="B84" s="31" t="n">
        <v>2.75</v>
      </c>
    </row>
    <row r="85">
      <c r="A85" s="80" t="n">
        <v>20607</v>
      </c>
      <c r="B85" s="31" t="n">
        <v>2.75</v>
      </c>
    </row>
    <row r="86">
      <c r="A86" s="80" t="n">
        <v>20637</v>
      </c>
      <c r="B86" s="31" t="n">
        <v>2.75</v>
      </c>
    </row>
    <row r="87">
      <c r="A87" s="80" t="n">
        <v>20668</v>
      </c>
      <c r="B87" s="31" t="n">
        <v>2.81</v>
      </c>
    </row>
    <row r="88">
      <c r="A88" s="80" t="n">
        <v>20699</v>
      </c>
      <c r="B88" s="31" t="n">
        <v>3</v>
      </c>
    </row>
    <row r="89">
      <c r="A89" s="80" t="n">
        <v>20729</v>
      </c>
      <c r="B89" s="31" t="n">
        <v>3</v>
      </c>
    </row>
    <row r="90">
      <c r="A90" s="80" t="n">
        <v>20760</v>
      </c>
      <c r="B90" s="31" t="n">
        <v>3</v>
      </c>
    </row>
    <row r="91">
      <c r="A91" s="80" t="n">
        <v>20790</v>
      </c>
      <c r="B91" s="31" t="n">
        <v>3</v>
      </c>
    </row>
    <row r="92">
      <c r="A92" s="80" t="n">
        <v>20821</v>
      </c>
      <c r="B92" s="31" t="n">
        <v>3</v>
      </c>
    </row>
    <row r="93">
      <c r="A93" s="80" t="n">
        <v>20852</v>
      </c>
      <c r="B93" s="31" t="n">
        <v>3</v>
      </c>
    </row>
    <row r="94">
      <c r="A94" s="80" t="n">
        <v>20880</v>
      </c>
      <c r="B94" s="31" t="n">
        <v>3</v>
      </c>
    </row>
    <row r="95">
      <c r="A95" s="80" t="n">
        <v>20911</v>
      </c>
      <c r="B95" s="31" t="n">
        <v>3</v>
      </c>
    </row>
    <row r="96">
      <c r="A96" s="80" t="n">
        <v>20941</v>
      </c>
      <c r="B96" s="31" t="n">
        <v>3</v>
      </c>
    </row>
    <row r="97">
      <c r="A97" s="80" t="n">
        <v>20972</v>
      </c>
      <c r="B97" s="31" t="n">
        <v>3</v>
      </c>
    </row>
    <row r="98">
      <c r="A98" s="80" t="n">
        <v>21002</v>
      </c>
      <c r="B98" s="31" t="n">
        <v>3</v>
      </c>
    </row>
    <row r="99">
      <c r="A99" s="80" t="n">
        <v>21033</v>
      </c>
      <c r="B99" s="31" t="n">
        <v>3.15</v>
      </c>
    </row>
    <row r="100">
      <c r="A100" s="80" t="n">
        <v>21064</v>
      </c>
      <c r="B100" s="31" t="n">
        <v>3.5</v>
      </c>
    </row>
    <row r="101">
      <c r="A101" s="80" t="n">
        <v>21094</v>
      </c>
      <c r="B101" s="31" t="n">
        <v>3.5</v>
      </c>
    </row>
    <row r="102">
      <c r="A102" s="80" t="n">
        <v>21125</v>
      </c>
      <c r="B102" s="31" t="n">
        <v>3.23</v>
      </c>
    </row>
    <row r="103">
      <c r="A103" s="80" t="n">
        <v>21155</v>
      </c>
      <c r="B103" s="31" t="n">
        <v>3</v>
      </c>
    </row>
    <row r="104">
      <c r="A104" s="80" t="n">
        <v>21186</v>
      </c>
      <c r="B104" s="31" t="n">
        <v>2.94</v>
      </c>
    </row>
    <row r="105">
      <c r="A105" s="80" t="n">
        <v>21217</v>
      </c>
      <c r="B105" s="31" t="n">
        <v>2.75</v>
      </c>
    </row>
    <row r="106">
      <c r="A106" s="80" t="n">
        <v>21245</v>
      </c>
      <c r="B106" s="31" t="n">
        <v>2.35</v>
      </c>
    </row>
    <row r="107">
      <c r="A107" s="80" t="n">
        <v>21276</v>
      </c>
      <c r="B107" s="31" t="n">
        <v>2.03</v>
      </c>
    </row>
    <row r="108">
      <c r="A108" s="80" t="n">
        <v>21306</v>
      </c>
      <c r="B108" s="31" t="n">
        <v>1.75</v>
      </c>
    </row>
    <row r="109">
      <c r="A109" s="80" t="n">
        <v>21337</v>
      </c>
      <c r="B109" s="31" t="n">
        <v>1.75</v>
      </c>
    </row>
    <row r="110">
      <c r="A110" s="80" t="n">
        <v>21367</v>
      </c>
      <c r="B110" s="31" t="n">
        <v>1.75</v>
      </c>
    </row>
    <row r="111">
      <c r="A111" s="80" t="n">
        <v>21398</v>
      </c>
      <c r="B111" s="31" t="n">
        <v>1.75</v>
      </c>
    </row>
    <row r="112">
      <c r="A112" s="80" t="n">
        <v>21429</v>
      </c>
      <c r="B112" s="31" t="n">
        <v>1.91</v>
      </c>
    </row>
    <row r="113">
      <c r="A113" s="80" t="n">
        <v>21459</v>
      </c>
      <c r="B113" s="31" t="n">
        <v>2</v>
      </c>
    </row>
    <row r="114">
      <c r="A114" s="80" t="n">
        <v>21490</v>
      </c>
      <c r="B114" s="31" t="n">
        <v>2.4</v>
      </c>
    </row>
    <row r="115">
      <c r="A115" s="80" t="n">
        <v>21520</v>
      </c>
      <c r="B115" s="31" t="n">
        <v>2.5</v>
      </c>
    </row>
    <row r="116">
      <c r="A116" s="80" t="n">
        <v>21551</v>
      </c>
      <c r="B116" s="31" t="n">
        <v>2.5</v>
      </c>
    </row>
    <row r="117">
      <c r="A117" s="80" t="n">
        <v>21582</v>
      </c>
      <c r="B117" s="31" t="n">
        <v>2.5</v>
      </c>
    </row>
    <row r="118">
      <c r="A118" s="80" t="n">
        <v>21610</v>
      </c>
      <c r="B118" s="31" t="n">
        <v>2.92</v>
      </c>
    </row>
    <row r="119">
      <c r="A119" s="80" t="n">
        <v>21641</v>
      </c>
      <c r="B119" s="31" t="n">
        <v>3</v>
      </c>
    </row>
    <row r="120">
      <c r="A120" s="80" t="n">
        <v>21671</v>
      </c>
      <c r="B120" s="31" t="n">
        <v>3.05</v>
      </c>
    </row>
    <row r="121">
      <c r="A121" s="80" t="n">
        <v>21702</v>
      </c>
      <c r="B121" s="31" t="n">
        <v>3.5</v>
      </c>
    </row>
    <row r="122">
      <c r="A122" s="80" t="n">
        <v>21732</v>
      </c>
      <c r="B122" s="31" t="n">
        <v>3.5</v>
      </c>
    </row>
    <row r="123">
      <c r="A123" s="80" t="n">
        <v>21763</v>
      </c>
      <c r="B123" s="31" t="n">
        <v>3.5</v>
      </c>
    </row>
    <row r="124">
      <c r="A124" s="80" t="n">
        <v>21794</v>
      </c>
      <c r="B124" s="31" t="n">
        <v>3.83</v>
      </c>
    </row>
    <row r="125">
      <c r="A125" s="80" t="n">
        <v>21824</v>
      </c>
      <c r="B125" s="31" t="n">
        <v>4</v>
      </c>
    </row>
    <row r="126">
      <c r="A126" s="80" t="n">
        <v>21855</v>
      </c>
      <c r="B126" s="31" t="n">
        <v>4</v>
      </c>
    </row>
    <row r="127">
      <c r="A127" s="80" t="n">
        <v>21885</v>
      </c>
      <c r="B127" s="31" t="n">
        <v>4</v>
      </c>
    </row>
    <row r="128">
      <c r="A128" s="80" t="n">
        <v>21916</v>
      </c>
      <c r="B128" s="31" t="n">
        <v>4</v>
      </c>
    </row>
    <row r="129">
      <c r="A129" s="80" t="n">
        <v>21947</v>
      </c>
      <c r="B129" s="31" t="n">
        <v>4</v>
      </c>
    </row>
    <row r="130">
      <c r="A130" s="80" t="n">
        <v>21976</v>
      </c>
      <c r="B130" s="31" t="n">
        <v>4</v>
      </c>
    </row>
    <row r="131">
      <c r="A131" s="80" t="n">
        <v>22007</v>
      </c>
      <c r="B131" s="31" t="n">
        <v>4</v>
      </c>
    </row>
    <row r="132">
      <c r="A132" s="80" t="n">
        <v>22037</v>
      </c>
      <c r="B132" s="31" t="n">
        <v>4</v>
      </c>
    </row>
    <row r="133">
      <c r="A133" s="80" t="n">
        <v>22068</v>
      </c>
      <c r="B133" s="31" t="n">
        <v>3.65</v>
      </c>
    </row>
    <row r="134">
      <c r="A134" s="80" t="n">
        <v>22098</v>
      </c>
      <c r="B134" s="31" t="n">
        <v>3.5</v>
      </c>
    </row>
    <row r="135">
      <c r="A135" s="80" t="n">
        <v>22129</v>
      </c>
      <c r="B135" s="31" t="n">
        <v>3.18</v>
      </c>
    </row>
    <row r="136">
      <c r="A136" s="80" t="n">
        <v>22160</v>
      </c>
      <c r="B136" s="31" t="n">
        <v>3</v>
      </c>
    </row>
    <row r="137">
      <c r="A137" s="80" t="n">
        <v>22190</v>
      </c>
      <c r="B137" s="31" t="n">
        <v>3</v>
      </c>
    </row>
    <row r="138">
      <c r="A138" s="80" t="n">
        <v>22221</v>
      </c>
      <c r="B138" s="31" t="n">
        <v>3</v>
      </c>
    </row>
    <row r="139">
      <c r="A139" s="80" t="n">
        <v>22251</v>
      </c>
      <c r="B139" s="31" t="n">
        <v>3</v>
      </c>
    </row>
    <row r="140">
      <c r="A140" s="80" t="n">
        <v>22282</v>
      </c>
      <c r="B140" s="31" t="n">
        <v>3</v>
      </c>
    </row>
    <row r="141">
      <c r="A141" s="80" t="n">
        <v>22313</v>
      </c>
      <c r="B141" s="31" t="n">
        <v>3</v>
      </c>
    </row>
    <row r="142">
      <c r="A142" s="80" t="n">
        <v>22341</v>
      </c>
      <c r="B142" s="31" t="n">
        <v>3</v>
      </c>
    </row>
    <row r="143">
      <c r="A143" s="80" t="n">
        <v>22372</v>
      </c>
      <c r="B143" s="31" t="n">
        <v>3</v>
      </c>
    </row>
    <row r="144">
      <c r="A144" s="80" t="n">
        <v>22402</v>
      </c>
      <c r="B144" s="31" t="n">
        <v>3</v>
      </c>
    </row>
    <row r="145">
      <c r="A145" s="80" t="n">
        <v>22433</v>
      </c>
      <c r="B145" s="31" t="n">
        <v>3</v>
      </c>
    </row>
    <row r="146">
      <c r="A146" s="80" t="n">
        <v>22463</v>
      </c>
      <c r="B146" s="31" t="n">
        <v>3</v>
      </c>
    </row>
    <row r="147">
      <c r="A147" s="80" t="n">
        <v>22494</v>
      </c>
      <c r="B147" s="31" t="n">
        <v>3</v>
      </c>
    </row>
    <row r="148">
      <c r="A148" s="80" t="n">
        <v>22525</v>
      </c>
      <c r="B148" s="31" t="n">
        <v>3</v>
      </c>
    </row>
    <row r="149">
      <c r="A149" s="80" t="n">
        <v>22555</v>
      </c>
      <c r="B149" s="31" t="n">
        <v>3</v>
      </c>
    </row>
    <row r="150">
      <c r="A150" s="80" t="n">
        <v>22586</v>
      </c>
      <c r="B150" s="31" t="n">
        <v>3</v>
      </c>
    </row>
    <row r="151">
      <c r="A151" s="80" t="n">
        <v>22616</v>
      </c>
      <c r="B151" s="31" t="n">
        <v>3</v>
      </c>
    </row>
    <row r="152">
      <c r="A152" s="80" t="n">
        <v>22647</v>
      </c>
      <c r="B152" s="31" t="n">
        <v>3</v>
      </c>
    </row>
    <row r="153">
      <c r="A153" s="80" t="n">
        <v>22678</v>
      </c>
      <c r="B153" s="31" t="n">
        <v>3</v>
      </c>
    </row>
    <row r="154">
      <c r="A154" s="80" t="n">
        <v>22706</v>
      </c>
      <c r="B154" s="31" t="n">
        <v>3</v>
      </c>
    </row>
    <row r="155">
      <c r="A155" s="80" t="n">
        <v>22737</v>
      </c>
      <c r="B155" s="31" t="n">
        <v>3</v>
      </c>
    </row>
    <row r="156">
      <c r="A156" s="80" t="n">
        <v>22767</v>
      </c>
      <c r="B156" s="31" t="n">
        <v>3</v>
      </c>
    </row>
    <row r="157">
      <c r="A157" s="80" t="n">
        <v>22798</v>
      </c>
      <c r="B157" s="31" t="n">
        <v>3</v>
      </c>
    </row>
    <row r="158">
      <c r="A158" s="80" t="n">
        <v>22828</v>
      </c>
      <c r="B158" s="31" t="n">
        <v>3</v>
      </c>
    </row>
    <row r="159">
      <c r="A159" s="80" t="n">
        <v>22859</v>
      </c>
      <c r="B159" s="31" t="n">
        <v>3</v>
      </c>
    </row>
    <row r="160">
      <c r="A160" s="80" t="n">
        <v>22890</v>
      </c>
      <c r="B160" s="31" t="n">
        <v>3</v>
      </c>
    </row>
    <row r="161">
      <c r="A161" s="80" t="n">
        <v>22920</v>
      </c>
      <c r="B161" s="31" t="n">
        <v>3</v>
      </c>
    </row>
    <row r="162">
      <c r="A162" s="80" t="n">
        <v>22951</v>
      </c>
      <c r="B162" s="31" t="n">
        <v>3</v>
      </c>
    </row>
    <row r="163">
      <c r="A163" s="80" t="n">
        <v>22981</v>
      </c>
      <c r="B163" s="31" t="n">
        <v>3</v>
      </c>
    </row>
    <row r="164">
      <c r="A164" s="80" t="n">
        <v>23012</v>
      </c>
      <c r="B164" s="31" t="n">
        <v>3</v>
      </c>
    </row>
    <row r="165">
      <c r="A165" s="80" t="n">
        <v>23043</v>
      </c>
      <c r="B165" s="31" t="n">
        <v>3</v>
      </c>
    </row>
    <row r="166">
      <c r="A166" s="80" t="n">
        <v>23071</v>
      </c>
      <c r="B166" s="31" t="n">
        <v>3</v>
      </c>
    </row>
    <row r="167">
      <c r="A167" s="80" t="n">
        <v>23102</v>
      </c>
      <c r="B167" s="31" t="n">
        <v>3</v>
      </c>
    </row>
    <row r="168">
      <c r="A168" s="80" t="n">
        <v>23132</v>
      </c>
      <c r="B168" s="31" t="n">
        <v>3</v>
      </c>
    </row>
    <row r="169">
      <c r="A169" s="80" t="n">
        <v>23163</v>
      </c>
      <c r="B169" s="31" t="n">
        <v>3</v>
      </c>
    </row>
    <row r="170">
      <c r="A170" s="80" t="n">
        <v>23193</v>
      </c>
      <c r="B170" s="31" t="n">
        <v>3.24</v>
      </c>
    </row>
    <row r="171">
      <c r="A171" s="80" t="n">
        <v>23224</v>
      </c>
      <c r="B171" s="31" t="n">
        <v>3.5</v>
      </c>
    </row>
    <row r="172">
      <c r="A172" s="80" t="n">
        <v>23255</v>
      </c>
      <c r="B172" s="31" t="n">
        <v>3.5</v>
      </c>
    </row>
    <row r="173">
      <c r="A173" s="80" t="n">
        <v>23285</v>
      </c>
      <c r="B173" s="31" t="n">
        <v>3.5</v>
      </c>
    </row>
    <row r="174">
      <c r="A174" s="80" t="n">
        <v>23316</v>
      </c>
      <c r="B174" s="31" t="n">
        <v>3.5</v>
      </c>
    </row>
    <row r="175">
      <c r="A175" s="80" t="n">
        <v>23346</v>
      </c>
      <c r="B175" s="31" t="n">
        <v>3.5</v>
      </c>
    </row>
    <row r="176">
      <c r="A176" s="80" t="n">
        <v>23377</v>
      </c>
      <c r="B176" s="31" t="n">
        <v>3.5</v>
      </c>
    </row>
    <row r="177">
      <c r="A177" s="80" t="n">
        <v>23408</v>
      </c>
      <c r="B177" s="31" t="n">
        <v>3.5</v>
      </c>
    </row>
    <row r="178">
      <c r="A178" s="80" t="n">
        <v>23437</v>
      </c>
      <c r="B178" s="31" t="n">
        <v>3.5</v>
      </c>
    </row>
    <row r="179">
      <c r="A179" s="80" t="n">
        <v>23468</v>
      </c>
      <c r="B179" s="31" t="n">
        <v>3.5</v>
      </c>
    </row>
    <row r="180">
      <c r="A180" s="80" t="n">
        <v>23498</v>
      </c>
      <c r="B180" s="31" t="n">
        <v>3.5</v>
      </c>
    </row>
    <row r="181">
      <c r="A181" s="80" t="n">
        <v>23529</v>
      </c>
      <c r="B181" s="31" t="n">
        <v>3.5</v>
      </c>
    </row>
    <row r="182">
      <c r="A182" s="80" t="n">
        <v>23559</v>
      </c>
      <c r="B182" s="31" t="n">
        <v>3.5</v>
      </c>
    </row>
    <row r="183">
      <c r="A183" s="80" t="n">
        <v>23590</v>
      </c>
      <c r="B183" s="31" t="n">
        <v>3.5</v>
      </c>
    </row>
    <row r="184">
      <c r="A184" s="80" t="n">
        <v>23621</v>
      </c>
      <c r="B184" s="31" t="n">
        <v>3.5</v>
      </c>
    </row>
    <row r="185">
      <c r="A185" s="80" t="n">
        <v>23651</v>
      </c>
      <c r="B185" s="31" t="n">
        <v>3.5</v>
      </c>
    </row>
    <row r="186">
      <c r="A186" s="80" t="n">
        <v>23682</v>
      </c>
      <c r="B186" s="31" t="n">
        <v>3.62</v>
      </c>
    </row>
    <row r="187">
      <c r="A187" s="80" t="n">
        <v>23712</v>
      </c>
      <c r="B187" s="31" t="n">
        <v>4</v>
      </c>
    </row>
    <row r="188">
      <c r="A188" s="80" t="n">
        <v>23743</v>
      </c>
      <c r="B188" s="31" t="n">
        <v>4</v>
      </c>
    </row>
    <row r="189">
      <c r="A189" s="80" t="n">
        <v>23774</v>
      </c>
      <c r="B189" s="31" t="n">
        <v>4</v>
      </c>
    </row>
    <row r="190">
      <c r="A190" s="80" t="n">
        <v>23802</v>
      </c>
      <c r="B190" s="31" t="n">
        <v>4</v>
      </c>
    </row>
    <row r="191">
      <c r="A191" s="80" t="n">
        <v>23833</v>
      </c>
      <c r="B191" s="31" t="n">
        <v>4</v>
      </c>
    </row>
    <row r="192">
      <c r="A192" s="80" t="n">
        <v>23863</v>
      </c>
      <c r="B192" s="31" t="n">
        <v>4</v>
      </c>
    </row>
    <row r="193">
      <c r="A193" s="80" t="n">
        <v>23894</v>
      </c>
      <c r="B193" s="31" t="n">
        <v>4</v>
      </c>
    </row>
    <row r="194">
      <c r="A194" s="80" t="n">
        <v>23924</v>
      </c>
      <c r="B194" s="31" t="n">
        <v>4</v>
      </c>
    </row>
    <row r="195">
      <c r="A195" s="80" t="n">
        <v>23955</v>
      </c>
      <c r="B195" s="31" t="n">
        <v>4</v>
      </c>
    </row>
    <row r="196">
      <c r="A196" s="80" t="n">
        <v>23986</v>
      </c>
      <c r="B196" s="31" t="n">
        <v>4</v>
      </c>
    </row>
    <row r="197">
      <c r="A197" s="80" t="n">
        <v>24016</v>
      </c>
      <c r="B197" s="31" t="n">
        <v>4</v>
      </c>
    </row>
    <row r="198">
      <c r="A198" s="80" t="n">
        <v>24047</v>
      </c>
      <c r="B198" s="31" t="n">
        <v>4</v>
      </c>
    </row>
    <row r="199">
      <c r="A199" s="80" t="n">
        <v>24077</v>
      </c>
      <c r="B199" s="31" t="n">
        <v>4.42</v>
      </c>
    </row>
    <row r="200">
      <c r="A200" s="80" t="n">
        <v>24108</v>
      </c>
      <c r="B200" s="31" t="n">
        <v>4.5</v>
      </c>
    </row>
    <row r="201">
      <c r="A201" s="80" t="n">
        <v>24139</v>
      </c>
      <c r="B201" s="31" t="n">
        <v>4.5</v>
      </c>
    </row>
    <row r="202">
      <c r="A202" s="80" t="n">
        <v>24167</v>
      </c>
      <c r="B202" s="31" t="n">
        <v>4.5</v>
      </c>
    </row>
    <row r="203">
      <c r="A203" s="80" t="n">
        <v>24198</v>
      </c>
      <c r="B203" s="31" t="n">
        <v>4.5</v>
      </c>
    </row>
    <row r="204">
      <c r="A204" s="80" t="n">
        <v>24228</v>
      </c>
      <c r="B204" s="31" t="n">
        <v>4.5</v>
      </c>
    </row>
    <row r="205">
      <c r="A205" s="80" t="n">
        <v>24259</v>
      </c>
      <c r="B205" s="31" t="n">
        <v>4.5</v>
      </c>
    </row>
    <row r="206">
      <c r="A206" s="80" t="n">
        <v>24289</v>
      </c>
      <c r="B206" s="31" t="n">
        <v>4.5</v>
      </c>
    </row>
    <row r="207">
      <c r="A207" s="80" t="n">
        <v>24320</v>
      </c>
      <c r="B207" s="31" t="n">
        <v>4.5</v>
      </c>
    </row>
    <row r="208">
      <c r="A208" s="80" t="n">
        <v>24351</v>
      </c>
      <c r="B208" s="31" t="n">
        <v>4.5</v>
      </c>
    </row>
    <row r="209">
      <c r="A209" s="80" t="n">
        <v>24381</v>
      </c>
      <c r="B209" s="31" t="n">
        <v>4.5</v>
      </c>
    </row>
    <row r="210">
      <c r="A210" s="80" t="n">
        <v>24412</v>
      </c>
      <c r="B210" s="31" t="n">
        <v>4.5</v>
      </c>
    </row>
    <row r="211">
      <c r="A211" s="80" t="n">
        <v>24442</v>
      </c>
      <c r="B211" s="31" t="n">
        <v>4.5</v>
      </c>
    </row>
    <row r="212">
      <c r="A212" s="80" t="n">
        <v>24473</v>
      </c>
      <c r="B212" s="31" t="n">
        <v>4.5</v>
      </c>
    </row>
    <row r="213">
      <c r="A213" s="80" t="n">
        <v>24504</v>
      </c>
      <c r="B213" s="31" t="n">
        <v>4.5</v>
      </c>
    </row>
    <row r="214">
      <c r="A214" s="80" t="n">
        <v>24532</v>
      </c>
      <c r="B214" s="31" t="n">
        <v>4.5</v>
      </c>
    </row>
    <row r="215">
      <c r="A215" s="80" t="n">
        <v>24563</v>
      </c>
      <c r="B215" s="31" t="n">
        <v>4.1</v>
      </c>
    </row>
    <row r="216">
      <c r="A216" s="80" t="n">
        <v>24593</v>
      </c>
      <c r="B216" s="31" t="n">
        <v>4</v>
      </c>
    </row>
    <row r="217">
      <c r="A217" s="80" t="n">
        <v>24624</v>
      </c>
      <c r="B217" s="31" t="n">
        <v>4</v>
      </c>
    </row>
    <row r="218">
      <c r="A218" s="80" t="n">
        <v>24654</v>
      </c>
      <c r="B218" s="31" t="n">
        <v>4</v>
      </c>
    </row>
    <row r="219">
      <c r="A219" s="80" t="n">
        <v>24685</v>
      </c>
      <c r="B219" s="31" t="n">
        <v>4</v>
      </c>
    </row>
    <row r="220">
      <c r="A220" s="80" t="n">
        <v>24716</v>
      </c>
      <c r="B220" s="31" t="n">
        <v>4</v>
      </c>
    </row>
    <row r="221">
      <c r="A221" s="80" t="n">
        <v>24746</v>
      </c>
      <c r="B221" s="31" t="n">
        <v>4</v>
      </c>
    </row>
    <row r="222">
      <c r="A222" s="80" t="n">
        <v>24777</v>
      </c>
      <c r="B222" s="31" t="n">
        <v>4.18</v>
      </c>
    </row>
    <row r="223">
      <c r="A223" s="80" t="n">
        <v>24807</v>
      </c>
      <c r="B223" s="31" t="n">
        <v>4.5</v>
      </c>
    </row>
    <row r="224">
      <c r="A224" s="80" t="n">
        <v>24838</v>
      </c>
      <c r="B224" s="31" t="n">
        <v>4.5</v>
      </c>
    </row>
    <row r="225">
      <c r="A225" s="80" t="n">
        <v>24869</v>
      </c>
      <c r="B225" s="31" t="n">
        <v>4.5</v>
      </c>
    </row>
    <row r="226">
      <c r="A226" s="80" t="n">
        <v>24898</v>
      </c>
      <c r="B226" s="31" t="n">
        <v>4.66</v>
      </c>
    </row>
    <row r="227">
      <c r="A227" s="80" t="n">
        <v>24929</v>
      </c>
      <c r="B227" s="31" t="n">
        <v>5.2</v>
      </c>
    </row>
    <row r="228">
      <c r="A228" s="80" t="n">
        <v>24959</v>
      </c>
      <c r="B228" s="31" t="n">
        <v>5.5</v>
      </c>
    </row>
    <row r="229">
      <c r="A229" s="80" t="n">
        <v>24990</v>
      </c>
      <c r="B229" s="31" t="n">
        <v>5.5</v>
      </c>
    </row>
    <row r="230">
      <c r="A230" s="80" t="n">
        <v>25020</v>
      </c>
      <c r="B230" s="31" t="n">
        <v>5.5</v>
      </c>
    </row>
    <row r="231">
      <c r="A231" s="80" t="n">
        <v>25051</v>
      </c>
      <c r="B231" s="31" t="n">
        <v>5.48</v>
      </c>
    </row>
    <row r="232">
      <c r="A232" s="80" t="n">
        <v>25082</v>
      </c>
      <c r="B232" s="31" t="n">
        <v>5.25</v>
      </c>
    </row>
    <row r="233">
      <c r="A233" s="80" t="n">
        <v>25112</v>
      </c>
      <c r="B233" s="31" t="n">
        <v>5.25</v>
      </c>
    </row>
    <row r="234">
      <c r="A234" s="80" t="n">
        <v>25143</v>
      </c>
      <c r="B234" s="31" t="n">
        <v>5.25</v>
      </c>
    </row>
    <row r="235">
      <c r="A235" s="80" t="n">
        <v>25173</v>
      </c>
      <c r="B235" s="31" t="n">
        <v>5.36</v>
      </c>
    </row>
    <row r="236">
      <c r="A236" s="80" t="n">
        <v>25204</v>
      </c>
      <c r="B236" s="31" t="n">
        <v>5.5</v>
      </c>
    </row>
    <row r="237">
      <c r="A237" s="80" t="n">
        <v>25235</v>
      </c>
      <c r="B237" s="31" t="n">
        <v>5.5</v>
      </c>
    </row>
    <row r="238">
      <c r="A238" s="80" t="n">
        <v>25263</v>
      </c>
      <c r="B238" s="31" t="n">
        <v>5.5</v>
      </c>
    </row>
    <row r="239">
      <c r="A239" s="80" t="n">
        <v>25294</v>
      </c>
      <c r="B239" s="31" t="n">
        <v>5.95</v>
      </c>
    </row>
    <row r="240">
      <c r="A240" s="80" t="n">
        <v>25324</v>
      </c>
      <c r="B240" s="31" t="n">
        <v>6</v>
      </c>
    </row>
    <row r="241">
      <c r="A241" s="80" t="n">
        <v>25355</v>
      </c>
      <c r="B241" s="31" t="n">
        <v>6</v>
      </c>
    </row>
    <row r="242">
      <c r="A242" s="80" t="n">
        <v>25385</v>
      </c>
      <c r="B242" s="31" t="n">
        <v>6</v>
      </c>
    </row>
    <row r="243">
      <c r="A243" s="80" t="n">
        <v>25416</v>
      </c>
      <c r="B243" s="31" t="n">
        <v>6</v>
      </c>
    </row>
    <row r="244">
      <c r="A244" s="80" t="n">
        <v>25447</v>
      </c>
      <c r="B244" s="31" t="n">
        <v>6</v>
      </c>
    </row>
    <row r="245">
      <c r="A245" s="80" t="n">
        <v>25477</v>
      </c>
      <c r="B245" s="31" t="n">
        <v>6</v>
      </c>
    </row>
    <row r="246">
      <c r="A246" s="80" t="n">
        <v>25508</v>
      </c>
      <c r="B246" s="31" t="n">
        <v>6</v>
      </c>
    </row>
    <row r="247">
      <c r="A247" s="80" t="n">
        <v>25538</v>
      </c>
      <c r="B247" s="31" t="n">
        <v>6</v>
      </c>
    </row>
    <row r="248">
      <c r="A248" s="80" t="n">
        <v>25569</v>
      </c>
      <c r="B248" s="31" t="n">
        <v>6</v>
      </c>
    </row>
    <row r="249">
      <c r="A249" s="80" t="n">
        <v>25600</v>
      </c>
      <c r="B249" s="31" t="n">
        <v>6</v>
      </c>
    </row>
    <row r="250">
      <c r="A250" s="80" t="n">
        <v>25628</v>
      </c>
      <c r="B250" s="31" t="n">
        <v>6</v>
      </c>
    </row>
    <row r="251">
      <c r="A251" s="80" t="n">
        <v>25659</v>
      </c>
      <c r="B251" s="31" t="n">
        <v>6</v>
      </c>
    </row>
    <row r="252">
      <c r="A252" s="80" t="n">
        <v>25689</v>
      </c>
      <c r="B252" s="31" t="n">
        <v>6</v>
      </c>
    </row>
    <row r="253">
      <c r="A253" s="80" t="n">
        <v>25720</v>
      </c>
      <c r="B253" s="31" t="n">
        <v>6</v>
      </c>
    </row>
    <row r="254">
      <c r="A254" s="80" t="n">
        <v>25750</v>
      </c>
      <c r="B254" s="31" t="n">
        <v>6</v>
      </c>
    </row>
    <row r="255">
      <c r="A255" s="80" t="n">
        <v>25781</v>
      </c>
      <c r="B255" s="31" t="n">
        <v>6</v>
      </c>
    </row>
    <row r="256">
      <c r="A256" s="80" t="n">
        <v>25812</v>
      </c>
      <c r="B256" s="31" t="n">
        <v>6</v>
      </c>
    </row>
    <row r="257">
      <c r="A257" s="80" t="n">
        <v>25842</v>
      </c>
      <c r="B257" s="31" t="n">
        <v>6</v>
      </c>
    </row>
    <row r="258">
      <c r="A258" s="80" t="n">
        <v>25873</v>
      </c>
      <c r="B258" s="31" t="n">
        <v>5.85</v>
      </c>
    </row>
    <row r="259">
      <c r="A259" s="80" t="n">
        <v>25903</v>
      </c>
      <c r="B259" s="31" t="n">
        <v>5.52</v>
      </c>
    </row>
    <row r="260">
      <c r="A260" s="80" t="n">
        <v>25934</v>
      </c>
      <c r="B260" s="31" t="n">
        <v>5.23</v>
      </c>
    </row>
    <row r="261">
      <c r="A261" s="80" t="n">
        <v>25965</v>
      </c>
      <c r="B261" s="31" t="n">
        <v>4.91</v>
      </c>
    </row>
    <row r="262">
      <c r="A262" s="80" t="n">
        <v>25993</v>
      </c>
      <c r="B262" s="31" t="n">
        <v>4.75</v>
      </c>
    </row>
    <row r="263">
      <c r="A263" s="80" t="n">
        <v>26024</v>
      </c>
      <c r="B263" s="31" t="n">
        <v>4.75</v>
      </c>
    </row>
    <row r="264">
      <c r="A264" s="80" t="n">
        <v>26054</v>
      </c>
      <c r="B264" s="31" t="n">
        <v>4.75</v>
      </c>
    </row>
    <row r="265">
      <c r="A265" s="80" t="n">
        <v>26085</v>
      </c>
      <c r="B265" s="31" t="n">
        <v>4.75</v>
      </c>
    </row>
    <row r="266">
      <c r="A266" s="80" t="n">
        <v>26115</v>
      </c>
      <c r="B266" s="31" t="n">
        <v>4.88</v>
      </c>
    </row>
    <row r="267">
      <c r="A267" s="80" t="n">
        <v>26146</v>
      </c>
      <c r="B267" s="31" t="n">
        <v>5</v>
      </c>
    </row>
    <row r="268">
      <c r="A268" s="80" t="n">
        <v>26177</v>
      </c>
      <c r="B268" s="31" t="n">
        <v>5</v>
      </c>
    </row>
    <row r="269">
      <c r="A269" s="80" t="n">
        <v>26207</v>
      </c>
      <c r="B269" s="31" t="n">
        <v>5</v>
      </c>
    </row>
    <row r="270">
      <c r="A270" s="80" t="n">
        <v>26238</v>
      </c>
      <c r="B270" s="31" t="n">
        <v>4.9</v>
      </c>
    </row>
    <row r="271">
      <c r="A271" s="80" t="n">
        <v>26268</v>
      </c>
      <c r="B271" s="31" t="n">
        <v>4.63</v>
      </c>
    </row>
    <row r="272">
      <c r="A272" s="80" t="n">
        <v>26299</v>
      </c>
      <c r="B272" s="31" t="n">
        <v>4.5</v>
      </c>
    </row>
    <row r="273">
      <c r="A273" s="80" t="n">
        <v>26330</v>
      </c>
      <c r="B273" s="31" t="n">
        <v>4.5</v>
      </c>
    </row>
    <row r="274">
      <c r="A274" s="80" t="n">
        <v>26359</v>
      </c>
      <c r="B274" s="31" t="n">
        <v>4.5</v>
      </c>
    </row>
    <row r="275">
      <c r="A275" s="80" t="n">
        <v>26390</v>
      </c>
      <c r="B275" s="31" t="n">
        <v>4.5</v>
      </c>
    </row>
    <row r="276">
      <c r="A276" s="80" t="n">
        <v>26420</v>
      </c>
      <c r="B276" s="31" t="n">
        <v>4.5</v>
      </c>
    </row>
    <row r="277">
      <c r="A277" s="80" t="n">
        <v>26451</v>
      </c>
      <c r="B277" s="31" t="n">
        <v>4.5</v>
      </c>
    </row>
    <row r="278">
      <c r="A278" s="80" t="n">
        <v>26481</v>
      </c>
      <c r="B278" s="31" t="n">
        <v>4.5</v>
      </c>
    </row>
    <row r="279">
      <c r="A279" s="80" t="n">
        <v>26512</v>
      </c>
      <c r="B279" s="31" t="n">
        <v>4.5</v>
      </c>
    </row>
    <row r="280">
      <c r="A280" s="80" t="n">
        <v>26543</v>
      </c>
      <c r="B280" s="31" t="n">
        <v>4.5</v>
      </c>
    </row>
    <row r="281">
      <c r="A281" s="80" t="n">
        <v>26573</v>
      </c>
      <c r="B281" s="31" t="n">
        <v>4.5</v>
      </c>
    </row>
    <row r="282">
      <c r="A282" s="80" t="n">
        <v>26604</v>
      </c>
      <c r="B282" s="31" t="n">
        <v>4.5</v>
      </c>
    </row>
    <row r="283">
      <c r="A283" s="80" t="n">
        <v>26634</v>
      </c>
      <c r="B283" s="31" t="n">
        <v>4.5</v>
      </c>
    </row>
    <row r="284">
      <c r="A284" s="80" t="n">
        <v>26665</v>
      </c>
      <c r="B284" s="31" t="n">
        <v>4.77</v>
      </c>
    </row>
    <row r="285">
      <c r="A285" s="80" t="n">
        <v>26696</v>
      </c>
      <c r="B285" s="31" t="n">
        <v>5.05</v>
      </c>
    </row>
    <row r="286">
      <c r="A286" s="80" t="n">
        <v>26724</v>
      </c>
      <c r="B286" s="31" t="n">
        <v>5.5</v>
      </c>
    </row>
    <row r="287">
      <c r="A287" s="80" t="n">
        <v>26755</v>
      </c>
      <c r="B287" s="31" t="n">
        <v>5.5</v>
      </c>
    </row>
    <row r="288">
      <c r="A288" s="80" t="n">
        <v>26785</v>
      </c>
      <c r="B288" s="31" t="n">
        <v>5.9</v>
      </c>
    </row>
    <row r="289">
      <c r="A289" s="80" t="n">
        <v>26816</v>
      </c>
      <c r="B289" s="31" t="n">
        <v>6.33</v>
      </c>
    </row>
    <row r="290">
      <c r="A290" s="80" t="n">
        <v>26846</v>
      </c>
      <c r="B290" s="31" t="n">
        <v>6.98</v>
      </c>
    </row>
    <row r="291">
      <c r="A291" s="80" t="n">
        <v>26877</v>
      </c>
      <c r="B291" s="31" t="n">
        <v>7.29</v>
      </c>
    </row>
    <row r="292">
      <c r="A292" s="80" t="n">
        <v>26908</v>
      </c>
      <c r="B292" s="31" t="n">
        <v>7.5</v>
      </c>
    </row>
    <row r="293">
      <c r="A293" s="80" t="n">
        <v>26938</v>
      </c>
      <c r="B293" s="31" t="n">
        <v>7.5</v>
      </c>
    </row>
    <row r="294">
      <c r="A294" s="80" t="n">
        <v>26969</v>
      </c>
      <c r="B294" s="31" t="n">
        <v>7.5</v>
      </c>
    </row>
    <row r="295">
      <c r="A295" s="80" t="n">
        <v>26999</v>
      </c>
      <c r="B295" s="31" t="n">
        <v>7.5</v>
      </c>
    </row>
    <row r="296">
      <c r="A296" s="80" t="n">
        <v>27030</v>
      </c>
      <c r="B296" s="31" t="n">
        <v>7.5</v>
      </c>
    </row>
    <row r="297">
      <c r="A297" s="80" t="n">
        <v>27061</v>
      </c>
      <c r="B297" s="31" t="n">
        <v>7.5</v>
      </c>
    </row>
    <row r="298">
      <c r="A298" s="80" t="n">
        <v>27089</v>
      </c>
      <c r="B298" s="31" t="n">
        <v>7.5</v>
      </c>
    </row>
    <row r="299">
      <c r="A299" s="80" t="n">
        <v>27120</v>
      </c>
      <c r="B299" s="31" t="n">
        <v>7.6</v>
      </c>
    </row>
    <row r="300">
      <c r="A300" s="80" t="n">
        <v>27150</v>
      </c>
      <c r="B300" s="31" t="n">
        <v>8</v>
      </c>
    </row>
    <row r="301">
      <c r="A301" s="80" t="n">
        <v>27181</v>
      </c>
      <c r="B301" s="31" t="n">
        <v>8</v>
      </c>
    </row>
    <row r="302">
      <c r="A302" s="80" t="n">
        <v>27211</v>
      </c>
      <c r="B302" s="31" t="n">
        <v>8</v>
      </c>
    </row>
    <row r="303">
      <c r="A303" s="80" t="n">
        <v>27242</v>
      </c>
      <c r="B303" s="31" t="n">
        <v>8</v>
      </c>
    </row>
    <row r="304">
      <c r="A304" s="80" t="n">
        <v>27273</v>
      </c>
      <c r="B304" s="31" t="n">
        <v>8</v>
      </c>
    </row>
    <row r="305">
      <c r="A305" s="80" t="n">
        <v>27303</v>
      </c>
      <c r="B305" s="31" t="n">
        <v>8</v>
      </c>
    </row>
    <row r="306">
      <c r="A306" s="80" t="n">
        <v>27334</v>
      </c>
      <c r="B306" s="31" t="n">
        <v>8</v>
      </c>
    </row>
    <row r="307">
      <c r="A307" s="80" t="n">
        <v>27364</v>
      </c>
      <c r="B307" s="31" t="n">
        <v>7.81</v>
      </c>
    </row>
    <row r="308">
      <c r="A308" s="80" t="n">
        <v>27395</v>
      </c>
      <c r="B308" s="31" t="n">
        <v>7.4</v>
      </c>
    </row>
    <row r="309">
      <c r="A309" s="80" t="n">
        <v>27426</v>
      </c>
      <c r="B309" s="31" t="n">
        <v>6.82</v>
      </c>
    </row>
    <row r="310">
      <c r="A310" s="80" t="n">
        <v>27454</v>
      </c>
      <c r="B310" s="31" t="n">
        <v>6.4</v>
      </c>
    </row>
    <row r="311">
      <c r="A311" s="80" t="n">
        <v>27485</v>
      </c>
      <c r="B311" s="31" t="n">
        <v>6.25</v>
      </c>
    </row>
    <row r="312">
      <c r="A312" s="80" t="n">
        <v>27515</v>
      </c>
      <c r="B312" s="31" t="n">
        <v>6.12</v>
      </c>
    </row>
    <row r="313">
      <c r="A313" s="80" t="n">
        <v>27546</v>
      </c>
      <c r="B313" s="31" t="n">
        <v>6</v>
      </c>
    </row>
    <row r="314">
      <c r="A314" s="80" t="n">
        <v>27576</v>
      </c>
      <c r="B314" s="31" t="n">
        <v>6</v>
      </c>
    </row>
    <row r="315">
      <c r="A315" s="80" t="n">
        <v>27607</v>
      </c>
      <c r="B315" s="31" t="n">
        <v>6</v>
      </c>
    </row>
    <row r="316">
      <c r="A316" s="80" t="n">
        <v>27638</v>
      </c>
      <c r="B316" s="31" t="n">
        <v>6</v>
      </c>
    </row>
    <row r="317">
      <c r="A317" s="80" t="n">
        <v>27668</v>
      </c>
      <c r="B317" s="31" t="n">
        <v>6</v>
      </c>
    </row>
    <row r="318">
      <c r="A318" s="80" t="n">
        <v>27699</v>
      </c>
      <c r="B318" s="31" t="n">
        <v>6</v>
      </c>
    </row>
    <row r="319">
      <c r="A319" s="80" t="n">
        <v>27729</v>
      </c>
      <c r="B319" s="31" t="n">
        <v>6</v>
      </c>
    </row>
    <row r="320">
      <c r="A320" s="80" t="n">
        <v>27760</v>
      </c>
      <c r="B320" s="31" t="n">
        <v>5.79</v>
      </c>
    </row>
    <row r="321">
      <c r="A321" s="80" t="n">
        <v>27791</v>
      </c>
      <c r="B321" s="31" t="n">
        <v>5.5</v>
      </c>
    </row>
    <row r="322">
      <c r="A322" s="80" t="n">
        <v>27820</v>
      </c>
      <c r="B322" s="31" t="n">
        <v>5.5</v>
      </c>
    </row>
    <row r="323">
      <c r="A323" s="80" t="n">
        <v>27851</v>
      </c>
      <c r="B323" s="31" t="n">
        <v>5.5</v>
      </c>
    </row>
    <row r="324">
      <c r="A324" s="80" t="n">
        <v>27881</v>
      </c>
      <c r="B324" s="31" t="n">
        <v>5.5</v>
      </c>
    </row>
    <row r="325">
      <c r="A325" s="80" t="n">
        <v>27912</v>
      </c>
      <c r="B325" s="31" t="n">
        <v>5.5</v>
      </c>
    </row>
    <row r="326">
      <c r="A326" s="80" t="n">
        <v>27942</v>
      </c>
      <c r="B326" s="31" t="n">
        <v>5.5</v>
      </c>
    </row>
    <row r="327">
      <c r="A327" s="80" t="n">
        <v>27973</v>
      </c>
      <c r="B327" s="31" t="n">
        <v>5.5</v>
      </c>
    </row>
    <row r="328">
      <c r="A328" s="80" t="n">
        <v>28004</v>
      </c>
      <c r="B328" s="31" t="n">
        <v>5.5</v>
      </c>
    </row>
    <row r="329">
      <c r="A329" s="80" t="n">
        <v>28034</v>
      </c>
      <c r="B329" s="31" t="n">
        <v>5.5</v>
      </c>
    </row>
    <row r="330">
      <c r="A330" s="80" t="n">
        <v>28065</v>
      </c>
      <c r="B330" s="31" t="n">
        <v>5.43</v>
      </c>
    </row>
    <row r="331">
      <c r="A331" s="80" t="n">
        <v>28095</v>
      </c>
      <c r="B331" s="31" t="n">
        <v>5.25</v>
      </c>
    </row>
    <row r="332">
      <c r="A332" s="80" t="n">
        <v>28126</v>
      </c>
      <c r="B332" s="31" t="n">
        <v>5.25</v>
      </c>
    </row>
    <row r="333">
      <c r="A333" s="80" t="n">
        <v>28157</v>
      </c>
      <c r="B333" s="31" t="n">
        <v>5.25</v>
      </c>
    </row>
    <row r="334">
      <c r="A334" s="80" t="n">
        <v>28185</v>
      </c>
      <c r="B334" s="31" t="n">
        <v>5.25</v>
      </c>
    </row>
    <row r="335">
      <c r="A335" s="80" t="n">
        <v>28216</v>
      </c>
      <c r="B335" s="31" t="n">
        <v>5.25</v>
      </c>
    </row>
    <row r="336">
      <c r="A336" s="80" t="n">
        <v>28246</v>
      </c>
      <c r="B336" s="31" t="n">
        <v>5.25</v>
      </c>
    </row>
    <row r="337">
      <c r="A337" s="80" t="n">
        <v>28277</v>
      </c>
      <c r="B337" s="31" t="n">
        <v>5.25</v>
      </c>
    </row>
    <row r="338">
      <c r="A338" s="80" t="n">
        <v>28307</v>
      </c>
      <c r="B338" s="31" t="n">
        <v>5.25</v>
      </c>
    </row>
    <row r="339">
      <c r="A339" s="80" t="n">
        <v>28338</v>
      </c>
      <c r="B339" s="31" t="n">
        <v>5.27</v>
      </c>
    </row>
    <row r="340">
      <c r="A340" s="80" t="n">
        <v>28369</v>
      </c>
      <c r="B340" s="31" t="n">
        <v>5.75</v>
      </c>
    </row>
    <row r="341">
      <c r="A341" s="80" t="n">
        <v>28399</v>
      </c>
      <c r="B341" s="31" t="n">
        <v>5.8</v>
      </c>
    </row>
    <row r="342">
      <c r="A342" s="80" t="n">
        <v>28430</v>
      </c>
      <c r="B342" s="31" t="n">
        <v>6</v>
      </c>
    </row>
    <row r="343">
      <c r="A343" s="80" t="n">
        <v>28460</v>
      </c>
      <c r="B343" s="31" t="n">
        <v>6</v>
      </c>
    </row>
    <row r="344">
      <c r="A344" s="80" t="n">
        <v>28491</v>
      </c>
      <c r="B344" s="31" t="n">
        <v>6.37</v>
      </c>
    </row>
    <row r="345">
      <c r="A345" s="80" t="n">
        <v>28522</v>
      </c>
      <c r="B345" s="31" t="n">
        <v>6.5</v>
      </c>
    </row>
    <row r="346">
      <c r="A346" s="80" t="n">
        <v>28550</v>
      </c>
      <c r="B346" s="31" t="n">
        <v>6.5</v>
      </c>
    </row>
    <row r="347">
      <c r="A347" s="80" t="n">
        <v>28581</v>
      </c>
      <c r="B347" s="31" t="n">
        <v>6.5</v>
      </c>
    </row>
    <row r="348">
      <c r="A348" s="80" t="n">
        <v>28611</v>
      </c>
      <c r="B348" s="31" t="n">
        <v>6.84</v>
      </c>
    </row>
    <row r="349">
      <c r="A349" s="80" t="n">
        <v>28642</v>
      </c>
      <c r="B349" s="31" t="n">
        <v>7</v>
      </c>
    </row>
    <row r="350">
      <c r="A350" s="80" t="n">
        <v>28672</v>
      </c>
      <c r="B350" s="31" t="n">
        <v>7.23</v>
      </c>
    </row>
    <row r="351">
      <c r="A351" s="80" t="n">
        <v>28703</v>
      </c>
      <c r="B351" s="31" t="n">
        <v>7.43</v>
      </c>
    </row>
    <row r="352">
      <c r="A352" s="80" t="n">
        <v>28734</v>
      </c>
      <c r="B352" s="31" t="n">
        <v>7.83</v>
      </c>
    </row>
    <row r="353">
      <c r="A353" s="80" t="n">
        <v>28764</v>
      </c>
      <c r="B353" s="31" t="n">
        <v>8.26</v>
      </c>
    </row>
    <row r="354">
      <c r="A354" s="80" t="n">
        <v>28795</v>
      </c>
      <c r="B354" s="31" t="n">
        <v>9.5</v>
      </c>
    </row>
    <row r="355">
      <c r="A355" s="80" t="n">
        <v>28825</v>
      </c>
      <c r="B355" s="31" t="n">
        <v>9.5</v>
      </c>
    </row>
    <row r="356">
      <c r="A356" s="80" t="n">
        <v>28856</v>
      </c>
      <c r="B356" s="31" t="n">
        <v>9.5</v>
      </c>
    </row>
    <row r="357">
      <c r="A357" s="80" t="n">
        <v>28887</v>
      </c>
      <c r="B357" s="31" t="n">
        <v>9.5</v>
      </c>
    </row>
    <row r="358">
      <c r="A358" s="80" t="n">
        <v>28915</v>
      </c>
      <c r="B358" s="31" t="n">
        <v>9.5</v>
      </c>
    </row>
    <row r="359">
      <c r="A359" s="80" t="n">
        <v>28946</v>
      </c>
      <c r="B359" s="31" t="n">
        <v>9.5</v>
      </c>
    </row>
    <row r="360">
      <c r="A360" s="80" t="n">
        <v>28976</v>
      </c>
      <c r="B360" s="31" t="n">
        <v>9.5</v>
      </c>
    </row>
    <row r="361">
      <c r="A361" s="80" t="n">
        <v>29007</v>
      </c>
      <c r="B361" s="31" t="n">
        <v>9.5</v>
      </c>
    </row>
    <row r="362">
      <c r="A362" s="80" t="n">
        <v>29037</v>
      </c>
      <c r="B362" s="31" t="n">
        <v>9.69</v>
      </c>
    </row>
    <row r="363">
      <c r="A363" s="80" t="n">
        <v>29068</v>
      </c>
      <c r="B363" s="31" t="n">
        <v>10.24</v>
      </c>
    </row>
    <row r="364">
      <c r="A364" s="80" t="n">
        <v>29099</v>
      </c>
      <c r="B364" s="31" t="n">
        <v>10.7</v>
      </c>
    </row>
    <row r="365">
      <c r="A365" s="80" t="n">
        <v>29129</v>
      </c>
      <c r="B365" s="31" t="n">
        <v>11.77</v>
      </c>
    </row>
    <row r="366">
      <c r="A366" s="80" t="n">
        <v>29160</v>
      </c>
      <c r="B366" s="31" t="n">
        <v>12</v>
      </c>
    </row>
    <row r="367">
      <c r="A367" s="80" t="n">
        <v>29190</v>
      </c>
      <c r="B367" s="31" t="n">
        <v>12</v>
      </c>
    </row>
    <row r="368">
      <c r="A368" s="80" t="n">
        <v>29221</v>
      </c>
      <c r="B368" s="31" t="n">
        <v>12</v>
      </c>
    </row>
    <row r="369">
      <c r="A369" s="80" t="n">
        <v>29252</v>
      </c>
      <c r="B369" s="31" t="n">
        <v>12.52</v>
      </c>
    </row>
    <row r="370">
      <c r="A370" s="80" t="n">
        <v>29281</v>
      </c>
      <c r="B370" s="31" t="n">
        <v>13</v>
      </c>
    </row>
    <row r="371">
      <c r="A371" s="80" t="n">
        <v>29312</v>
      </c>
      <c r="B371" s="31" t="n">
        <v>13</v>
      </c>
    </row>
    <row r="372">
      <c r="A372" s="80" t="n">
        <v>29342</v>
      </c>
      <c r="B372" s="31" t="n">
        <v>12.94</v>
      </c>
    </row>
    <row r="373">
      <c r="A373" s="80" t="n">
        <v>29373</v>
      </c>
      <c r="B373" s="31" t="n">
        <v>11.4</v>
      </c>
    </row>
    <row r="374">
      <c r="A374" s="80" t="n">
        <v>29403</v>
      </c>
      <c r="B374" s="31" t="n">
        <v>10.87</v>
      </c>
    </row>
    <row r="375">
      <c r="A375" s="80" t="n">
        <v>29434</v>
      </c>
      <c r="B375" s="31" t="n">
        <v>10</v>
      </c>
    </row>
    <row r="376">
      <c r="A376" s="80" t="n">
        <v>29465</v>
      </c>
      <c r="B376" s="31" t="n">
        <v>10.17</v>
      </c>
    </row>
    <row r="377">
      <c r="A377" s="80" t="n">
        <v>29495</v>
      </c>
      <c r="B377" s="31" t="n">
        <v>11</v>
      </c>
    </row>
    <row r="378">
      <c r="A378" s="80" t="n">
        <v>29526</v>
      </c>
      <c r="B378" s="31" t="n">
        <v>11.47</v>
      </c>
    </row>
    <row r="379">
      <c r="A379" s="80" t="n">
        <v>29556</v>
      </c>
      <c r="B379" s="31" t="n">
        <v>12.87</v>
      </c>
    </row>
    <row r="380">
      <c r="A380" s="80" t="n">
        <v>29587</v>
      </c>
      <c r="B380" s="31" t="n">
        <v>13</v>
      </c>
    </row>
    <row r="381">
      <c r="A381" s="80" t="n">
        <v>29618</v>
      </c>
      <c r="B381" s="31" t="n">
        <v>13</v>
      </c>
    </row>
    <row r="382">
      <c r="A382" s="80" t="n">
        <v>29646</v>
      </c>
      <c r="B382" s="31" t="n">
        <v>13</v>
      </c>
    </row>
    <row r="383">
      <c r="A383" s="80" t="n">
        <v>29677</v>
      </c>
      <c r="B383" s="31" t="n">
        <v>13</v>
      </c>
    </row>
    <row r="384">
      <c r="A384" s="80" t="n">
        <v>29707</v>
      </c>
      <c r="B384" s="31" t="n">
        <v>13.87</v>
      </c>
    </row>
    <row r="385">
      <c r="A385" s="80" t="n">
        <v>29738</v>
      </c>
      <c r="B385" s="31" t="n">
        <v>14</v>
      </c>
    </row>
    <row r="386">
      <c r="A386" s="80" t="n">
        <v>29768</v>
      </c>
      <c r="B386" s="31" t="n">
        <v>14</v>
      </c>
    </row>
    <row r="387">
      <c r="A387" s="80" t="n">
        <v>29799</v>
      </c>
      <c r="B387" s="31" t="n">
        <v>14</v>
      </c>
    </row>
    <row r="388">
      <c r="A388" s="80" t="n">
        <v>29830</v>
      </c>
      <c r="B388" s="31" t="n">
        <v>14</v>
      </c>
    </row>
    <row r="389">
      <c r="A389" s="80" t="n">
        <v>29860</v>
      </c>
      <c r="B389" s="31" t="n">
        <v>14</v>
      </c>
    </row>
    <row r="390">
      <c r="A390" s="80" t="n">
        <v>29891</v>
      </c>
      <c r="B390" s="31" t="n">
        <v>13.03</v>
      </c>
    </row>
    <row r="391">
      <c r="A391" s="80" t="n">
        <v>29921</v>
      </c>
      <c r="B391" s="31" t="n">
        <v>12.1</v>
      </c>
    </row>
    <row r="392">
      <c r="A392" s="80" t="n">
        <v>29952</v>
      </c>
      <c r="B392" s="31" t="n">
        <v>12</v>
      </c>
    </row>
    <row r="393">
      <c r="A393" s="80" t="n">
        <v>29983</v>
      </c>
      <c r="B393" s="31" t="n">
        <v>12</v>
      </c>
    </row>
    <row r="394">
      <c r="A394" s="80" t="n">
        <v>30011</v>
      </c>
      <c r="B394" s="31" t="n">
        <v>12</v>
      </c>
    </row>
    <row r="395">
      <c r="A395" s="80" t="n">
        <v>30042</v>
      </c>
      <c r="B395" s="31" t="n">
        <v>12</v>
      </c>
    </row>
    <row r="396">
      <c r="A396" s="80" t="n">
        <v>30072</v>
      </c>
      <c r="B396" s="31" t="n">
        <v>12</v>
      </c>
    </row>
    <row r="397">
      <c r="A397" s="80" t="n">
        <v>30103</v>
      </c>
      <c r="B397" s="31" t="n">
        <v>12</v>
      </c>
    </row>
    <row r="398">
      <c r="A398" s="80" t="n">
        <v>30133</v>
      </c>
      <c r="B398" s="31" t="n">
        <v>11.81</v>
      </c>
    </row>
    <row r="399">
      <c r="A399" s="80" t="n">
        <v>30164</v>
      </c>
      <c r="B399" s="31" t="n">
        <v>10.68</v>
      </c>
    </row>
    <row r="400">
      <c r="A400" s="80" t="n">
        <v>30195</v>
      </c>
      <c r="B400" s="31" t="n">
        <v>10</v>
      </c>
    </row>
    <row r="401">
      <c r="A401" s="80" t="n">
        <v>30225</v>
      </c>
      <c r="B401" s="31" t="n">
        <v>9.68</v>
      </c>
    </row>
    <row r="402">
      <c r="A402" s="80" t="n">
        <v>30256</v>
      </c>
      <c r="B402" s="31" t="n">
        <v>9.35</v>
      </c>
    </row>
    <row r="403">
      <c r="A403" s="80" t="n">
        <v>30286</v>
      </c>
      <c r="B403" s="31" t="n">
        <v>8.73</v>
      </c>
    </row>
    <row r="404">
      <c r="A404" s="80" t="n">
        <v>30317</v>
      </c>
      <c r="B404" s="31" t="n">
        <v>8.5</v>
      </c>
    </row>
    <row r="405">
      <c r="A405" s="80" t="n">
        <v>30348</v>
      </c>
      <c r="B405" s="31" t="n">
        <v>8.5</v>
      </c>
    </row>
    <row r="406">
      <c r="A406" s="80" t="n">
        <v>30376</v>
      </c>
      <c r="B406" s="31" t="n">
        <v>8.5</v>
      </c>
    </row>
    <row r="407">
      <c r="A407" s="80" t="n">
        <v>30407</v>
      </c>
      <c r="B407" s="31" t="n">
        <v>8.5</v>
      </c>
    </row>
    <row r="408">
      <c r="A408" s="80" t="n">
        <v>30437</v>
      </c>
      <c r="B408" s="31" t="n">
        <v>8.5</v>
      </c>
    </row>
    <row r="409">
      <c r="A409" s="80" t="n">
        <v>30468</v>
      </c>
      <c r="B409" s="31" t="n">
        <v>8.5</v>
      </c>
    </row>
    <row r="410">
      <c r="A410" s="80" t="n">
        <v>30498</v>
      </c>
      <c r="B410" s="31" t="n">
        <v>8.5</v>
      </c>
    </row>
    <row r="411">
      <c r="A411" s="80" t="n">
        <v>30529</v>
      </c>
      <c r="B411" s="31" t="n">
        <v>8.5</v>
      </c>
    </row>
    <row r="412">
      <c r="A412" s="80" t="n">
        <v>30560</v>
      </c>
      <c r="B412" s="31" t="n">
        <v>8.5</v>
      </c>
    </row>
    <row r="413">
      <c r="A413" s="80" t="n">
        <v>30590</v>
      </c>
      <c r="B413" s="31" t="n">
        <v>8.5</v>
      </c>
    </row>
    <row r="414">
      <c r="A414" s="80" t="n">
        <v>30621</v>
      </c>
      <c r="B414" s="31" t="n">
        <v>8.5</v>
      </c>
    </row>
    <row r="415">
      <c r="A415" s="80" t="n">
        <v>30651</v>
      </c>
      <c r="B415" s="31" t="n">
        <v>8.5</v>
      </c>
    </row>
    <row r="416">
      <c r="A416" s="80" t="n">
        <v>30682</v>
      </c>
      <c r="B416" s="31" t="n">
        <v>8.5</v>
      </c>
    </row>
    <row r="417">
      <c r="A417" s="80" t="n">
        <v>30713</v>
      </c>
      <c r="B417" s="31" t="n">
        <v>8.5</v>
      </c>
    </row>
    <row r="418">
      <c r="A418" s="80" t="n">
        <v>30742</v>
      </c>
      <c r="B418" s="31" t="n">
        <v>8.5</v>
      </c>
    </row>
    <row r="419">
      <c r="A419" s="80" t="n">
        <v>30773</v>
      </c>
      <c r="B419" s="31" t="n">
        <v>8.869999999999999</v>
      </c>
    </row>
    <row r="420">
      <c r="A420" s="80" t="n">
        <v>30803</v>
      </c>
      <c r="B420" s="31" t="n">
        <v>9</v>
      </c>
    </row>
    <row r="421">
      <c r="A421" s="80" t="n">
        <v>30834</v>
      </c>
      <c r="B421" s="31" t="n">
        <v>9</v>
      </c>
    </row>
    <row r="422">
      <c r="A422" s="80" t="n">
        <v>30864</v>
      </c>
      <c r="B422" s="31" t="n">
        <v>9</v>
      </c>
    </row>
    <row r="423">
      <c r="A423" s="80" t="n">
        <v>30895</v>
      </c>
      <c r="B423" s="31" t="n">
        <v>9</v>
      </c>
    </row>
    <row r="424">
      <c r="A424" s="80" t="n">
        <v>30926</v>
      </c>
      <c r="B424" s="31" t="n">
        <v>9</v>
      </c>
    </row>
    <row r="425">
      <c r="A425" s="80" t="n">
        <v>30956</v>
      </c>
      <c r="B425" s="31" t="n">
        <v>9</v>
      </c>
    </row>
    <row r="426">
      <c r="A426" s="80" t="n">
        <v>30987</v>
      </c>
      <c r="B426" s="31" t="n">
        <v>8.83</v>
      </c>
    </row>
    <row r="427">
      <c r="A427" s="80" t="n">
        <v>31017</v>
      </c>
      <c r="B427" s="31" t="n">
        <v>8.369999999999999</v>
      </c>
    </row>
    <row r="428">
      <c r="A428" s="80" t="n">
        <v>31048</v>
      </c>
      <c r="B428" s="31" t="n">
        <v>8</v>
      </c>
    </row>
    <row r="429">
      <c r="A429" s="80" t="n">
        <v>31079</v>
      </c>
      <c r="B429" s="31" t="n">
        <v>8</v>
      </c>
    </row>
    <row r="430">
      <c r="A430" s="80" t="n">
        <v>31107</v>
      </c>
      <c r="B430" s="31" t="n">
        <v>8</v>
      </c>
    </row>
    <row r="431">
      <c r="A431" s="80" t="n">
        <v>31138</v>
      </c>
      <c r="B431" s="31" t="n">
        <v>8</v>
      </c>
    </row>
    <row r="432">
      <c r="A432" s="80" t="n">
        <v>31168</v>
      </c>
      <c r="B432" s="31" t="n">
        <v>7.81</v>
      </c>
    </row>
    <row r="433">
      <c r="A433" s="80" t="n">
        <v>31199</v>
      </c>
      <c r="B433" s="31" t="n">
        <v>7.5</v>
      </c>
    </row>
    <row r="434">
      <c r="A434" s="80" t="n">
        <v>31229</v>
      </c>
      <c r="B434" s="31" t="n">
        <v>7.5</v>
      </c>
    </row>
    <row r="435">
      <c r="A435" s="80" t="n">
        <v>31260</v>
      </c>
      <c r="B435" s="31" t="n">
        <v>7.5</v>
      </c>
    </row>
    <row r="436">
      <c r="A436" s="80" t="n">
        <v>31291</v>
      </c>
      <c r="B436" s="31" t="n">
        <v>7.5</v>
      </c>
    </row>
    <row r="437">
      <c r="A437" s="80" t="n">
        <v>31321</v>
      </c>
      <c r="B437" s="31" t="n">
        <v>7.5</v>
      </c>
    </row>
    <row r="438">
      <c r="A438" s="80" t="n">
        <v>31352</v>
      </c>
      <c r="B438" s="31" t="n">
        <v>7.5</v>
      </c>
    </row>
    <row r="439">
      <c r="A439" s="80" t="n">
        <v>31382</v>
      </c>
      <c r="B439" s="31" t="n">
        <v>7.5</v>
      </c>
    </row>
    <row r="440">
      <c r="A440" s="80" t="n">
        <v>31413</v>
      </c>
      <c r="B440" s="31" t="n">
        <v>7.5</v>
      </c>
    </row>
    <row r="441">
      <c r="A441" s="80" t="n">
        <v>31444</v>
      </c>
      <c r="B441" s="31" t="n">
        <v>7.5</v>
      </c>
    </row>
    <row r="442">
      <c r="A442" s="80" t="n">
        <v>31472</v>
      </c>
      <c r="B442" s="31" t="n">
        <v>7.1</v>
      </c>
    </row>
    <row r="443">
      <c r="A443" s="80" t="n">
        <v>31503</v>
      </c>
      <c r="B443" s="31" t="n">
        <v>6.83</v>
      </c>
    </row>
    <row r="444">
      <c r="A444" s="80" t="n">
        <v>31533</v>
      </c>
      <c r="B444" s="31" t="n">
        <v>6.5</v>
      </c>
    </row>
    <row r="445">
      <c r="A445" s="80" t="n">
        <v>31564</v>
      </c>
      <c r="B445" s="31" t="n">
        <v>6.5</v>
      </c>
    </row>
    <row r="446">
      <c r="A446" s="80" t="n">
        <v>31594</v>
      </c>
      <c r="B446" s="31" t="n">
        <v>6.16</v>
      </c>
    </row>
    <row r="447">
      <c r="A447" s="80" t="n">
        <v>31625</v>
      </c>
      <c r="B447" s="31" t="n">
        <v>5.82</v>
      </c>
    </row>
    <row r="448">
      <c r="A448" s="80" t="n">
        <v>31656</v>
      </c>
      <c r="B448" s="31" t="n">
        <v>5.5</v>
      </c>
    </row>
    <row r="449">
      <c r="A449" s="80" t="n">
        <v>31686</v>
      </c>
      <c r="B449" s="31" t="n">
        <v>5.5</v>
      </c>
    </row>
    <row r="450">
      <c r="A450" s="80" t="n">
        <v>31717</v>
      </c>
      <c r="B450" s="31" t="n">
        <v>5.5</v>
      </c>
    </row>
    <row r="451">
      <c r="A451" s="80" t="n">
        <v>31747</v>
      </c>
      <c r="B451" s="31" t="n">
        <v>5.5</v>
      </c>
    </row>
    <row r="452">
      <c r="A452" s="80" t="n">
        <v>31778</v>
      </c>
      <c r="B452" s="31" t="n">
        <v>5.5</v>
      </c>
    </row>
    <row r="453">
      <c r="A453" s="80" t="n">
        <v>31809</v>
      </c>
      <c r="B453" s="31" t="n">
        <v>5.5</v>
      </c>
    </row>
    <row r="454">
      <c r="A454" s="80" t="n">
        <v>31837</v>
      </c>
      <c r="B454" s="31" t="n">
        <v>5.5</v>
      </c>
    </row>
    <row r="455">
      <c r="A455" s="80" t="n">
        <v>31868</v>
      </c>
      <c r="B455" s="31" t="n">
        <v>5.5</v>
      </c>
    </row>
    <row r="456">
      <c r="A456" s="80" t="n">
        <v>31898</v>
      </c>
      <c r="B456" s="31" t="n">
        <v>5.5</v>
      </c>
    </row>
    <row r="457">
      <c r="A457" s="80" t="n">
        <v>31929</v>
      </c>
      <c r="B457" s="31" t="n">
        <v>5.5</v>
      </c>
    </row>
    <row r="458">
      <c r="A458" s="80" t="n">
        <v>31959</v>
      </c>
      <c r="B458" s="31" t="n">
        <v>5.5</v>
      </c>
    </row>
    <row r="459">
      <c r="A459" s="80" t="n">
        <v>31990</v>
      </c>
      <c r="B459" s="31" t="n">
        <v>5.5</v>
      </c>
    </row>
    <row r="460">
      <c r="A460" s="80" t="n">
        <v>32021</v>
      </c>
      <c r="B460" s="31" t="n">
        <v>5.95</v>
      </c>
    </row>
    <row r="461">
      <c r="A461" s="80" t="n">
        <v>32051</v>
      </c>
      <c r="B461" s="31" t="n">
        <v>6</v>
      </c>
    </row>
    <row r="462">
      <c r="A462" s="80" t="n">
        <v>32082</v>
      </c>
      <c r="B462" s="31" t="n">
        <v>6</v>
      </c>
    </row>
    <row r="463">
      <c r="A463" s="80" t="n">
        <v>32112</v>
      </c>
      <c r="B463" s="31" t="n">
        <v>6</v>
      </c>
    </row>
    <row r="464">
      <c r="A464" s="80" t="n">
        <v>32143</v>
      </c>
      <c r="B464" s="31" t="n">
        <v>6</v>
      </c>
    </row>
    <row r="465">
      <c r="A465" s="80" t="n">
        <v>32174</v>
      </c>
      <c r="B465" s="31" t="n">
        <v>6</v>
      </c>
    </row>
    <row r="466">
      <c r="A466" s="80" t="n">
        <v>32203</v>
      </c>
      <c r="B466" s="31" t="n">
        <v>6</v>
      </c>
    </row>
    <row r="467">
      <c r="A467" s="80" t="n">
        <v>32234</v>
      </c>
      <c r="B467" s="31" t="n">
        <v>6</v>
      </c>
    </row>
    <row r="468">
      <c r="A468" s="80" t="n">
        <v>32264</v>
      </c>
      <c r="B468" s="31" t="n">
        <v>6</v>
      </c>
    </row>
    <row r="469">
      <c r="A469" s="80" t="n">
        <v>32295</v>
      </c>
      <c r="B469" s="31" t="n">
        <v>6</v>
      </c>
    </row>
    <row r="470">
      <c r="A470" s="80" t="n">
        <v>32325</v>
      </c>
      <c r="B470" s="31" t="n">
        <v>6</v>
      </c>
    </row>
    <row r="471">
      <c r="A471" s="80" t="n">
        <v>32356</v>
      </c>
      <c r="B471" s="31" t="n">
        <v>6.37</v>
      </c>
    </row>
    <row r="472">
      <c r="A472" s="80" t="n">
        <v>32387</v>
      </c>
      <c r="B472" s="31" t="n">
        <v>6.5</v>
      </c>
    </row>
    <row r="473">
      <c r="A473" s="80" t="n">
        <v>32417</v>
      </c>
      <c r="B473" s="31" t="n">
        <v>6.5</v>
      </c>
    </row>
    <row r="474">
      <c r="A474" s="80" t="n">
        <v>32448</v>
      </c>
      <c r="B474" s="31" t="n">
        <v>6.5</v>
      </c>
    </row>
    <row r="475">
      <c r="A475" s="80" t="n">
        <v>32478</v>
      </c>
      <c r="B475" s="31" t="n">
        <v>6.5</v>
      </c>
    </row>
    <row r="476">
      <c r="A476" s="80" t="n">
        <v>32509</v>
      </c>
      <c r="B476" s="31" t="n">
        <v>6.5</v>
      </c>
    </row>
    <row r="477">
      <c r="A477" s="80" t="n">
        <v>32540</v>
      </c>
      <c r="B477" s="31" t="n">
        <v>6.59</v>
      </c>
    </row>
    <row r="478">
      <c r="A478" s="80" t="n">
        <v>32568</v>
      </c>
      <c r="B478" s="31" t="n">
        <v>7</v>
      </c>
    </row>
    <row r="479">
      <c r="A479" s="80" t="n">
        <v>32599</v>
      </c>
      <c r="B479" s="31" t="n">
        <v>7</v>
      </c>
    </row>
    <row r="480">
      <c r="A480" s="80" t="n">
        <v>32629</v>
      </c>
      <c r="B480" s="31" t="n">
        <v>7</v>
      </c>
    </row>
    <row r="481">
      <c r="A481" s="80" t="n">
        <v>32660</v>
      </c>
      <c r="B481" s="31" t="n">
        <v>7</v>
      </c>
    </row>
    <row r="482">
      <c r="A482" s="80" t="n">
        <v>32690</v>
      </c>
      <c r="B482" s="31" t="n">
        <v>7</v>
      </c>
    </row>
    <row r="483">
      <c r="A483" s="80" t="n">
        <v>32721</v>
      </c>
      <c r="B483" s="31" t="n">
        <v>7</v>
      </c>
    </row>
    <row r="484">
      <c r="A484" s="80" t="n">
        <v>32752</v>
      </c>
      <c r="B484" s="31" t="n">
        <v>7</v>
      </c>
    </row>
    <row r="485">
      <c r="A485" s="80" t="n">
        <v>32782</v>
      </c>
      <c r="B485" s="31" t="n">
        <v>7</v>
      </c>
    </row>
    <row r="486">
      <c r="A486" s="80" t="n">
        <v>32813</v>
      </c>
      <c r="B486" s="31" t="n">
        <v>7</v>
      </c>
    </row>
    <row r="487">
      <c r="A487" s="80" t="n">
        <v>32843</v>
      </c>
      <c r="B487" s="31" t="n">
        <v>7</v>
      </c>
    </row>
    <row r="488">
      <c r="A488" s="80" t="n">
        <v>32874</v>
      </c>
      <c r="B488" s="31" t="n">
        <v>7</v>
      </c>
    </row>
    <row r="489">
      <c r="A489" s="80" t="n">
        <v>32905</v>
      </c>
      <c r="B489" s="31" t="n">
        <v>7</v>
      </c>
    </row>
    <row r="490">
      <c r="A490" s="80" t="n">
        <v>32933</v>
      </c>
      <c r="B490" s="31" t="n">
        <v>7</v>
      </c>
    </row>
    <row r="491">
      <c r="A491" s="80" t="n">
        <v>32964</v>
      </c>
      <c r="B491" s="31" t="n">
        <v>7</v>
      </c>
    </row>
    <row r="492">
      <c r="A492" s="80" t="n">
        <v>32994</v>
      </c>
      <c r="B492" s="31" t="n">
        <v>7</v>
      </c>
    </row>
    <row r="493">
      <c r="A493" s="80" t="n">
        <v>33025</v>
      </c>
      <c r="B493" s="31" t="n">
        <v>7</v>
      </c>
    </row>
    <row r="494">
      <c r="A494" s="80" t="n">
        <v>33055</v>
      </c>
      <c r="B494" s="31" t="n">
        <v>7</v>
      </c>
    </row>
    <row r="495">
      <c r="A495" s="80" t="n">
        <v>33086</v>
      </c>
      <c r="B495" s="31" t="n">
        <v>7</v>
      </c>
    </row>
    <row r="496">
      <c r="A496" s="80" t="n">
        <v>33117</v>
      </c>
      <c r="B496" s="31" t="n">
        <v>7</v>
      </c>
    </row>
    <row r="497">
      <c r="A497" s="80" t="n">
        <v>33147</v>
      </c>
      <c r="B497" s="31" t="n">
        <v>7</v>
      </c>
    </row>
    <row r="498">
      <c r="A498" s="80" t="n">
        <v>33178</v>
      </c>
      <c r="B498" s="31" t="n">
        <v>7</v>
      </c>
    </row>
    <row r="499">
      <c r="A499" s="80" t="n">
        <v>33208</v>
      </c>
      <c r="B499" s="31" t="n">
        <v>6.79</v>
      </c>
    </row>
    <row r="500">
      <c r="A500" s="80" t="n">
        <v>33239</v>
      </c>
      <c r="B500" s="31" t="n">
        <v>6.5</v>
      </c>
    </row>
    <row r="501">
      <c r="A501" s="80" t="n">
        <v>33270</v>
      </c>
      <c r="B501" s="31" t="n">
        <v>6</v>
      </c>
    </row>
    <row r="502">
      <c r="A502" s="80" t="n">
        <v>33298</v>
      </c>
      <c r="B502" s="31" t="n">
        <v>6</v>
      </c>
    </row>
    <row r="503">
      <c r="A503" s="80" t="n">
        <v>33329</v>
      </c>
      <c r="B503" s="31" t="n">
        <v>5.98</v>
      </c>
    </row>
    <row r="504">
      <c r="A504" s="80" t="n">
        <v>33359</v>
      </c>
      <c r="B504" s="31" t="n">
        <v>5.5</v>
      </c>
    </row>
    <row r="505">
      <c r="A505" s="80" t="n">
        <v>33390</v>
      </c>
      <c r="B505" s="31" t="n">
        <v>5.5</v>
      </c>
    </row>
    <row r="506">
      <c r="A506" s="80" t="n">
        <v>33420</v>
      </c>
      <c r="B506" s="31" t="n">
        <v>5.5</v>
      </c>
    </row>
    <row r="507">
      <c r="A507" s="80" t="n">
        <v>33451</v>
      </c>
      <c r="B507" s="31" t="n">
        <v>5.5</v>
      </c>
    </row>
    <row r="508">
      <c r="A508" s="80" t="n">
        <v>33482</v>
      </c>
      <c r="B508" s="31" t="n">
        <v>5.2</v>
      </c>
    </row>
    <row r="509">
      <c r="A509" s="80" t="n">
        <v>33512</v>
      </c>
      <c r="B509" s="31" t="n">
        <v>5</v>
      </c>
    </row>
    <row r="510">
      <c r="A510" s="80" t="n">
        <v>33543</v>
      </c>
      <c r="B510" s="31" t="n">
        <v>4.58</v>
      </c>
    </row>
    <row r="511">
      <c r="A511" s="80" t="n">
        <v>33573</v>
      </c>
      <c r="B511" s="31" t="n">
        <v>4.11</v>
      </c>
    </row>
    <row r="512">
      <c r="A512" s="80" t="n">
        <v>33604</v>
      </c>
      <c r="B512" s="31" t="n">
        <v>3.5</v>
      </c>
    </row>
    <row r="513">
      <c r="A513" s="80" t="n">
        <v>33635</v>
      </c>
      <c r="B513" s="31" t="n">
        <v>3.5</v>
      </c>
    </row>
    <row r="514">
      <c r="A514" s="80" t="n">
        <v>33664</v>
      </c>
      <c r="B514" s="31" t="n">
        <v>3.5</v>
      </c>
    </row>
    <row r="515">
      <c r="A515" s="80" t="n">
        <v>33695</v>
      </c>
      <c r="B515" s="31" t="n">
        <v>3.5</v>
      </c>
    </row>
    <row r="516">
      <c r="A516" s="80" t="n">
        <v>33725</v>
      </c>
      <c r="B516" s="31" t="n">
        <v>3.5</v>
      </c>
    </row>
    <row r="517">
      <c r="A517" s="80" t="n">
        <v>33756</v>
      </c>
      <c r="B517" s="31" t="n">
        <v>3.5</v>
      </c>
    </row>
    <row r="518">
      <c r="A518" s="80" t="n">
        <v>33786</v>
      </c>
      <c r="B518" s="31" t="n">
        <v>3.02</v>
      </c>
    </row>
    <row r="519">
      <c r="A519" s="80" t="n">
        <v>33817</v>
      </c>
      <c r="B519" s="31" t="n">
        <v>3</v>
      </c>
    </row>
    <row r="520">
      <c r="A520" s="80" t="n">
        <v>33848</v>
      </c>
      <c r="B520" s="31" t="n">
        <v>3</v>
      </c>
    </row>
    <row r="521">
      <c r="A521" s="80" t="n">
        <v>33878</v>
      </c>
      <c r="B521" s="31" t="n">
        <v>3</v>
      </c>
    </row>
    <row r="522">
      <c r="A522" s="80" t="n">
        <v>33909</v>
      </c>
      <c r="B522" s="31" t="n">
        <v>3</v>
      </c>
    </row>
    <row r="523">
      <c r="A523" s="80" t="n">
        <v>33939</v>
      </c>
      <c r="B523" s="31" t="n">
        <v>3</v>
      </c>
    </row>
    <row r="524">
      <c r="A524" s="80" t="n">
        <v>33970</v>
      </c>
      <c r="B524" s="31" t="n">
        <v>3</v>
      </c>
    </row>
    <row r="525">
      <c r="A525" s="80" t="n">
        <v>34001</v>
      </c>
      <c r="B525" s="31" t="n">
        <v>3</v>
      </c>
    </row>
    <row r="526">
      <c r="A526" s="80" t="n">
        <v>34029</v>
      </c>
      <c r="B526" s="31" t="n">
        <v>3</v>
      </c>
    </row>
    <row r="527">
      <c r="A527" s="80" t="n">
        <v>34060</v>
      </c>
      <c r="B527" s="31" t="n">
        <v>3</v>
      </c>
    </row>
    <row r="528">
      <c r="A528" s="80" t="n">
        <v>34090</v>
      </c>
      <c r="B528" s="31" t="n">
        <v>3</v>
      </c>
    </row>
    <row r="529">
      <c r="A529" s="80" t="n">
        <v>34121</v>
      </c>
      <c r="B529" s="31" t="n">
        <v>3</v>
      </c>
    </row>
    <row r="530">
      <c r="A530" s="80" t="n">
        <v>34151</v>
      </c>
      <c r="B530" s="31" t="n">
        <v>3</v>
      </c>
    </row>
    <row r="531">
      <c r="A531" s="80" t="n">
        <v>34182</v>
      </c>
      <c r="B531" s="31" t="n">
        <v>3</v>
      </c>
    </row>
    <row r="532">
      <c r="A532" s="80" t="n">
        <v>34213</v>
      </c>
      <c r="B532" s="31" t="n">
        <v>3</v>
      </c>
    </row>
    <row r="533">
      <c r="A533" s="80" t="n">
        <v>34243</v>
      </c>
      <c r="B533" s="31" t="n">
        <v>3</v>
      </c>
    </row>
    <row r="534">
      <c r="A534" s="80" t="n">
        <v>34274</v>
      </c>
      <c r="B534" s="31" t="n">
        <v>3</v>
      </c>
    </row>
    <row r="535">
      <c r="A535" s="80" t="n">
        <v>34304</v>
      </c>
      <c r="B535" s="31" t="n">
        <v>3</v>
      </c>
    </row>
    <row r="536">
      <c r="A536" s="80" t="n">
        <v>34335</v>
      </c>
      <c r="B536" s="31" t="n">
        <v>3</v>
      </c>
    </row>
    <row r="537">
      <c r="A537" s="80" t="n">
        <v>34366</v>
      </c>
      <c r="B537" s="31" t="n">
        <v>3</v>
      </c>
    </row>
    <row r="538">
      <c r="A538" s="80" t="n">
        <v>34394</v>
      </c>
      <c r="B538" s="31" t="n">
        <v>3</v>
      </c>
    </row>
    <row r="539">
      <c r="A539" s="80" t="n">
        <v>34425</v>
      </c>
      <c r="B539" s="31" t="n">
        <v>3</v>
      </c>
    </row>
    <row r="540">
      <c r="A540" s="80" t="n">
        <v>34455</v>
      </c>
      <c r="B540" s="31" t="n">
        <v>3.24</v>
      </c>
    </row>
    <row r="541">
      <c r="A541" s="80" t="n">
        <v>34486</v>
      </c>
      <c r="B541" s="31" t="n">
        <v>3.5</v>
      </c>
    </row>
    <row r="542">
      <c r="A542" s="80" t="n">
        <v>34516</v>
      </c>
      <c r="B542" s="31" t="n">
        <v>3.5</v>
      </c>
    </row>
    <row r="543">
      <c r="A543" s="80" t="n">
        <v>34547</v>
      </c>
      <c r="B543" s="31" t="n">
        <v>3.76</v>
      </c>
    </row>
    <row r="544">
      <c r="A544" s="80" t="n">
        <v>34578</v>
      </c>
      <c r="B544" s="31" t="n">
        <v>4</v>
      </c>
    </row>
    <row r="545">
      <c r="A545" s="80" t="n">
        <v>34608</v>
      </c>
      <c r="B545" s="31" t="n">
        <v>4</v>
      </c>
    </row>
    <row r="546">
      <c r="A546" s="80" t="n">
        <v>34639</v>
      </c>
      <c r="B546" s="31" t="n">
        <v>4.4</v>
      </c>
    </row>
    <row r="547">
      <c r="A547" s="80" t="n">
        <v>34669</v>
      </c>
      <c r="B547" s="31" t="n">
        <v>4.75</v>
      </c>
    </row>
    <row r="548">
      <c r="A548" s="80" t="n">
        <v>34700</v>
      </c>
      <c r="B548" s="31" t="n">
        <v>4.75</v>
      </c>
    </row>
    <row r="549">
      <c r="A549" s="80" t="n">
        <v>34731</v>
      </c>
      <c r="B549" s="31" t="n">
        <v>5.25</v>
      </c>
    </row>
    <row r="550">
      <c r="A550" s="80" t="n">
        <v>34759</v>
      </c>
      <c r="B550" s="31" t="n">
        <v>5.25</v>
      </c>
    </row>
    <row r="551">
      <c r="A551" s="80" t="n">
        <v>34790</v>
      </c>
      <c r="B551" s="31" t="n">
        <v>5.25</v>
      </c>
    </row>
    <row r="552">
      <c r="A552" s="80" t="n">
        <v>34820</v>
      </c>
      <c r="B552" s="31" t="n">
        <v>5.25</v>
      </c>
    </row>
    <row r="553">
      <c r="A553" s="80" t="n">
        <v>34851</v>
      </c>
      <c r="B553" s="31" t="n">
        <v>5.25</v>
      </c>
    </row>
    <row r="554">
      <c r="A554" s="80" t="n">
        <v>34881</v>
      </c>
      <c r="B554" s="31" t="n">
        <v>5.25</v>
      </c>
    </row>
    <row r="555">
      <c r="A555" s="80" t="n">
        <v>34912</v>
      </c>
      <c r="B555" s="31" t="n">
        <v>5.25</v>
      </c>
    </row>
    <row r="556">
      <c r="A556" s="80" t="n">
        <v>34943</v>
      </c>
      <c r="B556" s="31" t="n">
        <v>5.25</v>
      </c>
    </row>
    <row r="557">
      <c r="A557" s="80" t="n">
        <v>34973</v>
      </c>
      <c r="B557" s="31" t="n">
        <v>5.25</v>
      </c>
    </row>
    <row r="558">
      <c r="A558" s="80" t="n">
        <v>35004</v>
      </c>
      <c r="B558" s="31" t="n">
        <v>5.25</v>
      </c>
    </row>
    <row r="559">
      <c r="A559" s="80" t="n">
        <v>35034</v>
      </c>
      <c r="B559" s="31" t="n">
        <v>5.25</v>
      </c>
    </row>
    <row r="560">
      <c r="A560" s="80" t="n">
        <v>35065</v>
      </c>
      <c r="B560" s="31" t="n">
        <v>5.24</v>
      </c>
    </row>
    <row r="561">
      <c r="A561" s="80" t="n">
        <v>35096</v>
      </c>
      <c r="B561" s="31" t="n">
        <v>5</v>
      </c>
    </row>
    <row r="562">
      <c r="A562" s="80" t="n">
        <v>35125</v>
      </c>
      <c r="B562" s="31" t="n">
        <v>5</v>
      </c>
    </row>
    <row r="563">
      <c r="A563" s="80" t="n">
        <v>35156</v>
      </c>
      <c r="B563" s="31" t="n">
        <v>5</v>
      </c>
    </row>
    <row r="564">
      <c r="A564" s="80" t="n">
        <v>35186</v>
      </c>
      <c r="B564" s="31" t="n">
        <v>5</v>
      </c>
    </row>
    <row r="565">
      <c r="A565" s="80" t="n">
        <v>35217</v>
      </c>
      <c r="B565" s="31" t="n">
        <v>5</v>
      </c>
    </row>
    <row r="566">
      <c r="A566" s="80" t="n">
        <v>35247</v>
      </c>
      <c r="B566" s="31" t="n">
        <v>5</v>
      </c>
    </row>
    <row r="567">
      <c r="A567" s="80" t="n">
        <v>35278</v>
      </c>
      <c r="B567" s="31" t="n">
        <v>5</v>
      </c>
    </row>
    <row r="568">
      <c r="A568" s="80" t="n">
        <v>35309</v>
      </c>
      <c r="B568" s="31" t="n">
        <v>5</v>
      </c>
    </row>
    <row r="569">
      <c r="A569" s="80" t="n">
        <v>35339</v>
      </c>
      <c r="B569" s="31" t="n">
        <v>5</v>
      </c>
    </row>
    <row r="570">
      <c r="A570" s="80" t="n">
        <v>35370</v>
      </c>
      <c r="B570" s="31" t="n">
        <v>5</v>
      </c>
    </row>
    <row r="571">
      <c r="A571" s="80" t="n">
        <v>35400</v>
      </c>
      <c r="B571" s="31" t="n">
        <v>5</v>
      </c>
    </row>
    <row r="572">
      <c r="A572" s="80" t="n">
        <v>35431</v>
      </c>
      <c r="B572" s="31" t="n">
        <v>5</v>
      </c>
    </row>
    <row r="573">
      <c r="A573" s="80" t="n">
        <v>35462</v>
      </c>
      <c r="B573" s="31" t="n">
        <v>5</v>
      </c>
    </row>
    <row r="574">
      <c r="A574" s="80" t="n">
        <v>35490</v>
      </c>
      <c r="B574" s="31" t="n">
        <v>5</v>
      </c>
    </row>
    <row r="575">
      <c r="A575" s="80" t="n">
        <v>35521</v>
      </c>
      <c r="B575" s="31" t="n">
        <v>5</v>
      </c>
    </row>
    <row r="576">
      <c r="A576" s="80" t="n">
        <v>35551</v>
      </c>
      <c r="B576" s="31" t="n">
        <v>5</v>
      </c>
    </row>
    <row r="577">
      <c r="A577" s="80" t="n">
        <v>35582</v>
      </c>
      <c r="B577" s="31" t="n">
        <v>5</v>
      </c>
    </row>
    <row r="578">
      <c r="A578" s="80" t="n">
        <v>35612</v>
      </c>
      <c r="B578" s="31" t="n">
        <v>5</v>
      </c>
    </row>
    <row r="579">
      <c r="A579" s="80" t="n">
        <v>35643</v>
      </c>
      <c r="B579" s="31" t="n">
        <v>5</v>
      </c>
    </row>
    <row r="580">
      <c r="A580" s="80" t="n">
        <v>35674</v>
      </c>
      <c r="B580" s="31" t="n">
        <v>5</v>
      </c>
    </row>
    <row r="581">
      <c r="A581" s="80" t="n">
        <v>35704</v>
      </c>
      <c r="B581" s="31" t="n">
        <v>5</v>
      </c>
    </row>
    <row r="582">
      <c r="A582" s="80" t="n">
        <v>35735</v>
      </c>
      <c r="B582" s="31" t="n">
        <v>5</v>
      </c>
    </row>
    <row r="583">
      <c r="A583" s="80" t="n">
        <v>35765</v>
      </c>
      <c r="B583" s="31" t="n">
        <v>5</v>
      </c>
    </row>
    <row r="584">
      <c r="A584" s="80" t="n">
        <v>35796</v>
      </c>
      <c r="B584" s="31" t="n">
        <v>5</v>
      </c>
    </row>
    <row r="585">
      <c r="A585" s="80" t="n">
        <v>35827</v>
      </c>
      <c r="B585" s="31" t="n">
        <v>5</v>
      </c>
    </row>
    <row r="586">
      <c r="A586" s="80" t="n">
        <v>35855</v>
      </c>
      <c r="B586" s="31" t="n">
        <v>5</v>
      </c>
    </row>
    <row r="587">
      <c r="A587" s="80" t="n">
        <v>35886</v>
      </c>
      <c r="B587" s="31" t="n">
        <v>5</v>
      </c>
    </row>
    <row r="588">
      <c r="A588" s="80" t="n">
        <v>35916</v>
      </c>
      <c r="B588" s="31" t="n">
        <v>5</v>
      </c>
    </row>
    <row r="589">
      <c r="A589" s="80" t="n">
        <v>35947</v>
      </c>
      <c r="B589" s="31" t="n">
        <v>5</v>
      </c>
    </row>
    <row r="590">
      <c r="A590" s="80" t="n">
        <v>35977</v>
      </c>
      <c r="B590" s="31" t="n">
        <v>5</v>
      </c>
    </row>
    <row r="591">
      <c r="A591" s="80" t="n">
        <v>36008</v>
      </c>
      <c r="B591" s="31" t="n">
        <v>5</v>
      </c>
    </row>
    <row r="592">
      <c r="A592" s="80" t="n">
        <v>36039</v>
      </c>
      <c r="B592" s="31" t="n">
        <v>5</v>
      </c>
    </row>
    <row r="593">
      <c r="A593" s="80" t="n">
        <v>36069</v>
      </c>
      <c r="B593" s="31" t="n">
        <v>4.86</v>
      </c>
    </row>
    <row r="594">
      <c r="A594" s="80" t="n">
        <v>36100</v>
      </c>
      <c r="B594" s="31" t="n">
        <v>4.63</v>
      </c>
    </row>
    <row r="595">
      <c r="A595" s="80" t="n">
        <v>36130</v>
      </c>
      <c r="B595" s="31" t="n">
        <v>4.5</v>
      </c>
    </row>
    <row r="596">
      <c r="A596" s="80" t="n">
        <v>36161</v>
      </c>
      <c r="B596" s="31" t="n">
        <v>4.5</v>
      </c>
    </row>
    <row r="597">
      <c r="A597" s="80" t="n">
        <v>36192</v>
      </c>
      <c r="B597" s="31" t="n">
        <v>4.5</v>
      </c>
    </row>
    <row r="598">
      <c r="A598" s="80" t="n">
        <v>36220</v>
      </c>
      <c r="B598" s="31" t="n">
        <v>4.5</v>
      </c>
    </row>
    <row r="599">
      <c r="A599" s="80" t="n">
        <v>36251</v>
      </c>
      <c r="B599" s="31" t="n">
        <v>4.5</v>
      </c>
    </row>
    <row r="600">
      <c r="A600" s="80" t="n">
        <v>36281</v>
      </c>
      <c r="B600" s="31" t="n">
        <v>4.5</v>
      </c>
    </row>
    <row r="601">
      <c r="A601" s="80" t="n">
        <v>36312</v>
      </c>
      <c r="B601" s="31" t="n">
        <v>4.5</v>
      </c>
    </row>
    <row r="602">
      <c r="A602" s="80" t="n">
        <v>36342</v>
      </c>
      <c r="B602" s="31" t="n">
        <v>4.5</v>
      </c>
    </row>
    <row r="603">
      <c r="A603" s="80" t="n">
        <v>36373</v>
      </c>
      <c r="B603" s="31" t="n">
        <v>4.56</v>
      </c>
    </row>
    <row r="604">
      <c r="A604" s="80" t="n">
        <v>36404</v>
      </c>
      <c r="B604" s="31" t="n">
        <v>4.75</v>
      </c>
    </row>
    <row r="605">
      <c r="A605" s="80" t="n">
        <v>36434</v>
      </c>
      <c r="B605" s="31" t="n">
        <v>4.75</v>
      </c>
    </row>
    <row r="606">
      <c r="A606" s="80" t="n">
        <v>36465</v>
      </c>
      <c r="B606" s="31" t="n">
        <v>4.86</v>
      </c>
    </row>
    <row r="607">
      <c r="A607" s="80" t="n">
        <v>36495</v>
      </c>
      <c r="B607" s="31" t="n">
        <v>5</v>
      </c>
    </row>
    <row r="608">
      <c r="A608" s="80" t="n">
        <v>36526</v>
      </c>
      <c r="B608" s="31" t="n">
        <v>5</v>
      </c>
    </row>
    <row r="609">
      <c r="A609" s="80" t="n">
        <v>36557</v>
      </c>
      <c r="B609" s="31" t="n">
        <v>5.24</v>
      </c>
    </row>
    <row r="610">
      <c r="A610" s="80" t="n">
        <v>36586</v>
      </c>
      <c r="B610" s="31" t="n">
        <v>5.34</v>
      </c>
    </row>
    <row r="611">
      <c r="A611" s="80" t="n">
        <v>36617</v>
      </c>
      <c r="B611" s="31" t="n">
        <v>5.5</v>
      </c>
    </row>
    <row r="612">
      <c r="A612" s="80" t="n">
        <v>36647</v>
      </c>
      <c r="B612" s="31" t="n">
        <v>5.71</v>
      </c>
    </row>
    <row r="613">
      <c r="A613" s="80" t="n">
        <v>36678</v>
      </c>
      <c r="B613" s="31" t="n">
        <v>6</v>
      </c>
    </row>
    <row r="614">
      <c r="A614" s="80" t="n">
        <v>36708</v>
      </c>
      <c r="B614" s="31" t="n">
        <v>6</v>
      </c>
    </row>
    <row r="615">
      <c r="A615" s="80" t="n">
        <v>36739</v>
      </c>
      <c r="B615" s="31" t="n">
        <v>6</v>
      </c>
    </row>
    <row r="616">
      <c r="A616" s="80" t="n">
        <v>36770</v>
      </c>
      <c r="B616" s="31" t="n">
        <v>6</v>
      </c>
    </row>
    <row r="617">
      <c r="A617" s="80" t="n">
        <v>36800</v>
      </c>
      <c r="B617" s="31" t="n">
        <v>6</v>
      </c>
    </row>
    <row r="618">
      <c r="A618" s="80" t="n">
        <v>36831</v>
      </c>
      <c r="B618" s="31" t="n">
        <v>6</v>
      </c>
    </row>
    <row r="619">
      <c r="A619" s="80" t="n">
        <v>36861</v>
      </c>
      <c r="B619" s="31" t="n">
        <v>6</v>
      </c>
    </row>
    <row r="620">
      <c r="A620" s="80" t="n">
        <v>36892</v>
      </c>
      <c r="B620" s="31" t="n">
        <v>5.52</v>
      </c>
    </row>
    <row r="621">
      <c r="A621" s="80" t="n">
        <v>36923</v>
      </c>
      <c r="B621" s="31" t="n">
        <v>5</v>
      </c>
    </row>
    <row r="622">
      <c r="A622" s="80" t="n">
        <v>36951</v>
      </c>
      <c r="B622" s="31" t="n">
        <v>4.81</v>
      </c>
    </row>
    <row r="623">
      <c r="A623" s="80" t="n">
        <v>36982</v>
      </c>
      <c r="B623" s="31" t="n">
        <v>4.28</v>
      </c>
    </row>
    <row r="624">
      <c r="A624" s="80" t="n">
        <v>37012</v>
      </c>
      <c r="B624" s="31" t="n">
        <v>3.73</v>
      </c>
    </row>
    <row r="625">
      <c r="A625" s="80" t="n">
        <v>37043</v>
      </c>
      <c r="B625" s="31" t="n">
        <v>3.47</v>
      </c>
    </row>
    <row r="626">
      <c r="A626" s="80" t="n">
        <v>37073</v>
      </c>
      <c r="B626" s="31" t="n">
        <v>3.25</v>
      </c>
    </row>
    <row r="627">
      <c r="A627" s="80" t="n">
        <v>37104</v>
      </c>
      <c r="B627" s="31" t="n">
        <v>3.16</v>
      </c>
    </row>
    <row r="628">
      <c r="A628" s="80" t="n">
        <v>37135</v>
      </c>
      <c r="B628" s="31" t="n">
        <v>2.77</v>
      </c>
    </row>
    <row r="629">
      <c r="A629" s="80" t="n">
        <v>37165</v>
      </c>
      <c r="B629" s="31" t="n">
        <v>2.02</v>
      </c>
    </row>
    <row r="630">
      <c r="A630" s="80" t="n">
        <v>37196</v>
      </c>
      <c r="B630" s="31" t="n">
        <v>1.58</v>
      </c>
    </row>
    <row r="631">
      <c r="A631" s="80" t="n">
        <v>37226</v>
      </c>
      <c r="B631" s="31" t="n">
        <v>1.33</v>
      </c>
    </row>
    <row r="632">
      <c r="A632" s="80" t="n">
        <v>37257</v>
      </c>
      <c r="B632" s="31" t="n">
        <v>1.25</v>
      </c>
    </row>
    <row r="633">
      <c r="A633" s="80" t="n">
        <v>37288</v>
      </c>
      <c r="B633" s="31" t="n">
        <v>1.25</v>
      </c>
    </row>
    <row r="634">
      <c r="A634" s="80" t="n">
        <v>37316</v>
      </c>
      <c r="B634" s="31" t="n">
        <v>1.25</v>
      </c>
    </row>
    <row r="635">
      <c r="A635" s="80" t="n">
        <v>37347</v>
      </c>
      <c r="B635" s="31" t="n">
        <v>1.25</v>
      </c>
    </row>
    <row r="636">
      <c r="A636" s="80" t="n">
        <v>37377</v>
      </c>
      <c r="B636" s="31" t="n">
        <v>1.25</v>
      </c>
    </row>
    <row r="637">
      <c r="A637" s="80" t="n">
        <v>37408</v>
      </c>
      <c r="B637" s="31" t="n">
        <v>1.25</v>
      </c>
    </row>
    <row r="638">
      <c r="A638" s="80" t="n">
        <v>37438</v>
      </c>
      <c r="B638" s="31" t="n">
        <v>1.25</v>
      </c>
    </row>
    <row r="639">
      <c r="A639" s="80" t="n">
        <v>37469</v>
      </c>
      <c r="B639" s="31" t="n">
        <v>1.25</v>
      </c>
    </row>
    <row r="640">
      <c r="A640" s="80" t="n">
        <v>37500</v>
      </c>
      <c r="B640" s="31" t="n">
        <v>1.25</v>
      </c>
    </row>
    <row r="641">
      <c r="A641" s="80" t="n">
        <v>37530</v>
      </c>
      <c r="B641" s="31" t="n">
        <v>1.25</v>
      </c>
    </row>
    <row r="642">
      <c r="A642" s="80" t="n">
        <v>37561</v>
      </c>
      <c r="B642" s="31" t="n">
        <v>0.83</v>
      </c>
    </row>
    <row r="643">
      <c r="A643" s="80" t="n">
        <v>37591</v>
      </c>
      <c r="B643" s="31" t="n">
        <v>0.75</v>
      </c>
    </row>
    <row r="644">
      <c r="A644" s="80" t="n">
        <v>37622</v>
      </c>
      <c r="B644" s="31" t="n">
        <v>2.25</v>
      </c>
    </row>
    <row r="645">
      <c r="A645" s="80" t="n">
        <v>37653</v>
      </c>
      <c r="B645" s="31" t="n">
        <v>2.25</v>
      </c>
    </row>
    <row r="646">
      <c r="A646" s="80" t="n">
        <v>37681</v>
      </c>
      <c r="B646" s="31" t="n">
        <v>2.25</v>
      </c>
    </row>
    <row r="647">
      <c r="A647" s="80" t="n">
        <v>37712</v>
      </c>
      <c r="B647" s="31" t="n">
        <v>2.25</v>
      </c>
    </row>
    <row r="648">
      <c r="A648" s="80" t="n">
        <v>37742</v>
      </c>
      <c r="B648" s="31" t="n">
        <v>2.25</v>
      </c>
    </row>
    <row r="649">
      <c r="A649" s="80" t="n">
        <v>37773</v>
      </c>
      <c r="B649" s="31" t="n">
        <v>2</v>
      </c>
    </row>
    <row r="650">
      <c r="A650" s="80" t="n">
        <v>37803</v>
      </c>
      <c r="B650" s="31" t="n">
        <v>2</v>
      </c>
    </row>
    <row r="651">
      <c r="A651" s="80" t="n">
        <v>37834</v>
      </c>
      <c r="B651" s="31" t="n">
        <v>2</v>
      </c>
    </row>
    <row r="652">
      <c r="A652" s="80" t="n">
        <v>37865</v>
      </c>
      <c r="B652" s="31" t="n">
        <v>2</v>
      </c>
    </row>
    <row r="653">
      <c r="A653" s="80" t="n">
        <v>37895</v>
      </c>
      <c r="B653" s="31" t="n">
        <v>2</v>
      </c>
    </row>
    <row r="654">
      <c r="A654" s="80" t="n">
        <v>37926</v>
      </c>
      <c r="B654" s="31" t="n">
        <v>2</v>
      </c>
    </row>
    <row r="655">
      <c r="A655" s="80" t="n">
        <v>37956</v>
      </c>
      <c r="B655" s="31" t="n">
        <v>2</v>
      </c>
    </row>
    <row r="656">
      <c r="A656" s="80" t="n">
        <v>37987</v>
      </c>
      <c r="B656" s="31" t="n">
        <v>2</v>
      </c>
    </row>
    <row r="657">
      <c r="A657" s="80" t="n">
        <v>38018</v>
      </c>
      <c r="B657" s="31" t="n">
        <v>2</v>
      </c>
    </row>
    <row r="658">
      <c r="A658" s="80" t="n">
        <v>38047</v>
      </c>
      <c r="B658" s="31" t="n">
        <v>2</v>
      </c>
    </row>
    <row r="659">
      <c r="A659" s="80" t="n">
        <v>38078</v>
      </c>
      <c r="B659" s="31" t="n">
        <v>2</v>
      </c>
    </row>
    <row r="660">
      <c r="A660" s="80" t="n">
        <v>38108</v>
      </c>
      <c r="B660" s="31" t="n">
        <v>2</v>
      </c>
    </row>
    <row r="661">
      <c r="A661" s="80" t="n">
        <v>38139</v>
      </c>
      <c r="B661" s="31" t="n">
        <v>2.25</v>
      </c>
    </row>
    <row r="662">
      <c r="A662" s="80" t="n">
        <v>38169</v>
      </c>
      <c r="B662" s="31" t="n">
        <v>2.25</v>
      </c>
    </row>
    <row r="663">
      <c r="A663" s="80" t="n">
        <v>38200</v>
      </c>
      <c r="B663" s="31" t="n">
        <v>2.5</v>
      </c>
    </row>
    <row r="664">
      <c r="A664" s="80" t="n">
        <v>38231</v>
      </c>
      <c r="B664" s="31" t="n">
        <v>2.75</v>
      </c>
    </row>
    <row r="665">
      <c r="A665" s="80" t="n">
        <v>38261</v>
      </c>
      <c r="B665" s="31" t="n">
        <v>2.75</v>
      </c>
    </row>
    <row r="666">
      <c r="A666" s="80" t="n">
        <v>38292</v>
      </c>
      <c r="B666" s="31" t="n">
        <v>3</v>
      </c>
    </row>
    <row r="667">
      <c r="A667" s="80" t="n">
        <v>38322</v>
      </c>
      <c r="B667" s="31" t="n">
        <v>3.25</v>
      </c>
    </row>
    <row r="668">
      <c r="A668" s="80" t="n">
        <v>38353</v>
      </c>
      <c r="B668" s="31" t="n">
        <v>3.25</v>
      </c>
    </row>
    <row r="669">
      <c r="A669" s="80" t="n">
        <v>38384</v>
      </c>
      <c r="B669" s="31" t="n">
        <v>3.5</v>
      </c>
    </row>
    <row r="670">
      <c r="A670" s="80" t="n">
        <v>38412</v>
      </c>
      <c r="B670" s="31" t="n">
        <v>3.75</v>
      </c>
    </row>
    <row r="671">
      <c r="A671" s="80" t="n">
        <v>38443</v>
      </c>
      <c r="B671" s="31" t="n">
        <v>3.75</v>
      </c>
    </row>
    <row r="672">
      <c r="A672" s="80" t="n">
        <v>38473</v>
      </c>
      <c r="B672" s="31" t="n">
        <v>4</v>
      </c>
    </row>
    <row r="673">
      <c r="A673" s="80" t="n">
        <v>38504</v>
      </c>
      <c r="B673" s="31" t="n">
        <v>4.25</v>
      </c>
    </row>
    <row r="674">
      <c r="A674" s="80" t="n">
        <v>38534</v>
      </c>
      <c r="B674" s="31" t="n">
        <v>4.25</v>
      </c>
    </row>
    <row r="675">
      <c r="A675" s="80" t="n">
        <v>38565</v>
      </c>
      <c r="B675" s="31" t="n">
        <v>4.5</v>
      </c>
    </row>
    <row r="676">
      <c r="A676" s="80" t="n">
        <v>38596</v>
      </c>
      <c r="B676" s="31" t="n">
        <v>4.75</v>
      </c>
    </row>
    <row r="677">
      <c r="A677" s="80" t="n">
        <v>38626</v>
      </c>
      <c r="B677" s="31" t="n">
        <v>4.75</v>
      </c>
    </row>
    <row r="678">
      <c r="A678" s="80" t="n">
        <v>38657</v>
      </c>
      <c r="B678" s="31" t="n">
        <v>5</v>
      </c>
    </row>
    <row r="679">
      <c r="A679" s="80" t="n">
        <v>38687</v>
      </c>
      <c r="B679" s="31" t="n">
        <v>5.25</v>
      </c>
    </row>
    <row r="680">
      <c r="A680" s="80" t="n">
        <v>38718</v>
      </c>
      <c r="B680" s="31" t="n">
        <v>5.5</v>
      </c>
    </row>
    <row r="681">
      <c r="A681" s="80" t="n">
        <v>38749</v>
      </c>
      <c r="B681" s="31" t="n">
        <v>5.5</v>
      </c>
    </row>
    <row r="682">
      <c r="A682" s="80" t="n">
        <v>38777</v>
      </c>
      <c r="B682" s="31" t="n">
        <v>5.75</v>
      </c>
    </row>
    <row r="683">
      <c r="A683" s="80" t="n">
        <v>38808</v>
      </c>
      <c r="B683" s="31" t="n">
        <v>5.75</v>
      </c>
    </row>
    <row r="684">
      <c r="A684" s="80" t="n">
        <v>38838</v>
      </c>
      <c r="B684" s="31" t="n">
        <v>6</v>
      </c>
    </row>
    <row r="685">
      <c r="A685" s="80" t="n">
        <v>38869</v>
      </c>
      <c r="B685" s="31" t="n">
        <v>6.25</v>
      </c>
    </row>
    <row r="686">
      <c r="A686" s="80" t="n">
        <v>38899</v>
      </c>
      <c r="B686" s="31" t="n">
        <v>6.25</v>
      </c>
    </row>
    <row r="687">
      <c r="A687" s="80" t="n">
        <v>38930</v>
      </c>
      <c r="B687" s="31" t="n">
        <v>6.25</v>
      </c>
    </row>
    <row r="688">
      <c r="A688" s="80" t="n">
        <v>38961</v>
      </c>
      <c r="B688" s="31" t="n">
        <v>6.25</v>
      </c>
    </row>
    <row r="689">
      <c r="A689" s="80" t="n">
        <v>38991</v>
      </c>
      <c r="B689" s="31" t="n">
        <v>6.25</v>
      </c>
    </row>
    <row r="690">
      <c r="A690" s="80" t="n">
        <v>39022</v>
      </c>
      <c r="B690" s="31" t="n">
        <v>6.25</v>
      </c>
    </row>
    <row r="691">
      <c r="A691" s="80" t="n">
        <v>39052</v>
      </c>
      <c r="B691" s="31" t="n">
        <v>6.25</v>
      </c>
    </row>
    <row r="692">
      <c r="A692" s="80" t="n">
        <v>39083</v>
      </c>
      <c r="B692" s="31" t="n">
        <v>6.25</v>
      </c>
    </row>
    <row r="693">
      <c r="A693" s="80" t="n">
        <v>39114</v>
      </c>
      <c r="B693" s="31" t="n">
        <v>6.25</v>
      </c>
    </row>
    <row r="694">
      <c r="A694" s="80" t="n">
        <v>39142</v>
      </c>
      <c r="B694" s="31" t="n">
        <v>6.25</v>
      </c>
    </row>
    <row r="695">
      <c r="A695" s="80" t="n">
        <v>39173</v>
      </c>
      <c r="B695" s="31" t="n">
        <v>6.25</v>
      </c>
    </row>
    <row r="696">
      <c r="A696" s="80" t="n">
        <v>39203</v>
      </c>
      <c r="B696" s="31" t="n">
        <v>6.25</v>
      </c>
    </row>
    <row r="697">
      <c r="A697" s="80" t="n">
        <v>39234</v>
      </c>
      <c r="B697" s="31" t="n">
        <v>6.25</v>
      </c>
    </row>
    <row r="698">
      <c r="A698" s="80" t="n">
        <v>39264</v>
      </c>
      <c r="B698" s="31" t="n">
        <v>6.25</v>
      </c>
    </row>
    <row r="699">
      <c r="A699" s="80" t="n">
        <v>39295</v>
      </c>
      <c r="B699" s="31" t="n">
        <v>5.75</v>
      </c>
    </row>
    <row r="700">
      <c r="A700" s="80" t="n">
        <v>39326</v>
      </c>
      <c r="B700" s="31" t="n">
        <v>5.25</v>
      </c>
    </row>
    <row r="701">
      <c r="A701" s="80" t="n">
        <v>39356</v>
      </c>
      <c r="B701" s="31" t="n">
        <v>5</v>
      </c>
    </row>
    <row r="702">
      <c r="A702" s="80" t="n">
        <v>39387</v>
      </c>
      <c r="B702" s="31" t="n">
        <v>5</v>
      </c>
    </row>
    <row r="703">
      <c r="A703" s="80" t="n">
        <v>39417</v>
      </c>
      <c r="B703" s="31" t="n">
        <v>4.75</v>
      </c>
    </row>
    <row r="704">
      <c r="A704" s="80" t="n">
        <v>39448</v>
      </c>
      <c r="B704" s="31" t="n">
        <v>3.5</v>
      </c>
    </row>
    <row r="705">
      <c r="A705" s="80" t="n">
        <v>39479</v>
      </c>
      <c r="B705" s="31" t="n">
        <v>3.5</v>
      </c>
    </row>
    <row r="706">
      <c r="A706" s="80" t="n">
        <v>39508</v>
      </c>
      <c r="B706" s="31" t="n">
        <v>2.5</v>
      </c>
    </row>
    <row r="707">
      <c r="A707" s="80" t="n">
        <v>39539</v>
      </c>
      <c r="B707" s="31" t="n">
        <v>2.25</v>
      </c>
    </row>
    <row r="708">
      <c r="A708" s="80" t="n">
        <v>39569</v>
      </c>
      <c r="B708" s="31" t="n">
        <v>2.25</v>
      </c>
    </row>
    <row r="709">
      <c r="A709" s="80" t="n">
        <v>39600</v>
      </c>
      <c r="B709" s="31" t="n">
        <v>2.25</v>
      </c>
    </row>
    <row r="710">
      <c r="A710" s="80" t="n">
        <v>39630</v>
      </c>
      <c r="B710" s="31" t="n">
        <v>2.25</v>
      </c>
    </row>
    <row r="711">
      <c r="A711" s="80" t="n">
        <v>39661</v>
      </c>
      <c r="B711" s="31" t="n">
        <v>2.25</v>
      </c>
    </row>
    <row r="712">
      <c r="A712" s="80" t="n">
        <v>39692</v>
      </c>
      <c r="B712" s="31" t="n">
        <v>2.25</v>
      </c>
    </row>
    <row r="713">
      <c r="A713" s="80" t="n">
        <v>39722</v>
      </c>
      <c r="B713" s="31" t="n">
        <v>1.25</v>
      </c>
    </row>
    <row r="714">
      <c r="A714" s="80" t="n">
        <v>39753</v>
      </c>
      <c r="B714" s="31" t="n">
        <v>1.25</v>
      </c>
    </row>
    <row r="715">
      <c r="A715" s="80" t="n">
        <v>39783</v>
      </c>
      <c r="B715" s="31" t="n">
        <v>0.5</v>
      </c>
    </row>
    <row r="716">
      <c r="A716" s="80" t="n">
        <v>39814</v>
      </c>
      <c r="B716" s="31" t="n">
        <v>0.5</v>
      </c>
    </row>
    <row r="717">
      <c r="A717" s="80" t="n">
        <v>39845</v>
      </c>
      <c r="B717" s="31" t="n">
        <v>0.5</v>
      </c>
    </row>
    <row r="718">
      <c r="A718" s="80" t="n">
        <v>39873</v>
      </c>
      <c r="B718" s="31" t="n">
        <v>0.5</v>
      </c>
    </row>
    <row r="719">
      <c r="A719" s="80" t="n">
        <v>39904</v>
      </c>
      <c r="B719" s="31" t="n">
        <v>0.5</v>
      </c>
    </row>
    <row r="720">
      <c r="A720" s="80" t="n">
        <v>39934</v>
      </c>
      <c r="B720" s="31" t="n">
        <v>0.5</v>
      </c>
    </row>
    <row r="721">
      <c r="A721" s="80" t="n">
        <v>39965</v>
      </c>
      <c r="B721" s="31" t="n">
        <v>0.5</v>
      </c>
    </row>
    <row r="722">
      <c r="A722" s="80" t="n">
        <v>39995</v>
      </c>
      <c r="B722" s="31" t="n">
        <v>0.5</v>
      </c>
    </row>
    <row r="723">
      <c r="A723" s="80" t="n">
        <v>40026</v>
      </c>
      <c r="B723" s="31" t="n">
        <v>0.5</v>
      </c>
    </row>
    <row r="724">
      <c r="A724" s="80" t="n">
        <v>40057</v>
      </c>
      <c r="B724" s="31" t="n">
        <v>0.5</v>
      </c>
    </row>
    <row r="725">
      <c r="A725" s="80" t="n">
        <v>40087</v>
      </c>
      <c r="B725" s="31" t="n">
        <v>0.5</v>
      </c>
    </row>
    <row r="726">
      <c r="A726" s="80" t="n">
        <v>40118</v>
      </c>
      <c r="B726" s="31" t="n">
        <v>0.5</v>
      </c>
    </row>
    <row r="727">
      <c r="A727" s="80" t="n">
        <v>40148</v>
      </c>
      <c r="B727" s="31" t="n">
        <v>0.5</v>
      </c>
    </row>
    <row r="728">
      <c r="A728" s="80" t="n">
        <v>40179</v>
      </c>
      <c r="B728" s="31" t="n">
        <v>0.5</v>
      </c>
    </row>
    <row r="729">
      <c r="A729" s="80" t="n">
        <v>40210</v>
      </c>
      <c r="B729" s="31" t="n">
        <v>0.75</v>
      </c>
    </row>
    <row r="730">
      <c r="A730" s="80" t="n">
        <v>40238</v>
      </c>
      <c r="B730" s="31" t="n">
        <v>0.75</v>
      </c>
    </row>
    <row r="731">
      <c r="A731" s="80" t="n">
        <v>40269</v>
      </c>
      <c r="B731" s="31" t="n">
        <v>0.75</v>
      </c>
    </row>
    <row r="732">
      <c r="A732" s="80" t="n">
        <v>40299</v>
      </c>
      <c r="B732" s="31" t="n">
        <v>0.75</v>
      </c>
    </row>
    <row r="733">
      <c r="A733" s="80" t="n">
        <v>40330</v>
      </c>
      <c r="B733" s="31" t="n">
        <v>0.75</v>
      </c>
    </row>
    <row r="734">
      <c r="A734" s="80" t="n">
        <v>40360</v>
      </c>
      <c r="B734" s="31" t="n">
        <v>0.75</v>
      </c>
    </row>
    <row r="735">
      <c r="A735" s="80" t="n">
        <v>40391</v>
      </c>
      <c r="B735" s="31" t="n">
        <v>0.75</v>
      </c>
    </row>
    <row r="736">
      <c r="A736" s="80" t="n">
        <v>40422</v>
      </c>
      <c r="B736" s="31" t="n">
        <v>0.75</v>
      </c>
    </row>
    <row r="737">
      <c r="A737" s="80" t="n">
        <v>40452</v>
      </c>
      <c r="B737" s="31" t="n">
        <v>0.75</v>
      </c>
    </row>
    <row r="738">
      <c r="A738" s="80" t="n">
        <v>40483</v>
      </c>
      <c r="B738" s="31" t="n">
        <v>0.75</v>
      </c>
    </row>
    <row r="739">
      <c r="A739" s="80" t="n">
        <v>40513</v>
      </c>
      <c r="B739" s="31" t="n">
        <v>0.75</v>
      </c>
    </row>
    <row r="740">
      <c r="A740" s="80" t="n">
        <v>40544</v>
      </c>
      <c r="B740" s="31" t="n">
        <v>0.75</v>
      </c>
    </row>
    <row r="741">
      <c r="A741" s="80" t="n">
        <v>40575</v>
      </c>
      <c r="B741" s="31" t="n">
        <v>0.75</v>
      </c>
    </row>
    <row r="742">
      <c r="A742" s="80" t="n">
        <v>40603</v>
      </c>
      <c r="B742" s="31" t="n">
        <v>0.75</v>
      </c>
    </row>
    <row r="743">
      <c r="A743" s="80" t="n">
        <v>40634</v>
      </c>
      <c r="B743" s="31" t="n">
        <v>0.75</v>
      </c>
    </row>
    <row r="744">
      <c r="A744" s="80" t="n">
        <v>40664</v>
      </c>
      <c r="B744" s="31" t="n">
        <v>0.75</v>
      </c>
    </row>
    <row r="745">
      <c r="A745" s="80" t="n">
        <v>40695</v>
      </c>
      <c r="B745" s="31" t="n">
        <v>0.75</v>
      </c>
    </row>
    <row r="746">
      <c r="A746" s="80" t="n">
        <v>40725</v>
      </c>
      <c r="B746" s="31" t="n">
        <v>0.75</v>
      </c>
    </row>
    <row r="747">
      <c r="A747" s="80" t="n">
        <v>40756</v>
      </c>
      <c r="B747" s="31" t="n">
        <v>0.75</v>
      </c>
    </row>
    <row r="748">
      <c r="A748" s="80" t="n">
        <v>40787</v>
      </c>
      <c r="B748" s="31" t="n">
        <v>0.75</v>
      </c>
    </row>
    <row r="749">
      <c r="A749" s="80" t="n">
        <v>40817</v>
      </c>
      <c r="B749" s="31" t="n">
        <v>0.75</v>
      </c>
    </row>
    <row r="750">
      <c r="A750" s="80" t="n">
        <v>40848</v>
      </c>
      <c r="B750" s="31" t="n">
        <v>0.75</v>
      </c>
    </row>
    <row r="751">
      <c r="A751" s="80" t="n">
        <v>40878</v>
      </c>
      <c r="B751" s="31" t="n">
        <v>0.75</v>
      </c>
    </row>
    <row r="752">
      <c r="A752" s="80" t="n">
        <v>40909</v>
      </c>
      <c r="B752" s="31" t="n">
        <v>0.75</v>
      </c>
    </row>
    <row r="753">
      <c r="A753" s="80" t="n">
        <v>40940</v>
      </c>
      <c r="B753" s="31" t="n">
        <v>0.75</v>
      </c>
    </row>
    <row r="754">
      <c r="A754" s="80" t="n">
        <v>40969</v>
      </c>
      <c r="B754" s="31" t="n">
        <v>0.75</v>
      </c>
    </row>
    <row r="755">
      <c r="A755" s="80" t="n">
        <v>41000</v>
      </c>
      <c r="B755" s="31" t="n">
        <v>0.75</v>
      </c>
    </row>
    <row r="756">
      <c r="A756" s="80" t="n">
        <v>41030</v>
      </c>
      <c r="B756" s="31" t="n">
        <v>0.75</v>
      </c>
    </row>
    <row r="757">
      <c r="A757" s="80" t="n">
        <v>41061</v>
      </c>
      <c r="B757" s="31" t="n">
        <v>0.75</v>
      </c>
    </row>
    <row r="758">
      <c r="A758" s="80" t="n">
        <v>41091</v>
      </c>
      <c r="B758" s="31" t="n">
        <v>0.75</v>
      </c>
    </row>
    <row r="759">
      <c r="A759" s="80" t="n">
        <v>41122</v>
      </c>
      <c r="B759" s="31" t="n">
        <v>0.75</v>
      </c>
    </row>
    <row r="760">
      <c r="A760" s="80" t="n">
        <v>41153</v>
      </c>
      <c r="B760" s="31" t="n">
        <v>0.75</v>
      </c>
    </row>
    <row r="761">
      <c r="A761" s="80" t="n">
        <v>41183</v>
      </c>
      <c r="B761" s="31" t="n">
        <v>0.75</v>
      </c>
    </row>
    <row r="762">
      <c r="A762" s="80" t="n">
        <v>41214</v>
      </c>
      <c r="B762" s="31" t="n">
        <v>0.75</v>
      </c>
    </row>
    <row r="763">
      <c r="A763" s="80" t="n">
        <v>41244</v>
      </c>
      <c r="B763" s="31" t="n">
        <v>0.75</v>
      </c>
    </row>
    <row r="764">
      <c r="A764" s="80" t="n">
        <v>41275</v>
      </c>
      <c r="B764" s="31" t="n">
        <v>0.75</v>
      </c>
    </row>
    <row r="765">
      <c r="A765" s="80" t="n">
        <v>41306</v>
      </c>
      <c r="B765" s="31" t="n">
        <v>0.75</v>
      </c>
    </row>
    <row r="766">
      <c r="A766" s="80" t="n">
        <v>41334</v>
      </c>
      <c r="B766" s="31" t="n">
        <v>0.75</v>
      </c>
    </row>
    <row r="767">
      <c r="A767" s="80" t="n">
        <v>41365</v>
      </c>
      <c r="B767" s="31" t="n">
        <v>0.75</v>
      </c>
    </row>
    <row r="768">
      <c r="A768" s="80" t="n">
        <v>41395</v>
      </c>
      <c r="B768" s="31" t="n">
        <v>0.75</v>
      </c>
    </row>
    <row r="769">
      <c r="A769" s="80" t="n">
        <v>41426</v>
      </c>
      <c r="B769" s="31" t="n">
        <v>0.75</v>
      </c>
    </row>
    <row r="770">
      <c r="A770" s="80" t="n">
        <v>41456</v>
      </c>
      <c r="B770" s="31" t="n">
        <v>0.75</v>
      </c>
    </row>
    <row r="771">
      <c r="A771" s="80" t="n">
        <v>41487</v>
      </c>
      <c r="B771" s="31" t="n">
        <v>0.75</v>
      </c>
    </row>
    <row r="772">
      <c r="A772" s="80" t="n">
        <v>41518</v>
      </c>
      <c r="B772" s="31" t="n">
        <v>0.75</v>
      </c>
    </row>
    <row r="773">
      <c r="A773" s="80" t="n">
        <v>41548</v>
      </c>
      <c r="B773" s="31" t="n">
        <v>0.75</v>
      </c>
    </row>
    <row r="774">
      <c r="A774" s="80" t="n">
        <v>41579</v>
      </c>
      <c r="B774" s="31" t="n">
        <v>0.75</v>
      </c>
    </row>
    <row r="775">
      <c r="A775" s="80" t="n">
        <v>41609</v>
      </c>
      <c r="B775" s="31" t="n">
        <v>0.75</v>
      </c>
    </row>
    <row r="776">
      <c r="A776" s="80" t="n">
        <v>41640</v>
      </c>
      <c r="B776" s="31" t="n">
        <v>0.75</v>
      </c>
    </row>
    <row r="777">
      <c r="A777" s="80" t="n">
        <v>41671</v>
      </c>
      <c r="B777" s="31" t="n">
        <v>0.75</v>
      </c>
    </row>
    <row r="778">
      <c r="A778" s="80" t="n">
        <v>41699</v>
      </c>
      <c r="B778" s="31" t="n">
        <v>0.75</v>
      </c>
    </row>
    <row r="779">
      <c r="A779" s="80" t="n">
        <v>41730</v>
      </c>
      <c r="B779" s="31" t="n">
        <v>0.75</v>
      </c>
    </row>
    <row r="780">
      <c r="A780" s="80" t="n">
        <v>41760</v>
      </c>
      <c r="B780" s="31" t="n">
        <v>0.75</v>
      </c>
    </row>
    <row r="781">
      <c r="A781" s="80" t="n">
        <v>41791</v>
      </c>
      <c r="B781" s="31" t="n">
        <v>0.75</v>
      </c>
    </row>
    <row r="782">
      <c r="A782" s="80" t="n">
        <v>41821</v>
      </c>
      <c r="B782" s="31" t="n">
        <v>0.75</v>
      </c>
    </row>
    <row r="783">
      <c r="A783" s="80" t="n">
        <v>41852</v>
      </c>
      <c r="B783" s="31" t="n">
        <v>0.75</v>
      </c>
    </row>
    <row r="784">
      <c r="A784" s="80" t="n">
        <v>41883</v>
      </c>
      <c r="B784" s="31" t="n">
        <v>0.75</v>
      </c>
    </row>
    <row r="785">
      <c r="A785" s="80" t="n">
        <v>41913</v>
      </c>
      <c r="B785" s="31" t="n">
        <v>0.75</v>
      </c>
    </row>
    <row r="786">
      <c r="A786" s="80" t="n">
        <v>41944</v>
      </c>
      <c r="B786" s="31" t="n">
        <v>0.75</v>
      </c>
    </row>
    <row r="787">
      <c r="A787" s="80" t="n">
        <v>41974</v>
      </c>
      <c r="B787" s="31" t="n">
        <v>0.75</v>
      </c>
    </row>
    <row r="788">
      <c r="A788" s="80" t="n">
        <v>42005</v>
      </c>
      <c r="B788" s="31" t="n">
        <v>0.75</v>
      </c>
    </row>
    <row r="789">
      <c r="A789" s="80" t="n">
        <v>42036</v>
      </c>
      <c r="B789" s="31" t="n">
        <v>0.75</v>
      </c>
    </row>
    <row r="790">
      <c r="A790" s="80" t="n">
        <v>42064</v>
      </c>
      <c r="B790" s="31" t="n">
        <v>0.75</v>
      </c>
    </row>
    <row r="791">
      <c r="A791" s="80" t="n">
        <v>42095</v>
      </c>
      <c r="B791" s="31" t="n">
        <v>0.75</v>
      </c>
    </row>
    <row r="792">
      <c r="A792" s="80" t="n">
        <v>42125</v>
      </c>
      <c r="B792" s="31" t="n">
        <v>0.75</v>
      </c>
    </row>
    <row r="793">
      <c r="A793" s="80" t="n">
        <v>42156</v>
      </c>
      <c r="B793" s="31" t="n">
        <v>0.75</v>
      </c>
    </row>
    <row r="794">
      <c r="A794" s="80" t="n">
        <v>42186</v>
      </c>
      <c r="B794" s="31" t="n">
        <v>0.75</v>
      </c>
    </row>
    <row r="795">
      <c r="A795" s="80" t="n">
        <v>42217</v>
      </c>
      <c r="B795" s="31" t="n">
        <v>0.75</v>
      </c>
    </row>
    <row r="796">
      <c r="A796" s="80" t="n">
        <v>42248</v>
      </c>
      <c r="B796" s="31" t="n">
        <v>0.75</v>
      </c>
    </row>
    <row r="797">
      <c r="A797" s="80" t="n">
        <v>42278</v>
      </c>
      <c r="B797" s="31" t="n">
        <v>0.75</v>
      </c>
    </row>
    <row r="798">
      <c r="A798" s="80" t="n">
        <v>42309</v>
      </c>
      <c r="B798" s="31" t="n">
        <v>0.75</v>
      </c>
    </row>
    <row r="799">
      <c r="A799" s="80" t="n">
        <v>42339</v>
      </c>
      <c r="B799" s="31" t="n">
        <v>1</v>
      </c>
    </row>
    <row r="800">
      <c r="A800" s="80" t="n">
        <v>42370</v>
      </c>
      <c r="B800" s="31" t="n">
        <v>1</v>
      </c>
    </row>
    <row r="801">
      <c r="A801" s="80" t="n">
        <v>42401</v>
      </c>
      <c r="B801" s="31" t="n">
        <v>1</v>
      </c>
    </row>
    <row r="802">
      <c r="A802" s="80" t="n">
        <v>42430</v>
      </c>
      <c r="B802" s="31" t="n">
        <v>1</v>
      </c>
    </row>
    <row r="803">
      <c r="A803" s="80" t="n">
        <v>42461</v>
      </c>
      <c r="B803" s="31" t="n">
        <v>1</v>
      </c>
    </row>
    <row r="804">
      <c r="A804" s="80" t="n">
        <v>42491</v>
      </c>
      <c r="B804" s="31" t="n">
        <v>1</v>
      </c>
    </row>
    <row r="805">
      <c r="A805" s="80" t="n">
        <v>42522</v>
      </c>
      <c r="B805" s="31" t="n">
        <v>1</v>
      </c>
    </row>
    <row r="806">
      <c r="A806" s="80" t="n">
        <v>42552</v>
      </c>
      <c r="B806" s="31" t="n">
        <v>1</v>
      </c>
    </row>
    <row r="807">
      <c r="A807" s="80" t="n">
        <v>42583</v>
      </c>
      <c r="B807" s="31" t="n">
        <v>1</v>
      </c>
    </row>
    <row r="808">
      <c r="A808" s="80" t="n">
        <v>42614</v>
      </c>
      <c r="B808" s="31" t="n">
        <v>1</v>
      </c>
    </row>
    <row r="809">
      <c r="A809" s="80" t="n">
        <v>42644</v>
      </c>
      <c r="B809" s="31" t="n">
        <v>1</v>
      </c>
    </row>
    <row r="810">
      <c r="A810" s="80" t="n">
        <v>42675</v>
      </c>
      <c r="B810" s="31" t="n">
        <v>1</v>
      </c>
    </row>
    <row r="811">
      <c r="A811" s="80" t="n">
        <v>42705</v>
      </c>
      <c r="B811" s="31" t="n">
        <v>1.25</v>
      </c>
    </row>
    <row r="812">
      <c r="A812" s="80" t="n">
        <v>42736</v>
      </c>
      <c r="B812" s="31" t="n">
        <v>1.25</v>
      </c>
    </row>
    <row r="813">
      <c r="A813" s="80" t="n">
        <v>42767</v>
      </c>
      <c r="B813" s="31" t="n">
        <v>1.25</v>
      </c>
    </row>
    <row r="814">
      <c r="A814" s="80" t="n">
        <v>42795</v>
      </c>
      <c r="B814" s="31" t="n">
        <v>1.5</v>
      </c>
    </row>
    <row r="815">
      <c r="A815" s="80" t="n">
        <v>42826</v>
      </c>
      <c r="B815" s="31" t="n">
        <v>1.5</v>
      </c>
    </row>
    <row r="816">
      <c r="A816" s="80" t="n">
        <v>42856</v>
      </c>
      <c r="B816" s="31" t="n">
        <v>1.5</v>
      </c>
    </row>
    <row r="817">
      <c r="A817" s="80" t="n">
        <v>42887</v>
      </c>
      <c r="B817" s="31" t="n">
        <v>1.75</v>
      </c>
    </row>
    <row r="818">
      <c r="A818" s="80" t="n">
        <v>42917</v>
      </c>
      <c r="B818" s="31" t="n">
        <v>1.75</v>
      </c>
    </row>
    <row r="819">
      <c r="A819" s="80" t="n">
        <v>42948</v>
      </c>
      <c r="B819" s="31" t="n">
        <v>1.75</v>
      </c>
    </row>
    <row r="820">
      <c r="A820" s="80" t="n">
        <v>42979</v>
      </c>
      <c r="B820" s="31" t="n">
        <v>1.75</v>
      </c>
    </row>
    <row r="821">
      <c r="A821" s="80" t="n">
        <v>43009</v>
      </c>
      <c r="B821" s="31" t="n">
        <v>1.75</v>
      </c>
    </row>
    <row r="822">
      <c r="A822" s="80" t="n">
        <v>43040</v>
      </c>
      <c r="B822" s="31" t="n">
        <v>1.75</v>
      </c>
    </row>
    <row r="823">
      <c r="A823" s="80" t="n">
        <v>43070</v>
      </c>
      <c r="B823" s="31" t="n">
        <v>2</v>
      </c>
    </row>
    <row r="824">
      <c r="A824" s="80" t="n">
        <v>43101</v>
      </c>
      <c r="B824" s="31" t="n">
        <v>2</v>
      </c>
    </row>
    <row r="825">
      <c r="A825" s="80" t="n">
        <v>43132</v>
      </c>
      <c r="B825" s="31" t="n">
        <v>2</v>
      </c>
    </row>
    <row r="826">
      <c r="A826" s="80" t="n">
        <v>43160</v>
      </c>
      <c r="B826" s="31" t="n">
        <v>2.25</v>
      </c>
    </row>
    <row r="827">
      <c r="A827" s="80" t="n">
        <v>43191</v>
      </c>
      <c r="B827" s="31" t="n">
        <v>2.25</v>
      </c>
    </row>
    <row r="828">
      <c r="A828" s="80" t="n">
        <v>43221</v>
      </c>
      <c r="B828" s="31" t="n">
        <v>2.25</v>
      </c>
    </row>
    <row r="829">
      <c r="A829" s="80" t="n">
        <v>43252</v>
      </c>
      <c r="B829" s="31" t="n">
        <v>2.5</v>
      </c>
    </row>
    <row r="830">
      <c r="A830" s="80" t="n">
        <v>43282</v>
      </c>
      <c r="B830" s="31" t="n">
        <v>2.5</v>
      </c>
    </row>
    <row r="831">
      <c r="A831" s="80" t="n">
        <v>43313</v>
      </c>
      <c r="B831" s="31" t="n">
        <v>2.5</v>
      </c>
    </row>
    <row r="832">
      <c r="A832" s="80" t="n">
        <v>43344</v>
      </c>
      <c r="B832" s="31" t="n">
        <v>2.75</v>
      </c>
    </row>
    <row r="833">
      <c r="A833" s="80" t="n">
        <v>43374</v>
      </c>
      <c r="B833" s="31" t="n">
        <v>2.75</v>
      </c>
    </row>
    <row r="834">
      <c r="A834" s="80" t="n">
        <v>43405</v>
      </c>
      <c r="B834" s="31" t="n">
        <v>2.75</v>
      </c>
    </row>
    <row r="835">
      <c r="A835" s="80" t="n">
        <v>43435</v>
      </c>
      <c r="B835" s="31" t="n">
        <v>3</v>
      </c>
    </row>
    <row r="836">
      <c r="A836" s="80" t="n">
        <v>43466</v>
      </c>
      <c r="B836" s="31" t="n">
        <v>3</v>
      </c>
    </row>
    <row r="837">
      <c r="A837" s="80" t="n">
        <v>43497</v>
      </c>
      <c r="B837" s="31" t="n">
        <v>3</v>
      </c>
    </row>
    <row r="838">
      <c r="A838" s="80" t="n">
        <v>43525</v>
      </c>
      <c r="B838" s="31" t="n">
        <v>3</v>
      </c>
    </row>
    <row r="839">
      <c r="A839" s="80" t="n">
        <v>43556</v>
      </c>
      <c r="B839" s="31" t="n">
        <v>3</v>
      </c>
    </row>
    <row r="840">
      <c r="A840" s="80" t="n">
        <v>43586</v>
      </c>
      <c r="B840" s="31" t="n">
        <v>3</v>
      </c>
    </row>
    <row r="841">
      <c r="A841" s="80" t="n">
        <v>43617</v>
      </c>
      <c r="B841" s="31" t="n">
        <v>3</v>
      </c>
    </row>
    <row r="842">
      <c r="A842" s="80" t="n">
        <v>43647</v>
      </c>
      <c r="B842" s="31" t="n">
        <v>3</v>
      </c>
    </row>
    <row r="843">
      <c r="A843" s="80" t="n">
        <v>43678</v>
      </c>
      <c r="B843" s="31" t="n">
        <v>2.75</v>
      </c>
    </row>
    <row r="844">
      <c r="A844" s="80" t="n">
        <v>43709</v>
      </c>
      <c r="B844" s="31" t="n">
        <v>2.5</v>
      </c>
    </row>
    <row r="845">
      <c r="A845" s="80" t="n">
        <v>43739</v>
      </c>
      <c r="B845" s="31" t="n">
        <v>2.25</v>
      </c>
    </row>
    <row r="846">
      <c r="A846" s="80" t="n">
        <v>43770</v>
      </c>
      <c r="B846" s="31" t="n">
        <v>2.25</v>
      </c>
    </row>
    <row r="847">
      <c r="A847" s="80" t="n">
        <v>43800</v>
      </c>
      <c r="B847" s="31" t="n">
        <v>2.25</v>
      </c>
    </row>
    <row r="848">
      <c r="A848" s="80" t="n">
        <v>43831</v>
      </c>
      <c r="B848" s="31" t="n">
        <v>2.25</v>
      </c>
    </row>
    <row r="849">
      <c r="A849" s="80" t="n">
        <v>43862</v>
      </c>
      <c r="B849" s="31" t="n">
        <v>2.25</v>
      </c>
    </row>
    <row r="850">
      <c r="A850" s="81" t="n">
        <v>43891</v>
      </c>
      <c r="B850" s="32" t="n">
        <v>0.25</v>
      </c>
    </row>
    <row r="851">
      <c r="A851" s="80" t="n">
        <v>43922</v>
      </c>
      <c r="B851" s="32" t="n">
        <v>0.25</v>
      </c>
    </row>
    <row r="852">
      <c r="A852" s="81" t="n">
        <v>43952</v>
      </c>
      <c r="B852" s="32" t="n">
        <v>0.25</v>
      </c>
    </row>
    <row r="853">
      <c r="A853" s="80" t="n">
        <v>43983</v>
      </c>
      <c r="B853" s="32" t="n">
        <v>0.25</v>
      </c>
    </row>
    <row r="854">
      <c r="A854" s="81" t="n">
        <v>44013</v>
      </c>
      <c r="B854" s="32" t="n">
        <v>0.25</v>
      </c>
    </row>
    <row r="855">
      <c r="A855" s="80" t="n">
        <v>44044</v>
      </c>
      <c r="B855" s="32" t="n">
        <v>0.25</v>
      </c>
    </row>
    <row r="856">
      <c r="A856" s="81" t="n">
        <v>44075</v>
      </c>
      <c r="B856" s="32" t="n">
        <v>0.25</v>
      </c>
    </row>
    <row r="857">
      <c r="A857" s="80" t="n">
        <v>44105</v>
      </c>
      <c r="B857" s="32" t="n">
        <v>0.25</v>
      </c>
    </row>
    <row r="858">
      <c r="A858" s="81" t="n">
        <v>44136</v>
      </c>
      <c r="B858" s="32" t="n">
        <v>0.25</v>
      </c>
    </row>
    <row r="859">
      <c r="A859" s="80" t="n">
        <v>44166</v>
      </c>
      <c r="B859" s="32" t="n">
        <v>0.25</v>
      </c>
    </row>
    <row r="860">
      <c r="A860" s="81" t="n">
        <v>44197</v>
      </c>
      <c r="B860" s="32" t="n">
        <v>0.25</v>
      </c>
    </row>
    <row r="861">
      <c r="A861" s="80" t="n">
        <v>44228</v>
      </c>
      <c r="B861" s="32" t="n">
        <v>0.25</v>
      </c>
    </row>
    <row r="862">
      <c r="A862" s="81" t="n">
        <v>44256</v>
      </c>
      <c r="B862" s="32" t="n">
        <v>0.25</v>
      </c>
    </row>
    <row r="863">
      <c r="A863" s="81" t="n">
        <v>44287</v>
      </c>
      <c r="B863" s="32" t="n">
        <v>0.25</v>
      </c>
    </row>
    <row r="864">
      <c r="A864" s="80" t="n">
        <v>44317</v>
      </c>
      <c r="B864" s="32" t="n">
        <v>0.25</v>
      </c>
    </row>
    <row r="865">
      <c r="A865" s="81" t="n">
        <v>44348</v>
      </c>
      <c r="B865" s="32" t="n">
        <v>0.25</v>
      </c>
    </row>
    <row r="866">
      <c r="A866" s="80" t="n">
        <v>44378</v>
      </c>
      <c r="B866" s="32" t="n">
        <v>0.25</v>
      </c>
    </row>
    <row r="867">
      <c r="A867" s="81" t="n">
        <v>44409</v>
      </c>
      <c r="B867" s="32" t="n">
        <v>0.25</v>
      </c>
    </row>
    <row r="868">
      <c r="A868" s="81" t="n">
        <v>44440</v>
      </c>
      <c r="B868" s="32" t="n">
        <v>0.25</v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3"/>
  <sheetViews>
    <sheetView zoomScale="170" zoomScaleNormal="170" workbookViewId="0">
      <pane ySplit="7" topLeftCell="A8" activePane="bottomLeft" state="frozen"/>
      <selection pane="bottomLeft" activeCell="A1" sqref="A1"/>
    </sheetView>
  </sheetViews>
  <sheetFormatPr baseColWidth="10" defaultColWidth="9.1640625" defaultRowHeight="15"/>
  <cols>
    <col width="11.6640625" customWidth="1" style="5" min="1" max="1"/>
    <col width="13.1640625" customWidth="1" style="5" min="2" max="2"/>
    <col width="9.1640625" customWidth="1" style="72" min="3" max="3"/>
    <col width="9.1640625" customWidth="1" style="72" min="4" max="16384"/>
  </cols>
  <sheetData>
    <row r="1">
      <c r="A1" s="3" t="inlineStr">
        <is>
          <t>https://fred.stlouisfed.org/series/FEDFUNDS</t>
        </is>
      </c>
      <c r="B1" s="4" t="n"/>
    </row>
    <row r="2">
      <c r="A2" s="4" t="n"/>
      <c r="B2" s="4" t="n"/>
    </row>
    <row r="3">
      <c r="A3" s="4" t="n"/>
      <c r="B3" s="4" t="n"/>
    </row>
    <row r="4">
      <c r="A4" s="4" t="n"/>
      <c r="B4" s="4" t="n"/>
    </row>
    <row r="6" ht="16" customHeight="1" s="54" thickBot="1">
      <c r="A6" s="4" t="n"/>
      <c r="B6" s="4" t="n"/>
    </row>
    <row r="7" ht="16" customHeight="1" s="54" thickBot="1">
      <c r="A7" s="34" t="inlineStr">
        <is>
          <t>Month</t>
        </is>
      </c>
      <c r="B7" s="35" t="inlineStr">
        <is>
          <t>Fed Funds Rate</t>
        </is>
      </c>
    </row>
    <row r="8">
      <c r="A8" s="79" t="n">
        <v>19906</v>
      </c>
      <c r="B8" s="33" t="n">
        <v>0.8</v>
      </c>
    </row>
    <row r="9">
      <c r="A9" s="80" t="n">
        <v>19937</v>
      </c>
      <c r="B9" s="31" t="n">
        <v>1.22</v>
      </c>
    </row>
    <row r="10">
      <c r="A10" s="80" t="n">
        <v>19968</v>
      </c>
      <c r="B10" s="31" t="n">
        <v>1.06</v>
      </c>
    </row>
    <row r="11">
      <c r="A11" s="80" t="n">
        <v>19998</v>
      </c>
      <c r="B11" s="31" t="n">
        <v>0.85</v>
      </c>
    </row>
    <row r="12">
      <c r="A12" s="80" t="n">
        <v>20029</v>
      </c>
      <c r="B12" s="31" t="n">
        <v>0.83</v>
      </c>
    </row>
    <row r="13">
      <c r="A13" s="80" t="n">
        <v>20059</v>
      </c>
      <c r="B13" s="31" t="n">
        <v>1.28</v>
      </c>
    </row>
    <row r="14">
      <c r="A14" s="80" t="n">
        <v>20090</v>
      </c>
      <c r="B14" s="31" t="n">
        <v>1.39</v>
      </c>
    </row>
    <row r="15">
      <c r="A15" s="80" t="n">
        <v>20121</v>
      </c>
      <c r="B15" s="31" t="n">
        <v>1.29</v>
      </c>
    </row>
    <row r="16">
      <c r="A16" s="80" t="n">
        <v>20149</v>
      </c>
      <c r="B16" s="31" t="n">
        <v>1.35</v>
      </c>
    </row>
    <row r="17">
      <c r="A17" s="80" t="n">
        <v>20180</v>
      </c>
      <c r="B17" s="31" t="n">
        <v>1.43</v>
      </c>
    </row>
    <row r="18">
      <c r="A18" s="80" t="n">
        <v>20210</v>
      </c>
      <c r="B18" s="31" t="n">
        <v>1.43</v>
      </c>
    </row>
    <row r="19">
      <c r="A19" s="80" t="n">
        <v>20241</v>
      </c>
      <c r="B19" s="31" t="n">
        <v>1.64</v>
      </c>
    </row>
    <row r="20">
      <c r="A20" s="80" t="n">
        <v>20271</v>
      </c>
      <c r="B20" s="31" t="n">
        <v>1.68</v>
      </c>
    </row>
    <row r="21">
      <c r="A21" s="80" t="n">
        <v>20302</v>
      </c>
      <c r="B21" s="31" t="n">
        <v>1.96</v>
      </c>
    </row>
    <row r="22">
      <c r="A22" s="80" t="n">
        <v>20333</v>
      </c>
      <c r="B22" s="31" t="n">
        <v>2.18</v>
      </c>
    </row>
    <row r="23">
      <c r="A23" s="80" t="n">
        <v>20363</v>
      </c>
      <c r="B23" s="31" t="n">
        <v>2.24</v>
      </c>
    </row>
    <row r="24">
      <c r="A24" s="80" t="n">
        <v>20394</v>
      </c>
      <c r="B24" s="31" t="n">
        <v>2.35</v>
      </c>
    </row>
    <row r="25">
      <c r="A25" s="80" t="n">
        <v>20424</v>
      </c>
      <c r="B25" s="31" t="n">
        <v>2.48</v>
      </c>
    </row>
    <row r="26">
      <c r="A26" s="80" t="n">
        <v>20455</v>
      </c>
      <c r="B26" s="31" t="n">
        <v>2.45</v>
      </c>
    </row>
    <row r="27">
      <c r="A27" s="80" t="n">
        <v>20486</v>
      </c>
      <c r="B27" s="31" t="n">
        <v>2.5</v>
      </c>
    </row>
    <row r="28">
      <c r="A28" s="80" t="n">
        <v>20515</v>
      </c>
      <c r="B28" s="31" t="n">
        <v>2.5</v>
      </c>
    </row>
    <row r="29">
      <c r="A29" s="80" t="n">
        <v>20546</v>
      </c>
      <c r="B29" s="31" t="n">
        <v>2.62</v>
      </c>
    </row>
    <row r="30">
      <c r="A30" s="80" t="n">
        <v>20576</v>
      </c>
      <c r="B30" s="31" t="n">
        <v>2.75</v>
      </c>
    </row>
    <row r="31">
      <c r="A31" s="80" t="n">
        <v>20607</v>
      </c>
      <c r="B31" s="31" t="n">
        <v>2.71</v>
      </c>
    </row>
    <row r="32">
      <c r="A32" s="80" t="n">
        <v>20637</v>
      </c>
      <c r="B32" s="31" t="n">
        <v>2.75</v>
      </c>
    </row>
    <row r="33">
      <c r="A33" s="80" t="n">
        <v>20668</v>
      </c>
      <c r="B33" s="31" t="n">
        <v>2.73</v>
      </c>
    </row>
    <row r="34">
      <c r="A34" s="80" t="n">
        <v>20699</v>
      </c>
      <c r="B34" s="31" t="n">
        <v>2.95</v>
      </c>
    </row>
    <row r="35">
      <c r="A35" s="80" t="n">
        <v>20729</v>
      </c>
      <c r="B35" s="31" t="n">
        <v>2.96</v>
      </c>
    </row>
    <row r="36">
      <c r="A36" s="80" t="n">
        <v>20760</v>
      </c>
      <c r="B36" s="31" t="n">
        <v>2.88</v>
      </c>
    </row>
    <row r="37">
      <c r="A37" s="80" t="n">
        <v>20790</v>
      </c>
      <c r="B37" s="31" t="n">
        <v>2.94</v>
      </c>
    </row>
    <row r="38">
      <c r="A38" s="80" t="n">
        <v>20821</v>
      </c>
      <c r="B38" s="31" t="n">
        <v>2.84</v>
      </c>
    </row>
    <row r="39">
      <c r="A39" s="80" t="n">
        <v>20852</v>
      </c>
      <c r="B39" s="31" t="n">
        <v>3</v>
      </c>
    </row>
    <row r="40">
      <c r="A40" s="80" t="n">
        <v>20880</v>
      </c>
      <c r="B40" s="31" t="n">
        <v>2.96</v>
      </c>
    </row>
    <row r="41">
      <c r="A41" s="80" t="n">
        <v>20911</v>
      </c>
      <c r="B41" s="31" t="n">
        <v>3</v>
      </c>
    </row>
    <row r="42">
      <c r="A42" s="80" t="n">
        <v>20941</v>
      </c>
      <c r="B42" s="31" t="n">
        <v>3</v>
      </c>
    </row>
    <row r="43">
      <c r="A43" s="80" t="n">
        <v>20972</v>
      </c>
      <c r="B43" s="31" t="n">
        <v>3</v>
      </c>
    </row>
    <row r="44">
      <c r="A44" s="80" t="n">
        <v>21002</v>
      </c>
      <c r="B44" s="31" t="n">
        <v>2.99</v>
      </c>
    </row>
    <row r="45">
      <c r="A45" s="80" t="n">
        <v>21033</v>
      </c>
      <c r="B45" s="31" t="n">
        <v>3.24</v>
      </c>
    </row>
    <row r="46">
      <c r="A46" s="80" t="n">
        <v>21064</v>
      </c>
      <c r="B46" s="31" t="n">
        <v>3.47</v>
      </c>
    </row>
    <row r="47">
      <c r="A47" s="80" t="n">
        <v>21094</v>
      </c>
      <c r="B47" s="31" t="n">
        <v>3.5</v>
      </c>
    </row>
    <row r="48">
      <c r="A48" s="80" t="n">
        <v>21125</v>
      </c>
      <c r="B48" s="31" t="n">
        <v>3.28</v>
      </c>
    </row>
    <row r="49">
      <c r="A49" s="80" t="n">
        <v>21155</v>
      </c>
      <c r="B49" s="31" t="n">
        <v>2.98</v>
      </c>
    </row>
    <row r="50">
      <c r="A50" s="80" t="n">
        <v>21186</v>
      </c>
      <c r="B50" s="31" t="n">
        <v>2.72</v>
      </c>
    </row>
    <row r="51">
      <c r="A51" s="80" t="n">
        <v>21217</v>
      </c>
      <c r="B51" s="31" t="n">
        <v>1.67</v>
      </c>
    </row>
    <row r="52">
      <c r="A52" s="80" t="n">
        <v>21245</v>
      </c>
      <c r="B52" s="31" t="n">
        <v>1.2</v>
      </c>
    </row>
    <row r="53">
      <c r="A53" s="80" t="n">
        <v>21276</v>
      </c>
      <c r="B53" s="31" t="n">
        <v>1.26</v>
      </c>
    </row>
    <row r="54">
      <c r="A54" s="80" t="n">
        <v>21306</v>
      </c>
      <c r="B54" s="31" t="n">
        <v>0.63</v>
      </c>
    </row>
    <row r="55">
      <c r="A55" s="80" t="n">
        <v>21337</v>
      </c>
      <c r="B55" s="31" t="n">
        <v>0.93</v>
      </c>
    </row>
    <row r="56">
      <c r="A56" s="80" t="n">
        <v>21367</v>
      </c>
      <c r="B56" s="31" t="n">
        <v>0.68</v>
      </c>
    </row>
    <row r="57">
      <c r="A57" s="80" t="n">
        <v>21398</v>
      </c>
      <c r="B57" s="31" t="n">
        <v>1.53</v>
      </c>
    </row>
    <row r="58">
      <c r="A58" s="80" t="n">
        <v>21429</v>
      </c>
      <c r="B58" s="31" t="n">
        <v>1.76</v>
      </c>
    </row>
    <row r="59">
      <c r="A59" s="80" t="n">
        <v>21459</v>
      </c>
      <c r="B59" s="31" t="n">
        <v>1.8</v>
      </c>
    </row>
    <row r="60">
      <c r="A60" s="80" t="n">
        <v>21490</v>
      </c>
      <c r="B60" s="31" t="n">
        <v>2.27</v>
      </c>
    </row>
    <row r="61">
      <c r="A61" s="80" t="n">
        <v>21520</v>
      </c>
      <c r="B61" s="31" t="n">
        <v>2.42</v>
      </c>
    </row>
    <row r="62">
      <c r="A62" s="80" t="n">
        <v>21551</v>
      </c>
      <c r="B62" s="31" t="n">
        <v>2.48</v>
      </c>
    </row>
    <row r="63">
      <c r="A63" s="80" t="n">
        <v>21582</v>
      </c>
      <c r="B63" s="31" t="n">
        <v>2.43</v>
      </c>
    </row>
    <row r="64">
      <c r="A64" s="80" t="n">
        <v>21610</v>
      </c>
      <c r="B64" s="31" t="n">
        <v>2.8</v>
      </c>
    </row>
    <row r="65">
      <c r="A65" s="80" t="n">
        <v>21641</v>
      </c>
      <c r="B65" s="31" t="n">
        <v>2.96</v>
      </c>
    </row>
    <row r="66">
      <c r="A66" s="80" t="n">
        <v>21671</v>
      </c>
      <c r="B66" s="31" t="n">
        <v>2.9</v>
      </c>
    </row>
    <row r="67">
      <c r="A67" s="80" t="n">
        <v>21702</v>
      </c>
      <c r="B67" s="31" t="n">
        <v>3.39</v>
      </c>
    </row>
    <row r="68">
      <c r="A68" s="80" t="n">
        <v>21732</v>
      </c>
      <c r="B68" s="31" t="n">
        <v>3.47</v>
      </c>
    </row>
    <row r="69">
      <c r="A69" s="80" t="n">
        <v>21763</v>
      </c>
      <c r="B69" s="31" t="n">
        <v>3.5</v>
      </c>
    </row>
    <row r="70">
      <c r="A70" s="80" t="n">
        <v>21794</v>
      </c>
      <c r="B70" s="31" t="n">
        <v>3.76</v>
      </c>
    </row>
    <row r="71">
      <c r="A71" s="80" t="n">
        <v>21824</v>
      </c>
      <c r="B71" s="31" t="n">
        <v>3.98</v>
      </c>
    </row>
    <row r="72">
      <c r="A72" s="80" t="n">
        <v>21855</v>
      </c>
      <c r="B72" s="31" t="n">
        <v>4</v>
      </c>
    </row>
    <row r="73">
      <c r="A73" s="80" t="n">
        <v>21885</v>
      </c>
      <c r="B73" s="31" t="n">
        <v>3.99</v>
      </c>
    </row>
    <row r="74">
      <c r="A74" s="80" t="n">
        <v>21916</v>
      </c>
      <c r="B74" s="31" t="n">
        <v>3.99</v>
      </c>
    </row>
    <row r="75">
      <c r="A75" s="80" t="n">
        <v>21947</v>
      </c>
      <c r="B75" s="31" t="n">
        <v>3.97</v>
      </c>
    </row>
    <row r="76">
      <c r="A76" s="80" t="n">
        <v>21976</v>
      </c>
      <c r="B76" s="31" t="n">
        <v>3.84</v>
      </c>
    </row>
    <row r="77">
      <c r="A77" s="80" t="n">
        <v>22007</v>
      </c>
      <c r="B77" s="31" t="n">
        <v>3.92</v>
      </c>
    </row>
    <row r="78">
      <c r="A78" s="80" t="n">
        <v>22037</v>
      </c>
      <c r="B78" s="31" t="n">
        <v>3.85</v>
      </c>
    </row>
    <row r="79">
      <c r="A79" s="80" t="n">
        <v>22068</v>
      </c>
      <c r="B79" s="31" t="n">
        <v>3.32</v>
      </c>
    </row>
    <row r="80">
      <c r="A80" s="80" t="n">
        <v>22098</v>
      </c>
      <c r="B80" s="31" t="n">
        <v>3.23</v>
      </c>
    </row>
    <row r="81">
      <c r="A81" s="80" t="n">
        <v>22129</v>
      </c>
      <c r="B81" s="31" t="n">
        <v>2.98</v>
      </c>
    </row>
    <row r="82">
      <c r="A82" s="80" t="n">
        <v>22160</v>
      </c>
      <c r="B82" s="31" t="n">
        <v>2.6</v>
      </c>
    </row>
    <row r="83">
      <c r="A83" s="80" t="n">
        <v>22190</v>
      </c>
      <c r="B83" s="31" t="n">
        <v>2.47</v>
      </c>
    </row>
    <row r="84">
      <c r="A84" s="80" t="n">
        <v>22221</v>
      </c>
      <c r="B84" s="31" t="n">
        <v>2.44</v>
      </c>
    </row>
    <row r="85">
      <c r="A85" s="80" t="n">
        <v>22251</v>
      </c>
      <c r="B85" s="31" t="n">
        <v>1.98</v>
      </c>
    </row>
    <row r="86">
      <c r="A86" s="80" t="n">
        <v>22282</v>
      </c>
      <c r="B86" s="31" t="n">
        <v>1.45</v>
      </c>
    </row>
    <row r="87">
      <c r="A87" s="80" t="n">
        <v>22313</v>
      </c>
      <c r="B87" s="31" t="n">
        <v>2.54</v>
      </c>
    </row>
    <row r="88">
      <c r="A88" s="80" t="n">
        <v>22341</v>
      </c>
      <c r="B88" s="31" t="n">
        <v>2.02</v>
      </c>
    </row>
    <row r="89">
      <c r="A89" s="80" t="n">
        <v>22372</v>
      </c>
      <c r="B89" s="31" t="n">
        <v>1.49</v>
      </c>
    </row>
    <row r="90">
      <c r="A90" s="80" t="n">
        <v>22402</v>
      </c>
      <c r="B90" s="31" t="n">
        <v>1.98</v>
      </c>
    </row>
    <row r="91">
      <c r="A91" s="80" t="n">
        <v>22433</v>
      </c>
      <c r="B91" s="31" t="n">
        <v>1.73</v>
      </c>
    </row>
    <row r="92">
      <c r="A92" s="80" t="n">
        <v>22463</v>
      </c>
      <c r="B92" s="31" t="n">
        <v>1.17</v>
      </c>
    </row>
    <row r="93">
      <c r="A93" s="80" t="n">
        <v>22494</v>
      </c>
      <c r="B93" s="31" t="n">
        <v>2</v>
      </c>
    </row>
    <row r="94">
      <c r="A94" s="80" t="n">
        <v>22525</v>
      </c>
      <c r="B94" s="31" t="n">
        <v>1.88</v>
      </c>
    </row>
    <row r="95">
      <c r="A95" s="80" t="n">
        <v>22555</v>
      </c>
      <c r="B95" s="31" t="n">
        <v>2.26</v>
      </c>
    </row>
    <row r="96">
      <c r="A96" s="80" t="n">
        <v>22586</v>
      </c>
      <c r="B96" s="31" t="n">
        <v>2.61</v>
      </c>
    </row>
    <row r="97">
      <c r="A97" s="80" t="n">
        <v>22616</v>
      </c>
      <c r="B97" s="31" t="n">
        <v>2.33</v>
      </c>
    </row>
    <row r="98">
      <c r="A98" s="80" t="n">
        <v>22647</v>
      </c>
      <c r="B98" s="31" t="n">
        <v>2.15</v>
      </c>
    </row>
    <row r="99">
      <c r="A99" s="80" t="n">
        <v>22678</v>
      </c>
      <c r="B99" s="31" t="n">
        <v>2.37</v>
      </c>
    </row>
    <row r="100">
      <c r="A100" s="80" t="n">
        <v>22706</v>
      </c>
      <c r="B100" s="31" t="n">
        <v>2.85</v>
      </c>
    </row>
    <row r="101">
      <c r="A101" s="80" t="n">
        <v>22737</v>
      </c>
      <c r="B101" s="31" t="n">
        <v>2.78</v>
      </c>
    </row>
    <row r="102">
      <c r="A102" s="80" t="n">
        <v>22767</v>
      </c>
      <c r="B102" s="31" t="n">
        <v>2.36</v>
      </c>
    </row>
    <row r="103">
      <c r="A103" s="80" t="n">
        <v>22798</v>
      </c>
      <c r="B103" s="31" t="n">
        <v>2.68</v>
      </c>
    </row>
    <row r="104">
      <c r="A104" s="80" t="n">
        <v>22828</v>
      </c>
      <c r="B104" s="31" t="n">
        <v>2.71</v>
      </c>
    </row>
    <row r="105">
      <c r="A105" s="80" t="n">
        <v>22859</v>
      </c>
      <c r="B105" s="31" t="n">
        <v>2.93</v>
      </c>
    </row>
    <row r="106">
      <c r="A106" s="80" t="n">
        <v>22890</v>
      </c>
      <c r="B106" s="31" t="n">
        <v>2.9</v>
      </c>
    </row>
    <row r="107">
      <c r="A107" s="80" t="n">
        <v>22920</v>
      </c>
      <c r="B107" s="31" t="n">
        <v>2.9</v>
      </c>
    </row>
    <row r="108">
      <c r="A108" s="80" t="n">
        <v>22951</v>
      </c>
      <c r="B108" s="31" t="n">
        <v>2.94</v>
      </c>
    </row>
    <row r="109">
      <c r="A109" s="80" t="n">
        <v>22981</v>
      </c>
      <c r="B109" s="31" t="n">
        <v>2.93</v>
      </c>
    </row>
    <row r="110">
      <c r="A110" s="80" t="n">
        <v>23012</v>
      </c>
      <c r="B110" s="31" t="n">
        <v>2.92</v>
      </c>
    </row>
    <row r="111">
      <c r="A111" s="80" t="n">
        <v>23043</v>
      </c>
      <c r="B111" s="31" t="n">
        <v>3</v>
      </c>
    </row>
    <row r="112">
      <c r="A112" s="80" t="n">
        <v>23071</v>
      </c>
      <c r="B112" s="31" t="n">
        <v>2.98</v>
      </c>
    </row>
    <row r="113">
      <c r="A113" s="80" t="n">
        <v>23102</v>
      </c>
      <c r="B113" s="31" t="n">
        <v>2.9</v>
      </c>
    </row>
    <row r="114">
      <c r="A114" s="80" t="n">
        <v>23132</v>
      </c>
      <c r="B114" s="31" t="n">
        <v>3</v>
      </c>
    </row>
    <row r="115">
      <c r="A115" s="80" t="n">
        <v>23163</v>
      </c>
      <c r="B115" s="31" t="n">
        <v>2.99</v>
      </c>
    </row>
    <row r="116">
      <c r="A116" s="80" t="n">
        <v>23193</v>
      </c>
      <c r="B116" s="31" t="n">
        <v>3.02</v>
      </c>
    </row>
    <row r="117">
      <c r="A117" s="80" t="n">
        <v>23224</v>
      </c>
      <c r="B117" s="31" t="n">
        <v>3.49</v>
      </c>
    </row>
    <row r="118">
      <c r="A118" s="80" t="n">
        <v>23255</v>
      </c>
      <c r="B118" s="31" t="n">
        <v>3.48</v>
      </c>
    </row>
    <row r="119">
      <c r="A119" s="80" t="n">
        <v>23285</v>
      </c>
      <c r="B119" s="31" t="n">
        <v>3.5</v>
      </c>
    </row>
    <row r="120">
      <c r="A120" s="80" t="n">
        <v>23316</v>
      </c>
      <c r="B120" s="31" t="n">
        <v>3.48</v>
      </c>
    </row>
    <row r="121">
      <c r="A121" s="80" t="n">
        <v>23346</v>
      </c>
      <c r="B121" s="31" t="n">
        <v>3.38</v>
      </c>
    </row>
    <row r="122">
      <c r="A122" s="80" t="n">
        <v>23377</v>
      </c>
      <c r="B122" s="31" t="n">
        <v>3.48</v>
      </c>
    </row>
    <row r="123">
      <c r="A123" s="80" t="n">
        <v>23408</v>
      </c>
      <c r="B123" s="31" t="n">
        <v>3.48</v>
      </c>
    </row>
    <row r="124">
      <c r="A124" s="80" t="n">
        <v>23437</v>
      </c>
      <c r="B124" s="31" t="n">
        <v>3.43</v>
      </c>
    </row>
    <row r="125">
      <c r="A125" s="80" t="n">
        <v>23468</v>
      </c>
      <c r="B125" s="31" t="n">
        <v>3.47</v>
      </c>
    </row>
    <row r="126">
      <c r="A126" s="80" t="n">
        <v>23498</v>
      </c>
      <c r="B126" s="31" t="n">
        <v>3.5</v>
      </c>
    </row>
    <row r="127">
      <c r="A127" s="80" t="n">
        <v>23529</v>
      </c>
      <c r="B127" s="31" t="n">
        <v>3.5</v>
      </c>
    </row>
    <row r="128">
      <c r="A128" s="80" t="n">
        <v>23559</v>
      </c>
      <c r="B128" s="31" t="n">
        <v>3.42</v>
      </c>
    </row>
    <row r="129">
      <c r="A129" s="80" t="n">
        <v>23590</v>
      </c>
      <c r="B129" s="31" t="n">
        <v>3.5</v>
      </c>
    </row>
    <row r="130">
      <c r="A130" s="80" t="n">
        <v>23621</v>
      </c>
      <c r="B130" s="31" t="n">
        <v>3.45</v>
      </c>
    </row>
    <row r="131">
      <c r="A131" s="80" t="n">
        <v>23651</v>
      </c>
      <c r="B131" s="31" t="n">
        <v>3.36</v>
      </c>
    </row>
    <row r="132">
      <c r="A132" s="80" t="n">
        <v>23682</v>
      </c>
      <c r="B132" s="31" t="n">
        <v>3.52</v>
      </c>
    </row>
    <row r="133">
      <c r="A133" s="80" t="n">
        <v>23712</v>
      </c>
      <c r="B133" s="31" t="n">
        <v>3.85</v>
      </c>
    </row>
    <row r="134">
      <c r="A134" s="80" t="n">
        <v>23743</v>
      </c>
      <c r="B134" s="31" t="n">
        <v>3.9</v>
      </c>
    </row>
    <row r="135">
      <c r="A135" s="80" t="n">
        <v>23774</v>
      </c>
      <c r="B135" s="31" t="n">
        <v>3.98</v>
      </c>
    </row>
    <row r="136">
      <c r="A136" s="80" t="n">
        <v>23802</v>
      </c>
      <c r="B136" s="31" t="n">
        <v>4.04</v>
      </c>
    </row>
    <row r="137">
      <c r="A137" s="80" t="n">
        <v>23833</v>
      </c>
      <c r="B137" s="31" t="n">
        <v>4.09</v>
      </c>
    </row>
    <row r="138">
      <c r="A138" s="80" t="n">
        <v>23863</v>
      </c>
      <c r="B138" s="31" t="n">
        <v>4.1</v>
      </c>
    </row>
    <row r="139">
      <c r="A139" s="80" t="n">
        <v>23894</v>
      </c>
      <c r="B139" s="31" t="n">
        <v>4.04</v>
      </c>
    </row>
    <row r="140">
      <c r="A140" s="80" t="n">
        <v>23924</v>
      </c>
      <c r="B140" s="31" t="n">
        <v>4.09</v>
      </c>
    </row>
    <row r="141">
      <c r="A141" s="80" t="n">
        <v>23955</v>
      </c>
      <c r="B141" s="31" t="n">
        <v>4.12</v>
      </c>
    </row>
    <row r="142">
      <c r="A142" s="80" t="n">
        <v>23986</v>
      </c>
      <c r="B142" s="31" t="n">
        <v>4.01</v>
      </c>
    </row>
    <row r="143">
      <c r="A143" s="80" t="n">
        <v>24016</v>
      </c>
      <c r="B143" s="31" t="n">
        <v>4.08</v>
      </c>
    </row>
    <row r="144">
      <c r="A144" s="80" t="n">
        <v>24047</v>
      </c>
      <c r="B144" s="31" t="n">
        <v>4.1</v>
      </c>
    </row>
    <row r="145">
      <c r="A145" s="80" t="n">
        <v>24077</v>
      </c>
      <c r="B145" s="31" t="n">
        <v>4.32</v>
      </c>
    </row>
    <row r="146">
      <c r="A146" s="80" t="n">
        <v>24108</v>
      </c>
      <c r="B146" s="31" t="n">
        <v>4.42</v>
      </c>
    </row>
    <row r="147">
      <c r="A147" s="80" t="n">
        <v>24139</v>
      </c>
      <c r="B147" s="31" t="n">
        <v>4.6</v>
      </c>
    </row>
    <row r="148">
      <c r="A148" s="80" t="n">
        <v>24167</v>
      </c>
      <c r="B148" s="31" t="n">
        <v>4.65</v>
      </c>
    </row>
    <row r="149">
      <c r="A149" s="80" t="n">
        <v>24198</v>
      </c>
      <c r="B149" s="31" t="n">
        <v>4.67</v>
      </c>
    </row>
    <row r="150">
      <c r="A150" s="80" t="n">
        <v>24228</v>
      </c>
      <c r="B150" s="31" t="n">
        <v>4.9</v>
      </c>
    </row>
    <row r="151">
      <c r="A151" s="80" t="n">
        <v>24259</v>
      </c>
      <c r="B151" s="31" t="n">
        <v>5.17</v>
      </c>
    </row>
    <row r="152">
      <c r="A152" s="80" t="n">
        <v>24289</v>
      </c>
      <c r="B152" s="31" t="n">
        <v>5.3</v>
      </c>
    </row>
    <row r="153">
      <c r="A153" s="80" t="n">
        <v>24320</v>
      </c>
      <c r="B153" s="31" t="n">
        <v>5.53</v>
      </c>
    </row>
    <row r="154">
      <c r="A154" s="80" t="n">
        <v>24351</v>
      </c>
      <c r="B154" s="31" t="n">
        <v>5.4</v>
      </c>
    </row>
    <row r="155">
      <c r="A155" s="80" t="n">
        <v>24381</v>
      </c>
      <c r="B155" s="31" t="n">
        <v>5.53</v>
      </c>
    </row>
    <row r="156">
      <c r="A156" s="80" t="n">
        <v>24412</v>
      </c>
      <c r="B156" s="31" t="n">
        <v>5.76</v>
      </c>
    </row>
    <row r="157">
      <c r="A157" s="80" t="n">
        <v>24442</v>
      </c>
      <c r="B157" s="31" t="n">
        <v>5.4</v>
      </c>
    </row>
    <row r="158">
      <c r="A158" s="80" t="n">
        <v>24473</v>
      </c>
      <c r="B158" s="31" t="n">
        <v>4.94</v>
      </c>
    </row>
    <row r="159">
      <c r="A159" s="80" t="n">
        <v>24504</v>
      </c>
      <c r="B159" s="31" t="n">
        <v>5</v>
      </c>
    </row>
    <row r="160">
      <c r="A160" s="80" t="n">
        <v>24532</v>
      </c>
      <c r="B160" s="31" t="n">
        <v>4.53</v>
      </c>
    </row>
    <row r="161">
      <c r="A161" s="80" t="n">
        <v>24563</v>
      </c>
      <c r="B161" s="31" t="n">
        <v>4.05</v>
      </c>
    </row>
    <row r="162">
      <c r="A162" s="80" t="n">
        <v>24593</v>
      </c>
      <c r="B162" s="31" t="n">
        <v>3.94</v>
      </c>
    </row>
    <row r="163">
      <c r="A163" s="80" t="n">
        <v>24624</v>
      </c>
      <c r="B163" s="31" t="n">
        <v>3.98</v>
      </c>
    </row>
    <row r="164">
      <c r="A164" s="80" t="n">
        <v>24654</v>
      </c>
      <c r="B164" s="31" t="n">
        <v>3.79</v>
      </c>
    </row>
    <row r="165">
      <c r="A165" s="80" t="n">
        <v>24685</v>
      </c>
      <c r="B165" s="31" t="n">
        <v>3.9</v>
      </c>
    </row>
    <row r="166">
      <c r="A166" s="80" t="n">
        <v>24716</v>
      </c>
      <c r="B166" s="31" t="n">
        <v>3.99</v>
      </c>
    </row>
    <row r="167">
      <c r="A167" s="80" t="n">
        <v>24746</v>
      </c>
      <c r="B167" s="31" t="n">
        <v>3.88</v>
      </c>
    </row>
    <row r="168">
      <c r="A168" s="80" t="n">
        <v>24777</v>
      </c>
      <c r="B168" s="31" t="n">
        <v>4.13</v>
      </c>
    </row>
    <row r="169">
      <c r="A169" s="80" t="n">
        <v>24807</v>
      </c>
      <c r="B169" s="31" t="n">
        <v>4.51</v>
      </c>
    </row>
    <row r="170">
      <c r="A170" s="80" t="n">
        <v>24838</v>
      </c>
      <c r="B170" s="31" t="n">
        <v>4.6</v>
      </c>
    </row>
    <row r="171">
      <c r="A171" s="80" t="n">
        <v>24869</v>
      </c>
      <c r="B171" s="31" t="n">
        <v>4.71</v>
      </c>
    </row>
    <row r="172">
      <c r="A172" s="80" t="n">
        <v>24898</v>
      </c>
      <c r="B172" s="31" t="n">
        <v>5.05</v>
      </c>
    </row>
    <row r="173">
      <c r="A173" s="80" t="n">
        <v>24929</v>
      </c>
      <c r="B173" s="31" t="n">
        <v>5.76</v>
      </c>
    </row>
    <row r="174">
      <c r="A174" s="80" t="n">
        <v>24959</v>
      </c>
      <c r="B174" s="31" t="n">
        <v>6.11</v>
      </c>
    </row>
    <row r="175">
      <c r="A175" s="80" t="n">
        <v>24990</v>
      </c>
      <c r="B175" s="31" t="n">
        <v>6.07</v>
      </c>
    </row>
    <row r="176">
      <c r="A176" s="80" t="n">
        <v>25020</v>
      </c>
      <c r="B176" s="31" t="n">
        <v>6.02</v>
      </c>
    </row>
    <row r="177">
      <c r="A177" s="80" t="n">
        <v>25051</v>
      </c>
      <c r="B177" s="31" t="n">
        <v>6.03</v>
      </c>
    </row>
    <row r="178">
      <c r="A178" s="80" t="n">
        <v>25082</v>
      </c>
      <c r="B178" s="31" t="n">
        <v>5.78</v>
      </c>
    </row>
    <row r="179">
      <c r="A179" s="80" t="n">
        <v>25112</v>
      </c>
      <c r="B179" s="31" t="n">
        <v>5.91</v>
      </c>
    </row>
    <row r="180">
      <c r="A180" s="80" t="n">
        <v>25143</v>
      </c>
      <c r="B180" s="31" t="n">
        <v>5.82</v>
      </c>
    </row>
    <row r="181">
      <c r="A181" s="80" t="n">
        <v>25173</v>
      </c>
      <c r="B181" s="31" t="n">
        <v>6.02</v>
      </c>
    </row>
    <row r="182">
      <c r="A182" s="80" t="n">
        <v>25204</v>
      </c>
      <c r="B182" s="31" t="n">
        <v>6.3</v>
      </c>
    </row>
    <row r="183">
      <c r="A183" s="80" t="n">
        <v>25235</v>
      </c>
      <c r="B183" s="31" t="n">
        <v>6.61</v>
      </c>
    </row>
    <row r="184">
      <c r="A184" s="80" t="n">
        <v>25263</v>
      </c>
      <c r="B184" s="31" t="n">
        <v>6.79</v>
      </c>
    </row>
    <row r="185">
      <c r="A185" s="80" t="n">
        <v>25294</v>
      </c>
      <c r="B185" s="31" t="n">
        <v>7.41</v>
      </c>
    </row>
    <row r="186">
      <c r="A186" s="80" t="n">
        <v>25324</v>
      </c>
      <c r="B186" s="31" t="n">
        <v>8.67</v>
      </c>
    </row>
    <row r="187">
      <c r="A187" s="80" t="n">
        <v>25355</v>
      </c>
      <c r="B187" s="31" t="n">
        <v>8.9</v>
      </c>
    </row>
    <row r="188">
      <c r="A188" s="80" t="n">
        <v>25385</v>
      </c>
      <c r="B188" s="31" t="n">
        <v>8.609999999999999</v>
      </c>
    </row>
    <row r="189">
      <c r="A189" s="80" t="n">
        <v>25416</v>
      </c>
      <c r="B189" s="31" t="n">
        <v>9.19</v>
      </c>
    </row>
    <row r="190">
      <c r="A190" s="80" t="n">
        <v>25447</v>
      </c>
      <c r="B190" s="31" t="n">
        <v>9.15</v>
      </c>
    </row>
    <row r="191">
      <c r="A191" s="80" t="n">
        <v>25477</v>
      </c>
      <c r="B191" s="31" t="n">
        <v>9</v>
      </c>
    </row>
    <row r="192">
      <c r="A192" s="80" t="n">
        <v>25508</v>
      </c>
      <c r="B192" s="31" t="n">
        <v>8.85</v>
      </c>
    </row>
    <row r="193">
      <c r="A193" s="80" t="n">
        <v>25538</v>
      </c>
      <c r="B193" s="31" t="n">
        <v>8.970000000000001</v>
      </c>
    </row>
    <row r="194">
      <c r="A194" s="80" t="n">
        <v>25569</v>
      </c>
      <c r="B194" s="31" t="n">
        <v>8.98</v>
      </c>
    </row>
    <row r="195">
      <c r="A195" s="80" t="n">
        <v>25600</v>
      </c>
      <c r="B195" s="31" t="n">
        <v>8.98</v>
      </c>
    </row>
    <row r="196">
      <c r="A196" s="80" t="n">
        <v>25628</v>
      </c>
      <c r="B196" s="31" t="n">
        <v>7.76</v>
      </c>
    </row>
    <row r="197">
      <c r="A197" s="80" t="n">
        <v>25659</v>
      </c>
      <c r="B197" s="31" t="n">
        <v>8.1</v>
      </c>
    </row>
    <row r="198">
      <c r="A198" s="80" t="n">
        <v>25689</v>
      </c>
      <c r="B198" s="31" t="n">
        <v>7.94</v>
      </c>
    </row>
    <row r="199">
      <c r="A199" s="80" t="n">
        <v>25720</v>
      </c>
      <c r="B199" s="31" t="n">
        <v>7.6</v>
      </c>
    </row>
    <row r="200">
      <c r="A200" s="80" t="n">
        <v>25750</v>
      </c>
      <c r="B200" s="31" t="n">
        <v>7.21</v>
      </c>
    </row>
    <row r="201">
      <c r="A201" s="80" t="n">
        <v>25781</v>
      </c>
      <c r="B201" s="31" t="n">
        <v>6.61</v>
      </c>
    </row>
    <row r="202">
      <c r="A202" s="80" t="n">
        <v>25812</v>
      </c>
      <c r="B202" s="31" t="n">
        <v>6.29</v>
      </c>
    </row>
    <row r="203">
      <c r="A203" s="80" t="n">
        <v>25842</v>
      </c>
      <c r="B203" s="31" t="n">
        <v>6.2</v>
      </c>
    </row>
    <row r="204">
      <c r="A204" s="80" t="n">
        <v>25873</v>
      </c>
      <c r="B204" s="31" t="n">
        <v>5.6</v>
      </c>
    </row>
    <row r="205">
      <c r="A205" s="80" t="n">
        <v>25903</v>
      </c>
      <c r="B205" s="31" t="n">
        <v>4.9</v>
      </c>
    </row>
    <row r="206">
      <c r="A206" s="80" t="n">
        <v>25934</v>
      </c>
      <c r="B206" s="31" t="n">
        <v>4.14</v>
      </c>
    </row>
    <row r="207">
      <c r="A207" s="80" t="n">
        <v>25965</v>
      </c>
      <c r="B207" s="31" t="n">
        <v>3.72</v>
      </c>
    </row>
    <row r="208">
      <c r="A208" s="80" t="n">
        <v>25993</v>
      </c>
      <c r="B208" s="31" t="n">
        <v>3.71</v>
      </c>
    </row>
    <row r="209">
      <c r="A209" s="80" t="n">
        <v>26024</v>
      </c>
      <c r="B209" s="31" t="n">
        <v>4.15</v>
      </c>
    </row>
    <row r="210">
      <c r="A210" s="80" t="n">
        <v>26054</v>
      </c>
      <c r="B210" s="31" t="n">
        <v>4.63</v>
      </c>
    </row>
    <row r="211">
      <c r="A211" s="80" t="n">
        <v>26085</v>
      </c>
      <c r="B211" s="31" t="n">
        <v>4.91</v>
      </c>
    </row>
    <row r="212">
      <c r="A212" s="80" t="n">
        <v>26115</v>
      </c>
      <c r="B212" s="31" t="n">
        <v>5.31</v>
      </c>
    </row>
    <row r="213">
      <c r="A213" s="80" t="n">
        <v>26146</v>
      </c>
      <c r="B213" s="31" t="n">
        <v>5.56</v>
      </c>
    </row>
    <row r="214">
      <c r="A214" s="80" t="n">
        <v>26177</v>
      </c>
      <c r="B214" s="31" t="n">
        <v>5.55</v>
      </c>
    </row>
    <row r="215">
      <c r="A215" s="80" t="n">
        <v>26207</v>
      </c>
      <c r="B215" s="31" t="n">
        <v>5.2</v>
      </c>
    </row>
    <row r="216">
      <c r="A216" s="80" t="n">
        <v>26238</v>
      </c>
      <c r="B216" s="31" t="n">
        <v>4.91</v>
      </c>
    </row>
    <row r="217">
      <c r="A217" s="80" t="n">
        <v>26268</v>
      </c>
      <c r="B217" s="31" t="n">
        <v>4.14</v>
      </c>
    </row>
    <row r="218">
      <c r="A218" s="80" t="n">
        <v>26299</v>
      </c>
      <c r="B218" s="31" t="n">
        <v>3.5</v>
      </c>
    </row>
    <row r="219">
      <c r="A219" s="80" t="n">
        <v>26330</v>
      </c>
      <c r="B219" s="31" t="n">
        <v>3.29</v>
      </c>
    </row>
    <row r="220">
      <c r="A220" s="80" t="n">
        <v>26359</v>
      </c>
      <c r="B220" s="31" t="n">
        <v>3.83</v>
      </c>
    </row>
    <row r="221">
      <c r="A221" s="80" t="n">
        <v>26390</v>
      </c>
      <c r="B221" s="31" t="n">
        <v>4.17</v>
      </c>
    </row>
    <row r="222">
      <c r="A222" s="80" t="n">
        <v>26420</v>
      </c>
      <c r="B222" s="31" t="n">
        <v>4.27</v>
      </c>
    </row>
    <row r="223">
      <c r="A223" s="80" t="n">
        <v>26451</v>
      </c>
      <c r="B223" s="31" t="n">
        <v>4.46</v>
      </c>
    </row>
    <row r="224">
      <c r="A224" s="80" t="n">
        <v>26481</v>
      </c>
      <c r="B224" s="31" t="n">
        <v>4.55</v>
      </c>
    </row>
    <row r="225">
      <c r="A225" s="80" t="n">
        <v>26512</v>
      </c>
      <c r="B225" s="31" t="n">
        <v>4.8</v>
      </c>
    </row>
    <row r="226">
      <c r="A226" s="80" t="n">
        <v>26543</v>
      </c>
      <c r="B226" s="31" t="n">
        <v>4.87</v>
      </c>
    </row>
    <row r="227">
      <c r="A227" s="80" t="n">
        <v>26573</v>
      </c>
      <c r="B227" s="31" t="n">
        <v>5.04</v>
      </c>
    </row>
    <row r="228">
      <c r="A228" s="80" t="n">
        <v>26604</v>
      </c>
      <c r="B228" s="31" t="n">
        <v>5.06</v>
      </c>
    </row>
    <row r="229">
      <c r="A229" s="80" t="n">
        <v>26634</v>
      </c>
      <c r="B229" s="31" t="n">
        <v>5.33</v>
      </c>
    </row>
    <row r="230">
      <c r="A230" s="80" t="n">
        <v>26665</v>
      </c>
      <c r="B230" s="31" t="n">
        <v>5.94</v>
      </c>
    </row>
    <row r="231">
      <c r="A231" s="80" t="n">
        <v>26696</v>
      </c>
      <c r="B231" s="31" t="n">
        <v>6.58</v>
      </c>
    </row>
    <row r="232">
      <c r="A232" s="80" t="n">
        <v>26724</v>
      </c>
      <c r="B232" s="31" t="n">
        <v>7.09</v>
      </c>
    </row>
    <row r="233">
      <c r="A233" s="80" t="n">
        <v>26755</v>
      </c>
      <c r="B233" s="31" t="n">
        <v>7.12</v>
      </c>
    </row>
    <row r="234">
      <c r="A234" s="80" t="n">
        <v>26785</v>
      </c>
      <c r="B234" s="31" t="n">
        <v>7.84</v>
      </c>
    </row>
    <row r="235">
      <c r="A235" s="80" t="n">
        <v>26816</v>
      </c>
      <c r="B235" s="31" t="n">
        <v>8.49</v>
      </c>
    </row>
    <row r="236">
      <c r="A236" s="80" t="n">
        <v>26846</v>
      </c>
      <c r="B236" s="31" t="n">
        <v>10.4</v>
      </c>
    </row>
    <row r="237">
      <c r="A237" s="80" t="n">
        <v>26877</v>
      </c>
      <c r="B237" s="31" t="n">
        <v>10.5</v>
      </c>
    </row>
    <row r="238">
      <c r="A238" s="80" t="n">
        <v>26908</v>
      </c>
      <c r="B238" s="31" t="n">
        <v>10.78</v>
      </c>
    </row>
    <row r="239">
      <c r="A239" s="80" t="n">
        <v>26938</v>
      </c>
      <c r="B239" s="31" t="n">
        <v>10.01</v>
      </c>
    </row>
    <row r="240">
      <c r="A240" s="80" t="n">
        <v>26969</v>
      </c>
      <c r="B240" s="31" t="n">
        <v>10.03</v>
      </c>
    </row>
    <row r="241">
      <c r="A241" s="80" t="n">
        <v>26999</v>
      </c>
      <c r="B241" s="31" t="n">
        <v>9.949999999999999</v>
      </c>
    </row>
    <row r="242">
      <c r="A242" s="80" t="n">
        <v>27030</v>
      </c>
      <c r="B242" s="31" t="n">
        <v>9.65</v>
      </c>
    </row>
    <row r="243">
      <c r="A243" s="80" t="n">
        <v>27061</v>
      </c>
      <c r="B243" s="31" t="n">
        <v>8.970000000000001</v>
      </c>
    </row>
    <row r="244">
      <c r="A244" s="80" t="n">
        <v>27089</v>
      </c>
      <c r="B244" s="31" t="n">
        <v>9.35</v>
      </c>
    </row>
    <row r="245">
      <c r="A245" s="80" t="n">
        <v>27120</v>
      </c>
      <c r="B245" s="31" t="n">
        <v>10.51</v>
      </c>
    </row>
    <row r="246">
      <c r="A246" s="80" t="n">
        <v>27150</v>
      </c>
      <c r="B246" s="31" t="n">
        <v>11.31</v>
      </c>
    </row>
    <row r="247">
      <c r="A247" s="80" t="n">
        <v>27181</v>
      </c>
      <c r="B247" s="31" t="n">
        <v>11.93</v>
      </c>
    </row>
    <row r="248">
      <c r="A248" s="80" t="n">
        <v>27211</v>
      </c>
      <c r="B248" s="31" t="n">
        <v>12.92</v>
      </c>
    </row>
    <row r="249">
      <c r="A249" s="80" t="n">
        <v>27242</v>
      </c>
      <c r="B249" s="31" t="n">
        <v>12.01</v>
      </c>
    </row>
    <row r="250">
      <c r="A250" s="80" t="n">
        <v>27273</v>
      </c>
      <c r="B250" s="31" t="n">
        <v>11.34</v>
      </c>
    </row>
    <row r="251">
      <c r="A251" s="80" t="n">
        <v>27303</v>
      </c>
      <c r="B251" s="31" t="n">
        <v>10.06</v>
      </c>
    </row>
    <row r="252">
      <c r="A252" s="80" t="n">
        <v>27334</v>
      </c>
      <c r="B252" s="31" t="n">
        <v>9.449999999999999</v>
      </c>
    </row>
    <row r="253">
      <c r="A253" s="80" t="n">
        <v>27364</v>
      </c>
      <c r="B253" s="31" t="n">
        <v>8.529999999999999</v>
      </c>
    </row>
    <row r="254">
      <c r="A254" s="80" t="n">
        <v>27395</v>
      </c>
      <c r="B254" s="31" t="n">
        <v>7.13</v>
      </c>
    </row>
    <row r="255">
      <c r="A255" s="80" t="n">
        <v>27426</v>
      </c>
      <c r="B255" s="31" t="n">
        <v>6.24</v>
      </c>
    </row>
    <row r="256">
      <c r="A256" s="80" t="n">
        <v>27454</v>
      </c>
      <c r="B256" s="31" t="n">
        <v>5.54</v>
      </c>
    </row>
    <row r="257">
      <c r="A257" s="80" t="n">
        <v>27485</v>
      </c>
      <c r="B257" s="31" t="n">
        <v>5.49</v>
      </c>
    </row>
    <row r="258">
      <c r="A258" s="80" t="n">
        <v>27515</v>
      </c>
      <c r="B258" s="31" t="n">
        <v>5.22</v>
      </c>
    </row>
    <row r="259">
      <c r="A259" s="80" t="n">
        <v>27546</v>
      </c>
      <c r="B259" s="31" t="n">
        <v>5.55</v>
      </c>
    </row>
    <row r="260">
      <c r="A260" s="80" t="n">
        <v>27576</v>
      </c>
      <c r="B260" s="31" t="n">
        <v>6.1</v>
      </c>
    </row>
    <row r="261">
      <c r="A261" s="80" t="n">
        <v>27607</v>
      </c>
      <c r="B261" s="31" t="n">
        <v>6.14</v>
      </c>
    </row>
    <row r="262">
      <c r="A262" s="80" t="n">
        <v>27638</v>
      </c>
      <c r="B262" s="31" t="n">
        <v>6.24</v>
      </c>
    </row>
    <row r="263">
      <c r="A263" s="80" t="n">
        <v>27668</v>
      </c>
      <c r="B263" s="31" t="n">
        <v>5.82</v>
      </c>
    </row>
    <row r="264">
      <c r="A264" s="80" t="n">
        <v>27699</v>
      </c>
      <c r="B264" s="31" t="n">
        <v>5.22</v>
      </c>
    </row>
    <row r="265">
      <c r="A265" s="80" t="n">
        <v>27729</v>
      </c>
      <c r="B265" s="31" t="n">
        <v>5.2</v>
      </c>
    </row>
    <row r="266">
      <c r="A266" s="80" t="n">
        <v>27760</v>
      </c>
      <c r="B266" s="31" t="n">
        <v>4.87</v>
      </c>
    </row>
    <row r="267">
      <c r="A267" s="80" t="n">
        <v>27791</v>
      </c>
      <c r="B267" s="31" t="n">
        <v>4.77</v>
      </c>
    </row>
    <row r="268">
      <c r="A268" s="80" t="n">
        <v>27820</v>
      </c>
      <c r="B268" s="31" t="n">
        <v>4.84</v>
      </c>
    </row>
    <row r="269">
      <c r="A269" s="80" t="n">
        <v>27851</v>
      </c>
      <c r="B269" s="31" t="n">
        <v>4.82</v>
      </c>
    </row>
    <row r="270">
      <c r="A270" s="80" t="n">
        <v>27881</v>
      </c>
      <c r="B270" s="31" t="n">
        <v>5.29</v>
      </c>
    </row>
    <row r="271">
      <c r="A271" s="80" t="n">
        <v>27912</v>
      </c>
      <c r="B271" s="31" t="n">
        <v>5.48</v>
      </c>
    </row>
    <row r="272">
      <c r="A272" s="80" t="n">
        <v>27942</v>
      </c>
      <c r="B272" s="31" t="n">
        <v>5.31</v>
      </c>
    </row>
    <row r="273">
      <c r="A273" s="80" t="n">
        <v>27973</v>
      </c>
      <c r="B273" s="31" t="n">
        <v>5.29</v>
      </c>
    </row>
    <row r="274">
      <c r="A274" s="80" t="n">
        <v>28004</v>
      </c>
      <c r="B274" s="31" t="n">
        <v>5.25</v>
      </c>
    </row>
    <row r="275">
      <c r="A275" s="80" t="n">
        <v>28034</v>
      </c>
      <c r="B275" s="31" t="n">
        <v>5.02</v>
      </c>
    </row>
    <row r="276">
      <c r="A276" s="80" t="n">
        <v>28065</v>
      </c>
      <c r="B276" s="31" t="n">
        <v>4.95</v>
      </c>
    </row>
    <row r="277">
      <c r="A277" s="80" t="n">
        <v>28095</v>
      </c>
      <c r="B277" s="31" t="n">
        <v>4.65</v>
      </c>
    </row>
    <row r="278">
      <c r="A278" s="80" t="n">
        <v>28126</v>
      </c>
      <c r="B278" s="31" t="n">
        <v>4.61</v>
      </c>
    </row>
    <row r="279">
      <c r="A279" s="80" t="n">
        <v>28157</v>
      </c>
      <c r="B279" s="31" t="n">
        <v>4.68</v>
      </c>
    </row>
    <row r="280">
      <c r="A280" s="80" t="n">
        <v>28185</v>
      </c>
      <c r="B280" s="31" t="n">
        <v>4.69</v>
      </c>
    </row>
    <row r="281">
      <c r="A281" s="80" t="n">
        <v>28216</v>
      </c>
      <c r="B281" s="31" t="n">
        <v>4.73</v>
      </c>
    </row>
    <row r="282">
      <c r="A282" s="80" t="n">
        <v>28246</v>
      </c>
      <c r="B282" s="31" t="n">
        <v>5.35</v>
      </c>
    </row>
    <row r="283">
      <c r="A283" s="80" t="n">
        <v>28277</v>
      </c>
      <c r="B283" s="31" t="n">
        <v>5.39</v>
      </c>
    </row>
    <row r="284">
      <c r="A284" s="80" t="n">
        <v>28307</v>
      </c>
      <c r="B284" s="31" t="n">
        <v>5.42</v>
      </c>
    </row>
    <row r="285">
      <c r="A285" s="80" t="n">
        <v>28338</v>
      </c>
      <c r="B285" s="31" t="n">
        <v>5.9</v>
      </c>
    </row>
    <row r="286">
      <c r="A286" s="80" t="n">
        <v>28369</v>
      </c>
      <c r="B286" s="31" t="n">
        <v>6.14</v>
      </c>
    </row>
    <row r="287">
      <c r="A287" s="80" t="n">
        <v>28399</v>
      </c>
      <c r="B287" s="31" t="n">
        <v>6.47</v>
      </c>
    </row>
    <row r="288">
      <c r="A288" s="80" t="n">
        <v>28430</v>
      </c>
      <c r="B288" s="31" t="n">
        <v>6.51</v>
      </c>
    </row>
    <row r="289">
      <c r="A289" s="80" t="n">
        <v>28460</v>
      </c>
      <c r="B289" s="31" t="n">
        <v>6.56</v>
      </c>
    </row>
    <row r="290">
      <c r="A290" s="80" t="n">
        <v>28491</v>
      </c>
      <c r="B290" s="31" t="n">
        <v>6.7</v>
      </c>
    </row>
    <row r="291">
      <c r="A291" s="80" t="n">
        <v>28522</v>
      </c>
      <c r="B291" s="31" t="n">
        <v>6.78</v>
      </c>
    </row>
    <row r="292">
      <c r="A292" s="80" t="n">
        <v>28550</v>
      </c>
      <c r="B292" s="31" t="n">
        <v>6.79</v>
      </c>
    </row>
    <row r="293">
      <c r="A293" s="80" t="n">
        <v>28581</v>
      </c>
      <c r="B293" s="31" t="n">
        <v>6.89</v>
      </c>
    </row>
    <row r="294">
      <c r="A294" s="80" t="n">
        <v>28611</v>
      </c>
      <c r="B294" s="31" t="n">
        <v>7.36</v>
      </c>
    </row>
    <row r="295">
      <c r="A295" s="80" t="n">
        <v>28642</v>
      </c>
      <c r="B295" s="31" t="n">
        <v>7.6</v>
      </c>
    </row>
    <row r="296">
      <c r="A296" s="80" t="n">
        <v>28672</v>
      </c>
      <c r="B296" s="31" t="n">
        <v>7.81</v>
      </c>
    </row>
    <row r="297">
      <c r="A297" s="80" t="n">
        <v>28703</v>
      </c>
      <c r="B297" s="31" t="n">
        <v>8.039999999999999</v>
      </c>
    </row>
    <row r="298">
      <c r="A298" s="80" t="n">
        <v>28734</v>
      </c>
      <c r="B298" s="31" t="n">
        <v>8.449999999999999</v>
      </c>
    </row>
    <row r="299">
      <c r="A299" s="80" t="n">
        <v>28764</v>
      </c>
      <c r="B299" s="31" t="n">
        <v>8.960000000000001</v>
      </c>
    </row>
    <row r="300">
      <c r="A300" s="80" t="n">
        <v>28795</v>
      </c>
      <c r="B300" s="31" t="n">
        <v>9.76</v>
      </c>
    </row>
    <row r="301">
      <c r="A301" s="80" t="n">
        <v>28825</v>
      </c>
      <c r="B301" s="31" t="n">
        <v>10.03</v>
      </c>
    </row>
    <row r="302">
      <c r="A302" s="80" t="n">
        <v>28856</v>
      </c>
      <c r="B302" s="31" t="n">
        <v>10.07</v>
      </c>
    </row>
    <row r="303">
      <c r="A303" s="80" t="n">
        <v>28887</v>
      </c>
      <c r="B303" s="31" t="n">
        <v>10.06</v>
      </c>
    </row>
    <row r="304">
      <c r="A304" s="80" t="n">
        <v>28915</v>
      </c>
      <c r="B304" s="31" t="n">
        <v>10.09</v>
      </c>
    </row>
    <row r="305">
      <c r="A305" s="80" t="n">
        <v>28946</v>
      </c>
      <c r="B305" s="31" t="n">
        <v>10.01</v>
      </c>
    </row>
    <row r="306">
      <c r="A306" s="80" t="n">
        <v>28976</v>
      </c>
      <c r="B306" s="31" t="n">
        <v>10.24</v>
      </c>
    </row>
    <row r="307">
      <c r="A307" s="80" t="n">
        <v>29007</v>
      </c>
      <c r="B307" s="31" t="n">
        <v>10.29</v>
      </c>
    </row>
    <row r="308">
      <c r="A308" s="80" t="n">
        <v>29037</v>
      </c>
      <c r="B308" s="31" t="n">
        <v>10.47</v>
      </c>
    </row>
    <row r="309">
      <c r="A309" s="80" t="n">
        <v>29068</v>
      </c>
      <c r="B309" s="31" t="n">
        <v>10.94</v>
      </c>
    </row>
    <row r="310">
      <c r="A310" s="80" t="n">
        <v>29099</v>
      </c>
      <c r="B310" s="31" t="n">
        <v>11.43</v>
      </c>
    </row>
    <row r="311">
      <c r="A311" s="80" t="n">
        <v>29129</v>
      </c>
      <c r="B311" s="31" t="n">
        <v>13.77</v>
      </c>
    </row>
    <row r="312">
      <c r="A312" s="80" t="n">
        <v>29160</v>
      </c>
      <c r="B312" s="31" t="n">
        <v>13.18</v>
      </c>
    </row>
    <row r="313">
      <c r="A313" s="80" t="n">
        <v>29190</v>
      </c>
      <c r="B313" s="31" t="n">
        <v>13.78</v>
      </c>
    </row>
    <row r="314">
      <c r="A314" s="80" t="n">
        <v>29221</v>
      </c>
      <c r="B314" s="31" t="n">
        <v>13.82</v>
      </c>
    </row>
    <row r="315">
      <c r="A315" s="80" t="n">
        <v>29252</v>
      </c>
      <c r="B315" s="31" t="n">
        <v>14.13</v>
      </c>
    </row>
    <row r="316">
      <c r="A316" s="80" t="n">
        <v>29281</v>
      </c>
      <c r="B316" s="31" t="n">
        <v>17.19</v>
      </c>
    </row>
    <row r="317">
      <c r="A317" s="80" t="n">
        <v>29312</v>
      </c>
      <c r="B317" s="31" t="n">
        <v>17.61</v>
      </c>
    </row>
    <row r="318">
      <c r="A318" s="80" t="n">
        <v>29342</v>
      </c>
      <c r="B318" s="31" t="n">
        <v>10.98</v>
      </c>
    </row>
    <row r="319">
      <c r="A319" s="80" t="n">
        <v>29373</v>
      </c>
      <c r="B319" s="31" t="n">
        <v>9.470000000000001</v>
      </c>
    </row>
    <row r="320">
      <c r="A320" s="80" t="n">
        <v>29403</v>
      </c>
      <c r="B320" s="31" t="n">
        <v>9.029999999999999</v>
      </c>
    </row>
    <row r="321">
      <c r="A321" s="80" t="n">
        <v>29434</v>
      </c>
      <c r="B321" s="31" t="n">
        <v>9.609999999999999</v>
      </c>
    </row>
    <row r="322">
      <c r="A322" s="80" t="n">
        <v>29465</v>
      </c>
      <c r="B322" s="31" t="n">
        <v>10.87</v>
      </c>
    </row>
    <row r="323">
      <c r="A323" s="80" t="n">
        <v>29495</v>
      </c>
      <c r="B323" s="31" t="n">
        <v>12.81</v>
      </c>
    </row>
    <row r="324">
      <c r="A324" s="80" t="n">
        <v>29526</v>
      </c>
      <c r="B324" s="31" t="n">
        <v>15.85</v>
      </c>
    </row>
    <row r="325">
      <c r="A325" s="80" t="n">
        <v>29556</v>
      </c>
      <c r="B325" s="31" t="n">
        <v>18.9</v>
      </c>
    </row>
    <row r="326">
      <c r="A326" s="80" t="n">
        <v>29587</v>
      </c>
      <c r="B326" s="31" t="n">
        <v>19.08</v>
      </c>
    </row>
    <row r="327">
      <c r="A327" s="80" t="n">
        <v>29618</v>
      </c>
      <c r="B327" s="31" t="n">
        <v>15.93</v>
      </c>
    </row>
    <row r="328">
      <c r="A328" s="80" t="n">
        <v>29646</v>
      </c>
      <c r="B328" s="31" t="n">
        <v>14.7</v>
      </c>
    </row>
    <row r="329">
      <c r="A329" s="80" t="n">
        <v>29677</v>
      </c>
      <c r="B329" s="31" t="n">
        <v>15.72</v>
      </c>
    </row>
    <row r="330">
      <c r="A330" s="80" t="n">
        <v>29707</v>
      </c>
      <c r="B330" s="31" t="n">
        <v>18.52</v>
      </c>
    </row>
    <row r="331">
      <c r="A331" s="80" t="n">
        <v>29738</v>
      </c>
      <c r="B331" s="31" t="n">
        <v>19.1</v>
      </c>
    </row>
    <row r="332">
      <c r="A332" s="80" t="n">
        <v>29768</v>
      </c>
      <c r="B332" s="31" t="n">
        <v>19.04</v>
      </c>
    </row>
    <row r="333">
      <c r="A333" s="80" t="n">
        <v>29799</v>
      </c>
      <c r="B333" s="31" t="n">
        <v>17.82</v>
      </c>
    </row>
    <row r="334">
      <c r="A334" s="80" t="n">
        <v>29830</v>
      </c>
      <c r="B334" s="31" t="n">
        <v>15.87</v>
      </c>
    </row>
    <row r="335">
      <c r="A335" s="80" t="n">
        <v>29860</v>
      </c>
      <c r="B335" s="31" t="n">
        <v>15.08</v>
      </c>
    </row>
    <row r="336">
      <c r="A336" s="80" t="n">
        <v>29891</v>
      </c>
      <c r="B336" s="31" t="n">
        <v>13.31</v>
      </c>
    </row>
    <row r="337">
      <c r="A337" s="80" t="n">
        <v>29921</v>
      </c>
      <c r="B337" s="31" t="n">
        <v>12.37</v>
      </c>
    </row>
    <row r="338">
      <c r="A338" s="80" t="n">
        <v>29952</v>
      </c>
      <c r="B338" s="31" t="n">
        <v>13.22</v>
      </c>
    </row>
    <row r="339">
      <c r="A339" s="80" t="n">
        <v>29983</v>
      </c>
      <c r="B339" s="31" t="n">
        <v>14.78</v>
      </c>
    </row>
    <row r="340">
      <c r="A340" s="80" t="n">
        <v>30011</v>
      </c>
      <c r="B340" s="31" t="n">
        <v>14.68</v>
      </c>
    </row>
    <row r="341">
      <c r="A341" s="80" t="n">
        <v>30042</v>
      </c>
      <c r="B341" s="31" t="n">
        <v>14.94</v>
      </c>
    </row>
    <row r="342">
      <c r="A342" s="80" t="n">
        <v>30072</v>
      </c>
      <c r="B342" s="31" t="n">
        <v>14.45</v>
      </c>
    </row>
    <row r="343">
      <c r="A343" s="80" t="n">
        <v>30103</v>
      </c>
      <c r="B343" s="31" t="n">
        <v>14.15</v>
      </c>
    </row>
    <row r="344">
      <c r="A344" s="80" t="n">
        <v>30133</v>
      </c>
      <c r="B344" s="31" t="n">
        <v>12.59</v>
      </c>
    </row>
    <row r="345">
      <c r="A345" s="80" t="n">
        <v>30164</v>
      </c>
      <c r="B345" s="31" t="n">
        <v>10.12</v>
      </c>
    </row>
    <row r="346">
      <c r="A346" s="80" t="n">
        <v>30195</v>
      </c>
      <c r="B346" s="31" t="n">
        <v>10.31</v>
      </c>
    </row>
    <row r="347">
      <c r="A347" s="80" t="n">
        <v>30225</v>
      </c>
      <c r="B347" s="31" t="n">
        <v>9.710000000000001</v>
      </c>
    </row>
    <row r="348">
      <c r="A348" s="80" t="n">
        <v>30256</v>
      </c>
      <c r="B348" s="31" t="n">
        <v>9.199999999999999</v>
      </c>
    </row>
    <row r="349">
      <c r="A349" s="80" t="n">
        <v>30286</v>
      </c>
      <c r="B349" s="31" t="n">
        <v>8.949999999999999</v>
      </c>
    </row>
    <row r="350">
      <c r="A350" s="80" t="n">
        <v>30317</v>
      </c>
      <c r="B350" s="31" t="n">
        <v>8.68</v>
      </c>
    </row>
    <row r="351">
      <c r="A351" s="80" t="n">
        <v>30348</v>
      </c>
      <c r="B351" s="31" t="n">
        <v>8.51</v>
      </c>
    </row>
    <row r="352">
      <c r="A352" s="80" t="n">
        <v>30376</v>
      </c>
      <c r="B352" s="31" t="n">
        <v>8.77</v>
      </c>
    </row>
    <row r="353">
      <c r="A353" s="80" t="n">
        <v>30407</v>
      </c>
      <c r="B353" s="31" t="n">
        <v>8.800000000000001</v>
      </c>
    </row>
    <row r="354">
      <c r="A354" s="80" t="n">
        <v>30437</v>
      </c>
      <c r="B354" s="31" t="n">
        <v>8.630000000000001</v>
      </c>
    </row>
    <row r="355">
      <c r="A355" s="80" t="n">
        <v>30468</v>
      </c>
      <c r="B355" s="31" t="n">
        <v>8.98</v>
      </c>
    </row>
    <row r="356">
      <c r="A356" s="80" t="n">
        <v>30498</v>
      </c>
      <c r="B356" s="31" t="n">
        <v>9.369999999999999</v>
      </c>
    </row>
    <row r="357">
      <c r="A357" s="80" t="n">
        <v>30529</v>
      </c>
      <c r="B357" s="31" t="n">
        <v>9.56</v>
      </c>
    </row>
    <row r="358">
      <c r="A358" s="80" t="n">
        <v>30560</v>
      </c>
      <c r="B358" s="31" t="n">
        <v>9.449999999999999</v>
      </c>
    </row>
    <row r="359">
      <c r="A359" s="80" t="n">
        <v>30590</v>
      </c>
      <c r="B359" s="31" t="n">
        <v>9.48</v>
      </c>
    </row>
    <row r="360">
      <c r="A360" s="80" t="n">
        <v>30621</v>
      </c>
      <c r="B360" s="31" t="n">
        <v>9.34</v>
      </c>
    </row>
    <row r="361">
      <c r="A361" s="80" t="n">
        <v>30651</v>
      </c>
      <c r="B361" s="31" t="n">
        <v>9.470000000000001</v>
      </c>
    </row>
    <row r="362">
      <c r="A362" s="80" t="n">
        <v>30682</v>
      </c>
      <c r="B362" s="31" t="n">
        <v>9.56</v>
      </c>
    </row>
    <row r="363">
      <c r="A363" s="80" t="n">
        <v>30713</v>
      </c>
      <c r="B363" s="31" t="n">
        <v>9.59</v>
      </c>
    </row>
    <row r="364">
      <c r="A364" s="80" t="n">
        <v>30742</v>
      </c>
      <c r="B364" s="31" t="n">
        <v>9.91</v>
      </c>
    </row>
    <row r="365">
      <c r="A365" s="80" t="n">
        <v>30773</v>
      </c>
      <c r="B365" s="31" t="n">
        <v>10.29</v>
      </c>
    </row>
    <row r="366">
      <c r="A366" s="80" t="n">
        <v>30803</v>
      </c>
      <c r="B366" s="31" t="n">
        <v>10.32</v>
      </c>
    </row>
    <row r="367">
      <c r="A367" s="80" t="n">
        <v>30834</v>
      </c>
      <c r="B367" s="31" t="n">
        <v>11.06</v>
      </c>
    </row>
    <row r="368">
      <c r="A368" s="80" t="n">
        <v>30864</v>
      </c>
      <c r="B368" s="31" t="n">
        <v>11.23</v>
      </c>
    </row>
    <row r="369">
      <c r="A369" s="80" t="n">
        <v>30895</v>
      </c>
      <c r="B369" s="31" t="n">
        <v>11.64</v>
      </c>
    </row>
    <row r="370">
      <c r="A370" s="80" t="n">
        <v>30926</v>
      </c>
      <c r="B370" s="31" t="n">
        <v>11.3</v>
      </c>
    </row>
    <row r="371">
      <c r="A371" s="80" t="n">
        <v>30956</v>
      </c>
      <c r="B371" s="31" t="n">
        <v>9.99</v>
      </c>
    </row>
    <row r="372">
      <c r="A372" s="80" t="n">
        <v>30987</v>
      </c>
      <c r="B372" s="31" t="n">
        <v>9.43</v>
      </c>
    </row>
    <row r="373">
      <c r="A373" s="80" t="n">
        <v>31017</v>
      </c>
      <c r="B373" s="31" t="n">
        <v>8.380000000000001</v>
      </c>
    </row>
    <row r="374">
      <c r="A374" s="80" t="n">
        <v>31048</v>
      </c>
      <c r="B374" s="31" t="n">
        <v>8.35</v>
      </c>
    </row>
    <row r="375">
      <c r="A375" s="80" t="n">
        <v>31079</v>
      </c>
      <c r="B375" s="31" t="n">
        <v>8.5</v>
      </c>
    </row>
    <row r="376">
      <c r="A376" s="80" t="n">
        <v>31107</v>
      </c>
      <c r="B376" s="31" t="n">
        <v>8.58</v>
      </c>
    </row>
    <row r="377">
      <c r="A377" s="80" t="n">
        <v>31138</v>
      </c>
      <c r="B377" s="31" t="n">
        <v>8.27</v>
      </c>
    </row>
    <row r="378">
      <c r="A378" s="80" t="n">
        <v>31168</v>
      </c>
      <c r="B378" s="31" t="n">
        <v>7.97</v>
      </c>
    </row>
    <row r="379">
      <c r="A379" s="80" t="n">
        <v>31199</v>
      </c>
      <c r="B379" s="31" t="n">
        <v>7.53</v>
      </c>
    </row>
    <row r="380">
      <c r="A380" s="80" t="n">
        <v>31229</v>
      </c>
      <c r="B380" s="31" t="n">
        <v>7.88</v>
      </c>
    </row>
    <row r="381">
      <c r="A381" s="80" t="n">
        <v>31260</v>
      </c>
      <c r="B381" s="31" t="n">
        <v>7.9</v>
      </c>
    </row>
    <row r="382">
      <c r="A382" s="80" t="n">
        <v>31291</v>
      </c>
      <c r="B382" s="31" t="n">
        <v>7.92</v>
      </c>
    </row>
    <row r="383">
      <c r="A383" s="80" t="n">
        <v>31321</v>
      </c>
      <c r="B383" s="31" t="n">
        <v>7.99</v>
      </c>
    </row>
    <row r="384">
      <c r="A384" s="80" t="n">
        <v>31352</v>
      </c>
      <c r="B384" s="31" t="n">
        <v>8.050000000000001</v>
      </c>
    </row>
    <row r="385">
      <c r="A385" s="80" t="n">
        <v>31382</v>
      </c>
      <c r="B385" s="31" t="n">
        <v>8.27</v>
      </c>
    </row>
    <row r="386">
      <c r="A386" s="80" t="n">
        <v>31413</v>
      </c>
      <c r="B386" s="31" t="n">
        <v>8.140000000000001</v>
      </c>
    </row>
    <row r="387">
      <c r="A387" s="80" t="n">
        <v>31444</v>
      </c>
      <c r="B387" s="31" t="n">
        <v>7.86</v>
      </c>
    </row>
    <row r="388">
      <c r="A388" s="80" t="n">
        <v>31472</v>
      </c>
      <c r="B388" s="31" t="n">
        <v>7.48</v>
      </c>
    </row>
    <row r="389">
      <c r="A389" s="80" t="n">
        <v>31503</v>
      </c>
      <c r="B389" s="31" t="n">
        <v>6.99</v>
      </c>
    </row>
    <row r="390">
      <c r="A390" s="80" t="n">
        <v>31533</v>
      </c>
      <c r="B390" s="31" t="n">
        <v>6.85</v>
      </c>
    </row>
    <row r="391">
      <c r="A391" s="80" t="n">
        <v>31564</v>
      </c>
      <c r="B391" s="31" t="n">
        <v>6.92</v>
      </c>
    </row>
    <row r="392">
      <c r="A392" s="80" t="n">
        <v>31594</v>
      </c>
      <c r="B392" s="31" t="n">
        <v>6.56</v>
      </c>
    </row>
    <row r="393">
      <c r="A393" s="80" t="n">
        <v>31625</v>
      </c>
      <c r="B393" s="31" t="n">
        <v>6.17</v>
      </c>
    </row>
    <row r="394">
      <c r="A394" s="80" t="n">
        <v>31656</v>
      </c>
      <c r="B394" s="31" t="n">
        <v>5.89</v>
      </c>
    </row>
    <row r="395">
      <c r="A395" s="80" t="n">
        <v>31686</v>
      </c>
      <c r="B395" s="31" t="n">
        <v>5.85</v>
      </c>
    </row>
    <row r="396">
      <c r="A396" s="80" t="n">
        <v>31717</v>
      </c>
      <c r="B396" s="31" t="n">
        <v>6.04</v>
      </c>
    </row>
    <row r="397">
      <c r="A397" s="80" t="n">
        <v>31747</v>
      </c>
      <c r="B397" s="31" t="n">
        <v>6.91</v>
      </c>
    </row>
    <row r="398">
      <c r="A398" s="80" t="n">
        <v>31778</v>
      </c>
      <c r="B398" s="31" t="n">
        <v>6.43</v>
      </c>
    </row>
    <row r="399">
      <c r="A399" s="80" t="n">
        <v>31809</v>
      </c>
      <c r="B399" s="31" t="n">
        <v>6.1</v>
      </c>
    </row>
    <row r="400">
      <c r="A400" s="80" t="n">
        <v>31837</v>
      </c>
      <c r="B400" s="31" t="n">
        <v>6.13</v>
      </c>
    </row>
    <row r="401">
      <c r="A401" s="80" t="n">
        <v>31868</v>
      </c>
      <c r="B401" s="31" t="n">
        <v>6.37</v>
      </c>
    </row>
    <row r="402">
      <c r="A402" s="80" t="n">
        <v>31898</v>
      </c>
      <c r="B402" s="31" t="n">
        <v>6.85</v>
      </c>
    </row>
    <row r="403">
      <c r="A403" s="80" t="n">
        <v>31929</v>
      </c>
      <c r="B403" s="31" t="n">
        <v>6.73</v>
      </c>
    </row>
    <row r="404">
      <c r="A404" s="80" t="n">
        <v>31959</v>
      </c>
      <c r="B404" s="31" t="n">
        <v>6.58</v>
      </c>
    </row>
    <row r="405">
      <c r="A405" s="80" t="n">
        <v>31990</v>
      </c>
      <c r="B405" s="31" t="n">
        <v>6.73</v>
      </c>
    </row>
    <row r="406">
      <c r="A406" s="80" t="n">
        <v>32021</v>
      </c>
      <c r="B406" s="31" t="n">
        <v>7.22</v>
      </c>
    </row>
    <row r="407">
      <c r="A407" s="80" t="n">
        <v>32051</v>
      </c>
      <c r="B407" s="31" t="n">
        <v>7.29</v>
      </c>
    </row>
    <row r="408">
      <c r="A408" s="80" t="n">
        <v>32082</v>
      </c>
      <c r="B408" s="31" t="n">
        <v>6.69</v>
      </c>
    </row>
    <row r="409">
      <c r="A409" s="80" t="n">
        <v>32112</v>
      </c>
      <c r="B409" s="31" t="n">
        <v>6.77</v>
      </c>
    </row>
    <row r="410">
      <c r="A410" s="80" t="n">
        <v>32143</v>
      </c>
      <c r="B410" s="31" t="n">
        <v>6.83</v>
      </c>
    </row>
    <row r="411">
      <c r="A411" s="80" t="n">
        <v>32174</v>
      </c>
      <c r="B411" s="31" t="n">
        <v>6.58</v>
      </c>
    </row>
    <row r="412">
      <c r="A412" s="80" t="n">
        <v>32203</v>
      </c>
      <c r="B412" s="31" t="n">
        <v>6.58</v>
      </c>
    </row>
    <row r="413">
      <c r="A413" s="80" t="n">
        <v>32234</v>
      </c>
      <c r="B413" s="31" t="n">
        <v>6.87</v>
      </c>
    </row>
    <row r="414">
      <c r="A414" s="80" t="n">
        <v>32264</v>
      </c>
      <c r="B414" s="31" t="n">
        <v>7.09</v>
      </c>
    </row>
    <row r="415">
      <c r="A415" s="80" t="n">
        <v>32295</v>
      </c>
      <c r="B415" s="31" t="n">
        <v>7.51</v>
      </c>
    </row>
    <row r="416">
      <c r="A416" s="80" t="n">
        <v>32325</v>
      </c>
      <c r="B416" s="31" t="n">
        <v>7.75</v>
      </c>
    </row>
    <row r="417">
      <c r="A417" s="80" t="n">
        <v>32356</v>
      </c>
      <c r="B417" s="31" t="n">
        <v>8.01</v>
      </c>
    </row>
    <row r="418">
      <c r="A418" s="80" t="n">
        <v>32387</v>
      </c>
      <c r="B418" s="31" t="n">
        <v>8.19</v>
      </c>
    </row>
    <row r="419">
      <c r="A419" s="80" t="n">
        <v>32417</v>
      </c>
      <c r="B419" s="31" t="n">
        <v>8.300000000000001</v>
      </c>
    </row>
    <row r="420">
      <c r="A420" s="80" t="n">
        <v>32448</v>
      </c>
      <c r="B420" s="31" t="n">
        <v>8.35</v>
      </c>
    </row>
    <row r="421">
      <c r="A421" s="80" t="n">
        <v>32478</v>
      </c>
      <c r="B421" s="31" t="n">
        <v>8.76</v>
      </c>
    </row>
    <row r="422">
      <c r="A422" s="80" t="n">
        <v>32509</v>
      </c>
      <c r="B422" s="31" t="n">
        <v>9.119999999999999</v>
      </c>
    </row>
    <row r="423">
      <c r="A423" s="80" t="n">
        <v>32540</v>
      </c>
      <c r="B423" s="31" t="n">
        <v>9.359999999999999</v>
      </c>
    </row>
    <row r="424">
      <c r="A424" s="80" t="n">
        <v>32568</v>
      </c>
      <c r="B424" s="31" t="n">
        <v>9.85</v>
      </c>
    </row>
    <row r="425">
      <c r="A425" s="80" t="n">
        <v>32599</v>
      </c>
      <c r="B425" s="31" t="n">
        <v>9.84</v>
      </c>
    </row>
    <row r="426">
      <c r="A426" s="80" t="n">
        <v>32629</v>
      </c>
      <c r="B426" s="31" t="n">
        <v>9.81</v>
      </c>
    </row>
    <row r="427">
      <c r="A427" s="80" t="n">
        <v>32660</v>
      </c>
      <c r="B427" s="31" t="n">
        <v>9.529999999999999</v>
      </c>
    </row>
    <row r="428">
      <c r="A428" s="80" t="n">
        <v>32690</v>
      </c>
      <c r="B428" s="31" t="n">
        <v>9.24</v>
      </c>
    </row>
    <row r="429">
      <c r="A429" s="80" t="n">
        <v>32721</v>
      </c>
      <c r="B429" s="31" t="n">
        <v>8.99</v>
      </c>
    </row>
    <row r="430">
      <c r="A430" s="80" t="n">
        <v>32752</v>
      </c>
      <c r="B430" s="31" t="n">
        <v>9.02</v>
      </c>
    </row>
    <row r="431">
      <c r="A431" s="80" t="n">
        <v>32782</v>
      </c>
      <c r="B431" s="31" t="n">
        <v>8.84</v>
      </c>
    </row>
    <row r="432">
      <c r="A432" s="80" t="n">
        <v>32813</v>
      </c>
      <c r="B432" s="31" t="n">
        <v>8.550000000000001</v>
      </c>
    </row>
    <row r="433">
      <c r="A433" s="80" t="n">
        <v>32843</v>
      </c>
      <c r="B433" s="31" t="n">
        <v>8.449999999999999</v>
      </c>
    </row>
    <row r="434">
      <c r="A434" s="80" t="n">
        <v>32874</v>
      </c>
      <c r="B434" s="31" t="n">
        <v>8.23</v>
      </c>
    </row>
    <row r="435">
      <c r="A435" s="80" t="n">
        <v>32905</v>
      </c>
      <c r="B435" s="31" t="n">
        <v>8.24</v>
      </c>
    </row>
    <row r="436">
      <c r="A436" s="80" t="n">
        <v>32933</v>
      </c>
      <c r="B436" s="31" t="n">
        <v>8.279999999999999</v>
      </c>
    </row>
    <row r="437">
      <c r="A437" s="80" t="n">
        <v>32964</v>
      </c>
      <c r="B437" s="31" t="n">
        <v>8.26</v>
      </c>
    </row>
    <row r="438">
      <c r="A438" s="80" t="n">
        <v>32994</v>
      </c>
      <c r="B438" s="31" t="n">
        <v>8.18</v>
      </c>
    </row>
    <row r="439">
      <c r="A439" s="80" t="n">
        <v>33025</v>
      </c>
      <c r="B439" s="31" t="n">
        <v>8.289999999999999</v>
      </c>
    </row>
    <row r="440">
      <c r="A440" s="80" t="n">
        <v>33055</v>
      </c>
      <c r="B440" s="31" t="n">
        <v>8.15</v>
      </c>
    </row>
    <row r="441">
      <c r="A441" s="80" t="n">
        <v>33086</v>
      </c>
      <c r="B441" s="31" t="n">
        <v>8.130000000000001</v>
      </c>
    </row>
    <row r="442">
      <c r="A442" s="80" t="n">
        <v>33117</v>
      </c>
      <c r="B442" s="31" t="n">
        <v>8.199999999999999</v>
      </c>
    </row>
    <row r="443">
      <c r="A443" s="80" t="n">
        <v>33147</v>
      </c>
      <c r="B443" s="31" t="n">
        <v>8.109999999999999</v>
      </c>
    </row>
    <row r="444">
      <c r="A444" s="80" t="n">
        <v>33178</v>
      </c>
      <c r="B444" s="31" t="n">
        <v>7.81</v>
      </c>
    </row>
    <row r="445">
      <c r="A445" s="80" t="n">
        <v>33208</v>
      </c>
      <c r="B445" s="31" t="n">
        <v>7.31</v>
      </c>
    </row>
    <row r="446">
      <c r="A446" s="80" t="n">
        <v>33239</v>
      </c>
      <c r="B446" s="31" t="n">
        <v>6.91</v>
      </c>
    </row>
    <row r="447">
      <c r="A447" s="80" t="n">
        <v>33270</v>
      </c>
      <c r="B447" s="31" t="n">
        <v>6.25</v>
      </c>
    </row>
    <row r="448">
      <c r="A448" s="80" t="n">
        <v>33298</v>
      </c>
      <c r="B448" s="31" t="n">
        <v>6.12</v>
      </c>
    </row>
    <row r="449">
      <c r="A449" s="80" t="n">
        <v>33329</v>
      </c>
      <c r="B449" s="31" t="n">
        <v>5.91</v>
      </c>
    </row>
    <row r="450">
      <c r="A450" s="80" t="n">
        <v>33359</v>
      </c>
      <c r="B450" s="31" t="n">
        <v>5.78</v>
      </c>
    </row>
    <row r="451">
      <c r="A451" s="80" t="n">
        <v>33390</v>
      </c>
      <c r="B451" s="31" t="n">
        <v>5.9</v>
      </c>
    </row>
    <row r="452">
      <c r="A452" s="80" t="n">
        <v>33420</v>
      </c>
      <c r="B452" s="31" t="n">
        <v>5.82</v>
      </c>
    </row>
    <row r="453">
      <c r="A453" s="80" t="n">
        <v>33451</v>
      </c>
      <c r="B453" s="31" t="n">
        <v>5.66</v>
      </c>
    </row>
    <row r="454">
      <c r="A454" s="80" t="n">
        <v>33482</v>
      </c>
      <c r="B454" s="31" t="n">
        <v>5.45</v>
      </c>
    </row>
    <row r="455">
      <c r="A455" s="80" t="n">
        <v>33512</v>
      </c>
      <c r="B455" s="31" t="n">
        <v>5.21</v>
      </c>
    </row>
    <row r="456">
      <c r="A456" s="80" t="n">
        <v>33543</v>
      </c>
      <c r="B456" s="31" t="n">
        <v>4.81</v>
      </c>
    </row>
    <row r="457">
      <c r="A457" s="80" t="n">
        <v>33573</v>
      </c>
      <c r="B457" s="31" t="n">
        <v>4.43</v>
      </c>
    </row>
    <row r="458">
      <c r="A458" s="80" t="n">
        <v>33604</v>
      </c>
      <c r="B458" s="31" t="n">
        <v>4.03</v>
      </c>
    </row>
    <row r="459">
      <c r="A459" s="80" t="n">
        <v>33635</v>
      </c>
      <c r="B459" s="31" t="n">
        <v>4.06</v>
      </c>
    </row>
    <row r="460">
      <c r="A460" s="80" t="n">
        <v>33664</v>
      </c>
      <c r="B460" s="31" t="n">
        <v>3.98</v>
      </c>
    </row>
    <row r="461">
      <c r="A461" s="80" t="n">
        <v>33695</v>
      </c>
      <c r="B461" s="31" t="n">
        <v>3.73</v>
      </c>
    </row>
    <row r="462">
      <c r="A462" s="80" t="n">
        <v>33725</v>
      </c>
      <c r="B462" s="31" t="n">
        <v>3.82</v>
      </c>
    </row>
    <row r="463">
      <c r="A463" s="80" t="n">
        <v>33756</v>
      </c>
      <c r="B463" s="31" t="n">
        <v>3.76</v>
      </c>
    </row>
    <row r="464">
      <c r="A464" s="80" t="n">
        <v>33786</v>
      </c>
      <c r="B464" s="31" t="n">
        <v>3.25</v>
      </c>
    </row>
    <row r="465">
      <c r="A465" s="80" t="n">
        <v>33817</v>
      </c>
      <c r="B465" s="31" t="n">
        <v>3.3</v>
      </c>
    </row>
    <row r="466">
      <c r="A466" s="80" t="n">
        <v>33848</v>
      </c>
      <c r="B466" s="31" t="n">
        <v>3.22</v>
      </c>
    </row>
    <row r="467">
      <c r="A467" s="80" t="n">
        <v>33878</v>
      </c>
      <c r="B467" s="31" t="n">
        <v>3.1</v>
      </c>
    </row>
    <row r="468">
      <c r="A468" s="80" t="n">
        <v>33909</v>
      </c>
      <c r="B468" s="31" t="n">
        <v>3.09</v>
      </c>
    </row>
    <row r="469">
      <c r="A469" s="80" t="n">
        <v>33939</v>
      </c>
      <c r="B469" s="31" t="n">
        <v>2.92</v>
      </c>
    </row>
    <row r="470">
      <c r="A470" s="80" t="n">
        <v>33970</v>
      </c>
      <c r="B470" s="31" t="n">
        <v>3.02</v>
      </c>
    </row>
    <row r="471">
      <c r="A471" s="80" t="n">
        <v>34001</v>
      </c>
      <c r="B471" s="31" t="n">
        <v>3.03</v>
      </c>
    </row>
    <row r="472">
      <c r="A472" s="80" t="n">
        <v>34029</v>
      </c>
      <c r="B472" s="31" t="n">
        <v>3.07</v>
      </c>
    </row>
    <row r="473">
      <c r="A473" s="80" t="n">
        <v>34060</v>
      </c>
      <c r="B473" s="31" t="n">
        <v>2.96</v>
      </c>
    </row>
    <row r="474">
      <c r="A474" s="80" t="n">
        <v>34090</v>
      </c>
      <c r="B474" s="31" t="n">
        <v>3</v>
      </c>
    </row>
    <row r="475">
      <c r="A475" s="80" t="n">
        <v>34121</v>
      </c>
      <c r="B475" s="31" t="n">
        <v>3.04</v>
      </c>
    </row>
    <row r="476">
      <c r="A476" s="80" t="n">
        <v>34151</v>
      </c>
      <c r="B476" s="31" t="n">
        <v>3.06</v>
      </c>
    </row>
    <row r="477">
      <c r="A477" s="80" t="n">
        <v>34182</v>
      </c>
      <c r="B477" s="31" t="n">
        <v>3.03</v>
      </c>
    </row>
    <row r="478">
      <c r="A478" s="80" t="n">
        <v>34213</v>
      </c>
      <c r="B478" s="31" t="n">
        <v>3.09</v>
      </c>
    </row>
    <row r="479">
      <c r="A479" s="80" t="n">
        <v>34243</v>
      </c>
      <c r="B479" s="31" t="n">
        <v>2.99</v>
      </c>
    </row>
    <row r="480">
      <c r="A480" s="80" t="n">
        <v>34274</v>
      </c>
      <c r="B480" s="31" t="n">
        <v>3.02</v>
      </c>
    </row>
    <row r="481">
      <c r="A481" s="80" t="n">
        <v>34304</v>
      </c>
      <c r="B481" s="31" t="n">
        <v>2.96</v>
      </c>
    </row>
    <row r="482">
      <c r="A482" s="80" t="n">
        <v>34335</v>
      </c>
      <c r="B482" s="31" t="n">
        <v>3.05</v>
      </c>
    </row>
    <row r="483">
      <c r="A483" s="80" t="n">
        <v>34366</v>
      </c>
      <c r="B483" s="31" t="n">
        <v>3.25</v>
      </c>
    </row>
    <row r="484">
      <c r="A484" s="80" t="n">
        <v>34394</v>
      </c>
      <c r="B484" s="31" t="n">
        <v>3.34</v>
      </c>
    </row>
    <row r="485">
      <c r="A485" s="80" t="n">
        <v>34425</v>
      </c>
      <c r="B485" s="31" t="n">
        <v>3.56</v>
      </c>
    </row>
    <row r="486">
      <c r="A486" s="80" t="n">
        <v>34455</v>
      </c>
      <c r="B486" s="31" t="n">
        <v>4.01</v>
      </c>
    </row>
    <row r="487">
      <c r="A487" s="80" t="n">
        <v>34486</v>
      </c>
      <c r="B487" s="31" t="n">
        <v>4.25</v>
      </c>
    </row>
    <row r="488">
      <c r="A488" s="80" t="n">
        <v>34516</v>
      </c>
      <c r="B488" s="31" t="n">
        <v>4.26</v>
      </c>
    </row>
    <row r="489">
      <c r="A489" s="80" t="n">
        <v>34547</v>
      </c>
      <c r="B489" s="31" t="n">
        <v>4.47</v>
      </c>
    </row>
    <row r="490">
      <c r="A490" s="80" t="n">
        <v>34578</v>
      </c>
      <c r="B490" s="31" t="n">
        <v>4.73</v>
      </c>
    </row>
    <row r="491">
      <c r="A491" s="80" t="n">
        <v>34608</v>
      </c>
      <c r="B491" s="31" t="n">
        <v>4.76</v>
      </c>
    </row>
    <row r="492">
      <c r="A492" s="80" t="n">
        <v>34639</v>
      </c>
      <c r="B492" s="31" t="n">
        <v>5.29</v>
      </c>
    </row>
    <row r="493">
      <c r="A493" s="80" t="n">
        <v>34669</v>
      </c>
      <c r="B493" s="31" t="n">
        <v>5.45</v>
      </c>
    </row>
    <row r="494">
      <c r="A494" s="80" t="n">
        <v>34700</v>
      </c>
      <c r="B494" s="31" t="n">
        <v>5.53</v>
      </c>
    </row>
    <row r="495">
      <c r="A495" s="80" t="n">
        <v>34731</v>
      </c>
      <c r="B495" s="31" t="n">
        <v>5.92</v>
      </c>
    </row>
    <row r="496">
      <c r="A496" s="80" t="n">
        <v>34759</v>
      </c>
      <c r="B496" s="31" t="n">
        <v>5.98</v>
      </c>
    </row>
    <row r="497">
      <c r="A497" s="80" t="n">
        <v>34790</v>
      </c>
      <c r="B497" s="31" t="n">
        <v>6.05</v>
      </c>
    </row>
    <row r="498">
      <c r="A498" s="80" t="n">
        <v>34820</v>
      </c>
      <c r="B498" s="31" t="n">
        <v>6.01</v>
      </c>
    </row>
    <row r="499">
      <c r="A499" s="80" t="n">
        <v>34851</v>
      </c>
      <c r="B499" s="31" t="n">
        <v>6</v>
      </c>
    </row>
    <row r="500">
      <c r="A500" s="80" t="n">
        <v>34881</v>
      </c>
      <c r="B500" s="31" t="n">
        <v>5.85</v>
      </c>
    </row>
    <row r="501">
      <c r="A501" s="80" t="n">
        <v>34912</v>
      </c>
      <c r="B501" s="31" t="n">
        <v>5.74</v>
      </c>
    </row>
    <row r="502">
      <c r="A502" s="80" t="n">
        <v>34943</v>
      </c>
      <c r="B502" s="31" t="n">
        <v>5.8</v>
      </c>
    </row>
    <row r="503">
      <c r="A503" s="80" t="n">
        <v>34973</v>
      </c>
      <c r="B503" s="31" t="n">
        <v>5.76</v>
      </c>
    </row>
    <row r="504">
      <c r="A504" s="80" t="n">
        <v>35004</v>
      </c>
      <c r="B504" s="31" t="n">
        <v>5.8</v>
      </c>
    </row>
    <row r="505">
      <c r="A505" s="80" t="n">
        <v>35034</v>
      </c>
      <c r="B505" s="31" t="n">
        <v>5.6</v>
      </c>
    </row>
    <row r="506">
      <c r="A506" s="80" t="n">
        <v>35065</v>
      </c>
      <c r="B506" s="31" t="n">
        <v>5.56</v>
      </c>
    </row>
    <row r="507">
      <c r="A507" s="80" t="n">
        <v>35096</v>
      </c>
      <c r="B507" s="31" t="n">
        <v>5.22</v>
      </c>
    </row>
    <row r="508">
      <c r="A508" s="80" t="n">
        <v>35125</v>
      </c>
      <c r="B508" s="31" t="n">
        <v>5.31</v>
      </c>
    </row>
    <row r="509">
      <c r="A509" s="80" t="n">
        <v>35156</v>
      </c>
      <c r="B509" s="31" t="n">
        <v>5.22</v>
      </c>
    </row>
    <row r="510">
      <c r="A510" s="80" t="n">
        <v>35186</v>
      </c>
      <c r="B510" s="31" t="n">
        <v>5.24</v>
      </c>
    </row>
    <row r="511">
      <c r="A511" s="80" t="n">
        <v>35217</v>
      </c>
      <c r="B511" s="31" t="n">
        <v>5.27</v>
      </c>
    </row>
    <row r="512">
      <c r="A512" s="80" t="n">
        <v>35247</v>
      </c>
      <c r="B512" s="31" t="n">
        <v>5.4</v>
      </c>
    </row>
    <row r="513">
      <c r="A513" s="80" t="n">
        <v>35278</v>
      </c>
      <c r="B513" s="31" t="n">
        <v>5.22</v>
      </c>
    </row>
    <row r="514">
      <c r="A514" s="80" t="n">
        <v>35309</v>
      </c>
      <c r="B514" s="31" t="n">
        <v>5.3</v>
      </c>
    </row>
    <row r="515">
      <c r="A515" s="80" t="n">
        <v>35339</v>
      </c>
      <c r="B515" s="31" t="n">
        <v>5.24</v>
      </c>
    </row>
    <row r="516">
      <c r="A516" s="80" t="n">
        <v>35370</v>
      </c>
      <c r="B516" s="31" t="n">
        <v>5.31</v>
      </c>
    </row>
    <row r="517">
      <c r="A517" s="80" t="n">
        <v>35400</v>
      </c>
      <c r="B517" s="31" t="n">
        <v>5.29</v>
      </c>
    </row>
    <row r="518">
      <c r="A518" s="80" t="n">
        <v>35431</v>
      </c>
      <c r="B518" s="31" t="n">
        <v>5.25</v>
      </c>
    </row>
    <row r="519">
      <c r="A519" s="80" t="n">
        <v>35462</v>
      </c>
      <c r="B519" s="31" t="n">
        <v>5.19</v>
      </c>
    </row>
    <row r="520">
      <c r="A520" s="80" t="n">
        <v>35490</v>
      </c>
      <c r="B520" s="31" t="n">
        <v>5.39</v>
      </c>
    </row>
    <row r="521">
      <c r="A521" s="80" t="n">
        <v>35521</v>
      </c>
      <c r="B521" s="31" t="n">
        <v>5.51</v>
      </c>
    </row>
    <row r="522">
      <c r="A522" s="80" t="n">
        <v>35551</v>
      </c>
      <c r="B522" s="31" t="n">
        <v>5.5</v>
      </c>
    </row>
    <row r="523">
      <c r="A523" s="80" t="n">
        <v>35582</v>
      </c>
      <c r="B523" s="31" t="n">
        <v>5.56</v>
      </c>
    </row>
    <row r="524">
      <c r="A524" s="80" t="n">
        <v>35612</v>
      </c>
      <c r="B524" s="31" t="n">
        <v>5.52</v>
      </c>
    </row>
    <row r="525">
      <c r="A525" s="80" t="n">
        <v>35643</v>
      </c>
      <c r="B525" s="31" t="n">
        <v>5.54</v>
      </c>
    </row>
    <row r="526">
      <c r="A526" s="80" t="n">
        <v>35674</v>
      </c>
      <c r="B526" s="31" t="n">
        <v>5.54</v>
      </c>
    </row>
    <row r="527">
      <c r="A527" s="80" t="n">
        <v>35704</v>
      </c>
      <c r="B527" s="31" t="n">
        <v>5.5</v>
      </c>
    </row>
    <row r="528">
      <c r="A528" s="80" t="n">
        <v>35735</v>
      </c>
      <c r="B528" s="31" t="n">
        <v>5.52</v>
      </c>
    </row>
    <row r="529">
      <c r="A529" s="80" t="n">
        <v>35765</v>
      </c>
      <c r="B529" s="31" t="n">
        <v>5.5</v>
      </c>
    </row>
    <row r="530">
      <c r="A530" s="80" t="n">
        <v>35796</v>
      </c>
      <c r="B530" s="31" t="n">
        <v>5.56</v>
      </c>
    </row>
    <row r="531">
      <c r="A531" s="80" t="n">
        <v>35827</v>
      </c>
      <c r="B531" s="31" t="n">
        <v>5.51</v>
      </c>
    </row>
    <row r="532">
      <c r="A532" s="80" t="n">
        <v>35855</v>
      </c>
      <c r="B532" s="31" t="n">
        <v>5.49</v>
      </c>
    </row>
    <row r="533">
      <c r="A533" s="80" t="n">
        <v>35886</v>
      </c>
      <c r="B533" s="31" t="n">
        <v>5.45</v>
      </c>
    </row>
    <row r="534">
      <c r="A534" s="80" t="n">
        <v>35916</v>
      </c>
      <c r="B534" s="31" t="n">
        <v>5.49</v>
      </c>
    </row>
    <row r="535">
      <c r="A535" s="80" t="n">
        <v>35947</v>
      </c>
      <c r="B535" s="31" t="n">
        <v>5.56</v>
      </c>
    </row>
    <row r="536">
      <c r="A536" s="80" t="n">
        <v>35977</v>
      </c>
      <c r="B536" s="31" t="n">
        <v>5.54</v>
      </c>
    </row>
    <row r="537">
      <c r="A537" s="80" t="n">
        <v>36008</v>
      </c>
      <c r="B537" s="31" t="n">
        <v>5.55</v>
      </c>
    </row>
    <row r="538">
      <c r="A538" s="80" t="n">
        <v>36039</v>
      </c>
      <c r="B538" s="31" t="n">
        <v>5.51</v>
      </c>
    </row>
    <row r="539">
      <c r="A539" s="80" t="n">
        <v>36069</v>
      </c>
      <c r="B539" s="31" t="n">
        <v>5.07</v>
      </c>
    </row>
    <row r="540">
      <c r="A540" s="80" t="n">
        <v>36100</v>
      </c>
      <c r="B540" s="31" t="n">
        <v>4.83</v>
      </c>
    </row>
    <row r="541">
      <c r="A541" s="80" t="n">
        <v>36130</v>
      </c>
      <c r="B541" s="31" t="n">
        <v>4.68</v>
      </c>
    </row>
    <row r="542">
      <c r="A542" s="80" t="n">
        <v>36161</v>
      </c>
      <c r="B542" s="31" t="n">
        <v>4.63</v>
      </c>
    </row>
    <row r="543">
      <c r="A543" s="80" t="n">
        <v>36192</v>
      </c>
      <c r="B543" s="31" t="n">
        <v>4.76</v>
      </c>
    </row>
    <row r="544">
      <c r="A544" s="80" t="n">
        <v>36220</v>
      </c>
      <c r="B544" s="31" t="n">
        <v>4.81</v>
      </c>
    </row>
    <row r="545">
      <c r="A545" s="80" t="n">
        <v>36251</v>
      </c>
      <c r="B545" s="31" t="n">
        <v>4.74</v>
      </c>
    </row>
    <row r="546">
      <c r="A546" s="80" t="n">
        <v>36281</v>
      </c>
      <c r="B546" s="31" t="n">
        <v>4.74</v>
      </c>
    </row>
    <row r="547">
      <c r="A547" s="80" t="n">
        <v>36312</v>
      </c>
      <c r="B547" s="31" t="n">
        <v>4.76</v>
      </c>
    </row>
    <row r="548">
      <c r="A548" s="80" t="n">
        <v>36342</v>
      </c>
      <c r="B548" s="31" t="n">
        <v>4.99</v>
      </c>
    </row>
    <row r="549">
      <c r="A549" s="80" t="n">
        <v>36373</v>
      </c>
      <c r="B549" s="31" t="n">
        <v>5.07</v>
      </c>
    </row>
    <row r="550">
      <c r="A550" s="80" t="n">
        <v>36404</v>
      </c>
      <c r="B550" s="31" t="n">
        <v>5.22</v>
      </c>
    </row>
    <row r="551">
      <c r="A551" s="80" t="n">
        <v>36434</v>
      </c>
      <c r="B551" s="31" t="n">
        <v>5.2</v>
      </c>
    </row>
    <row r="552">
      <c r="A552" s="80" t="n">
        <v>36465</v>
      </c>
      <c r="B552" s="31" t="n">
        <v>5.42</v>
      </c>
    </row>
    <row r="553">
      <c r="A553" s="80" t="n">
        <v>36495</v>
      </c>
      <c r="B553" s="31" t="n">
        <v>5.3</v>
      </c>
    </row>
    <row r="554">
      <c r="A554" s="80" t="n">
        <v>36526</v>
      </c>
      <c r="B554" s="31" t="n">
        <v>5.45</v>
      </c>
    </row>
    <row r="555">
      <c r="A555" s="80" t="n">
        <v>36557</v>
      </c>
      <c r="B555" s="31" t="n">
        <v>5.73</v>
      </c>
    </row>
    <row r="556">
      <c r="A556" s="80" t="n">
        <v>36586</v>
      </c>
      <c r="B556" s="31" t="n">
        <v>5.85</v>
      </c>
    </row>
    <row r="557">
      <c r="A557" s="80" t="n">
        <v>36617</v>
      </c>
      <c r="B557" s="31" t="n">
        <v>6.02</v>
      </c>
    </row>
    <row r="558">
      <c r="A558" s="80" t="n">
        <v>36647</v>
      </c>
      <c r="B558" s="31" t="n">
        <v>6.27</v>
      </c>
    </row>
    <row r="559">
      <c r="A559" s="80" t="n">
        <v>36678</v>
      </c>
      <c r="B559" s="31" t="n">
        <v>6.53</v>
      </c>
    </row>
    <row r="560">
      <c r="A560" s="80" t="n">
        <v>36708</v>
      </c>
      <c r="B560" s="31" t="n">
        <v>6.54</v>
      </c>
    </row>
    <row r="561">
      <c r="A561" s="80" t="n">
        <v>36739</v>
      </c>
      <c r="B561" s="31" t="n">
        <v>6.5</v>
      </c>
    </row>
    <row r="562">
      <c r="A562" s="80" t="n">
        <v>36770</v>
      </c>
      <c r="B562" s="31" t="n">
        <v>6.52</v>
      </c>
    </row>
    <row r="563">
      <c r="A563" s="80" t="n">
        <v>36800</v>
      </c>
      <c r="B563" s="31" t="n">
        <v>6.51</v>
      </c>
    </row>
    <row r="564">
      <c r="A564" s="80" t="n">
        <v>36831</v>
      </c>
      <c r="B564" s="31" t="n">
        <v>6.51</v>
      </c>
    </row>
    <row r="565">
      <c r="A565" s="80" t="n">
        <v>36861</v>
      </c>
      <c r="B565" s="31" t="n">
        <v>6.4</v>
      </c>
    </row>
    <row r="566">
      <c r="A566" s="80" t="n">
        <v>36892</v>
      </c>
      <c r="B566" s="31" t="n">
        <v>5.98</v>
      </c>
    </row>
    <row r="567">
      <c r="A567" s="80" t="n">
        <v>36923</v>
      </c>
      <c r="B567" s="31" t="n">
        <v>5.49</v>
      </c>
    </row>
    <row r="568">
      <c r="A568" s="80" t="n">
        <v>36951</v>
      </c>
      <c r="B568" s="31" t="n">
        <v>5.31</v>
      </c>
    </row>
    <row r="569">
      <c r="A569" s="80" t="n">
        <v>36982</v>
      </c>
      <c r="B569" s="31" t="n">
        <v>4.8</v>
      </c>
    </row>
    <row r="570">
      <c r="A570" s="80" t="n">
        <v>37012</v>
      </c>
      <c r="B570" s="31" t="n">
        <v>4.21</v>
      </c>
    </row>
    <row r="571">
      <c r="A571" s="80" t="n">
        <v>37043</v>
      </c>
      <c r="B571" s="31" t="n">
        <v>3.97</v>
      </c>
    </row>
    <row r="572">
      <c r="A572" s="80" t="n">
        <v>37073</v>
      </c>
      <c r="B572" s="31" t="n">
        <v>3.77</v>
      </c>
    </row>
    <row r="573">
      <c r="A573" s="80" t="n">
        <v>37104</v>
      </c>
      <c r="B573" s="31" t="n">
        <v>3.65</v>
      </c>
    </row>
    <row r="574">
      <c r="A574" s="80" t="n">
        <v>37135</v>
      </c>
      <c r="B574" s="31" t="n">
        <v>3.07</v>
      </c>
    </row>
    <row r="575">
      <c r="A575" s="80" t="n">
        <v>37165</v>
      </c>
      <c r="B575" s="31" t="n">
        <v>2.49</v>
      </c>
    </row>
    <row r="576">
      <c r="A576" s="80" t="n">
        <v>37196</v>
      </c>
      <c r="B576" s="31" t="n">
        <v>2.09</v>
      </c>
    </row>
    <row r="577">
      <c r="A577" s="80" t="n">
        <v>37226</v>
      </c>
      <c r="B577" s="31" t="n">
        <v>1.82</v>
      </c>
    </row>
    <row r="578">
      <c r="A578" s="80" t="n">
        <v>37257</v>
      </c>
      <c r="B578" s="31" t="n">
        <v>1.73</v>
      </c>
    </row>
    <row r="579">
      <c r="A579" s="80" t="n">
        <v>37288</v>
      </c>
      <c r="B579" s="31" t="n">
        <v>1.74</v>
      </c>
    </row>
    <row r="580">
      <c r="A580" s="80" t="n">
        <v>37316</v>
      </c>
      <c r="B580" s="31" t="n">
        <v>1.73</v>
      </c>
    </row>
    <row r="581">
      <c r="A581" s="80" t="n">
        <v>37347</v>
      </c>
      <c r="B581" s="31" t="n">
        <v>1.75</v>
      </c>
    </row>
    <row r="582">
      <c r="A582" s="80" t="n">
        <v>37377</v>
      </c>
      <c r="B582" s="31" t="n">
        <v>1.75</v>
      </c>
    </row>
    <row r="583">
      <c r="A583" s="80" t="n">
        <v>37408</v>
      </c>
      <c r="B583" s="31" t="n">
        <v>1.75</v>
      </c>
    </row>
    <row r="584">
      <c r="A584" s="80" t="n">
        <v>37438</v>
      </c>
      <c r="B584" s="31" t="n">
        <v>1.73</v>
      </c>
    </row>
    <row r="585">
      <c r="A585" s="80" t="n">
        <v>37469</v>
      </c>
      <c r="B585" s="31" t="n">
        <v>1.74</v>
      </c>
    </row>
    <row r="586">
      <c r="A586" s="80" t="n">
        <v>37500</v>
      </c>
      <c r="B586" s="31" t="n">
        <v>1.75</v>
      </c>
    </row>
    <row r="587">
      <c r="A587" s="80" t="n">
        <v>37530</v>
      </c>
      <c r="B587" s="31" t="n">
        <v>1.75</v>
      </c>
    </row>
    <row r="588">
      <c r="A588" s="80" t="n">
        <v>37561</v>
      </c>
      <c r="B588" s="31" t="n">
        <v>1.34</v>
      </c>
    </row>
    <row r="589">
      <c r="A589" s="80" t="n">
        <v>37591</v>
      </c>
      <c r="B589" s="31" t="n">
        <v>1.24</v>
      </c>
    </row>
    <row r="590">
      <c r="A590" s="80" t="n">
        <v>37622</v>
      </c>
      <c r="B590" s="31" t="n">
        <v>1.24</v>
      </c>
    </row>
    <row r="591">
      <c r="A591" s="80" t="n">
        <v>37653</v>
      </c>
      <c r="B591" s="31" t="n">
        <v>1.26</v>
      </c>
    </row>
    <row r="592">
      <c r="A592" s="80" t="n">
        <v>37681</v>
      </c>
      <c r="B592" s="31" t="n">
        <v>1.25</v>
      </c>
    </row>
    <row r="593">
      <c r="A593" s="80" t="n">
        <v>37712</v>
      </c>
      <c r="B593" s="31" t="n">
        <v>1.26</v>
      </c>
    </row>
    <row r="594">
      <c r="A594" s="80" t="n">
        <v>37742</v>
      </c>
      <c r="B594" s="31" t="n">
        <v>1.26</v>
      </c>
    </row>
    <row r="595">
      <c r="A595" s="80" t="n">
        <v>37773</v>
      </c>
      <c r="B595" s="31" t="n">
        <v>1.22</v>
      </c>
    </row>
    <row r="596">
      <c r="A596" s="80" t="n">
        <v>37803</v>
      </c>
      <c r="B596" s="31" t="n">
        <v>1.01</v>
      </c>
    </row>
    <row r="597">
      <c r="A597" s="80" t="n">
        <v>37834</v>
      </c>
      <c r="B597" s="31" t="n">
        <v>1.03</v>
      </c>
    </row>
    <row r="598">
      <c r="A598" s="80" t="n">
        <v>37865</v>
      </c>
      <c r="B598" s="31" t="n">
        <v>1.01</v>
      </c>
    </row>
    <row r="599">
      <c r="A599" s="80" t="n">
        <v>37895</v>
      </c>
      <c r="B599" s="31" t="n">
        <v>1.01</v>
      </c>
    </row>
    <row r="600">
      <c r="A600" s="80" t="n">
        <v>37926</v>
      </c>
      <c r="B600" s="31" t="n">
        <v>1</v>
      </c>
    </row>
    <row r="601">
      <c r="A601" s="80" t="n">
        <v>37956</v>
      </c>
      <c r="B601" s="31" t="n">
        <v>0.98</v>
      </c>
    </row>
    <row r="602">
      <c r="A602" s="80" t="n">
        <v>37987</v>
      </c>
      <c r="B602" s="31" t="n">
        <v>1</v>
      </c>
    </row>
    <row r="603">
      <c r="A603" s="80" t="n">
        <v>38018</v>
      </c>
      <c r="B603" s="31" t="n">
        <v>1.01</v>
      </c>
    </row>
    <row r="604">
      <c r="A604" s="80" t="n">
        <v>38047</v>
      </c>
      <c r="B604" s="31" t="n">
        <v>1</v>
      </c>
    </row>
    <row r="605">
      <c r="A605" s="80" t="n">
        <v>38078</v>
      </c>
      <c r="B605" s="31" t="n">
        <v>1</v>
      </c>
    </row>
    <row r="606">
      <c r="A606" s="80" t="n">
        <v>38108</v>
      </c>
      <c r="B606" s="31" t="n">
        <v>1</v>
      </c>
    </row>
    <row r="607">
      <c r="A607" s="80" t="n">
        <v>38139</v>
      </c>
      <c r="B607" s="31" t="n">
        <v>1.03</v>
      </c>
    </row>
    <row r="608">
      <c r="A608" s="80" t="n">
        <v>38169</v>
      </c>
      <c r="B608" s="31" t="n">
        <v>1.26</v>
      </c>
    </row>
    <row r="609">
      <c r="A609" s="80" t="n">
        <v>38200</v>
      </c>
      <c r="B609" s="31" t="n">
        <v>1.43</v>
      </c>
    </row>
    <row r="610">
      <c r="A610" s="80" t="n">
        <v>38231</v>
      </c>
      <c r="B610" s="31" t="n">
        <v>1.61</v>
      </c>
    </row>
    <row r="611">
      <c r="A611" s="80" t="n">
        <v>38261</v>
      </c>
      <c r="B611" s="31" t="n">
        <v>1.76</v>
      </c>
    </row>
    <row r="612">
      <c r="A612" s="80" t="n">
        <v>38292</v>
      </c>
      <c r="B612" s="31" t="n">
        <v>1.93</v>
      </c>
    </row>
    <row r="613">
      <c r="A613" s="80" t="n">
        <v>38322</v>
      </c>
      <c r="B613" s="31" t="n">
        <v>2.16</v>
      </c>
    </row>
    <row r="614">
      <c r="A614" s="80" t="n">
        <v>38353</v>
      </c>
      <c r="B614" s="31" t="n">
        <v>2.28</v>
      </c>
    </row>
    <row r="615">
      <c r="A615" s="80" t="n">
        <v>38384</v>
      </c>
      <c r="B615" s="31" t="n">
        <v>2.5</v>
      </c>
    </row>
    <row r="616">
      <c r="A616" s="80" t="n">
        <v>38412</v>
      </c>
      <c r="B616" s="31" t="n">
        <v>2.63</v>
      </c>
    </row>
    <row r="617">
      <c r="A617" s="80" t="n">
        <v>38443</v>
      </c>
      <c r="B617" s="31" t="n">
        <v>2.79</v>
      </c>
    </row>
    <row r="618">
      <c r="A618" s="80" t="n">
        <v>38473</v>
      </c>
      <c r="B618" s="31" t="n">
        <v>3</v>
      </c>
    </row>
    <row r="619">
      <c r="A619" s="80" t="n">
        <v>38504</v>
      </c>
      <c r="B619" s="31" t="n">
        <v>3.04</v>
      </c>
    </row>
    <row r="620">
      <c r="A620" s="80" t="n">
        <v>38534</v>
      </c>
      <c r="B620" s="31" t="n">
        <v>3.26</v>
      </c>
    </row>
    <row r="621">
      <c r="A621" s="80" t="n">
        <v>38565</v>
      </c>
      <c r="B621" s="31" t="n">
        <v>3.5</v>
      </c>
    </row>
    <row r="622">
      <c r="A622" s="80" t="n">
        <v>38596</v>
      </c>
      <c r="B622" s="31" t="n">
        <v>3.62</v>
      </c>
    </row>
    <row r="623">
      <c r="A623" s="80" t="n">
        <v>38626</v>
      </c>
      <c r="B623" s="31" t="n">
        <v>3.78</v>
      </c>
    </row>
    <row r="624">
      <c r="A624" s="80" t="n">
        <v>38657</v>
      </c>
      <c r="B624" s="31" t="n">
        <v>4</v>
      </c>
    </row>
    <row r="625">
      <c r="A625" s="80" t="n">
        <v>38687</v>
      </c>
      <c r="B625" s="31" t="n">
        <v>4.16</v>
      </c>
    </row>
    <row r="626">
      <c r="A626" s="80" t="n">
        <v>38718</v>
      </c>
      <c r="B626" s="31" t="n">
        <v>4.29</v>
      </c>
    </row>
    <row r="627">
      <c r="A627" s="80" t="n">
        <v>38749</v>
      </c>
      <c r="B627" s="31" t="n">
        <v>4.49</v>
      </c>
    </row>
    <row r="628">
      <c r="A628" s="80" t="n">
        <v>38777</v>
      </c>
      <c r="B628" s="31" t="n">
        <v>4.59</v>
      </c>
    </row>
    <row r="629">
      <c r="A629" s="80" t="n">
        <v>38808</v>
      </c>
      <c r="B629" s="31" t="n">
        <v>4.79</v>
      </c>
    </row>
    <row r="630">
      <c r="A630" s="80" t="n">
        <v>38838</v>
      </c>
      <c r="B630" s="31" t="n">
        <v>4.94</v>
      </c>
    </row>
    <row r="631">
      <c r="A631" s="80" t="n">
        <v>38869</v>
      </c>
      <c r="B631" s="31" t="n">
        <v>4.99</v>
      </c>
    </row>
    <row r="632">
      <c r="A632" s="80" t="n">
        <v>38899</v>
      </c>
      <c r="B632" s="31" t="n">
        <v>5.24</v>
      </c>
    </row>
    <row r="633">
      <c r="A633" s="80" t="n">
        <v>38930</v>
      </c>
      <c r="B633" s="31" t="n">
        <v>5.25</v>
      </c>
    </row>
    <row r="634">
      <c r="A634" s="80" t="n">
        <v>38961</v>
      </c>
      <c r="B634" s="31" t="n">
        <v>5.25</v>
      </c>
    </row>
    <row r="635">
      <c r="A635" s="80" t="n">
        <v>38991</v>
      </c>
      <c r="B635" s="31" t="n">
        <v>5.25</v>
      </c>
    </row>
    <row r="636">
      <c r="A636" s="80" t="n">
        <v>39022</v>
      </c>
      <c r="B636" s="31" t="n">
        <v>5.25</v>
      </c>
    </row>
    <row r="637">
      <c r="A637" s="80" t="n">
        <v>39052</v>
      </c>
      <c r="B637" s="31" t="n">
        <v>5.24</v>
      </c>
    </row>
    <row r="638">
      <c r="A638" s="80" t="n">
        <v>39083</v>
      </c>
      <c r="B638" s="31" t="n">
        <v>5.25</v>
      </c>
    </row>
    <row r="639">
      <c r="A639" s="80" t="n">
        <v>39114</v>
      </c>
      <c r="B639" s="31" t="n">
        <v>5.26</v>
      </c>
    </row>
    <row r="640">
      <c r="A640" s="80" t="n">
        <v>39142</v>
      </c>
      <c r="B640" s="31" t="n">
        <v>5.26</v>
      </c>
    </row>
    <row r="641">
      <c r="A641" s="80" t="n">
        <v>39173</v>
      </c>
      <c r="B641" s="31" t="n">
        <v>5.25</v>
      </c>
    </row>
    <row r="642">
      <c r="A642" s="80" t="n">
        <v>39203</v>
      </c>
      <c r="B642" s="31" t="n">
        <v>5.25</v>
      </c>
    </row>
    <row r="643">
      <c r="A643" s="80" t="n">
        <v>39234</v>
      </c>
      <c r="B643" s="31" t="n">
        <v>5.25</v>
      </c>
    </row>
    <row r="644">
      <c r="A644" s="80" t="n">
        <v>39264</v>
      </c>
      <c r="B644" s="31" t="n">
        <v>5.26</v>
      </c>
    </row>
    <row r="645">
      <c r="A645" s="80" t="n">
        <v>39295</v>
      </c>
      <c r="B645" s="31" t="n">
        <v>5.02</v>
      </c>
    </row>
    <row r="646">
      <c r="A646" s="80" t="n">
        <v>39326</v>
      </c>
      <c r="B646" s="31" t="n">
        <v>4.94</v>
      </c>
    </row>
    <row r="647">
      <c r="A647" s="80" t="n">
        <v>39356</v>
      </c>
      <c r="B647" s="31" t="n">
        <v>4.76</v>
      </c>
    </row>
    <row r="648">
      <c r="A648" s="80" t="n">
        <v>39387</v>
      </c>
      <c r="B648" s="31" t="n">
        <v>4.49</v>
      </c>
    </row>
    <row r="649">
      <c r="A649" s="80" t="n">
        <v>39417</v>
      </c>
      <c r="B649" s="31" t="n">
        <v>4.24</v>
      </c>
    </row>
    <row r="650">
      <c r="A650" s="80" t="n">
        <v>39448</v>
      </c>
      <c r="B650" s="31" t="n">
        <v>3.94</v>
      </c>
    </row>
    <row r="651">
      <c r="A651" s="80" t="n">
        <v>39479</v>
      </c>
      <c r="B651" s="31" t="n">
        <v>2.98</v>
      </c>
    </row>
    <row r="652">
      <c r="A652" s="80" t="n">
        <v>39508</v>
      </c>
      <c r="B652" s="31" t="n">
        <v>2.61</v>
      </c>
    </row>
    <row r="653">
      <c r="A653" s="80" t="n">
        <v>39539</v>
      </c>
      <c r="B653" s="31" t="n">
        <v>2.28</v>
      </c>
    </row>
    <row r="654">
      <c r="A654" s="80" t="n">
        <v>39569</v>
      </c>
      <c r="B654" s="31" t="n">
        <v>1.98</v>
      </c>
    </row>
    <row r="655">
      <c r="A655" s="80" t="n">
        <v>39600</v>
      </c>
      <c r="B655" s="31" t="n">
        <v>2</v>
      </c>
    </row>
    <row r="656">
      <c r="A656" s="80" t="n">
        <v>39630</v>
      </c>
      <c r="B656" s="31" t="n">
        <v>2.01</v>
      </c>
    </row>
    <row r="657">
      <c r="A657" s="80" t="n">
        <v>39661</v>
      </c>
      <c r="B657" s="31" t="n">
        <v>2</v>
      </c>
    </row>
    <row r="658">
      <c r="A658" s="80" t="n">
        <v>39692</v>
      </c>
      <c r="B658" s="31" t="n">
        <v>1.81</v>
      </c>
    </row>
    <row r="659">
      <c r="A659" s="80" t="n">
        <v>39722</v>
      </c>
      <c r="B659" s="31" t="n">
        <v>0.97</v>
      </c>
    </row>
    <row r="660">
      <c r="A660" s="80" t="n">
        <v>39753</v>
      </c>
      <c r="B660" s="31" t="n">
        <v>0.39</v>
      </c>
    </row>
    <row r="661">
      <c r="A661" s="80" t="n">
        <v>39783</v>
      </c>
      <c r="B661" s="31" t="n">
        <v>0.16</v>
      </c>
    </row>
    <row r="662">
      <c r="A662" s="80" t="n">
        <v>39814</v>
      </c>
      <c r="B662" s="31" t="n">
        <v>0.15</v>
      </c>
    </row>
    <row r="663">
      <c r="A663" s="80" t="n">
        <v>39845</v>
      </c>
      <c r="B663" s="31" t="n">
        <v>0.22</v>
      </c>
    </row>
    <row r="664">
      <c r="A664" s="80" t="n">
        <v>39873</v>
      </c>
      <c r="B664" s="31" t="n">
        <v>0.18</v>
      </c>
    </row>
    <row r="665">
      <c r="A665" s="80" t="n">
        <v>39904</v>
      </c>
      <c r="B665" s="31" t="n">
        <v>0.15</v>
      </c>
    </row>
    <row r="666">
      <c r="A666" s="80" t="n">
        <v>39934</v>
      </c>
      <c r="B666" s="31" t="n">
        <v>0.18</v>
      </c>
    </row>
    <row r="667">
      <c r="A667" s="80" t="n">
        <v>39965</v>
      </c>
      <c r="B667" s="31" t="n">
        <v>0.21</v>
      </c>
    </row>
    <row r="668">
      <c r="A668" s="80" t="n">
        <v>39995</v>
      </c>
      <c r="B668" s="31" t="n">
        <v>0.16</v>
      </c>
    </row>
    <row r="669">
      <c r="A669" s="80" t="n">
        <v>40026</v>
      </c>
      <c r="B669" s="31" t="n">
        <v>0.16</v>
      </c>
    </row>
    <row r="670">
      <c r="A670" s="80" t="n">
        <v>40057</v>
      </c>
      <c r="B670" s="31" t="n">
        <v>0.15</v>
      </c>
    </row>
    <row r="671">
      <c r="A671" s="80" t="n">
        <v>40087</v>
      </c>
      <c r="B671" s="31" t="n">
        <v>0.12</v>
      </c>
    </row>
    <row r="672">
      <c r="A672" s="80" t="n">
        <v>40118</v>
      </c>
      <c r="B672" s="31" t="n">
        <v>0.12</v>
      </c>
    </row>
    <row r="673">
      <c r="A673" s="80" t="n">
        <v>40148</v>
      </c>
      <c r="B673" s="31" t="n">
        <v>0.12</v>
      </c>
    </row>
    <row r="674">
      <c r="A674" s="80" t="n">
        <v>40179</v>
      </c>
      <c r="B674" s="31" t="n">
        <v>0.11</v>
      </c>
    </row>
    <row r="675">
      <c r="A675" s="80" t="n">
        <v>40210</v>
      </c>
      <c r="B675" s="31" t="n">
        <v>0.13</v>
      </c>
    </row>
    <row r="676">
      <c r="A676" s="80" t="n">
        <v>40238</v>
      </c>
      <c r="B676" s="31" t="n">
        <v>0.16</v>
      </c>
    </row>
    <row r="677">
      <c r="A677" s="80" t="n">
        <v>40269</v>
      </c>
      <c r="B677" s="31" t="n">
        <v>0.2</v>
      </c>
    </row>
    <row r="678">
      <c r="A678" s="80" t="n">
        <v>40299</v>
      </c>
      <c r="B678" s="31" t="n">
        <v>0.2</v>
      </c>
    </row>
    <row r="679">
      <c r="A679" s="80" t="n">
        <v>40330</v>
      </c>
      <c r="B679" s="31" t="n">
        <v>0.18</v>
      </c>
    </row>
    <row r="680">
      <c r="A680" s="80" t="n">
        <v>40360</v>
      </c>
      <c r="B680" s="31" t="n">
        <v>0.18</v>
      </c>
    </row>
    <row r="681">
      <c r="A681" s="80" t="n">
        <v>40391</v>
      </c>
      <c r="B681" s="31" t="n">
        <v>0.19</v>
      </c>
    </row>
    <row r="682">
      <c r="A682" s="80" t="n">
        <v>40422</v>
      </c>
      <c r="B682" s="31" t="n">
        <v>0.19</v>
      </c>
    </row>
    <row r="683">
      <c r="A683" s="80" t="n">
        <v>40452</v>
      </c>
      <c r="B683" s="31" t="n">
        <v>0.19</v>
      </c>
    </row>
    <row r="684">
      <c r="A684" s="80" t="n">
        <v>40483</v>
      </c>
      <c r="B684" s="31" t="n">
        <v>0.19</v>
      </c>
    </row>
    <row r="685">
      <c r="A685" s="80" t="n">
        <v>40513</v>
      </c>
      <c r="B685" s="31" t="n">
        <v>0.18</v>
      </c>
    </row>
    <row r="686">
      <c r="A686" s="80" t="n">
        <v>40544</v>
      </c>
      <c r="B686" s="31" t="n">
        <v>0.17</v>
      </c>
    </row>
    <row r="687">
      <c r="A687" s="80" t="n">
        <v>40575</v>
      </c>
      <c r="B687" s="31" t="n">
        <v>0.16</v>
      </c>
    </row>
    <row r="688">
      <c r="A688" s="80" t="n">
        <v>40603</v>
      </c>
      <c r="B688" s="31" t="n">
        <v>0.14</v>
      </c>
    </row>
    <row r="689">
      <c r="A689" s="80" t="n">
        <v>40634</v>
      </c>
      <c r="B689" s="31" t="n">
        <v>0.1</v>
      </c>
    </row>
    <row r="690">
      <c r="A690" s="80" t="n">
        <v>40664</v>
      </c>
      <c r="B690" s="31" t="n">
        <v>0.09</v>
      </c>
    </row>
    <row r="691">
      <c r="A691" s="80" t="n">
        <v>40695</v>
      </c>
      <c r="B691" s="31" t="n">
        <v>0.09</v>
      </c>
    </row>
    <row r="692">
      <c r="A692" s="80" t="n">
        <v>40725</v>
      </c>
      <c r="B692" s="31" t="n">
        <v>0.07000000000000001</v>
      </c>
    </row>
    <row r="693">
      <c r="A693" s="80" t="n">
        <v>40756</v>
      </c>
      <c r="B693" s="31" t="n">
        <v>0.1</v>
      </c>
    </row>
    <row r="694">
      <c r="A694" s="80" t="n">
        <v>40787</v>
      </c>
      <c r="B694" s="31" t="n">
        <v>0.08</v>
      </c>
    </row>
    <row r="695">
      <c r="A695" s="80" t="n">
        <v>40817</v>
      </c>
      <c r="B695" s="31" t="n">
        <v>0.07000000000000001</v>
      </c>
    </row>
    <row r="696">
      <c r="A696" s="80" t="n">
        <v>40848</v>
      </c>
      <c r="B696" s="31" t="n">
        <v>0.08</v>
      </c>
    </row>
    <row r="697">
      <c r="A697" s="80" t="n">
        <v>40878</v>
      </c>
      <c r="B697" s="31" t="n">
        <v>0.07000000000000001</v>
      </c>
    </row>
    <row r="698">
      <c r="A698" s="80" t="n">
        <v>40909</v>
      </c>
      <c r="B698" s="31" t="n">
        <v>0.08</v>
      </c>
    </row>
    <row r="699">
      <c r="A699" s="80" t="n">
        <v>40940</v>
      </c>
      <c r="B699" s="31" t="n">
        <v>0.1</v>
      </c>
    </row>
    <row r="700">
      <c r="A700" s="80" t="n">
        <v>40969</v>
      </c>
      <c r="B700" s="31" t="n">
        <v>0.13</v>
      </c>
    </row>
    <row r="701">
      <c r="A701" s="80" t="n">
        <v>41000</v>
      </c>
      <c r="B701" s="31" t="n">
        <v>0.14</v>
      </c>
    </row>
    <row r="702">
      <c r="A702" s="80" t="n">
        <v>41030</v>
      </c>
      <c r="B702" s="31" t="n">
        <v>0.16</v>
      </c>
    </row>
    <row r="703">
      <c r="A703" s="80" t="n">
        <v>41061</v>
      </c>
      <c r="B703" s="31" t="n">
        <v>0.16</v>
      </c>
    </row>
    <row r="704">
      <c r="A704" s="80" t="n">
        <v>41091</v>
      </c>
      <c r="B704" s="31" t="n">
        <v>0.16</v>
      </c>
    </row>
    <row r="705">
      <c r="A705" s="80" t="n">
        <v>41122</v>
      </c>
      <c r="B705" s="31" t="n">
        <v>0.13</v>
      </c>
    </row>
    <row r="706">
      <c r="A706" s="80" t="n">
        <v>41153</v>
      </c>
      <c r="B706" s="31" t="n">
        <v>0.14</v>
      </c>
    </row>
    <row r="707">
      <c r="A707" s="80" t="n">
        <v>41183</v>
      </c>
      <c r="B707" s="31" t="n">
        <v>0.16</v>
      </c>
    </row>
    <row r="708">
      <c r="A708" s="80" t="n">
        <v>41214</v>
      </c>
      <c r="B708" s="31" t="n">
        <v>0.16</v>
      </c>
    </row>
    <row r="709">
      <c r="A709" s="80" t="n">
        <v>41244</v>
      </c>
      <c r="B709" s="31" t="n">
        <v>0.16</v>
      </c>
    </row>
    <row r="710">
      <c r="A710" s="80" t="n">
        <v>41275</v>
      </c>
      <c r="B710" s="31" t="n">
        <v>0.14</v>
      </c>
    </row>
    <row r="711">
      <c r="A711" s="80" t="n">
        <v>41306</v>
      </c>
      <c r="B711" s="31" t="n">
        <v>0.15</v>
      </c>
    </row>
    <row r="712">
      <c r="A712" s="80" t="n">
        <v>41334</v>
      </c>
      <c r="B712" s="31" t="n">
        <v>0.14</v>
      </c>
    </row>
    <row r="713">
      <c r="A713" s="80" t="n">
        <v>41365</v>
      </c>
      <c r="B713" s="31" t="n">
        <v>0.15</v>
      </c>
    </row>
    <row r="714">
      <c r="A714" s="80" t="n">
        <v>41395</v>
      </c>
      <c r="B714" s="31" t="n">
        <v>0.11</v>
      </c>
    </row>
    <row r="715">
      <c r="A715" s="80" t="n">
        <v>41426</v>
      </c>
      <c r="B715" s="31" t="n">
        <v>0.09</v>
      </c>
    </row>
    <row r="716">
      <c r="A716" s="80" t="n">
        <v>41456</v>
      </c>
      <c r="B716" s="31" t="n">
        <v>0.09</v>
      </c>
    </row>
    <row r="717">
      <c r="A717" s="80" t="n">
        <v>41487</v>
      </c>
      <c r="B717" s="31" t="n">
        <v>0.08</v>
      </c>
    </row>
    <row r="718">
      <c r="A718" s="80" t="n">
        <v>41518</v>
      </c>
      <c r="B718" s="31" t="n">
        <v>0.08</v>
      </c>
    </row>
    <row r="719">
      <c r="A719" s="80" t="n">
        <v>41548</v>
      </c>
      <c r="B719" s="31" t="n">
        <v>0.09</v>
      </c>
    </row>
    <row r="720">
      <c r="A720" s="80" t="n">
        <v>41579</v>
      </c>
      <c r="B720" s="31" t="n">
        <v>0.08</v>
      </c>
    </row>
    <row r="721">
      <c r="A721" s="80" t="n">
        <v>41609</v>
      </c>
      <c r="B721" s="31" t="n">
        <v>0.09</v>
      </c>
    </row>
    <row r="722">
      <c r="A722" s="80" t="n">
        <v>41640</v>
      </c>
      <c r="B722" s="31" t="n">
        <v>0.07000000000000001</v>
      </c>
    </row>
    <row r="723">
      <c r="A723" s="80" t="n">
        <v>41671</v>
      </c>
      <c r="B723" s="31" t="n">
        <v>0.07000000000000001</v>
      </c>
    </row>
    <row r="724">
      <c r="A724" s="80" t="n">
        <v>41699</v>
      </c>
      <c r="B724" s="31" t="n">
        <v>0.08</v>
      </c>
    </row>
    <row r="725">
      <c r="A725" s="80" t="n">
        <v>41730</v>
      </c>
      <c r="B725" s="31" t="n">
        <v>0.09</v>
      </c>
    </row>
    <row r="726">
      <c r="A726" s="80" t="n">
        <v>41760</v>
      </c>
      <c r="B726" s="31" t="n">
        <v>0.09</v>
      </c>
    </row>
    <row r="727">
      <c r="A727" s="80" t="n">
        <v>41791</v>
      </c>
      <c r="B727" s="31" t="n">
        <v>0.1</v>
      </c>
    </row>
    <row r="728">
      <c r="A728" s="80" t="n">
        <v>41821</v>
      </c>
      <c r="B728" s="31" t="n">
        <v>0.09</v>
      </c>
    </row>
    <row r="729">
      <c r="A729" s="80" t="n">
        <v>41852</v>
      </c>
      <c r="B729" s="31" t="n">
        <v>0.09</v>
      </c>
    </row>
    <row r="730">
      <c r="A730" s="80" t="n">
        <v>41883</v>
      </c>
      <c r="B730" s="31" t="n">
        <v>0.09</v>
      </c>
    </row>
    <row r="731">
      <c r="A731" s="80" t="n">
        <v>41913</v>
      </c>
      <c r="B731" s="31" t="n">
        <v>0.09</v>
      </c>
    </row>
    <row r="732">
      <c r="A732" s="80" t="n">
        <v>41944</v>
      </c>
      <c r="B732" s="31" t="n">
        <v>0.09</v>
      </c>
    </row>
    <row r="733">
      <c r="A733" s="80" t="n">
        <v>41974</v>
      </c>
      <c r="B733" s="31" t="n">
        <v>0.12</v>
      </c>
    </row>
    <row r="734">
      <c r="A734" s="80" t="n">
        <v>42005</v>
      </c>
      <c r="B734" s="31" t="n">
        <v>0.11</v>
      </c>
    </row>
    <row r="735">
      <c r="A735" s="80" t="n">
        <v>42036</v>
      </c>
      <c r="B735" s="31" t="n">
        <v>0.11</v>
      </c>
    </row>
    <row r="736">
      <c r="A736" s="80" t="n">
        <v>42064</v>
      </c>
      <c r="B736" s="31" t="n">
        <v>0.11</v>
      </c>
    </row>
    <row r="737">
      <c r="A737" s="80" t="n">
        <v>42095</v>
      </c>
      <c r="B737" s="31" t="n">
        <v>0.12</v>
      </c>
    </row>
    <row r="738">
      <c r="A738" s="80" t="n">
        <v>42125</v>
      </c>
      <c r="B738" s="31" t="n">
        <v>0.12</v>
      </c>
    </row>
    <row r="739">
      <c r="A739" s="80" t="n">
        <v>42156</v>
      </c>
      <c r="B739" s="31" t="n">
        <v>0.13</v>
      </c>
    </row>
    <row r="740">
      <c r="A740" s="80" t="n">
        <v>42186</v>
      </c>
      <c r="B740" s="31" t="n">
        <v>0.13</v>
      </c>
    </row>
    <row r="741">
      <c r="A741" s="80" t="n">
        <v>42217</v>
      </c>
      <c r="B741" s="31" t="n">
        <v>0.14</v>
      </c>
    </row>
    <row r="742">
      <c r="A742" s="80" t="n">
        <v>42248</v>
      </c>
      <c r="B742" s="31" t="n">
        <v>0.14</v>
      </c>
    </row>
    <row r="743">
      <c r="A743" s="80" t="n">
        <v>42278</v>
      </c>
      <c r="B743" s="31" t="n">
        <v>0.12</v>
      </c>
    </row>
    <row r="744">
      <c r="A744" s="80" t="n">
        <v>42309</v>
      </c>
      <c r="B744" s="31" t="n">
        <v>0.12</v>
      </c>
    </row>
    <row r="745">
      <c r="A745" s="80" t="n">
        <v>42339</v>
      </c>
      <c r="B745" s="31" t="n">
        <v>0.24</v>
      </c>
    </row>
    <row r="746">
      <c r="A746" s="80" t="n">
        <v>42370</v>
      </c>
      <c r="B746" s="31" t="n">
        <v>0.34</v>
      </c>
    </row>
    <row r="747">
      <c r="A747" s="80" t="n">
        <v>42401</v>
      </c>
      <c r="B747" s="31" t="n">
        <v>0.38</v>
      </c>
    </row>
    <row r="748">
      <c r="A748" s="80" t="n">
        <v>42430</v>
      </c>
      <c r="B748" s="31" t="n">
        <v>0.36</v>
      </c>
    </row>
    <row r="749">
      <c r="A749" s="80" t="n">
        <v>42461</v>
      </c>
      <c r="B749" s="31" t="n">
        <v>0.37</v>
      </c>
    </row>
    <row r="750">
      <c r="A750" s="80" t="n">
        <v>42491</v>
      </c>
      <c r="B750" s="31" t="n">
        <v>0.37</v>
      </c>
    </row>
    <row r="751">
      <c r="A751" s="80" t="n">
        <v>42522</v>
      </c>
      <c r="B751" s="31" t="n">
        <v>0.38</v>
      </c>
    </row>
    <row r="752">
      <c r="A752" s="80" t="n">
        <v>42552</v>
      </c>
      <c r="B752" s="31" t="n">
        <v>0.39</v>
      </c>
    </row>
    <row r="753">
      <c r="A753" s="80" t="n">
        <v>42583</v>
      </c>
      <c r="B753" s="31" t="n">
        <v>0.4</v>
      </c>
    </row>
    <row r="754">
      <c r="A754" s="80" t="n">
        <v>42614</v>
      </c>
      <c r="B754" s="31" t="n">
        <v>0.4</v>
      </c>
    </row>
    <row r="755">
      <c r="A755" s="80" t="n">
        <v>42644</v>
      </c>
      <c r="B755" s="31" t="n">
        <v>0.4</v>
      </c>
    </row>
    <row r="756">
      <c r="A756" s="80" t="n">
        <v>42675</v>
      </c>
      <c r="B756" s="31" t="n">
        <v>0.41</v>
      </c>
    </row>
    <row r="757">
      <c r="A757" s="80" t="n">
        <v>42705</v>
      </c>
      <c r="B757" s="31" t="n">
        <v>0.54</v>
      </c>
    </row>
    <row r="758">
      <c r="A758" s="80" t="n">
        <v>42736</v>
      </c>
      <c r="B758" s="31" t="n">
        <v>0.65</v>
      </c>
    </row>
    <row r="759">
      <c r="A759" s="80" t="n">
        <v>42767</v>
      </c>
      <c r="B759" s="31" t="n">
        <v>0.66</v>
      </c>
    </row>
    <row r="760">
      <c r="A760" s="80" t="n">
        <v>42795</v>
      </c>
      <c r="B760" s="31" t="n">
        <v>0.79</v>
      </c>
    </row>
    <row r="761">
      <c r="A761" s="80" t="n">
        <v>42826</v>
      </c>
      <c r="B761" s="31" t="n">
        <v>0.9</v>
      </c>
    </row>
    <row r="762">
      <c r="A762" s="80" t="n">
        <v>42856</v>
      </c>
      <c r="B762" s="31" t="n">
        <v>0.91</v>
      </c>
    </row>
    <row r="763">
      <c r="A763" s="80" t="n">
        <v>42887</v>
      </c>
      <c r="B763" s="31" t="n">
        <v>1.04</v>
      </c>
    </row>
    <row r="764">
      <c r="A764" s="80" t="n">
        <v>42917</v>
      </c>
      <c r="B764" s="31" t="n">
        <v>1.15</v>
      </c>
    </row>
    <row r="765">
      <c r="A765" s="80" t="n">
        <v>42948</v>
      </c>
      <c r="B765" s="31" t="n">
        <v>1.16</v>
      </c>
    </row>
    <row r="766">
      <c r="A766" s="80" t="n">
        <v>42979</v>
      </c>
      <c r="B766" s="31" t="n">
        <v>1.15</v>
      </c>
    </row>
    <row r="767">
      <c r="A767" s="80" t="n">
        <v>43009</v>
      </c>
      <c r="B767" s="31" t="n">
        <v>1.15</v>
      </c>
    </row>
    <row r="768">
      <c r="A768" s="80" t="n">
        <v>43040</v>
      </c>
      <c r="B768" s="31" t="n">
        <v>1.16</v>
      </c>
    </row>
    <row r="769">
      <c r="A769" s="80" t="n">
        <v>43070</v>
      </c>
      <c r="B769" s="31" t="n">
        <v>1.3</v>
      </c>
    </row>
    <row r="770">
      <c r="A770" s="80" t="n">
        <v>43101</v>
      </c>
      <c r="B770" s="31" t="n">
        <v>1.41</v>
      </c>
    </row>
    <row r="771">
      <c r="A771" s="80" t="n">
        <v>43132</v>
      </c>
      <c r="B771" s="31" t="n">
        <v>1.42</v>
      </c>
    </row>
    <row r="772">
      <c r="A772" s="80" t="n">
        <v>43160</v>
      </c>
      <c r="B772" s="31" t="n">
        <v>1.51</v>
      </c>
    </row>
    <row r="773">
      <c r="A773" s="80" t="n">
        <v>43191</v>
      </c>
      <c r="B773" s="31" t="n">
        <v>1.69</v>
      </c>
    </row>
    <row r="774">
      <c r="A774" s="80" t="n">
        <v>43221</v>
      </c>
      <c r="B774" s="31" t="n">
        <v>1.7</v>
      </c>
    </row>
    <row r="775">
      <c r="A775" s="80" t="n">
        <v>43252</v>
      </c>
      <c r="B775" s="31" t="n">
        <v>1.82</v>
      </c>
    </row>
    <row r="776">
      <c r="A776" s="80" t="n">
        <v>43282</v>
      </c>
      <c r="B776" s="31" t="n">
        <v>1.91</v>
      </c>
    </row>
    <row r="777">
      <c r="A777" s="80" t="n">
        <v>43313</v>
      </c>
      <c r="B777" s="31" t="n">
        <v>1.91</v>
      </c>
    </row>
    <row r="778">
      <c r="A778" s="80" t="n">
        <v>43344</v>
      </c>
      <c r="B778" s="31" t="n">
        <v>1.95</v>
      </c>
    </row>
    <row r="779">
      <c r="A779" s="80" t="n">
        <v>43374</v>
      </c>
      <c r="B779" s="31" t="n">
        <v>2.19</v>
      </c>
    </row>
    <row r="780">
      <c r="A780" s="80" t="n">
        <v>43405</v>
      </c>
      <c r="B780" s="31" t="n">
        <v>2.2</v>
      </c>
    </row>
    <row r="781">
      <c r="A781" s="80" t="n">
        <v>43435</v>
      </c>
      <c r="B781" s="31" t="n">
        <v>2.27</v>
      </c>
    </row>
    <row r="782">
      <c r="A782" s="80" t="n">
        <v>43466</v>
      </c>
      <c r="B782" s="31" t="n">
        <v>2.4</v>
      </c>
    </row>
    <row r="783">
      <c r="A783" s="80" t="n">
        <v>43497</v>
      </c>
      <c r="B783" s="31" t="n">
        <v>2.4</v>
      </c>
    </row>
    <row r="784">
      <c r="A784" s="80" t="n">
        <v>43525</v>
      </c>
      <c r="B784" s="31" t="n">
        <v>2.41</v>
      </c>
    </row>
    <row r="785">
      <c r="A785" s="82" t="n">
        <v>43556</v>
      </c>
      <c r="B785" s="36" t="n">
        <v>2.42</v>
      </c>
    </row>
    <row r="786">
      <c r="A786" s="80" t="n">
        <v>43586</v>
      </c>
      <c r="B786" s="31" t="n">
        <v>2.39</v>
      </c>
    </row>
    <row r="787">
      <c r="A787" s="80" t="n">
        <v>43617</v>
      </c>
      <c r="B787" s="31" t="n">
        <v>2.38</v>
      </c>
    </row>
    <row r="788">
      <c r="A788" s="80" t="n">
        <v>43647</v>
      </c>
      <c r="B788" s="31" t="n">
        <v>2.4</v>
      </c>
    </row>
    <row r="789">
      <c r="A789" s="80" t="n">
        <v>43678</v>
      </c>
      <c r="B789" s="31" t="n">
        <v>2.13</v>
      </c>
    </row>
    <row r="790">
      <c r="A790" s="80" t="n">
        <v>43709</v>
      </c>
      <c r="B790" s="31" t="n">
        <v>2.04</v>
      </c>
    </row>
    <row r="791">
      <c r="A791" s="80" t="n">
        <v>43739</v>
      </c>
      <c r="B791" s="31" t="n">
        <v>1.83</v>
      </c>
    </row>
    <row r="792">
      <c r="A792" s="80" t="n">
        <v>43770</v>
      </c>
      <c r="B792" s="31" t="n">
        <v>1.55</v>
      </c>
    </row>
    <row r="793">
      <c r="A793" s="80" t="n">
        <v>43800</v>
      </c>
      <c r="B793" s="31" t="n">
        <v>1.55</v>
      </c>
    </row>
    <row r="794">
      <c r="A794" s="80" t="n">
        <v>43831</v>
      </c>
      <c r="B794" s="31" t="n">
        <v>1.55</v>
      </c>
    </row>
    <row r="795">
      <c r="A795" s="80" t="n">
        <v>43862</v>
      </c>
      <c r="B795" s="31" t="n">
        <v>1.58</v>
      </c>
    </row>
    <row r="796">
      <c r="A796" s="81" t="n">
        <v>43891</v>
      </c>
      <c r="B796" s="32" t="n">
        <v>0.65</v>
      </c>
    </row>
    <row r="797">
      <c r="A797" s="80" t="n">
        <v>43922</v>
      </c>
      <c r="B797" s="31" t="n">
        <v>0.05</v>
      </c>
    </row>
    <row r="798">
      <c r="A798" s="81" t="n">
        <v>43952</v>
      </c>
      <c r="B798" s="32" t="n">
        <v>0.05</v>
      </c>
    </row>
    <row r="799">
      <c r="A799" s="80" t="n">
        <v>43983</v>
      </c>
      <c r="B799" s="31" t="n">
        <v>0.08</v>
      </c>
    </row>
    <row r="800">
      <c r="A800" s="81" t="n">
        <v>44013</v>
      </c>
      <c r="B800" s="32" t="n">
        <v>0.09</v>
      </c>
    </row>
    <row r="801">
      <c r="A801" s="80" t="n">
        <v>44044</v>
      </c>
      <c r="B801" s="31" t="n">
        <v>0.1</v>
      </c>
    </row>
    <row r="802">
      <c r="A802" s="81" t="n">
        <v>44075</v>
      </c>
      <c r="B802" s="32" t="n">
        <v>0.09</v>
      </c>
    </row>
    <row r="803">
      <c r="A803" s="80" t="n">
        <v>44105</v>
      </c>
      <c r="B803" s="31" t="n">
        <v>0.09</v>
      </c>
    </row>
    <row r="804">
      <c r="A804" s="81" t="n">
        <v>44136</v>
      </c>
      <c r="B804" s="32" t="n">
        <v>0.09</v>
      </c>
    </row>
    <row r="805">
      <c r="A805" s="80" t="n">
        <v>44166</v>
      </c>
      <c r="B805" s="31" t="n">
        <v>0.09</v>
      </c>
    </row>
    <row r="806">
      <c r="A806" s="81" t="n">
        <v>44197</v>
      </c>
      <c r="B806" s="32" t="n">
        <v>0.09</v>
      </c>
    </row>
    <row r="807">
      <c r="A807" s="80" t="n">
        <v>44228</v>
      </c>
      <c r="B807" s="31" t="n">
        <v>0.08</v>
      </c>
    </row>
    <row r="808">
      <c r="A808" s="81" t="n">
        <v>44256</v>
      </c>
      <c r="B808" s="32" t="n">
        <v>0.07000000000000001</v>
      </c>
    </row>
    <row r="809">
      <c r="A809" s="80" t="n">
        <v>44287</v>
      </c>
      <c r="B809" s="31" t="n">
        <v>0.07000000000000001</v>
      </c>
    </row>
    <row r="810">
      <c r="A810" s="81" t="n">
        <v>44317</v>
      </c>
      <c r="B810" s="32" t="n">
        <v>0.06</v>
      </c>
    </row>
    <row r="811">
      <c r="A811" s="80" t="n">
        <v>44348</v>
      </c>
      <c r="B811" s="31" t="n">
        <v>0.08</v>
      </c>
    </row>
    <row r="812">
      <c r="A812" s="81" t="n">
        <v>44378</v>
      </c>
      <c r="B812" s="32" t="n">
        <v>0.1</v>
      </c>
    </row>
    <row r="813">
      <c r="A813" s="80" t="n">
        <v>44409</v>
      </c>
      <c r="B813" s="31" t="n">
        <v>0.09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57"/>
  <sheetViews>
    <sheetView topLeftCell="A733" zoomScale="140" zoomScaleNormal="140" workbookViewId="0">
      <selection activeCell="B756" sqref="B756"/>
    </sheetView>
  </sheetViews>
  <sheetFormatPr baseColWidth="10" defaultColWidth="9.1640625" defaultRowHeight="15"/>
  <cols>
    <col width="16.6640625" customWidth="1" style="5" min="1" max="1"/>
    <col width="19" customWidth="1" style="5" min="2" max="2"/>
    <col width="14.6640625" customWidth="1" style="5" min="3" max="3"/>
    <col width="14.6640625" customWidth="1" style="72" min="4" max="4"/>
    <col width="18.1640625" customWidth="1" style="72" min="5" max="5"/>
    <col width="9.1640625" customWidth="1" style="72" min="6" max="6"/>
    <col width="9.1640625" customWidth="1" style="72" min="7" max="16384"/>
  </cols>
  <sheetData>
    <row r="1">
      <c r="A1" s="6" t="inlineStr">
        <is>
          <t>https://fred.stlouisfed.org/series/M2SL</t>
        </is>
      </c>
    </row>
    <row r="3">
      <c r="A3" s="72" t="inlineStr">
        <is>
          <t>Average</t>
        </is>
      </c>
      <c r="B3" s="7">
        <f>AVERAGE(D8:D755)</f>
        <v/>
      </c>
    </row>
    <row r="4">
      <c r="A4" s="72" t="n"/>
      <c r="B4" s="7">
        <f>_xlfn.STDEV.S(D8:D755)</f>
        <v/>
      </c>
    </row>
    <row r="5" ht="16" customHeight="1" s="54" thickBot="1"/>
    <row r="6" ht="39.75" customHeight="1" s="54" thickBot="1">
      <c r="A6" s="43" t="inlineStr">
        <is>
          <t>Date</t>
        </is>
      </c>
      <c r="B6" s="44" t="inlineStr">
        <is>
          <t>M2 Money Stock, Billions of Dollars, Weekly, Seasonally Adjusted</t>
        </is>
      </c>
      <c r="C6" s="45" t="inlineStr">
        <is>
          <t>Monthly change</t>
        </is>
      </c>
      <c r="D6" s="45" t="inlineStr">
        <is>
          <t>Annualized Change</t>
        </is>
      </c>
      <c r="E6" s="46" t="inlineStr">
        <is>
          <t>YoY Change</t>
        </is>
      </c>
    </row>
    <row r="7">
      <c r="A7" s="41" t="n">
        <v>21551</v>
      </c>
      <c r="B7" s="83" t="n">
        <v>286.6</v>
      </c>
      <c r="C7" s="42" t="n"/>
      <c r="D7" s="42" t="n"/>
      <c r="E7" s="42" t="n"/>
    </row>
    <row r="8">
      <c r="A8" s="37" t="n">
        <v>21582</v>
      </c>
      <c r="B8" s="84" t="n">
        <v>287.7</v>
      </c>
      <c r="C8" s="39">
        <f>(Table267[[#This Row],[M2 Money Stock, Billions of Dollars, Weekly, Seasonally Adjusted]]-B7)/B7</f>
        <v/>
      </c>
      <c r="D8" s="40">
        <f>((1+Table267[[#This Row],[Monthly change]])^12)-1</f>
        <v/>
      </c>
      <c r="E8" s="38" t="n"/>
    </row>
    <row r="9">
      <c r="A9" s="37" t="n">
        <v>21610</v>
      </c>
      <c r="B9" s="84" t="n">
        <v>289.2</v>
      </c>
      <c r="C9" s="39">
        <f>(Table267[[#This Row],[M2 Money Stock, Billions of Dollars, Weekly, Seasonally Adjusted]]-B8)/B8</f>
        <v/>
      </c>
      <c r="D9" s="40">
        <f>((1+Table267[[#This Row],[Monthly change]])^12)-1</f>
        <v/>
      </c>
      <c r="E9" s="38" t="n"/>
    </row>
    <row r="10">
      <c r="A10" s="37" t="n">
        <v>21641</v>
      </c>
      <c r="B10" s="84" t="n">
        <v>290.1</v>
      </c>
      <c r="C10" s="39">
        <f>(Table267[[#This Row],[M2 Money Stock, Billions of Dollars, Weekly, Seasonally Adjusted]]-B9)/B9</f>
        <v/>
      </c>
      <c r="D10" s="40">
        <f>((1+Table267[[#This Row],[Monthly change]])^12)-1</f>
        <v/>
      </c>
      <c r="E10" s="38" t="n"/>
    </row>
    <row r="11">
      <c r="A11" s="37" t="n">
        <v>21671</v>
      </c>
      <c r="B11" s="84" t="n">
        <v>292.2</v>
      </c>
      <c r="C11" s="39">
        <f>(Table267[[#This Row],[M2 Money Stock, Billions of Dollars, Weekly, Seasonally Adjusted]]-B10)/B10</f>
        <v/>
      </c>
      <c r="D11" s="40">
        <f>((1+Table267[[#This Row],[Monthly change]])^12)-1</f>
        <v/>
      </c>
      <c r="E11" s="38" t="n"/>
    </row>
    <row r="12">
      <c r="A12" s="37" t="n">
        <v>21702</v>
      </c>
      <c r="B12" s="84" t="n">
        <v>294.1</v>
      </c>
      <c r="C12" s="39">
        <f>(Table267[[#This Row],[M2 Money Stock, Billions of Dollars, Weekly, Seasonally Adjusted]]-B11)/B11</f>
        <v/>
      </c>
      <c r="D12" s="40">
        <f>((1+Table267[[#This Row],[Monthly change]])^12)-1</f>
        <v/>
      </c>
      <c r="E12" s="38" t="n"/>
    </row>
    <row r="13">
      <c r="A13" s="37" t="n">
        <v>21732</v>
      </c>
      <c r="B13" s="84" t="n">
        <v>295.2</v>
      </c>
      <c r="C13" s="39">
        <f>(Table267[[#This Row],[M2 Money Stock, Billions of Dollars, Weekly, Seasonally Adjusted]]-B12)/B12</f>
        <v/>
      </c>
      <c r="D13" s="40">
        <f>((1+Table267[[#This Row],[Monthly change]])^12)-1</f>
        <v/>
      </c>
      <c r="E13" s="38" t="n"/>
    </row>
    <row r="14">
      <c r="A14" s="37" t="n">
        <v>21763</v>
      </c>
      <c r="B14" s="84" t="n">
        <v>296.4</v>
      </c>
      <c r="C14" s="39">
        <f>(Table267[[#This Row],[M2 Money Stock, Billions of Dollars, Weekly, Seasonally Adjusted]]-B13)/B13</f>
        <v/>
      </c>
      <c r="D14" s="40">
        <f>((1+Table267[[#This Row],[Monthly change]])^12)-1</f>
        <v/>
      </c>
      <c r="E14" s="38" t="n"/>
    </row>
    <row r="15">
      <c r="A15" s="37" t="n">
        <v>21794</v>
      </c>
      <c r="B15" s="84" t="n">
        <v>296.7</v>
      </c>
      <c r="C15" s="39">
        <f>(Table267[[#This Row],[M2 Money Stock, Billions of Dollars, Weekly, Seasonally Adjusted]]-B14)/B14</f>
        <v/>
      </c>
      <c r="D15" s="40">
        <f>((1+Table267[[#This Row],[Monthly change]])^12)-1</f>
        <v/>
      </c>
      <c r="E15" s="38" t="n"/>
    </row>
    <row r="16">
      <c r="A16" s="37" t="n">
        <v>21824</v>
      </c>
      <c r="B16" s="84" t="n">
        <v>296.5</v>
      </c>
      <c r="C16" s="39">
        <f>(Table267[[#This Row],[M2 Money Stock, Billions of Dollars, Weekly, Seasonally Adjusted]]-B15)/B15</f>
        <v/>
      </c>
      <c r="D16" s="40">
        <f>((1+Table267[[#This Row],[Monthly change]])^12)-1</f>
        <v/>
      </c>
      <c r="E16" s="38" t="n"/>
    </row>
    <row r="17">
      <c r="A17" s="37" t="n">
        <v>21855</v>
      </c>
      <c r="B17" s="84" t="n">
        <v>297.1</v>
      </c>
      <c r="C17" s="39">
        <f>(Table267[[#This Row],[M2 Money Stock, Billions of Dollars, Weekly, Seasonally Adjusted]]-B16)/B16</f>
        <v/>
      </c>
      <c r="D17" s="40">
        <f>((1+Table267[[#This Row],[Monthly change]])^12)-1</f>
        <v/>
      </c>
      <c r="E17" s="38" t="n"/>
    </row>
    <row r="18">
      <c r="A18" s="37" t="n">
        <v>21885</v>
      </c>
      <c r="B18" s="84" t="n">
        <v>297.8</v>
      </c>
      <c r="C18" s="39">
        <f>(Table267[[#This Row],[M2 Money Stock, Billions of Dollars, Weekly, Seasonally Adjusted]]-B17)/B17</f>
        <v/>
      </c>
      <c r="D18" s="40">
        <f>((1+Table267[[#This Row],[Monthly change]])^12)-1</f>
        <v/>
      </c>
      <c r="E18" s="38" t="n"/>
    </row>
    <row r="19">
      <c r="A19" s="37" t="n">
        <v>21916</v>
      </c>
      <c r="B19" s="84" t="n">
        <v>298.2</v>
      </c>
      <c r="C19" s="39">
        <f>(Table267[[#This Row],[M2 Money Stock, Billions of Dollars, Weekly, Seasonally Adjusted]]-B18)/B18</f>
        <v/>
      </c>
      <c r="D19" s="40">
        <f>((1+Table267[[#This Row],[Monthly change]])^12)-1</f>
        <v/>
      </c>
      <c r="E19" s="39">
        <f>(Table267[[#This Row],[M2 Money Stock, Billions of Dollars, Weekly, Seasonally Adjusted]]-B7)/B7</f>
        <v/>
      </c>
    </row>
    <row r="20">
      <c r="A20" s="37" t="n">
        <v>21947</v>
      </c>
      <c r="B20" s="84" t="n">
        <v>298.4</v>
      </c>
      <c r="C20" s="39">
        <f>(Table267[[#This Row],[M2 Money Stock, Billions of Dollars, Weekly, Seasonally Adjusted]]-B19)/B19</f>
        <v/>
      </c>
      <c r="D20" s="40">
        <f>((1+Table267[[#This Row],[Monthly change]])^12)-1</f>
        <v/>
      </c>
      <c r="E20" s="39">
        <f>(Table267[[#This Row],[M2 Money Stock, Billions of Dollars, Weekly, Seasonally Adjusted]]-B8)/B8</f>
        <v/>
      </c>
    </row>
    <row r="21">
      <c r="A21" s="37" t="n">
        <v>21976</v>
      </c>
      <c r="B21" s="84" t="n">
        <v>299.3</v>
      </c>
      <c r="C21" s="39">
        <f>(Table267[[#This Row],[M2 Money Stock, Billions of Dollars, Weekly, Seasonally Adjusted]]-B20)/B20</f>
        <v/>
      </c>
      <c r="D21" s="40">
        <f>((1+Table267[[#This Row],[Monthly change]])^12)-1</f>
        <v/>
      </c>
      <c r="E21" s="39">
        <f>(Table267[[#This Row],[M2 Money Stock, Billions of Dollars, Weekly, Seasonally Adjusted]]-B9)/B9</f>
        <v/>
      </c>
    </row>
    <row r="22">
      <c r="A22" s="37" t="n">
        <v>22007</v>
      </c>
      <c r="B22" s="84" t="n">
        <v>300.1</v>
      </c>
      <c r="C22" s="39">
        <f>(Table267[[#This Row],[M2 Money Stock, Billions of Dollars, Weekly, Seasonally Adjusted]]-B21)/B21</f>
        <v/>
      </c>
      <c r="D22" s="40">
        <f>((1+Table267[[#This Row],[Monthly change]])^12)-1</f>
        <v/>
      </c>
      <c r="E22" s="39">
        <f>(Table267[[#This Row],[M2 Money Stock, Billions of Dollars, Weekly, Seasonally Adjusted]]-B10)/B10</f>
        <v/>
      </c>
    </row>
    <row r="23">
      <c r="A23" s="37" t="n">
        <v>22037</v>
      </c>
      <c r="B23" s="84" t="n">
        <v>300.9</v>
      </c>
      <c r="C23" s="39">
        <f>(Table267[[#This Row],[M2 Money Stock, Billions of Dollars, Weekly, Seasonally Adjusted]]-B22)/B22</f>
        <v/>
      </c>
      <c r="D23" s="40">
        <f>((1+Table267[[#This Row],[Monthly change]])^12)-1</f>
        <v/>
      </c>
      <c r="E23" s="39">
        <f>(Table267[[#This Row],[M2 Money Stock, Billions of Dollars, Weekly, Seasonally Adjusted]]-B11)/B11</f>
        <v/>
      </c>
    </row>
    <row r="24">
      <c r="A24" s="37" t="n">
        <v>22068</v>
      </c>
      <c r="B24" s="84" t="n">
        <v>302.3</v>
      </c>
      <c r="C24" s="39">
        <f>(Table267[[#This Row],[M2 Money Stock, Billions of Dollars, Weekly, Seasonally Adjusted]]-B23)/B23</f>
        <v/>
      </c>
      <c r="D24" s="40">
        <f>((1+Table267[[#This Row],[Monthly change]])^12)-1</f>
        <v/>
      </c>
      <c r="E24" s="39">
        <f>(Table267[[#This Row],[M2 Money Stock, Billions of Dollars, Weekly, Seasonally Adjusted]]-B12)/B12</f>
        <v/>
      </c>
    </row>
    <row r="25">
      <c r="A25" s="37" t="n">
        <v>22098</v>
      </c>
      <c r="B25" s="84" t="n">
        <v>304.1</v>
      </c>
      <c r="C25" s="39">
        <f>(Table267[[#This Row],[M2 Money Stock, Billions of Dollars, Weekly, Seasonally Adjusted]]-B24)/B24</f>
        <v/>
      </c>
      <c r="D25" s="40">
        <f>((1+Table267[[#This Row],[Monthly change]])^12)-1</f>
        <v/>
      </c>
      <c r="E25" s="39">
        <f>(Table267[[#This Row],[M2 Money Stock, Billions of Dollars, Weekly, Seasonally Adjusted]]-B13)/B13</f>
        <v/>
      </c>
    </row>
    <row r="26">
      <c r="A26" s="37" t="n">
        <v>22129</v>
      </c>
      <c r="B26" s="84" t="n">
        <v>306.9</v>
      </c>
      <c r="C26" s="39">
        <f>(Table267[[#This Row],[M2 Money Stock, Billions of Dollars, Weekly, Seasonally Adjusted]]-B25)/B25</f>
        <v/>
      </c>
      <c r="D26" s="40">
        <f>((1+Table267[[#This Row],[Monthly change]])^12)-1</f>
        <v/>
      </c>
      <c r="E26" s="39">
        <f>(Table267[[#This Row],[M2 Money Stock, Billions of Dollars, Weekly, Seasonally Adjusted]]-B14)/B14</f>
        <v/>
      </c>
    </row>
    <row r="27">
      <c r="A27" s="37" t="n">
        <v>22160</v>
      </c>
      <c r="B27" s="84" t="n">
        <v>308.4</v>
      </c>
      <c r="C27" s="39">
        <f>(Table267[[#This Row],[M2 Money Stock, Billions of Dollars, Weekly, Seasonally Adjusted]]-B26)/B26</f>
        <v/>
      </c>
      <c r="D27" s="40">
        <f>((1+Table267[[#This Row],[Monthly change]])^12)-1</f>
        <v/>
      </c>
      <c r="E27" s="39">
        <f>(Table267[[#This Row],[M2 Money Stock, Billions of Dollars, Weekly, Seasonally Adjusted]]-B15)/B15</f>
        <v/>
      </c>
    </row>
    <row r="28">
      <c r="A28" s="37" t="n">
        <v>22190</v>
      </c>
      <c r="B28" s="84" t="n">
        <v>309.5</v>
      </c>
      <c r="C28" s="39">
        <f>(Table267[[#This Row],[M2 Money Stock, Billions of Dollars, Weekly, Seasonally Adjusted]]-B27)/B27</f>
        <v/>
      </c>
      <c r="D28" s="40">
        <f>((1+Table267[[#This Row],[Monthly change]])^12)-1</f>
        <v/>
      </c>
      <c r="E28" s="39">
        <f>(Table267[[#This Row],[M2 Money Stock, Billions of Dollars, Weekly, Seasonally Adjusted]]-B16)/B16</f>
        <v/>
      </c>
    </row>
    <row r="29">
      <c r="A29" s="37" t="n">
        <v>22221</v>
      </c>
      <c r="B29" s="84" t="n">
        <v>310.9</v>
      </c>
      <c r="C29" s="39">
        <f>(Table267[[#This Row],[M2 Money Stock, Billions of Dollars, Weekly, Seasonally Adjusted]]-B28)/B28</f>
        <v/>
      </c>
      <c r="D29" s="40">
        <f>((1+Table267[[#This Row],[Monthly change]])^12)-1</f>
        <v/>
      </c>
      <c r="E29" s="39">
        <f>(Table267[[#This Row],[M2 Money Stock, Billions of Dollars, Weekly, Seasonally Adjusted]]-B17)/B17</f>
        <v/>
      </c>
    </row>
    <row r="30">
      <c r="A30" s="37" t="n">
        <v>22251</v>
      </c>
      <c r="B30" s="84" t="n">
        <v>312.4</v>
      </c>
      <c r="C30" s="39">
        <f>(Table267[[#This Row],[M2 Money Stock, Billions of Dollars, Weekly, Seasonally Adjusted]]-B29)/B29</f>
        <v/>
      </c>
      <c r="D30" s="40">
        <f>((1+Table267[[#This Row],[Monthly change]])^12)-1</f>
        <v/>
      </c>
      <c r="E30" s="39">
        <f>(Table267[[#This Row],[M2 Money Stock, Billions of Dollars, Weekly, Seasonally Adjusted]]-B18)/B18</f>
        <v/>
      </c>
    </row>
    <row r="31">
      <c r="A31" s="37" t="n">
        <v>22282</v>
      </c>
      <c r="B31" s="84" t="n">
        <v>314.1</v>
      </c>
      <c r="C31" s="39">
        <f>(Table267[[#This Row],[M2 Money Stock, Billions of Dollars, Weekly, Seasonally Adjusted]]-B30)/B30</f>
        <v/>
      </c>
      <c r="D31" s="40">
        <f>((1+Table267[[#This Row],[Monthly change]])^12)-1</f>
        <v/>
      </c>
      <c r="E31" s="39">
        <f>(Table267[[#This Row],[M2 Money Stock, Billions of Dollars, Weekly, Seasonally Adjusted]]-B19)/B19</f>
        <v/>
      </c>
    </row>
    <row r="32">
      <c r="A32" s="37" t="n">
        <v>22313</v>
      </c>
      <c r="B32" s="84" t="n">
        <v>316.5</v>
      </c>
      <c r="C32" s="39">
        <f>(Table267[[#This Row],[M2 Money Stock, Billions of Dollars, Weekly, Seasonally Adjusted]]-B31)/B31</f>
        <v/>
      </c>
      <c r="D32" s="40">
        <f>((1+Table267[[#This Row],[Monthly change]])^12)-1</f>
        <v/>
      </c>
      <c r="E32" s="39">
        <f>(Table267[[#This Row],[M2 Money Stock, Billions of Dollars, Weekly, Seasonally Adjusted]]-B20)/B20</f>
        <v/>
      </c>
    </row>
    <row r="33">
      <c r="A33" s="37" t="n">
        <v>22341</v>
      </c>
      <c r="B33" s="84" t="n">
        <v>318.3</v>
      </c>
      <c r="C33" s="39">
        <f>(Table267[[#This Row],[M2 Money Stock, Billions of Dollars, Weekly, Seasonally Adjusted]]-B32)/B32</f>
        <v/>
      </c>
      <c r="D33" s="40">
        <f>((1+Table267[[#This Row],[Monthly change]])^12)-1</f>
        <v/>
      </c>
      <c r="E33" s="39">
        <f>(Table267[[#This Row],[M2 Money Stock, Billions of Dollars, Weekly, Seasonally Adjusted]]-B21)/B21</f>
        <v/>
      </c>
    </row>
    <row r="34">
      <c r="A34" s="37" t="n">
        <v>22372</v>
      </c>
      <c r="B34" s="84" t="n">
        <v>319.9</v>
      </c>
      <c r="C34" s="39">
        <f>(Table267[[#This Row],[M2 Money Stock, Billions of Dollars, Weekly, Seasonally Adjusted]]-B33)/B33</f>
        <v/>
      </c>
      <c r="D34" s="40">
        <f>((1+Table267[[#This Row],[Monthly change]])^12)-1</f>
        <v/>
      </c>
      <c r="E34" s="39">
        <f>(Table267[[#This Row],[M2 Money Stock, Billions of Dollars, Weekly, Seasonally Adjusted]]-B22)/B22</f>
        <v/>
      </c>
    </row>
    <row r="35">
      <c r="A35" s="37" t="n">
        <v>22402</v>
      </c>
      <c r="B35" s="84" t="n">
        <v>322.2</v>
      </c>
      <c r="C35" s="39">
        <f>(Table267[[#This Row],[M2 Money Stock, Billions of Dollars, Weekly, Seasonally Adjusted]]-B34)/B34</f>
        <v/>
      </c>
      <c r="D35" s="40">
        <f>((1+Table267[[#This Row],[Monthly change]])^12)-1</f>
        <v/>
      </c>
      <c r="E35" s="39">
        <f>(Table267[[#This Row],[M2 Money Stock, Billions of Dollars, Weekly, Seasonally Adjusted]]-B23)/B23</f>
        <v/>
      </c>
    </row>
    <row r="36">
      <c r="A36" s="37" t="n">
        <v>22433</v>
      </c>
      <c r="B36" s="84" t="n">
        <v>324.3</v>
      </c>
      <c r="C36" s="39">
        <f>(Table267[[#This Row],[M2 Money Stock, Billions of Dollars, Weekly, Seasonally Adjusted]]-B35)/B35</f>
        <v/>
      </c>
      <c r="D36" s="40">
        <f>((1+Table267[[#This Row],[Monthly change]])^12)-1</f>
        <v/>
      </c>
      <c r="E36" s="39">
        <f>(Table267[[#This Row],[M2 Money Stock, Billions of Dollars, Weekly, Seasonally Adjusted]]-B24)/B24</f>
        <v/>
      </c>
    </row>
    <row r="37">
      <c r="A37" s="37" t="n">
        <v>22463</v>
      </c>
      <c r="B37" s="84" t="n">
        <v>325.6</v>
      </c>
      <c r="C37" s="39">
        <f>(Table267[[#This Row],[M2 Money Stock, Billions of Dollars, Weekly, Seasonally Adjusted]]-B36)/B36</f>
        <v/>
      </c>
      <c r="D37" s="40">
        <f>((1+Table267[[#This Row],[Monthly change]])^12)-1</f>
        <v/>
      </c>
      <c r="E37" s="39">
        <f>(Table267[[#This Row],[M2 Money Stock, Billions of Dollars, Weekly, Seasonally Adjusted]]-B25)/B25</f>
        <v/>
      </c>
    </row>
    <row r="38">
      <c r="A38" s="37" t="n">
        <v>22494</v>
      </c>
      <c r="B38" s="84" t="n">
        <v>327.6</v>
      </c>
      <c r="C38" s="39">
        <f>(Table267[[#This Row],[M2 Money Stock, Billions of Dollars, Weekly, Seasonally Adjusted]]-B37)/B37</f>
        <v/>
      </c>
      <c r="D38" s="40">
        <f>((1+Table267[[#This Row],[Monthly change]])^12)-1</f>
        <v/>
      </c>
      <c r="E38" s="39">
        <f>(Table267[[#This Row],[M2 Money Stock, Billions of Dollars, Weekly, Seasonally Adjusted]]-B26)/B26</f>
        <v/>
      </c>
    </row>
    <row r="39">
      <c r="A39" s="37" t="n">
        <v>22525</v>
      </c>
      <c r="B39" s="84" t="n">
        <v>329.5</v>
      </c>
      <c r="C39" s="39">
        <f>(Table267[[#This Row],[M2 Money Stock, Billions of Dollars, Weekly, Seasonally Adjusted]]-B38)/B38</f>
        <v/>
      </c>
      <c r="D39" s="40">
        <f>((1+Table267[[#This Row],[Monthly change]])^12)-1</f>
        <v/>
      </c>
      <c r="E39" s="39">
        <f>(Table267[[#This Row],[M2 Money Stock, Billions of Dollars, Weekly, Seasonally Adjusted]]-B27)/B27</f>
        <v/>
      </c>
    </row>
    <row r="40">
      <c r="A40" s="37" t="n">
        <v>22555</v>
      </c>
      <c r="B40" s="84" t="n">
        <v>331.1</v>
      </c>
      <c r="C40" s="39">
        <f>(Table267[[#This Row],[M2 Money Stock, Billions of Dollars, Weekly, Seasonally Adjusted]]-B39)/B39</f>
        <v/>
      </c>
      <c r="D40" s="40">
        <f>((1+Table267[[#This Row],[Monthly change]])^12)-1</f>
        <v/>
      </c>
      <c r="E40" s="39">
        <f>(Table267[[#This Row],[M2 Money Stock, Billions of Dollars, Weekly, Seasonally Adjusted]]-B28)/B28</f>
        <v/>
      </c>
    </row>
    <row r="41">
      <c r="A41" s="37" t="n">
        <v>22586</v>
      </c>
      <c r="B41" s="84" t="n">
        <v>333.4</v>
      </c>
      <c r="C41" s="39">
        <f>(Table267[[#This Row],[M2 Money Stock, Billions of Dollars, Weekly, Seasonally Adjusted]]-B40)/B40</f>
        <v/>
      </c>
      <c r="D41" s="40">
        <f>((1+Table267[[#This Row],[Monthly change]])^12)-1</f>
        <v/>
      </c>
      <c r="E41" s="39">
        <f>(Table267[[#This Row],[M2 Money Stock, Billions of Dollars, Weekly, Seasonally Adjusted]]-B29)/B29</f>
        <v/>
      </c>
    </row>
    <row r="42">
      <c r="A42" s="37" t="n">
        <v>22616</v>
      </c>
      <c r="B42" s="84" t="n">
        <v>335.5</v>
      </c>
      <c r="C42" s="39">
        <f>(Table267[[#This Row],[M2 Money Stock, Billions of Dollars, Weekly, Seasonally Adjusted]]-B41)/B41</f>
        <v/>
      </c>
      <c r="D42" s="40">
        <f>((1+Table267[[#This Row],[Monthly change]])^12)-1</f>
        <v/>
      </c>
      <c r="E42" s="39">
        <f>(Table267[[#This Row],[M2 Money Stock, Billions of Dollars, Weekly, Seasonally Adjusted]]-B30)/B30</f>
        <v/>
      </c>
    </row>
    <row r="43">
      <c r="A43" s="37" t="n">
        <v>22647</v>
      </c>
      <c r="B43" s="84" t="n">
        <v>337.5</v>
      </c>
      <c r="C43" s="39">
        <f>(Table267[[#This Row],[M2 Money Stock, Billions of Dollars, Weekly, Seasonally Adjusted]]-B42)/B42</f>
        <v/>
      </c>
      <c r="D43" s="40">
        <f>((1+Table267[[#This Row],[Monthly change]])^12)-1</f>
        <v/>
      </c>
      <c r="E43" s="39">
        <f>(Table267[[#This Row],[M2 Money Stock, Billions of Dollars, Weekly, Seasonally Adjusted]]-B31)/B31</f>
        <v/>
      </c>
    </row>
    <row r="44">
      <c r="A44" s="37" t="n">
        <v>22678</v>
      </c>
      <c r="B44" s="84" t="n">
        <v>340.1</v>
      </c>
      <c r="C44" s="39">
        <f>(Table267[[#This Row],[M2 Money Stock, Billions of Dollars, Weekly, Seasonally Adjusted]]-B43)/B43</f>
        <v/>
      </c>
      <c r="D44" s="40">
        <f>((1+Table267[[#This Row],[Monthly change]])^12)-1</f>
        <v/>
      </c>
      <c r="E44" s="39">
        <f>(Table267[[#This Row],[M2 Money Stock, Billions of Dollars, Weekly, Seasonally Adjusted]]-B32)/B32</f>
        <v/>
      </c>
    </row>
    <row r="45">
      <c r="A45" s="37" t="n">
        <v>22706</v>
      </c>
      <c r="B45" s="84" t="n">
        <v>343.1</v>
      </c>
      <c r="C45" s="39">
        <f>(Table267[[#This Row],[M2 Money Stock, Billions of Dollars, Weekly, Seasonally Adjusted]]-B44)/B44</f>
        <v/>
      </c>
      <c r="D45" s="40">
        <f>((1+Table267[[#This Row],[Monthly change]])^12)-1</f>
        <v/>
      </c>
      <c r="E45" s="39">
        <f>(Table267[[#This Row],[M2 Money Stock, Billions of Dollars, Weekly, Seasonally Adjusted]]-B33)/B33</f>
        <v/>
      </c>
    </row>
    <row r="46">
      <c r="A46" s="37" t="n">
        <v>22737</v>
      </c>
      <c r="B46" s="84" t="n">
        <v>345.5</v>
      </c>
      <c r="C46" s="39">
        <f>(Table267[[#This Row],[M2 Money Stock, Billions of Dollars, Weekly, Seasonally Adjusted]]-B45)/B45</f>
        <v/>
      </c>
      <c r="D46" s="40">
        <f>((1+Table267[[#This Row],[Monthly change]])^12)-1</f>
        <v/>
      </c>
      <c r="E46" s="39">
        <f>(Table267[[#This Row],[M2 Money Stock, Billions of Dollars, Weekly, Seasonally Adjusted]]-B34)/B34</f>
        <v/>
      </c>
    </row>
    <row r="47">
      <c r="A47" s="37" t="n">
        <v>22767</v>
      </c>
      <c r="B47" s="84" t="n">
        <v>347.5</v>
      </c>
      <c r="C47" s="39">
        <f>(Table267[[#This Row],[M2 Money Stock, Billions of Dollars, Weekly, Seasonally Adjusted]]-B46)/B46</f>
        <v/>
      </c>
      <c r="D47" s="40">
        <f>((1+Table267[[#This Row],[Monthly change]])^12)-1</f>
        <v/>
      </c>
      <c r="E47" s="39">
        <f>(Table267[[#This Row],[M2 Money Stock, Billions of Dollars, Weekly, Seasonally Adjusted]]-B35)/B35</f>
        <v/>
      </c>
    </row>
    <row r="48">
      <c r="A48" s="37" t="n">
        <v>22798</v>
      </c>
      <c r="B48" s="84" t="n">
        <v>349.3</v>
      </c>
      <c r="C48" s="39">
        <f>(Table267[[#This Row],[M2 Money Stock, Billions of Dollars, Weekly, Seasonally Adjusted]]-B47)/B47</f>
        <v/>
      </c>
      <c r="D48" s="40">
        <f>((1+Table267[[#This Row],[Monthly change]])^12)-1</f>
        <v/>
      </c>
      <c r="E48" s="39">
        <f>(Table267[[#This Row],[M2 Money Stock, Billions of Dollars, Weekly, Seasonally Adjusted]]-B36)/B36</f>
        <v/>
      </c>
    </row>
    <row r="49">
      <c r="A49" s="37" t="n">
        <v>22828</v>
      </c>
      <c r="B49" s="84" t="n">
        <v>350.8</v>
      </c>
      <c r="C49" s="39">
        <f>(Table267[[#This Row],[M2 Money Stock, Billions of Dollars, Weekly, Seasonally Adjusted]]-B48)/B48</f>
        <v/>
      </c>
      <c r="D49" s="40">
        <f>((1+Table267[[#This Row],[Monthly change]])^12)-1</f>
        <v/>
      </c>
      <c r="E49" s="39">
        <f>(Table267[[#This Row],[M2 Money Stock, Billions of Dollars, Weekly, Seasonally Adjusted]]-B37)/B37</f>
        <v/>
      </c>
    </row>
    <row r="50">
      <c r="A50" s="37" t="n">
        <v>22859</v>
      </c>
      <c r="B50" s="84" t="n">
        <v>352.8</v>
      </c>
      <c r="C50" s="39">
        <f>(Table267[[#This Row],[M2 Money Stock, Billions of Dollars, Weekly, Seasonally Adjusted]]-B49)/B49</f>
        <v/>
      </c>
      <c r="D50" s="40">
        <f>((1+Table267[[#This Row],[Monthly change]])^12)-1</f>
        <v/>
      </c>
      <c r="E50" s="39">
        <f>(Table267[[#This Row],[M2 Money Stock, Billions of Dollars, Weekly, Seasonally Adjusted]]-B38)/B38</f>
        <v/>
      </c>
    </row>
    <row r="51">
      <c r="A51" s="37" t="n">
        <v>22890</v>
      </c>
      <c r="B51" s="84" t="n">
        <v>354.9</v>
      </c>
      <c r="C51" s="39">
        <f>(Table267[[#This Row],[M2 Money Stock, Billions of Dollars, Weekly, Seasonally Adjusted]]-B50)/B50</f>
        <v/>
      </c>
      <c r="D51" s="40">
        <f>((1+Table267[[#This Row],[Monthly change]])^12)-1</f>
        <v/>
      </c>
      <c r="E51" s="39">
        <f>(Table267[[#This Row],[M2 Money Stock, Billions of Dollars, Weekly, Seasonally Adjusted]]-B39)/B39</f>
        <v/>
      </c>
    </row>
    <row r="52">
      <c r="A52" s="37" t="n">
        <v>22920</v>
      </c>
      <c r="B52" s="84" t="n">
        <v>357.2</v>
      </c>
      <c r="C52" s="39">
        <f>(Table267[[#This Row],[M2 Money Stock, Billions of Dollars, Weekly, Seasonally Adjusted]]-B51)/B51</f>
        <v/>
      </c>
      <c r="D52" s="40">
        <f>((1+Table267[[#This Row],[Monthly change]])^12)-1</f>
        <v/>
      </c>
      <c r="E52" s="39">
        <f>(Table267[[#This Row],[M2 Money Stock, Billions of Dollars, Weekly, Seasonally Adjusted]]-B40)/B40</f>
        <v/>
      </c>
    </row>
    <row r="53">
      <c r="A53" s="37" t="n">
        <v>22951</v>
      </c>
      <c r="B53" s="84" t="n">
        <v>359.8</v>
      </c>
      <c r="C53" s="39">
        <f>(Table267[[#This Row],[M2 Money Stock, Billions of Dollars, Weekly, Seasonally Adjusted]]-B52)/B52</f>
        <v/>
      </c>
      <c r="D53" s="40">
        <f>((1+Table267[[#This Row],[Monthly change]])^12)-1</f>
        <v/>
      </c>
      <c r="E53" s="39">
        <f>(Table267[[#This Row],[M2 Money Stock, Billions of Dollars, Weekly, Seasonally Adjusted]]-B41)/B41</f>
        <v/>
      </c>
    </row>
    <row r="54">
      <c r="A54" s="37" t="n">
        <v>22981</v>
      </c>
      <c r="B54" s="84" t="n">
        <v>362.7</v>
      </c>
      <c r="C54" s="39">
        <f>(Table267[[#This Row],[M2 Money Stock, Billions of Dollars, Weekly, Seasonally Adjusted]]-B53)/B53</f>
        <v/>
      </c>
      <c r="D54" s="40">
        <f>((1+Table267[[#This Row],[Monthly change]])^12)-1</f>
        <v/>
      </c>
      <c r="E54" s="39">
        <f>(Table267[[#This Row],[M2 Money Stock, Billions of Dollars, Weekly, Seasonally Adjusted]]-B42)/B42</f>
        <v/>
      </c>
    </row>
    <row r="55">
      <c r="A55" s="37" t="n">
        <v>23012</v>
      </c>
      <c r="B55" s="84" t="n">
        <v>365.2</v>
      </c>
      <c r="C55" s="39">
        <f>(Table267[[#This Row],[M2 Money Stock, Billions of Dollars, Weekly, Seasonally Adjusted]]-B54)/B54</f>
        <v/>
      </c>
      <c r="D55" s="40">
        <f>((1+Table267[[#This Row],[Monthly change]])^12)-1</f>
        <v/>
      </c>
      <c r="E55" s="39">
        <f>(Table267[[#This Row],[M2 Money Stock, Billions of Dollars, Weekly, Seasonally Adjusted]]-B43)/B43</f>
        <v/>
      </c>
    </row>
    <row r="56">
      <c r="A56" s="37" t="n">
        <v>23043</v>
      </c>
      <c r="B56" s="84" t="n">
        <v>367.9</v>
      </c>
      <c r="C56" s="39">
        <f>(Table267[[#This Row],[M2 Money Stock, Billions of Dollars, Weekly, Seasonally Adjusted]]-B55)/B55</f>
        <v/>
      </c>
      <c r="D56" s="40">
        <f>((1+Table267[[#This Row],[Monthly change]])^12)-1</f>
        <v/>
      </c>
      <c r="E56" s="39">
        <f>(Table267[[#This Row],[M2 Money Stock, Billions of Dollars, Weekly, Seasonally Adjusted]]-B44)/B44</f>
        <v/>
      </c>
    </row>
    <row r="57">
      <c r="A57" s="37" t="n">
        <v>23071</v>
      </c>
      <c r="B57" s="84" t="n">
        <v>370.7</v>
      </c>
      <c r="C57" s="39">
        <f>(Table267[[#This Row],[M2 Money Stock, Billions of Dollars, Weekly, Seasonally Adjusted]]-B56)/B56</f>
        <v/>
      </c>
      <c r="D57" s="40">
        <f>((1+Table267[[#This Row],[Monthly change]])^12)-1</f>
        <v/>
      </c>
      <c r="E57" s="39">
        <f>(Table267[[#This Row],[M2 Money Stock, Billions of Dollars, Weekly, Seasonally Adjusted]]-B45)/B45</f>
        <v/>
      </c>
    </row>
    <row r="58">
      <c r="A58" s="37" t="n">
        <v>23102</v>
      </c>
      <c r="B58" s="84" t="n">
        <v>373.3</v>
      </c>
      <c r="C58" s="39">
        <f>(Table267[[#This Row],[M2 Money Stock, Billions of Dollars, Weekly, Seasonally Adjusted]]-B57)/B57</f>
        <v/>
      </c>
      <c r="D58" s="40">
        <f>((1+Table267[[#This Row],[Monthly change]])^12)-1</f>
        <v/>
      </c>
      <c r="E58" s="39">
        <f>(Table267[[#This Row],[M2 Money Stock, Billions of Dollars, Weekly, Seasonally Adjusted]]-B46)/B46</f>
        <v/>
      </c>
    </row>
    <row r="59">
      <c r="A59" s="37" t="n">
        <v>23132</v>
      </c>
      <c r="B59" s="84" t="n">
        <v>376.1</v>
      </c>
      <c r="C59" s="39">
        <f>(Table267[[#This Row],[M2 Money Stock, Billions of Dollars, Weekly, Seasonally Adjusted]]-B58)/B58</f>
        <v/>
      </c>
      <c r="D59" s="40">
        <f>((1+Table267[[#This Row],[Monthly change]])^12)-1</f>
        <v/>
      </c>
      <c r="E59" s="39">
        <f>(Table267[[#This Row],[M2 Money Stock, Billions of Dollars, Weekly, Seasonally Adjusted]]-B47)/B47</f>
        <v/>
      </c>
    </row>
    <row r="60">
      <c r="A60" s="37" t="n">
        <v>23163</v>
      </c>
      <c r="B60" s="84" t="n">
        <v>378.4</v>
      </c>
      <c r="C60" s="39">
        <f>(Table267[[#This Row],[M2 Money Stock, Billions of Dollars, Weekly, Seasonally Adjusted]]-B59)/B59</f>
        <v/>
      </c>
      <c r="D60" s="40">
        <f>((1+Table267[[#This Row],[Monthly change]])^12)-1</f>
        <v/>
      </c>
      <c r="E60" s="39">
        <f>(Table267[[#This Row],[M2 Money Stock, Billions of Dollars, Weekly, Seasonally Adjusted]]-B48)/B48</f>
        <v/>
      </c>
    </row>
    <row r="61">
      <c r="A61" s="37" t="n">
        <v>23193</v>
      </c>
      <c r="B61" s="84" t="n">
        <v>381.1</v>
      </c>
      <c r="C61" s="39">
        <f>(Table267[[#This Row],[M2 Money Stock, Billions of Dollars, Weekly, Seasonally Adjusted]]-B60)/B60</f>
        <v/>
      </c>
      <c r="D61" s="40">
        <f>((1+Table267[[#This Row],[Monthly change]])^12)-1</f>
        <v/>
      </c>
      <c r="E61" s="39">
        <f>(Table267[[#This Row],[M2 Money Stock, Billions of Dollars, Weekly, Seasonally Adjusted]]-B49)/B49</f>
        <v/>
      </c>
    </row>
    <row r="62">
      <c r="A62" s="37" t="n">
        <v>23224</v>
      </c>
      <c r="B62" s="84" t="n">
        <v>383.6</v>
      </c>
      <c r="C62" s="39">
        <f>(Table267[[#This Row],[M2 Money Stock, Billions of Dollars, Weekly, Seasonally Adjusted]]-B61)/B61</f>
        <v/>
      </c>
      <c r="D62" s="40">
        <f>((1+Table267[[#This Row],[Monthly change]])^12)-1</f>
        <v/>
      </c>
      <c r="E62" s="39">
        <f>(Table267[[#This Row],[M2 Money Stock, Billions of Dollars, Weekly, Seasonally Adjusted]]-B50)/B50</f>
        <v/>
      </c>
    </row>
    <row r="63">
      <c r="A63" s="37" t="n">
        <v>23255</v>
      </c>
      <c r="B63" s="84" t="n">
        <v>386</v>
      </c>
      <c r="C63" s="39">
        <f>(Table267[[#This Row],[M2 Money Stock, Billions of Dollars, Weekly, Seasonally Adjusted]]-B62)/B62</f>
        <v/>
      </c>
      <c r="D63" s="40">
        <f>((1+Table267[[#This Row],[Monthly change]])^12)-1</f>
        <v/>
      </c>
      <c r="E63" s="39">
        <f>(Table267[[#This Row],[M2 Money Stock, Billions of Dollars, Weekly, Seasonally Adjusted]]-B51)/B51</f>
        <v/>
      </c>
    </row>
    <row r="64">
      <c r="A64" s="37" t="n">
        <v>23285</v>
      </c>
      <c r="B64" s="84" t="n">
        <v>388.3</v>
      </c>
      <c r="C64" s="39">
        <f>(Table267[[#This Row],[M2 Money Stock, Billions of Dollars, Weekly, Seasonally Adjusted]]-B63)/B63</f>
        <v/>
      </c>
      <c r="D64" s="40">
        <f>((1+Table267[[#This Row],[Monthly change]])^12)-1</f>
        <v/>
      </c>
      <c r="E64" s="39">
        <f>(Table267[[#This Row],[M2 Money Stock, Billions of Dollars, Weekly, Seasonally Adjusted]]-B52)/B52</f>
        <v/>
      </c>
    </row>
    <row r="65">
      <c r="A65" s="37" t="n">
        <v>23316</v>
      </c>
      <c r="B65" s="84" t="n">
        <v>391.5</v>
      </c>
      <c r="C65" s="39">
        <f>(Table267[[#This Row],[M2 Money Stock, Billions of Dollars, Weekly, Seasonally Adjusted]]-B64)/B64</f>
        <v/>
      </c>
      <c r="D65" s="40">
        <f>((1+Table267[[#This Row],[Monthly change]])^12)-1</f>
        <v/>
      </c>
      <c r="E65" s="39">
        <f>(Table267[[#This Row],[M2 Money Stock, Billions of Dollars, Weekly, Seasonally Adjusted]]-B53)/B53</f>
        <v/>
      </c>
    </row>
    <row r="66">
      <c r="A66" s="37" t="n">
        <v>23346</v>
      </c>
      <c r="B66" s="84" t="n">
        <v>393.2</v>
      </c>
      <c r="C66" s="39">
        <f>(Table267[[#This Row],[M2 Money Stock, Billions of Dollars, Weekly, Seasonally Adjusted]]-B65)/B65</f>
        <v/>
      </c>
      <c r="D66" s="40">
        <f>((1+Table267[[#This Row],[Monthly change]])^12)-1</f>
        <v/>
      </c>
      <c r="E66" s="39">
        <f>(Table267[[#This Row],[M2 Money Stock, Billions of Dollars, Weekly, Seasonally Adjusted]]-B54)/B54</f>
        <v/>
      </c>
    </row>
    <row r="67">
      <c r="A67" s="37" t="n">
        <v>23377</v>
      </c>
      <c r="B67" s="84" t="n">
        <v>395.2</v>
      </c>
      <c r="C67" s="39">
        <f>(Table267[[#This Row],[M2 Money Stock, Billions of Dollars, Weekly, Seasonally Adjusted]]-B66)/B66</f>
        <v/>
      </c>
      <c r="D67" s="40">
        <f>((1+Table267[[#This Row],[Monthly change]])^12)-1</f>
        <v/>
      </c>
      <c r="E67" s="39">
        <f>(Table267[[#This Row],[M2 Money Stock, Billions of Dollars, Weekly, Seasonally Adjusted]]-B55)/B55</f>
        <v/>
      </c>
    </row>
    <row r="68">
      <c r="A68" s="37" t="n">
        <v>23408</v>
      </c>
      <c r="B68" s="84" t="n">
        <v>397.6</v>
      </c>
      <c r="C68" s="39">
        <f>(Table267[[#This Row],[M2 Money Stock, Billions of Dollars, Weekly, Seasonally Adjusted]]-B67)/B67</f>
        <v/>
      </c>
      <c r="D68" s="40">
        <f>((1+Table267[[#This Row],[Monthly change]])^12)-1</f>
        <v/>
      </c>
      <c r="E68" s="39">
        <f>(Table267[[#This Row],[M2 Money Stock, Billions of Dollars, Weekly, Seasonally Adjusted]]-B56)/B56</f>
        <v/>
      </c>
    </row>
    <row r="69">
      <c r="A69" s="37" t="n">
        <v>23437</v>
      </c>
      <c r="B69" s="84" t="n">
        <v>399.8</v>
      </c>
      <c r="C69" s="39">
        <f>(Table267[[#This Row],[M2 Money Stock, Billions of Dollars, Weekly, Seasonally Adjusted]]-B68)/B68</f>
        <v/>
      </c>
      <c r="D69" s="40">
        <f>((1+Table267[[#This Row],[Monthly change]])^12)-1</f>
        <v/>
      </c>
      <c r="E69" s="39">
        <f>(Table267[[#This Row],[M2 Money Stock, Billions of Dollars, Weekly, Seasonally Adjusted]]-B57)/B57</f>
        <v/>
      </c>
    </row>
    <row r="70">
      <c r="A70" s="37" t="n">
        <v>23468</v>
      </c>
      <c r="B70" s="84" t="n">
        <v>401.7</v>
      </c>
      <c r="C70" s="39">
        <f>(Table267[[#This Row],[M2 Money Stock, Billions of Dollars, Weekly, Seasonally Adjusted]]-B69)/B69</f>
        <v/>
      </c>
      <c r="D70" s="40">
        <f>((1+Table267[[#This Row],[Monthly change]])^12)-1</f>
        <v/>
      </c>
      <c r="E70" s="39">
        <f>(Table267[[#This Row],[M2 Money Stock, Billions of Dollars, Weekly, Seasonally Adjusted]]-B58)/B58</f>
        <v/>
      </c>
    </row>
    <row r="71">
      <c r="A71" s="37" t="n">
        <v>23498</v>
      </c>
      <c r="B71" s="84" t="n">
        <v>404.2</v>
      </c>
      <c r="C71" s="39">
        <f>(Table267[[#This Row],[M2 Money Stock, Billions of Dollars, Weekly, Seasonally Adjusted]]-B70)/B70</f>
        <v/>
      </c>
      <c r="D71" s="40">
        <f>((1+Table267[[#This Row],[Monthly change]])^12)-1</f>
        <v/>
      </c>
      <c r="E71" s="39">
        <f>(Table267[[#This Row],[M2 Money Stock, Billions of Dollars, Weekly, Seasonally Adjusted]]-B59)/B59</f>
        <v/>
      </c>
    </row>
    <row r="72">
      <c r="A72" s="37" t="n">
        <v>23529</v>
      </c>
      <c r="B72" s="84" t="n">
        <v>407.1</v>
      </c>
      <c r="C72" s="39">
        <f>(Table267[[#This Row],[M2 Money Stock, Billions of Dollars, Weekly, Seasonally Adjusted]]-B71)/B71</f>
        <v/>
      </c>
      <c r="D72" s="40">
        <f>((1+Table267[[#This Row],[Monthly change]])^12)-1</f>
        <v/>
      </c>
      <c r="E72" s="39">
        <f>(Table267[[#This Row],[M2 Money Stock, Billions of Dollars, Weekly, Seasonally Adjusted]]-B60)/B60</f>
        <v/>
      </c>
    </row>
    <row r="73">
      <c r="A73" s="37" t="n">
        <v>23559</v>
      </c>
      <c r="B73" s="84" t="n">
        <v>410.1</v>
      </c>
      <c r="C73" s="39">
        <f>(Table267[[#This Row],[M2 Money Stock, Billions of Dollars, Weekly, Seasonally Adjusted]]-B72)/B72</f>
        <v/>
      </c>
      <c r="D73" s="40">
        <f>((1+Table267[[#This Row],[Monthly change]])^12)-1</f>
        <v/>
      </c>
      <c r="E73" s="39">
        <f>(Table267[[#This Row],[M2 Money Stock, Billions of Dollars, Weekly, Seasonally Adjusted]]-B61)/B61</f>
        <v/>
      </c>
    </row>
    <row r="74">
      <c r="A74" s="37" t="n">
        <v>23590</v>
      </c>
      <c r="B74" s="84" t="n">
        <v>413.4</v>
      </c>
      <c r="C74" s="39">
        <f>(Table267[[#This Row],[M2 Money Stock, Billions of Dollars, Weekly, Seasonally Adjusted]]-B73)/B73</f>
        <v/>
      </c>
      <c r="D74" s="40">
        <f>((1+Table267[[#This Row],[Monthly change]])^12)-1</f>
        <v/>
      </c>
      <c r="E74" s="39">
        <f>(Table267[[#This Row],[M2 Money Stock, Billions of Dollars, Weekly, Seasonally Adjusted]]-B62)/B62</f>
        <v/>
      </c>
    </row>
    <row r="75">
      <c r="A75" s="37" t="n">
        <v>23621</v>
      </c>
      <c r="B75" s="84" t="n">
        <v>416.9</v>
      </c>
      <c r="C75" s="39">
        <f>(Table267[[#This Row],[M2 Money Stock, Billions of Dollars, Weekly, Seasonally Adjusted]]-B74)/B74</f>
        <v/>
      </c>
      <c r="D75" s="40">
        <f>((1+Table267[[#This Row],[Monthly change]])^12)-1</f>
        <v/>
      </c>
      <c r="E75" s="39">
        <f>(Table267[[#This Row],[M2 Money Stock, Billions of Dollars, Weekly, Seasonally Adjusted]]-B63)/B63</f>
        <v/>
      </c>
    </row>
    <row r="76">
      <c r="A76" s="37" t="n">
        <v>23651</v>
      </c>
      <c r="B76" s="84" t="n">
        <v>419.1</v>
      </c>
      <c r="C76" s="39">
        <f>(Table267[[#This Row],[M2 Money Stock, Billions of Dollars, Weekly, Seasonally Adjusted]]-B75)/B75</f>
        <v/>
      </c>
      <c r="D76" s="40">
        <f>((1+Table267[[#This Row],[Monthly change]])^12)-1</f>
        <v/>
      </c>
      <c r="E76" s="39">
        <f>(Table267[[#This Row],[M2 Money Stock, Billions of Dollars, Weekly, Seasonally Adjusted]]-B64)/B64</f>
        <v/>
      </c>
    </row>
    <row r="77">
      <c r="A77" s="37" t="n">
        <v>23682</v>
      </c>
      <c r="B77" s="84" t="n">
        <v>422</v>
      </c>
      <c r="C77" s="39">
        <f>(Table267[[#This Row],[M2 Money Stock, Billions of Dollars, Weekly, Seasonally Adjusted]]-B76)/B76</f>
        <v/>
      </c>
      <c r="D77" s="40">
        <f>((1+Table267[[#This Row],[Monthly change]])^12)-1</f>
        <v/>
      </c>
      <c r="E77" s="39">
        <f>(Table267[[#This Row],[M2 Money Stock, Billions of Dollars, Weekly, Seasonally Adjusted]]-B65)/B65</f>
        <v/>
      </c>
    </row>
    <row r="78">
      <c r="A78" s="37" t="n">
        <v>23712</v>
      </c>
      <c r="B78" s="84" t="n">
        <v>424.7</v>
      </c>
      <c r="C78" s="39">
        <f>(Table267[[#This Row],[M2 Money Stock, Billions of Dollars, Weekly, Seasonally Adjusted]]-B77)/B77</f>
        <v/>
      </c>
      <c r="D78" s="40">
        <f>((1+Table267[[#This Row],[Monthly change]])^12)-1</f>
        <v/>
      </c>
      <c r="E78" s="39">
        <f>(Table267[[#This Row],[M2 Money Stock, Billions of Dollars, Weekly, Seasonally Adjusted]]-B66)/B66</f>
        <v/>
      </c>
    </row>
    <row r="79">
      <c r="A79" s="37" t="n">
        <v>23743</v>
      </c>
      <c r="B79" s="84" t="n">
        <v>427.5</v>
      </c>
      <c r="C79" s="39">
        <f>(Table267[[#This Row],[M2 Money Stock, Billions of Dollars, Weekly, Seasonally Adjusted]]-B78)/B78</f>
        <v/>
      </c>
      <c r="D79" s="40">
        <f>((1+Table267[[#This Row],[Monthly change]])^12)-1</f>
        <v/>
      </c>
      <c r="E79" s="39">
        <f>(Table267[[#This Row],[M2 Money Stock, Billions of Dollars, Weekly, Seasonally Adjusted]]-B67)/B67</f>
        <v/>
      </c>
    </row>
    <row r="80">
      <c r="A80" s="37" t="n">
        <v>23774</v>
      </c>
      <c r="B80" s="84" t="n">
        <v>430.4</v>
      </c>
      <c r="C80" s="39">
        <f>(Table267[[#This Row],[M2 Money Stock, Billions of Dollars, Weekly, Seasonally Adjusted]]-B79)/B79</f>
        <v/>
      </c>
      <c r="D80" s="40">
        <f>((1+Table267[[#This Row],[Monthly change]])^12)-1</f>
        <v/>
      </c>
      <c r="E80" s="39">
        <f>(Table267[[#This Row],[M2 Money Stock, Billions of Dollars, Weekly, Seasonally Adjusted]]-B68)/B68</f>
        <v/>
      </c>
    </row>
    <row r="81">
      <c r="A81" s="37" t="n">
        <v>23802</v>
      </c>
      <c r="B81" s="84" t="n">
        <v>433.2</v>
      </c>
      <c r="C81" s="39">
        <f>(Table267[[#This Row],[M2 Money Stock, Billions of Dollars, Weekly, Seasonally Adjusted]]-B80)/B80</f>
        <v/>
      </c>
      <c r="D81" s="40">
        <f>((1+Table267[[#This Row],[Monthly change]])^12)-1</f>
        <v/>
      </c>
      <c r="E81" s="39">
        <f>(Table267[[#This Row],[M2 Money Stock, Billions of Dollars, Weekly, Seasonally Adjusted]]-B69)/B69</f>
        <v/>
      </c>
    </row>
    <row r="82">
      <c r="A82" s="37" t="n">
        <v>23833</v>
      </c>
      <c r="B82" s="84" t="n">
        <v>435.4</v>
      </c>
      <c r="C82" s="39">
        <f>(Table267[[#This Row],[M2 Money Stock, Billions of Dollars, Weekly, Seasonally Adjusted]]-B81)/B81</f>
        <v/>
      </c>
      <c r="D82" s="40">
        <f>((1+Table267[[#This Row],[Monthly change]])^12)-1</f>
        <v/>
      </c>
      <c r="E82" s="39">
        <f>(Table267[[#This Row],[M2 Money Stock, Billions of Dollars, Weekly, Seasonally Adjusted]]-B70)/B70</f>
        <v/>
      </c>
    </row>
    <row r="83">
      <c r="A83" s="37" t="n">
        <v>23863</v>
      </c>
      <c r="B83" s="84" t="n">
        <v>437.1</v>
      </c>
      <c r="C83" s="39">
        <f>(Table267[[#This Row],[M2 Money Stock, Billions of Dollars, Weekly, Seasonally Adjusted]]-B82)/B82</f>
        <v/>
      </c>
      <c r="D83" s="40">
        <f>((1+Table267[[#This Row],[Monthly change]])^12)-1</f>
        <v/>
      </c>
      <c r="E83" s="39">
        <f>(Table267[[#This Row],[M2 Money Stock, Billions of Dollars, Weekly, Seasonally Adjusted]]-B71)/B71</f>
        <v/>
      </c>
    </row>
    <row r="84">
      <c r="A84" s="37" t="n">
        <v>23894</v>
      </c>
      <c r="B84" s="84" t="n">
        <v>440.1</v>
      </c>
      <c r="C84" s="39">
        <f>(Table267[[#This Row],[M2 Money Stock, Billions of Dollars, Weekly, Seasonally Adjusted]]-B83)/B83</f>
        <v/>
      </c>
      <c r="D84" s="40">
        <f>((1+Table267[[#This Row],[Monthly change]])^12)-1</f>
        <v/>
      </c>
      <c r="E84" s="39">
        <f>(Table267[[#This Row],[M2 Money Stock, Billions of Dollars, Weekly, Seasonally Adjusted]]-B72)/B72</f>
        <v/>
      </c>
    </row>
    <row r="85">
      <c r="A85" s="37" t="n">
        <v>23924</v>
      </c>
      <c r="B85" s="84" t="n">
        <v>442.9</v>
      </c>
      <c r="C85" s="39">
        <f>(Table267[[#This Row],[M2 Money Stock, Billions of Dollars, Weekly, Seasonally Adjusted]]-B84)/B84</f>
        <v/>
      </c>
      <c r="D85" s="40">
        <f>((1+Table267[[#This Row],[Monthly change]])^12)-1</f>
        <v/>
      </c>
      <c r="E85" s="39">
        <f>(Table267[[#This Row],[M2 Money Stock, Billions of Dollars, Weekly, Seasonally Adjusted]]-B73)/B73</f>
        <v/>
      </c>
    </row>
    <row r="86">
      <c r="A86" s="37" t="n">
        <v>23955</v>
      </c>
      <c r="B86" s="84" t="n">
        <v>445.8</v>
      </c>
      <c r="C86" s="39">
        <f>(Table267[[#This Row],[M2 Money Stock, Billions of Dollars, Weekly, Seasonally Adjusted]]-B85)/B85</f>
        <v/>
      </c>
      <c r="D86" s="40">
        <f>((1+Table267[[#This Row],[Monthly change]])^12)-1</f>
        <v/>
      </c>
      <c r="E86" s="39">
        <f>(Table267[[#This Row],[M2 Money Stock, Billions of Dollars, Weekly, Seasonally Adjusted]]-B74)/B74</f>
        <v/>
      </c>
    </row>
    <row r="87">
      <c r="A87" s="37" t="n">
        <v>23986</v>
      </c>
      <c r="B87" s="84" t="n">
        <v>449.5</v>
      </c>
      <c r="C87" s="39">
        <f>(Table267[[#This Row],[M2 Money Stock, Billions of Dollars, Weekly, Seasonally Adjusted]]-B86)/B86</f>
        <v/>
      </c>
      <c r="D87" s="40">
        <f>((1+Table267[[#This Row],[Monthly change]])^12)-1</f>
        <v/>
      </c>
      <c r="E87" s="39">
        <f>(Table267[[#This Row],[M2 Money Stock, Billions of Dollars, Weekly, Seasonally Adjusted]]-B75)/B75</f>
        <v/>
      </c>
    </row>
    <row r="88">
      <c r="A88" s="37" t="n">
        <v>24016</v>
      </c>
      <c r="B88" s="84" t="n">
        <v>452.6</v>
      </c>
      <c r="C88" s="39">
        <f>(Table267[[#This Row],[M2 Money Stock, Billions of Dollars, Weekly, Seasonally Adjusted]]-B87)/B87</f>
        <v/>
      </c>
      <c r="D88" s="40">
        <f>((1+Table267[[#This Row],[Monthly change]])^12)-1</f>
        <v/>
      </c>
      <c r="E88" s="39">
        <f>(Table267[[#This Row],[M2 Money Stock, Billions of Dollars, Weekly, Seasonally Adjusted]]-B76)/B76</f>
        <v/>
      </c>
    </row>
    <row r="89">
      <c r="A89" s="37" t="n">
        <v>24047</v>
      </c>
      <c r="B89" s="84" t="n">
        <v>455.7</v>
      </c>
      <c r="C89" s="39">
        <f>(Table267[[#This Row],[M2 Money Stock, Billions of Dollars, Weekly, Seasonally Adjusted]]-B88)/B88</f>
        <v/>
      </c>
      <c r="D89" s="40">
        <f>((1+Table267[[#This Row],[Monthly change]])^12)-1</f>
        <v/>
      </c>
      <c r="E89" s="39">
        <f>(Table267[[#This Row],[M2 Money Stock, Billions of Dollars, Weekly, Seasonally Adjusted]]-B77)/B77</f>
        <v/>
      </c>
    </row>
    <row r="90">
      <c r="A90" s="37" t="n">
        <v>24077</v>
      </c>
      <c r="B90" s="84" t="n">
        <v>459.2</v>
      </c>
      <c r="C90" s="39">
        <f>(Table267[[#This Row],[M2 Money Stock, Billions of Dollars, Weekly, Seasonally Adjusted]]-B89)/B89</f>
        <v/>
      </c>
      <c r="D90" s="40">
        <f>((1+Table267[[#This Row],[Monthly change]])^12)-1</f>
        <v/>
      </c>
      <c r="E90" s="39">
        <f>(Table267[[#This Row],[M2 Money Stock, Billions of Dollars, Weekly, Seasonally Adjusted]]-B78)/B78</f>
        <v/>
      </c>
    </row>
    <row r="91">
      <c r="A91" s="37" t="n">
        <v>24108</v>
      </c>
      <c r="B91" s="84" t="n">
        <v>462</v>
      </c>
      <c r="C91" s="39">
        <f>(Table267[[#This Row],[M2 Money Stock, Billions of Dollars, Weekly, Seasonally Adjusted]]-B90)/B90</f>
        <v/>
      </c>
      <c r="D91" s="40">
        <f>((1+Table267[[#This Row],[Monthly change]])^12)-1</f>
        <v/>
      </c>
      <c r="E91" s="39">
        <f>(Table267[[#This Row],[M2 Money Stock, Billions of Dollars, Weekly, Seasonally Adjusted]]-B79)/B79</f>
        <v/>
      </c>
    </row>
    <row r="92">
      <c r="A92" s="37" t="n">
        <v>24139</v>
      </c>
      <c r="B92" s="84" t="n">
        <v>464.6</v>
      </c>
      <c r="C92" s="39">
        <f>(Table267[[#This Row],[M2 Money Stock, Billions of Dollars, Weekly, Seasonally Adjusted]]-B91)/B91</f>
        <v/>
      </c>
      <c r="D92" s="40">
        <f>((1+Table267[[#This Row],[Monthly change]])^12)-1</f>
        <v/>
      </c>
      <c r="E92" s="39">
        <f>(Table267[[#This Row],[M2 Money Stock, Billions of Dollars, Weekly, Seasonally Adjusted]]-B80)/B80</f>
        <v/>
      </c>
    </row>
    <row r="93">
      <c r="A93" s="37" t="n">
        <v>24167</v>
      </c>
      <c r="B93" s="84" t="n">
        <v>467.2</v>
      </c>
      <c r="C93" s="39">
        <f>(Table267[[#This Row],[M2 Money Stock, Billions of Dollars, Weekly, Seasonally Adjusted]]-B92)/B92</f>
        <v/>
      </c>
      <c r="D93" s="40">
        <f>((1+Table267[[#This Row],[Monthly change]])^12)-1</f>
        <v/>
      </c>
      <c r="E93" s="39">
        <f>(Table267[[#This Row],[M2 Money Stock, Billions of Dollars, Weekly, Seasonally Adjusted]]-B81)/B81</f>
        <v/>
      </c>
    </row>
    <row r="94">
      <c r="A94" s="37" t="n">
        <v>24198</v>
      </c>
      <c r="B94" s="84" t="n">
        <v>469.3</v>
      </c>
      <c r="C94" s="39">
        <f>(Table267[[#This Row],[M2 Money Stock, Billions of Dollars, Weekly, Seasonally Adjusted]]-B93)/B93</f>
        <v/>
      </c>
      <c r="D94" s="40">
        <f>((1+Table267[[#This Row],[Monthly change]])^12)-1</f>
        <v/>
      </c>
      <c r="E94" s="39">
        <f>(Table267[[#This Row],[M2 Money Stock, Billions of Dollars, Weekly, Seasonally Adjusted]]-B82)/B82</f>
        <v/>
      </c>
    </row>
    <row r="95">
      <c r="A95" s="37" t="n">
        <v>24228</v>
      </c>
      <c r="B95" s="84" t="n">
        <v>470.1</v>
      </c>
      <c r="C95" s="39">
        <f>(Table267[[#This Row],[M2 Money Stock, Billions of Dollars, Weekly, Seasonally Adjusted]]-B94)/B94</f>
        <v/>
      </c>
      <c r="D95" s="40">
        <f>((1+Table267[[#This Row],[Monthly change]])^12)-1</f>
        <v/>
      </c>
      <c r="E95" s="39">
        <f>(Table267[[#This Row],[M2 Money Stock, Billions of Dollars, Weekly, Seasonally Adjusted]]-B83)/B83</f>
        <v/>
      </c>
    </row>
    <row r="96">
      <c r="A96" s="37" t="n">
        <v>24259</v>
      </c>
      <c r="B96" s="84" t="n">
        <v>471.2</v>
      </c>
      <c r="C96" s="39">
        <f>(Table267[[#This Row],[M2 Money Stock, Billions of Dollars, Weekly, Seasonally Adjusted]]-B95)/B95</f>
        <v/>
      </c>
      <c r="D96" s="40">
        <f>((1+Table267[[#This Row],[Monthly change]])^12)-1</f>
        <v/>
      </c>
      <c r="E96" s="39">
        <f>(Table267[[#This Row],[M2 Money Stock, Billions of Dollars, Weekly, Seasonally Adjusted]]-B84)/B84</f>
        <v/>
      </c>
    </row>
    <row r="97">
      <c r="A97" s="37" t="n">
        <v>24289</v>
      </c>
      <c r="B97" s="84" t="n">
        <v>470.9</v>
      </c>
      <c r="C97" s="39">
        <f>(Table267[[#This Row],[M2 Money Stock, Billions of Dollars, Weekly, Seasonally Adjusted]]-B96)/B96</f>
        <v/>
      </c>
      <c r="D97" s="40">
        <f>((1+Table267[[#This Row],[Monthly change]])^12)-1</f>
        <v/>
      </c>
      <c r="E97" s="39">
        <f>(Table267[[#This Row],[M2 Money Stock, Billions of Dollars, Weekly, Seasonally Adjusted]]-B85)/B85</f>
        <v/>
      </c>
    </row>
    <row r="98">
      <c r="A98" s="37" t="n">
        <v>24320</v>
      </c>
      <c r="B98" s="84" t="n">
        <v>472.6</v>
      </c>
      <c r="C98" s="39">
        <f>(Table267[[#This Row],[M2 Money Stock, Billions of Dollars, Weekly, Seasonally Adjusted]]-B97)/B97</f>
        <v/>
      </c>
      <c r="D98" s="40">
        <f>((1+Table267[[#This Row],[Monthly change]])^12)-1</f>
        <v/>
      </c>
      <c r="E98" s="39">
        <f>(Table267[[#This Row],[M2 Money Stock, Billions of Dollars, Weekly, Seasonally Adjusted]]-B86)/B86</f>
        <v/>
      </c>
    </row>
    <row r="99">
      <c r="A99" s="37" t="n">
        <v>24351</v>
      </c>
      <c r="B99" s="84" t="n">
        <v>475.4</v>
      </c>
      <c r="C99" s="39">
        <f>(Table267[[#This Row],[M2 Money Stock, Billions of Dollars, Weekly, Seasonally Adjusted]]-B98)/B98</f>
        <v/>
      </c>
      <c r="D99" s="40">
        <f>((1+Table267[[#This Row],[Monthly change]])^12)-1</f>
        <v/>
      </c>
      <c r="E99" s="39">
        <f>(Table267[[#This Row],[M2 Money Stock, Billions of Dollars, Weekly, Seasonally Adjusted]]-B87)/B87</f>
        <v/>
      </c>
    </row>
    <row r="100">
      <c r="A100" s="37" t="n">
        <v>24381</v>
      </c>
      <c r="B100" s="84" t="n">
        <v>475.7</v>
      </c>
      <c r="C100" s="39">
        <f>(Table267[[#This Row],[M2 Money Stock, Billions of Dollars, Weekly, Seasonally Adjusted]]-B99)/B99</f>
        <v/>
      </c>
      <c r="D100" s="40">
        <f>((1+Table267[[#This Row],[Monthly change]])^12)-1</f>
        <v/>
      </c>
      <c r="E100" s="39">
        <f>(Table267[[#This Row],[M2 Money Stock, Billions of Dollars, Weekly, Seasonally Adjusted]]-B88)/B88</f>
        <v/>
      </c>
    </row>
    <row r="101">
      <c r="A101" s="37" t="n">
        <v>24412</v>
      </c>
      <c r="B101" s="84" t="n">
        <v>477.3</v>
      </c>
      <c r="C101" s="39">
        <f>(Table267[[#This Row],[M2 Money Stock, Billions of Dollars, Weekly, Seasonally Adjusted]]-B100)/B100</f>
        <v/>
      </c>
      <c r="D101" s="40">
        <f>((1+Table267[[#This Row],[Monthly change]])^12)-1</f>
        <v/>
      </c>
      <c r="E101" s="39">
        <f>(Table267[[#This Row],[M2 Money Stock, Billions of Dollars, Weekly, Seasonally Adjusted]]-B89)/B89</f>
        <v/>
      </c>
    </row>
    <row r="102">
      <c r="A102" s="37" t="n">
        <v>24442</v>
      </c>
      <c r="B102" s="84" t="n">
        <v>480.2</v>
      </c>
      <c r="C102" s="39">
        <f>(Table267[[#This Row],[M2 Money Stock, Billions of Dollars, Weekly, Seasonally Adjusted]]-B101)/B101</f>
        <v/>
      </c>
      <c r="D102" s="40">
        <f>((1+Table267[[#This Row],[Monthly change]])^12)-1</f>
        <v/>
      </c>
      <c r="E102" s="39">
        <f>(Table267[[#This Row],[M2 Money Stock, Billions of Dollars, Weekly, Seasonally Adjusted]]-B90)/B90</f>
        <v/>
      </c>
    </row>
    <row r="103">
      <c r="A103" s="37" t="n">
        <v>24473</v>
      </c>
      <c r="B103" s="84" t="n">
        <v>481.6</v>
      </c>
      <c r="C103" s="39">
        <f>(Table267[[#This Row],[M2 Money Stock, Billions of Dollars, Weekly, Seasonally Adjusted]]-B102)/B102</f>
        <v/>
      </c>
      <c r="D103" s="40">
        <f>((1+Table267[[#This Row],[Monthly change]])^12)-1</f>
        <v/>
      </c>
      <c r="E103" s="39">
        <f>(Table267[[#This Row],[M2 Money Stock, Billions of Dollars, Weekly, Seasonally Adjusted]]-B91)/B91</f>
        <v/>
      </c>
    </row>
    <row r="104">
      <c r="A104" s="37" t="n">
        <v>24504</v>
      </c>
      <c r="B104" s="84" t="n">
        <v>485.1</v>
      </c>
      <c r="C104" s="39">
        <f>(Table267[[#This Row],[M2 Money Stock, Billions of Dollars, Weekly, Seasonally Adjusted]]-B103)/B103</f>
        <v/>
      </c>
      <c r="D104" s="40">
        <f>((1+Table267[[#This Row],[Monthly change]])^12)-1</f>
        <v/>
      </c>
      <c r="E104" s="39">
        <f>(Table267[[#This Row],[M2 Money Stock, Billions of Dollars, Weekly, Seasonally Adjusted]]-B92)/B92</f>
        <v/>
      </c>
    </row>
    <row r="105">
      <c r="A105" s="37" t="n">
        <v>24532</v>
      </c>
      <c r="B105" s="84" t="n">
        <v>489.7</v>
      </c>
      <c r="C105" s="39">
        <f>(Table267[[#This Row],[M2 Money Stock, Billions of Dollars, Weekly, Seasonally Adjusted]]-B104)/B104</f>
        <v/>
      </c>
      <c r="D105" s="40">
        <f>((1+Table267[[#This Row],[Monthly change]])^12)-1</f>
        <v/>
      </c>
      <c r="E105" s="39">
        <f>(Table267[[#This Row],[M2 Money Stock, Billions of Dollars, Weekly, Seasonally Adjusted]]-B93)/B93</f>
        <v/>
      </c>
    </row>
    <row r="106">
      <c r="A106" s="37" t="n">
        <v>24563</v>
      </c>
      <c r="B106" s="84" t="n">
        <v>492.1</v>
      </c>
      <c r="C106" s="39">
        <f>(Table267[[#This Row],[M2 Money Stock, Billions of Dollars, Weekly, Seasonally Adjusted]]-B105)/B105</f>
        <v/>
      </c>
      <c r="D106" s="40">
        <f>((1+Table267[[#This Row],[Monthly change]])^12)-1</f>
        <v/>
      </c>
      <c r="E106" s="39">
        <f>(Table267[[#This Row],[M2 Money Stock, Billions of Dollars, Weekly, Seasonally Adjusted]]-B94)/B94</f>
        <v/>
      </c>
    </row>
    <row r="107">
      <c r="A107" s="37" t="n">
        <v>24593</v>
      </c>
      <c r="B107" s="84" t="n">
        <v>497.2</v>
      </c>
      <c r="C107" s="39">
        <f>(Table267[[#This Row],[M2 Money Stock, Billions of Dollars, Weekly, Seasonally Adjusted]]-B106)/B106</f>
        <v/>
      </c>
      <c r="D107" s="40">
        <f>((1+Table267[[#This Row],[Monthly change]])^12)-1</f>
        <v/>
      </c>
      <c r="E107" s="39">
        <f>(Table267[[#This Row],[M2 Money Stock, Billions of Dollars, Weekly, Seasonally Adjusted]]-B95)/B95</f>
        <v/>
      </c>
    </row>
    <row r="108">
      <c r="A108" s="37" t="n">
        <v>24624</v>
      </c>
      <c r="B108" s="84" t="n">
        <v>502</v>
      </c>
      <c r="C108" s="39">
        <f>(Table267[[#This Row],[M2 Money Stock, Billions of Dollars, Weekly, Seasonally Adjusted]]-B107)/B107</f>
        <v/>
      </c>
      <c r="D108" s="40">
        <f>((1+Table267[[#This Row],[Monthly change]])^12)-1</f>
        <v/>
      </c>
      <c r="E108" s="39">
        <f>(Table267[[#This Row],[M2 Money Stock, Billions of Dollars, Weekly, Seasonally Adjusted]]-B96)/B96</f>
        <v/>
      </c>
    </row>
    <row r="109">
      <c r="A109" s="37" t="n">
        <v>24654</v>
      </c>
      <c r="B109" s="84" t="n">
        <v>506.3</v>
      </c>
      <c r="C109" s="39">
        <f>(Table267[[#This Row],[M2 Money Stock, Billions of Dollars, Weekly, Seasonally Adjusted]]-B108)/B108</f>
        <v/>
      </c>
      <c r="D109" s="40">
        <f>((1+Table267[[#This Row],[Monthly change]])^12)-1</f>
        <v/>
      </c>
      <c r="E109" s="39">
        <f>(Table267[[#This Row],[M2 Money Stock, Billions of Dollars, Weekly, Seasonally Adjusted]]-B97)/B97</f>
        <v/>
      </c>
    </row>
    <row r="110">
      <c r="A110" s="37" t="n">
        <v>24685</v>
      </c>
      <c r="B110" s="84" t="n">
        <v>510.8</v>
      </c>
      <c r="C110" s="39">
        <f>(Table267[[#This Row],[M2 Money Stock, Billions of Dollars, Weekly, Seasonally Adjusted]]-B109)/B109</f>
        <v/>
      </c>
      <c r="D110" s="40">
        <f>((1+Table267[[#This Row],[Monthly change]])^12)-1</f>
        <v/>
      </c>
      <c r="E110" s="39">
        <f>(Table267[[#This Row],[M2 Money Stock, Billions of Dollars, Weekly, Seasonally Adjusted]]-B98)/B98</f>
        <v/>
      </c>
    </row>
    <row r="111">
      <c r="A111" s="37" t="n">
        <v>24716</v>
      </c>
      <c r="B111" s="84" t="n">
        <v>514.7</v>
      </c>
      <c r="C111" s="39">
        <f>(Table267[[#This Row],[M2 Money Stock, Billions of Dollars, Weekly, Seasonally Adjusted]]-B110)/B110</f>
        <v/>
      </c>
      <c r="D111" s="40">
        <f>((1+Table267[[#This Row],[Monthly change]])^12)-1</f>
        <v/>
      </c>
      <c r="E111" s="39">
        <f>(Table267[[#This Row],[M2 Money Stock, Billions of Dollars, Weekly, Seasonally Adjusted]]-B99)/B99</f>
        <v/>
      </c>
    </row>
    <row r="112">
      <c r="A112" s="37" t="n">
        <v>24746</v>
      </c>
      <c r="B112" s="84" t="n">
        <v>518.2</v>
      </c>
      <c r="C112" s="39">
        <f>(Table267[[#This Row],[M2 Money Stock, Billions of Dollars, Weekly, Seasonally Adjusted]]-B111)/B111</f>
        <v/>
      </c>
      <c r="D112" s="40">
        <f>((1+Table267[[#This Row],[Monthly change]])^12)-1</f>
        <v/>
      </c>
      <c r="E112" s="39">
        <f>(Table267[[#This Row],[M2 Money Stock, Billions of Dollars, Weekly, Seasonally Adjusted]]-B100)/B100</f>
        <v/>
      </c>
    </row>
    <row r="113">
      <c r="A113" s="37" t="n">
        <v>24777</v>
      </c>
      <c r="B113" s="84" t="n">
        <v>521.2</v>
      </c>
      <c r="C113" s="39">
        <f>(Table267[[#This Row],[M2 Money Stock, Billions of Dollars, Weekly, Seasonally Adjusted]]-B112)/B112</f>
        <v/>
      </c>
      <c r="D113" s="40">
        <f>((1+Table267[[#This Row],[Monthly change]])^12)-1</f>
        <v/>
      </c>
      <c r="E113" s="39">
        <f>(Table267[[#This Row],[M2 Money Stock, Billions of Dollars, Weekly, Seasonally Adjusted]]-B101)/B101</f>
        <v/>
      </c>
    </row>
    <row r="114">
      <c r="A114" s="37" t="n">
        <v>24807</v>
      </c>
      <c r="B114" s="84" t="n">
        <v>524.8</v>
      </c>
      <c r="C114" s="39">
        <f>(Table267[[#This Row],[M2 Money Stock, Billions of Dollars, Weekly, Seasonally Adjusted]]-B113)/B113</f>
        <v/>
      </c>
      <c r="D114" s="40">
        <f>((1+Table267[[#This Row],[Monthly change]])^12)-1</f>
        <v/>
      </c>
      <c r="E114" s="39">
        <f>(Table267[[#This Row],[M2 Money Stock, Billions of Dollars, Weekly, Seasonally Adjusted]]-B102)/B102</f>
        <v/>
      </c>
    </row>
    <row r="115">
      <c r="A115" s="37" t="n">
        <v>24838</v>
      </c>
      <c r="B115" s="84" t="n">
        <v>527.4</v>
      </c>
      <c r="C115" s="39">
        <f>(Table267[[#This Row],[M2 Money Stock, Billions of Dollars, Weekly, Seasonally Adjusted]]-B114)/B114</f>
        <v/>
      </c>
      <c r="D115" s="40">
        <f>((1+Table267[[#This Row],[Monthly change]])^12)-1</f>
        <v/>
      </c>
      <c r="E115" s="39">
        <f>(Table267[[#This Row],[M2 Money Stock, Billions of Dollars, Weekly, Seasonally Adjusted]]-B103)/B103</f>
        <v/>
      </c>
    </row>
    <row r="116">
      <c r="A116" s="37" t="n">
        <v>24869</v>
      </c>
      <c r="B116" s="84" t="n">
        <v>530.4</v>
      </c>
      <c r="C116" s="39">
        <f>(Table267[[#This Row],[M2 Money Stock, Billions of Dollars, Weekly, Seasonally Adjusted]]-B115)/B115</f>
        <v/>
      </c>
      <c r="D116" s="40">
        <f>((1+Table267[[#This Row],[Monthly change]])^12)-1</f>
        <v/>
      </c>
      <c r="E116" s="39">
        <f>(Table267[[#This Row],[M2 Money Stock, Billions of Dollars, Weekly, Seasonally Adjusted]]-B104)/B104</f>
        <v/>
      </c>
    </row>
    <row r="117">
      <c r="A117" s="37" t="n">
        <v>24898</v>
      </c>
      <c r="B117" s="84" t="n">
        <v>533.2</v>
      </c>
      <c r="C117" s="39">
        <f>(Table267[[#This Row],[M2 Money Stock, Billions of Dollars, Weekly, Seasonally Adjusted]]-B116)/B116</f>
        <v/>
      </c>
      <c r="D117" s="40">
        <f>((1+Table267[[#This Row],[Monthly change]])^12)-1</f>
        <v/>
      </c>
      <c r="E117" s="39">
        <f>(Table267[[#This Row],[M2 Money Stock, Billions of Dollars, Weekly, Seasonally Adjusted]]-B105)/B105</f>
        <v/>
      </c>
    </row>
    <row r="118">
      <c r="A118" s="37" t="n">
        <v>24929</v>
      </c>
      <c r="B118" s="84" t="n">
        <v>535.7</v>
      </c>
      <c r="C118" s="39">
        <f>(Table267[[#This Row],[M2 Money Stock, Billions of Dollars, Weekly, Seasonally Adjusted]]-B117)/B117</f>
        <v/>
      </c>
      <c r="D118" s="40">
        <f>((1+Table267[[#This Row],[Monthly change]])^12)-1</f>
        <v/>
      </c>
      <c r="E118" s="39">
        <f>(Table267[[#This Row],[M2 Money Stock, Billions of Dollars, Weekly, Seasonally Adjusted]]-B106)/B106</f>
        <v/>
      </c>
    </row>
    <row r="119">
      <c r="A119" s="37" t="n">
        <v>24959</v>
      </c>
      <c r="B119" s="84" t="n">
        <v>538.9</v>
      </c>
      <c r="C119" s="39">
        <f>(Table267[[#This Row],[M2 Money Stock, Billions of Dollars, Weekly, Seasonally Adjusted]]-B118)/B118</f>
        <v/>
      </c>
      <c r="D119" s="40">
        <f>((1+Table267[[#This Row],[Monthly change]])^12)-1</f>
        <v/>
      </c>
      <c r="E119" s="39">
        <f>(Table267[[#This Row],[M2 Money Stock, Billions of Dollars, Weekly, Seasonally Adjusted]]-B107)/B107</f>
        <v/>
      </c>
    </row>
    <row r="120">
      <c r="A120" s="37" t="n">
        <v>24990</v>
      </c>
      <c r="B120" s="84" t="n">
        <v>542.6</v>
      </c>
      <c r="C120" s="39">
        <f>(Table267[[#This Row],[M2 Money Stock, Billions of Dollars, Weekly, Seasonally Adjusted]]-B119)/B119</f>
        <v/>
      </c>
      <c r="D120" s="40">
        <f>((1+Table267[[#This Row],[Monthly change]])^12)-1</f>
        <v/>
      </c>
      <c r="E120" s="39">
        <f>(Table267[[#This Row],[M2 Money Stock, Billions of Dollars, Weekly, Seasonally Adjusted]]-B108)/B108</f>
        <v/>
      </c>
    </row>
    <row r="121">
      <c r="A121" s="37" t="n">
        <v>25020</v>
      </c>
      <c r="B121" s="84" t="n">
        <v>545.6</v>
      </c>
      <c r="C121" s="39">
        <f>(Table267[[#This Row],[M2 Money Stock, Billions of Dollars, Weekly, Seasonally Adjusted]]-B120)/B120</f>
        <v/>
      </c>
      <c r="D121" s="40">
        <f>((1+Table267[[#This Row],[Monthly change]])^12)-1</f>
        <v/>
      </c>
      <c r="E121" s="39">
        <f>(Table267[[#This Row],[M2 Money Stock, Billions of Dollars, Weekly, Seasonally Adjusted]]-B109)/B109</f>
        <v/>
      </c>
    </row>
    <row r="122">
      <c r="A122" s="37" t="n">
        <v>25051</v>
      </c>
      <c r="B122" s="84" t="n">
        <v>549.4</v>
      </c>
      <c r="C122" s="39">
        <f>(Table267[[#This Row],[M2 Money Stock, Billions of Dollars, Weekly, Seasonally Adjusted]]-B121)/B121</f>
        <v/>
      </c>
      <c r="D122" s="40">
        <f>((1+Table267[[#This Row],[Monthly change]])^12)-1</f>
        <v/>
      </c>
      <c r="E122" s="39">
        <f>(Table267[[#This Row],[M2 Money Stock, Billions of Dollars, Weekly, Seasonally Adjusted]]-B110)/B110</f>
        <v/>
      </c>
    </row>
    <row r="123">
      <c r="A123" s="37" t="n">
        <v>25082</v>
      </c>
      <c r="B123" s="84" t="n">
        <v>553.6</v>
      </c>
      <c r="C123" s="39">
        <f>(Table267[[#This Row],[M2 Money Stock, Billions of Dollars, Weekly, Seasonally Adjusted]]-B122)/B122</f>
        <v/>
      </c>
      <c r="D123" s="40">
        <f>((1+Table267[[#This Row],[Monthly change]])^12)-1</f>
        <v/>
      </c>
      <c r="E123" s="39">
        <f>(Table267[[#This Row],[M2 Money Stock, Billions of Dollars, Weekly, Seasonally Adjusted]]-B111)/B111</f>
        <v/>
      </c>
    </row>
    <row r="124">
      <c r="A124" s="37" t="n">
        <v>25112</v>
      </c>
      <c r="B124" s="84" t="n">
        <v>557.6</v>
      </c>
      <c r="C124" s="39">
        <f>(Table267[[#This Row],[M2 Money Stock, Billions of Dollars, Weekly, Seasonally Adjusted]]-B123)/B123</f>
        <v/>
      </c>
      <c r="D124" s="40">
        <f>((1+Table267[[#This Row],[Monthly change]])^12)-1</f>
        <v/>
      </c>
      <c r="E124" s="39">
        <f>(Table267[[#This Row],[M2 Money Stock, Billions of Dollars, Weekly, Seasonally Adjusted]]-B112)/B112</f>
        <v/>
      </c>
    </row>
    <row r="125">
      <c r="A125" s="37" t="n">
        <v>25143</v>
      </c>
      <c r="B125" s="84" t="n">
        <v>562.4</v>
      </c>
      <c r="C125" s="39">
        <f>(Table267[[#This Row],[M2 Money Stock, Billions of Dollars, Weekly, Seasonally Adjusted]]-B124)/B124</f>
        <v/>
      </c>
      <c r="D125" s="40">
        <f>((1+Table267[[#This Row],[Monthly change]])^12)-1</f>
        <v/>
      </c>
      <c r="E125" s="39">
        <f>(Table267[[#This Row],[M2 Money Stock, Billions of Dollars, Weekly, Seasonally Adjusted]]-B113)/B113</f>
        <v/>
      </c>
    </row>
    <row r="126">
      <c r="A126" s="37" t="n">
        <v>25173</v>
      </c>
      <c r="B126" s="84" t="n">
        <v>566.8</v>
      </c>
      <c r="C126" s="39">
        <f>(Table267[[#This Row],[M2 Money Stock, Billions of Dollars, Weekly, Seasonally Adjusted]]-B125)/B125</f>
        <v/>
      </c>
      <c r="D126" s="40">
        <f>((1+Table267[[#This Row],[Monthly change]])^12)-1</f>
        <v/>
      </c>
      <c r="E126" s="39">
        <f>(Table267[[#This Row],[M2 Money Stock, Billions of Dollars, Weekly, Seasonally Adjusted]]-B114)/B114</f>
        <v/>
      </c>
    </row>
    <row r="127">
      <c r="A127" s="37" t="n">
        <v>25204</v>
      </c>
      <c r="B127" s="84" t="n">
        <v>569.3</v>
      </c>
      <c r="C127" s="39">
        <f>(Table267[[#This Row],[M2 Money Stock, Billions of Dollars, Weekly, Seasonally Adjusted]]-B126)/B126</f>
        <v/>
      </c>
      <c r="D127" s="40">
        <f>((1+Table267[[#This Row],[Monthly change]])^12)-1</f>
        <v/>
      </c>
      <c r="E127" s="39">
        <f>(Table267[[#This Row],[M2 Money Stock, Billions of Dollars, Weekly, Seasonally Adjusted]]-B115)/B115</f>
        <v/>
      </c>
    </row>
    <row r="128">
      <c r="A128" s="37" t="n">
        <v>25235</v>
      </c>
      <c r="B128" s="84" t="n">
        <v>571.9</v>
      </c>
      <c r="C128" s="39">
        <f>(Table267[[#This Row],[M2 Money Stock, Billions of Dollars, Weekly, Seasonally Adjusted]]-B127)/B127</f>
        <v/>
      </c>
      <c r="D128" s="40">
        <f>((1+Table267[[#This Row],[Monthly change]])^12)-1</f>
        <v/>
      </c>
      <c r="E128" s="39">
        <f>(Table267[[#This Row],[M2 Money Stock, Billions of Dollars, Weekly, Seasonally Adjusted]]-B116)/B116</f>
        <v/>
      </c>
    </row>
    <row r="129">
      <c r="A129" s="37" t="n">
        <v>25263</v>
      </c>
      <c r="B129" s="84" t="n">
        <v>574.4</v>
      </c>
      <c r="C129" s="39">
        <f>(Table267[[#This Row],[M2 Money Stock, Billions of Dollars, Weekly, Seasonally Adjusted]]-B128)/B128</f>
        <v/>
      </c>
      <c r="D129" s="40">
        <f>((1+Table267[[#This Row],[Monthly change]])^12)-1</f>
        <v/>
      </c>
      <c r="E129" s="39">
        <f>(Table267[[#This Row],[M2 Money Stock, Billions of Dollars, Weekly, Seasonally Adjusted]]-B117)/B117</f>
        <v/>
      </c>
    </row>
    <row r="130">
      <c r="A130" s="37" t="n">
        <v>25294</v>
      </c>
      <c r="B130" s="84" t="n">
        <v>575.7</v>
      </c>
      <c r="C130" s="39">
        <f>(Table267[[#This Row],[M2 Money Stock, Billions of Dollars, Weekly, Seasonally Adjusted]]-B129)/B129</f>
        <v/>
      </c>
      <c r="D130" s="40">
        <f>((1+Table267[[#This Row],[Monthly change]])^12)-1</f>
        <v/>
      </c>
      <c r="E130" s="39">
        <f>(Table267[[#This Row],[M2 Money Stock, Billions of Dollars, Weekly, Seasonally Adjusted]]-B118)/B118</f>
        <v/>
      </c>
    </row>
    <row r="131">
      <c r="A131" s="37" t="n">
        <v>25324</v>
      </c>
      <c r="B131" s="84" t="n">
        <v>576.5</v>
      </c>
      <c r="C131" s="39">
        <f>(Table267[[#This Row],[M2 Money Stock, Billions of Dollars, Weekly, Seasonally Adjusted]]-B130)/B130</f>
        <v/>
      </c>
      <c r="D131" s="40">
        <f>((1+Table267[[#This Row],[Monthly change]])^12)-1</f>
        <v/>
      </c>
      <c r="E131" s="39">
        <f>(Table267[[#This Row],[M2 Money Stock, Billions of Dollars, Weekly, Seasonally Adjusted]]-B119)/B119</f>
        <v/>
      </c>
    </row>
    <row r="132">
      <c r="A132" s="37" t="n">
        <v>25355</v>
      </c>
      <c r="B132" s="84" t="n">
        <v>578.5</v>
      </c>
      <c r="C132" s="39">
        <f>(Table267[[#This Row],[M2 Money Stock, Billions of Dollars, Weekly, Seasonally Adjusted]]-B131)/B131</f>
        <v/>
      </c>
      <c r="D132" s="40">
        <f>((1+Table267[[#This Row],[Monthly change]])^12)-1</f>
        <v/>
      </c>
      <c r="E132" s="39">
        <f>(Table267[[#This Row],[M2 Money Stock, Billions of Dollars, Weekly, Seasonally Adjusted]]-B120)/B120</f>
        <v/>
      </c>
    </row>
    <row r="133">
      <c r="A133" s="37" t="n">
        <v>25385</v>
      </c>
      <c r="B133" s="84" t="n">
        <v>579.5</v>
      </c>
      <c r="C133" s="39">
        <f>(Table267[[#This Row],[M2 Money Stock, Billions of Dollars, Weekly, Seasonally Adjusted]]-B132)/B132</f>
        <v/>
      </c>
      <c r="D133" s="40">
        <f>((1+Table267[[#This Row],[Monthly change]])^12)-1</f>
        <v/>
      </c>
      <c r="E133" s="39">
        <f>(Table267[[#This Row],[M2 Money Stock, Billions of Dollars, Weekly, Seasonally Adjusted]]-B121)/B121</f>
        <v/>
      </c>
    </row>
    <row r="134">
      <c r="A134" s="37" t="n">
        <v>25416</v>
      </c>
      <c r="B134" s="84" t="n">
        <v>580.1</v>
      </c>
      <c r="C134" s="39">
        <f>(Table267[[#This Row],[M2 Money Stock, Billions of Dollars, Weekly, Seasonally Adjusted]]-B133)/B133</f>
        <v/>
      </c>
      <c r="D134" s="40">
        <f>((1+Table267[[#This Row],[Monthly change]])^12)-1</f>
        <v/>
      </c>
      <c r="E134" s="39">
        <f>(Table267[[#This Row],[M2 Money Stock, Billions of Dollars, Weekly, Seasonally Adjusted]]-B122)/B122</f>
        <v/>
      </c>
    </row>
    <row r="135">
      <c r="A135" s="37" t="n">
        <v>25447</v>
      </c>
      <c r="B135" s="84" t="n">
        <v>582.1</v>
      </c>
      <c r="C135" s="39">
        <f>(Table267[[#This Row],[M2 Money Stock, Billions of Dollars, Weekly, Seasonally Adjusted]]-B134)/B134</f>
        <v/>
      </c>
      <c r="D135" s="40">
        <f>((1+Table267[[#This Row],[Monthly change]])^12)-1</f>
        <v/>
      </c>
      <c r="E135" s="39">
        <f>(Table267[[#This Row],[M2 Money Stock, Billions of Dollars, Weekly, Seasonally Adjusted]]-B123)/B123</f>
        <v/>
      </c>
    </row>
    <row r="136">
      <c r="A136" s="37" t="n">
        <v>25477</v>
      </c>
      <c r="B136" s="84" t="n">
        <v>583.4</v>
      </c>
      <c r="C136" s="39">
        <f>(Table267[[#This Row],[M2 Money Stock, Billions of Dollars, Weekly, Seasonally Adjusted]]-B135)/B135</f>
        <v/>
      </c>
      <c r="D136" s="40">
        <f>((1+Table267[[#This Row],[Monthly change]])^12)-1</f>
        <v/>
      </c>
      <c r="E136" s="39">
        <f>(Table267[[#This Row],[M2 Money Stock, Billions of Dollars, Weekly, Seasonally Adjusted]]-B124)/B124</f>
        <v/>
      </c>
    </row>
    <row r="137">
      <c r="A137" s="37" t="n">
        <v>25508</v>
      </c>
      <c r="B137" s="84" t="n">
        <v>585.4</v>
      </c>
      <c r="C137" s="39">
        <f>(Table267[[#This Row],[M2 Money Stock, Billions of Dollars, Weekly, Seasonally Adjusted]]-B136)/B136</f>
        <v/>
      </c>
      <c r="D137" s="40">
        <f>((1+Table267[[#This Row],[Monthly change]])^12)-1</f>
        <v/>
      </c>
      <c r="E137" s="39">
        <f>(Table267[[#This Row],[M2 Money Stock, Billions of Dollars, Weekly, Seasonally Adjusted]]-B125)/B125</f>
        <v/>
      </c>
    </row>
    <row r="138">
      <c r="A138" s="37" t="n">
        <v>25538</v>
      </c>
      <c r="B138" s="84" t="n">
        <v>587.9</v>
      </c>
      <c r="C138" s="39">
        <f>(Table267[[#This Row],[M2 Money Stock, Billions of Dollars, Weekly, Seasonally Adjusted]]-B137)/B137</f>
        <v/>
      </c>
      <c r="D138" s="40">
        <f>((1+Table267[[#This Row],[Monthly change]])^12)-1</f>
        <v/>
      </c>
      <c r="E138" s="39">
        <f>(Table267[[#This Row],[M2 Money Stock, Billions of Dollars, Weekly, Seasonally Adjusted]]-B126)/B126</f>
        <v/>
      </c>
    </row>
    <row r="139">
      <c r="A139" s="37" t="n">
        <v>25569</v>
      </c>
      <c r="B139" s="84" t="n">
        <v>589.6</v>
      </c>
      <c r="C139" s="39">
        <f>(Table267[[#This Row],[M2 Money Stock, Billions of Dollars, Weekly, Seasonally Adjusted]]-B138)/B138</f>
        <v/>
      </c>
      <c r="D139" s="40">
        <f>((1+Table267[[#This Row],[Monthly change]])^12)-1</f>
        <v/>
      </c>
      <c r="E139" s="39">
        <f>(Table267[[#This Row],[M2 Money Stock, Billions of Dollars, Weekly, Seasonally Adjusted]]-B127)/B127</f>
        <v/>
      </c>
    </row>
    <row r="140">
      <c r="A140" s="37" t="n">
        <v>25600</v>
      </c>
      <c r="B140" s="84" t="n">
        <v>586.3</v>
      </c>
      <c r="C140" s="39">
        <f>(Table267[[#This Row],[M2 Money Stock, Billions of Dollars, Weekly, Seasonally Adjusted]]-B139)/B139</f>
        <v/>
      </c>
      <c r="D140" s="40">
        <f>((1+Table267[[#This Row],[Monthly change]])^12)-1</f>
        <v/>
      </c>
      <c r="E140" s="39">
        <f>(Table267[[#This Row],[M2 Money Stock, Billions of Dollars, Weekly, Seasonally Adjusted]]-B128)/B128</f>
        <v/>
      </c>
    </row>
    <row r="141">
      <c r="A141" s="37" t="n">
        <v>25628</v>
      </c>
      <c r="B141" s="84" t="n">
        <v>587.3</v>
      </c>
      <c r="C141" s="39">
        <f>(Table267[[#This Row],[M2 Money Stock, Billions of Dollars, Weekly, Seasonally Adjusted]]-B140)/B140</f>
        <v/>
      </c>
      <c r="D141" s="40">
        <f>((1+Table267[[#This Row],[Monthly change]])^12)-1</f>
        <v/>
      </c>
      <c r="E141" s="39">
        <f>(Table267[[#This Row],[M2 Money Stock, Billions of Dollars, Weekly, Seasonally Adjusted]]-B129)/B129</f>
        <v/>
      </c>
    </row>
    <row r="142">
      <c r="A142" s="37" t="n">
        <v>25659</v>
      </c>
      <c r="B142" s="84" t="n">
        <v>588.4</v>
      </c>
      <c r="C142" s="39">
        <f>(Table267[[#This Row],[M2 Money Stock, Billions of Dollars, Weekly, Seasonally Adjusted]]-B141)/B141</f>
        <v/>
      </c>
      <c r="D142" s="40">
        <f>((1+Table267[[#This Row],[Monthly change]])^12)-1</f>
        <v/>
      </c>
      <c r="E142" s="39">
        <f>(Table267[[#This Row],[M2 Money Stock, Billions of Dollars, Weekly, Seasonally Adjusted]]-B130)/B130</f>
        <v/>
      </c>
    </row>
    <row r="143">
      <c r="A143" s="37" t="n">
        <v>25689</v>
      </c>
      <c r="B143" s="84" t="n">
        <v>591.5</v>
      </c>
      <c r="C143" s="39">
        <f>(Table267[[#This Row],[M2 Money Stock, Billions of Dollars, Weekly, Seasonally Adjusted]]-B142)/B142</f>
        <v/>
      </c>
      <c r="D143" s="40">
        <f>((1+Table267[[#This Row],[Monthly change]])^12)-1</f>
        <v/>
      </c>
      <c r="E143" s="39">
        <f>(Table267[[#This Row],[M2 Money Stock, Billions of Dollars, Weekly, Seasonally Adjusted]]-B131)/B131</f>
        <v/>
      </c>
    </row>
    <row r="144">
      <c r="A144" s="37" t="n">
        <v>25720</v>
      </c>
      <c r="B144" s="84" t="n">
        <v>595.2</v>
      </c>
      <c r="C144" s="39">
        <f>(Table267[[#This Row],[M2 Money Stock, Billions of Dollars, Weekly, Seasonally Adjusted]]-B143)/B143</f>
        <v/>
      </c>
      <c r="D144" s="40">
        <f>((1+Table267[[#This Row],[Monthly change]])^12)-1</f>
        <v/>
      </c>
      <c r="E144" s="39">
        <f>(Table267[[#This Row],[M2 Money Stock, Billions of Dollars, Weekly, Seasonally Adjusted]]-B132)/B132</f>
        <v/>
      </c>
    </row>
    <row r="145">
      <c r="A145" s="37" t="n">
        <v>25750</v>
      </c>
      <c r="B145" s="84" t="n">
        <v>599.1</v>
      </c>
      <c r="C145" s="39">
        <f>(Table267[[#This Row],[M2 Money Stock, Billions of Dollars, Weekly, Seasonally Adjusted]]-B144)/B144</f>
        <v/>
      </c>
      <c r="D145" s="40">
        <f>((1+Table267[[#This Row],[Monthly change]])^12)-1</f>
        <v/>
      </c>
      <c r="E145" s="39">
        <f>(Table267[[#This Row],[M2 Money Stock, Billions of Dollars, Weekly, Seasonally Adjusted]]-B133)/B133</f>
        <v/>
      </c>
    </row>
    <row r="146">
      <c r="A146" s="37" t="n">
        <v>25781</v>
      </c>
      <c r="B146" s="84" t="n">
        <v>604.9</v>
      </c>
      <c r="C146" s="39">
        <f>(Table267[[#This Row],[M2 Money Stock, Billions of Dollars, Weekly, Seasonally Adjusted]]-B145)/B145</f>
        <v/>
      </c>
      <c r="D146" s="40">
        <f>((1+Table267[[#This Row],[Monthly change]])^12)-1</f>
        <v/>
      </c>
      <c r="E146" s="39">
        <f>(Table267[[#This Row],[M2 Money Stock, Billions of Dollars, Weekly, Seasonally Adjusted]]-B134)/B134</f>
        <v/>
      </c>
    </row>
    <row r="147">
      <c r="A147" s="37" t="n">
        <v>25812</v>
      </c>
      <c r="B147" s="84" t="n">
        <v>611.2</v>
      </c>
      <c r="C147" s="39">
        <f>(Table267[[#This Row],[M2 Money Stock, Billions of Dollars, Weekly, Seasonally Adjusted]]-B146)/B146</f>
        <v/>
      </c>
      <c r="D147" s="40">
        <f>((1+Table267[[#This Row],[Monthly change]])^12)-1</f>
        <v/>
      </c>
      <c r="E147" s="39">
        <f>(Table267[[#This Row],[M2 Money Stock, Billions of Dollars, Weekly, Seasonally Adjusted]]-B135)/B135</f>
        <v/>
      </c>
    </row>
    <row r="148">
      <c r="A148" s="37" t="n">
        <v>25842</v>
      </c>
      <c r="B148" s="84" t="n">
        <v>616.4</v>
      </c>
      <c r="C148" s="39">
        <f>(Table267[[#This Row],[M2 Money Stock, Billions of Dollars, Weekly, Seasonally Adjusted]]-B147)/B147</f>
        <v/>
      </c>
      <c r="D148" s="40">
        <f>((1+Table267[[#This Row],[Monthly change]])^12)-1</f>
        <v/>
      </c>
      <c r="E148" s="39">
        <f>(Table267[[#This Row],[M2 Money Stock, Billions of Dollars, Weekly, Seasonally Adjusted]]-B136)/B136</f>
        <v/>
      </c>
    </row>
    <row r="149">
      <c r="A149" s="37" t="n">
        <v>25873</v>
      </c>
      <c r="B149" s="84" t="n">
        <v>621.1</v>
      </c>
      <c r="C149" s="39">
        <f>(Table267[[#This Row],[M2 Money Stock, Billions of Dollars, Weekly, Seasonally Adjusted]]-B148)/B148</f>
        <v/>
      </c>
      <c r="D149" s="40">
        <f>((1+Table267[[#This Row],[Monthly change]])^12)-1</f>
        <v/>
      </c>
      <c r="E149" s="39">
        <f>(Table267[[#This Row],[M2 Money Stock, Billions of Dollars, Weekly, Seasonally Adjusted]]-B137)/B137</f>
        <v/>
      </c>
    </row>
    <row r="150">
      <c r="A150" s="37" t="n">
        <v>25903</v>
      </c>
      <c r="B150" s="84" t="n">
        <v>626.5</v>
      </c>
      <c r="C150" s="39">
        <f>(Table267[[#This Row],[M2 Money Stock, Billions of Dollars, Weekly, Seasonally Adjusted]]-B149)/B149</f>
        <v/>
      </c>
      <c r="D150" s="40">
        <f>((1+Table267[[#This Row],[Monthly change]])^12)-1</f>
        <v/>
      </c>
      <c r="E150" s="39">
        <f>(Table267[[#This Row],[M2 Money Stock, Billions of Dollars, Weekly, Seasonally Adjusted]]-B138)/B138</f>
        <v/>
      </c>
    </row>
    <row r="151">
      <c r="A151" s="37" t="n">
        <v>25934</v>
      </c>
      <c r="B151" s="84" t="n">
        <v>632.9</v>
      </c>
      <c r="C151" s="39">
        <f>(Table267[[#This Row],[M2 Money Stock, Billions of Dollars, Weekly, Seasonally Adjusted]]-B150)/B150</f>
        <v/>
      </c>
      <c r="D151" s="40">
        <f>((1+Table267[[#This Row],[Monthly change]])^12)-1</f>
        <v/>
      </c>
      <c r="E151" s="39">
        <f>(Table267[[#This Row],[M2 Money Stock, Billions of Dollars, Weekly, Seasonally Adjusted]]-B139)/B139</f>
        <v/>
      </c>
    </row>
    <row r="152">
      <c r="A152" s="37" t="n">
        <v>25965</v>
      </c>
      <c r="B152" s="84" t="n">
        <v>641</v>
      </c>
      <c r="C152" s="39">
        <f>(Table267[[#This Row],[M2 Money Stock, Billions of Dollars, Weekly, Seasonally Adjusted]]-B151)/B151</f>
        <v/>
      </c>
      <c r="D152" s="40">
        <f>((1+Table267[[#This Row],[Monthly change]])^12)-1</f>
        <v/>
      </c>
      <c r="E152" s="39">
        <f>(Table267[[#This Row],[M2 Money Stock, Billions of Dollars, Weekly, Seasonally Adjusted]]-B140)/B140</f>
        <v/>
      </c>
    </row>
    <row r="153">
      <c r="A153" s="37" t="n">
        <v>25993</v>
      </c>
      <c r="B153" s="84" t="n">
        <v>649.9</v>
      </c>
      <c r="C153" s="39">
        <f>(Table267[[#This Row],[M2 Money Stock, Billions of Dollars, Weekly, Seasonally Adjusted]]-B152)/B152</f>
        <v/>
      </c>
      <c r="D153" s="40">
        <f>((1+Table267[[#This Row],[Monthly change]])^12)-1</f>
        <v/>
      </c>
      <c r="E153" s="39">
        <f>(Table267[[#This Row],[M2 Money Stock, Billions of Dollars, Weekly, Seasonally Adjusted]]-B141)/B141</f>
        <v/>
      </c>
    </row>
    <row r="154">
      <c r="A154" s="37" t="n">
        <v>26024</v>
      </c>
      <c r="B154" s="84" t="n">
        <v>658.4</v>
      </c>
      <c r="C154" s="39">
        <f>(Table267[[#This Row],[M2 Money Stock, Billions of Dollars, Weekly, Seasonally Adjusted]]-B153)/B153</f>
        <v/>
      </c>
      <c r="D154" s="40">
        <f>((1+Table267[[#This Row],[Monthly change]])^12)-1</f>
        <v/>
      </c>
      <c r="E154" s="39">
        <f>(Table267[[#This Row],[M2 Money Stock, Billions of Dollars, Weekly, Seasonally Adjusted]]-B142)/B142</f>
        <v/>
      </c>
    </row>
    <row r="155">
      <c r="A155" s="37" t="n">
        <v>26054</v>
      </c>
      <c r="B155" s="84" t="n">
        <v>666.7</v>
      </c>
      <c r="C155" s="39">
        <f>(Table267[[#This Row],[M2 Money Stock, Billions of Dollars, Weekly, Seasonally Adjusted]]-B154)/B154</f>
        <v/>
      </c>
      <c r="D155" s="40">
        <f>((1+Table267[[#This Row],[Monthly change]])^12)-1</f>
        <v/>
      </c>
      <c r="E155" s="39">
        <f>(Table267[[#This Row],[M2 Money Stock, Billions of Dollars, Weekly, Seasonally Adjusted]]-B143)/B143</f>
        <v/>
      </c>
    </row>
    <row r="156">
      <c r="A156" s="37" t="n">
        <v>26085</v>
      </c>
      <c r="B156" s="84" t="n">
        <v>673</v>
      </c>
      <c r="C156" s="39">
        <f>(Table267[[#This Row],[M2 Money Stock, Billions of Dollars, Weekly, Seasonally Adjusted]]-B155)/B155</f>
        <v/>
      </c>
      <c r="D156" s="40">
        <f>((1+Table267[[#This Row],[Monthly change]])^12)-1</f>
        <v/>
      </c>
      <c r="E156" s="39">
        <f>(Table267[[#This Row],[M2 Money Stock, Billions of Dollars, Weekly, Seasonally Adjusted]]-B144)/B144</f>
        <v/>
      </c>
    </row>
    <row r="157">
      <c r="A157" s="37" t="n">
        <v>26115</v>
      </c>
      <c r="B157" s="84" t="n">
        <v>679.6</v>
      </c>
      <c r="C157" s="39">
        <f>(Table267[[#This Row],[M2 Money Stock, Billions of Dollars, Weekly, Seasonally Adjusted]]-B156)/B156</f>
        <v/>
      </c>
      <c r="D157" s="40">
        <f>((1+Table267[[#This Row],[Monthly change]])^12)-1</f>
        <v/>
      </c>
      <c r="E157" s="39">
        <f>(Table267[[#This Row],[M2 Money Stock, Billions of Dollars, Weekly, Seasonally Adjusted]]-B145)/B145</f>
        <v/>
      </c>
    </row>
    <row r="158">
      <c r="A158" s="37" t="n">
        <v>26146</v>
      </c>
      <c r="B158" s="84" t="n">
        <v>685.5</v>
      </c>
      <c r="C158" s="39">
        <f>(Table267[[#This Row],[M2 Money Stock, Billions of Dollars, Weekly, Seasonally Adjusted]]-B157)/B157</f>
        <v/>
      </c>
      <c r="D158" s="40">
        <f>((1+Table267[[#This Row],[Monthly change]])^12)-1</f>
        <v/>
      </c>
      <c r="E158" s="39">
        <f>(Table267[[#This Row],[M2 Money Stock, Billions of Dollars, Weekly, Seasonally Adjusted]]-B146)/B146</f>
        <v/>
      </c>
    </row>
    <row r="159">
      <c r="A159" s="37" t="n">
        <v>26177</v>
      </c>
      <c r="B159" s="84" t="n">
        <v>692.5</v>
      </c>
      <c r="C159" s="39">
        <f>(Table267[[#This Row],[M2 Money Stock, Billions of Dollars, Weekly, Seasonally Adjusted]]-B158)/B158</f>
        <v/>
      </c>
      <c r="D159" s="40">
        <f>((1+Table267[[#This Row],[Monthly change]])^12)-1</f>
        <v/>
      </c>
      <c r="E159" s="39">
        <f>(Table267[[#This Row],[M2 Money Stock, Billions of Dollars, Weekly, Seasonally Adjusted]]-B147)/B147</f>
        <v/>
      </c>
    </row>
    <row r="160">
      <c r="A160" s="37" t="n">
        <v>26207</v>
      </c>
      <c r="B160" s="84" t="n">
        <v>698.4</v>
      </c>
      <c r="C160" s="39">
        <f>(Table267[[#This Row],[M2 Money Stock, Billions of Dollars, Weekly, Seasonally Adjusted]]-B159)/B159</f>
        <v/>
      </c>
      <c r="D160" s="40">
        <f>((1+Table267[[#This Row],[Monthly change]])^12)-1</f>
        <v/>
      </c>
      <c r="E160" s="39">
        <f>(Table267[[#This Row],[M2 Money Stock, Billions of Dollars, Weekly, Seasonally Adjusted]]-B148)/B148</f>
        <v/>
      </c>
    </row>
    <row r="161">
      <c r="A161" s="37" t="n">
        <v>26238</v>
      </c>
      <c r="B161" s="84" t="n">
        <v>704.6</v>
      </c>
      <c r="C161" s="39">
        <f>(Table267[[#This Row],[M2 Money Stock, Billions of Dollars, Weekly, Seasonally Adjusted]]-B160)/B160</f>
        <v/>
      </c>
      <c r="D161" s="40">
        <f>((1+Table267[[#This Row],[Monthly change]])^12)-1</f>
        <v/>
      </c>
      <c r="E161" s="39">
        <f>(Table267[[#This Row],[M2 Money Stock, Billions of Dollars, Weekly, Seasonally Adjusted]]-B149)/B149</f>
        <v/>
      </c>
    </row>
    <row r="162">
      <c r="A162" s="37" t="n">
        <v>26268</v>
      </c>
      <c r="B162" s="84" t="n">
        <v>710.3</v>
      </c>
      <c r="C162" s="39">
        <f>(Table267[[#This Row],[M2 Money Stock, Billions of Dollars, Weekly, Seasonally Adjusted]]-B161)/B161</f>
        <v/>
      </c>
      <c r="D162" s="40">
        <f>((1+Table267[[#This Row],[Monthly change]])^12)-1</f>
        <v/>
      </c>
      <c r="E162" s="39">
        <f>(Table267[[#This Row],[M2 Money Stock, Billions of Dollars, Weekly, Seasonally Adjusted]]-B150)/B150</f>
        <v/>
      </c>
    </row>
    <row r="163">
      <c r="A163" s="37" t="n">
        <v>26299</v>
      </c>
      <c r="B163" s="84" t="n">
        <v>717.7</v>
      </c>
      <c r="C163" s="39">
        <f>(Table267[[#This Row],[M2 Money Stock, Billions of Dollars, Weekly, Seasonally Adjusted]]-B162)/B162</f>
        <v/>
      </c>
      <c r="D163" s="40">
        <f>((1+Table267[[#This Row],[Monthly change]])^12)-1</f>
        <v/>
      </c>
      <c r="E163" s="39">
        <f>(Table267[[#This Row],[M2 Money Stock, Billions of Dollars, Weekly, Seasonally Adjusted]]-B151)/B151</f>
        <v/>
      </c>
    </row>
    <row r="164">
      <c r="A164" s="37" t="n">
        <v>26330</v>
      </c>
      <c r="B164" s="84" t="n">
        <v>725.7</v>
      </c>
      <c r="C164" s="39">
        <f>(Table267[[#This Row],[M2 Money Stock, Billions of Dollars, Weekly, Seasonally Adjusted]]-B163)/B163</f>
        <v/>
      </c>
      <c r="D164" s="40">
        <f>((1+Table267[[#This Row],[Monthly change]])^12)-1</f>
        <v/>
      </c>
      <c r="E164" s="39">
        <f>(Table267[[#This Row],[M2 Money Stock, Billions of Dollars, Weekly, Seasonally Adjusted]]-B152)/B152</f>
        <v/>
      </c>
    </row>
    <row r="165">
      <c r="A165" s="37" t="n">
        <v>26359</v>
      </c>
      <c r="B165" s="84" t="n">
        <v>733.5</v>
      </c>
      <c r="C165" s="39">
        <f>(Table267[[#This Row],[M2 Money Stock, Billions of Dollars, Weekly, Seasonally Adjusted]]-B164)/B164</f>
        <v/>
      </c>
      <c r="D165" s="40">
        <f>((1+Table267[[#This Row],[Monthly change]])^12)-1</f>
        <v/>
      </c>
      <c r="E165" s="39">
        <f>(Table267[[#This Row],[M2 Money Stock, Billions of Dollars, Weekly, Seasonally Adjusted]]-B153)/B153</f>
        <v/>
      </c>
    </row>
    <row r="166">
      <c r="A166" s="37" t="n">
        <v>26390</v>
      </c>
      <c r="B166" s="84" t="n">
        <v>738.4</v>
      </c>
      <c r="C166" s="39">
        <f>(Table267[[#This Row],[M2 Money Stock, Billions of Dollars, Weekly, Seasonally Adjusted]]-B165)/B165</f>
        <v/>
      </c>
      <c r="D166" s="40">
        <f>((1+Table267[[#This Row],[Monthly change]])^12)-1</f>
        <v/>
      </c>
      <c r="E166" s="39">
        <f>(Table267[[#This Row],[M2 Money Stock, Billions of Dollars, Weekly, Seasonally Adjusted]]-B154)/B154</f>
        <v/>
      </c>
    </row>
    <row r="167">
      <c r="A167" s="37" t="n">
        <v>26420</v>
      </c>
      <c r="B167" s="84" t="n">
        <v>743.3</v>
      </c>
      <c r="C167" s="39">
        <f>(Table267[[#This Row],[M2 Money Stock, Billions of Dollars, Weekly, Seasonally Adjusted]]-B166)/B166</f>
        <v/>
      </c>
      <c r="D167" s="40">
        <f>((1+Table267[[#This Row],[Monthly change]])^12)-1</f>
        <v/>
      </c>
      <c r="E167" s="39">
        <f>(Table267[[#This Row],[M2 Money Stock, Billions of Dollars, Weekly, Seasonally Adjusted]]-B155)/B155</f>
        <v/>
      </c>
    </row>
    <row r="168">
      <c r="A168" s="37" t="n">
        <v>26451</v>
      </c>
      <c r="B168" s="84" t="n">
        <v>749.7</v>
      </c>
      <c r="C168" s="39">
        <f>(Table267[[#This Row],[M2 Money Stock, Billions of Dollars, Weekly, Seasonally Adjusted]]-B167)/B167</f>
        <v/>
      </c>
      <c r="D168" s="40">
        <f>((1+Table267[[#This Row],[Monthly change]])^12)-1</f>
        <v/>
      </c>
      <c r="E168" s="39">
        <f>(Table267[[#This Row],[M2 Money Stock, Billions of Dollars, Weekly, Seasonally Adjusted]]-B156)/B156</f>
        <v/>
      </c>
    </row>
    <row r="169">
      <c r="A169" s="37" t="n">
        <v>26481</v>
      </c>
      <c r="B169" s="84" t="n">
        <v>759.5</v>
      </c>
      <c r="C169" s="39">
        <f>(Table267[[#This Row],[M2 Money Stock, Billions of Dollars, Weekly, Seasonally Adjusted]]-B168)/B168</f>
        <v/>
      </c>
      <c r="D169" s="40">
        <f>((1+Table267[[#This Row],[Monthly change]])^12)-1</f>
        <v/>
      </c>
      <c r="E169" s="39">
        <f>(Table267[[#This Row],[M2 Money Stock, Billions of Dollars, Weekly, Seasonally Adjusted]]-B157)/B157</f>
        <v/>
      </c>
    </row>
    <row r="170">
      <c r="A170" s="37" t="n">
        <v>26512</v>
      </c>
      <c r="B170" s="84" t="n">
        <v>768.7</v>
      </c>
      <c r="C170" s="39">
        <f>(Table267[[#This Row],[M2 Money Stock, Billions of Dollars, Weekly, Seasonally Adjusted]]-B169)/B169</f>
        <v/>
      </c>
      <c r="D170" s="40">
        <f>((1+Table267[[#This Row],[Monthly change]])^12)-1</f>
        <v/>
      </c>
      <c r="E170" s="39">
        <f>(Table267[[#This Row],[M2 Money Stock, Billions of Dollars, Weekly, Seasonally Adjusted]]-B158)/B158</f>
        <v/>
      </c>
    </row>
    <row r="171">
      <c r="A171" s="37" t="n">
        <v>26543</v>
      </c>
      <c r="B171" s="84" t="n">
        <v>778.3</v>
      </c>
      <c r="C171" s="39">
        <f>(Table267[[#This Row],[M2 Money Stock, Billions of Dollars, Weekly, Seasonally Adjusted]]-B170)/B170</f>
        <v/>
      </c>
      <c r="D171" s="40">
        <f>((1+Table267[[#This Row],[Monthly change]])^12)-1</f>
        <v/>
      </c>
      <c r="E171" s="39">
        <f>(Table267[[#This Row],[M2 Money Stock, Billions of Dollars, Weekly, Seasonally Adjusted]]-B159)/B159</f>
        <v/>
      </c>
    </row>
    <row r="172">
      <c r="A172" s="37" t="n">
        <v>26573</v>
      </c>
      <c r="B172" s="84" t="n">
        <v>786.9</v>
      </c>
      <c r="C172" s="39">
        <f>(Table267[[#This Row],[M2 Money Stock, Billions of Dollars, Weekly, Seasonally Adjusted]]-B171)/B171</f>
        <v/>
      </c>
      <c r="D172" s="40">
        <f>((1+Table267[[#This Row],[Monthly change]])^12)-1</f>
        <v/>
      </c>
      <c r="E172" s="39">
        <f>(Table267[[#This Row],[M2 Money Stock, Billions of Dollars, Weekly, Seasonally Adjusted]]-B160)/B160</f>
        <v/>
      </c>
    </row>
    <row r="173">
      <c r="A173" s="37" t="n">
        <v>26604</v>
      </c>
      <c r="B173" s="84" t="n">
        <v>793.9</v>
      </c>
      <c r="C173" s="39">
        <f>(Table267[[#This Row],[M2 Money Stock, Billions of Dollars, Weekly, Seasonally Adjusted]]-B172)/B172</f>
        <v/>
      </c>
      <c r="D173" s="40">
        <f>((1+Table267[[#This Row],[Monthly change]])^12)-1</f>
        <v/>
      </c>
      <c r="E173" s="39">
        <f>(Table267[[#This Row],[M2 Money Stock, Billions of Dollars, Weekly, Seasonally Adjusted]]-B161)/B161</f>
        <v/>
      </c>
    </row>
    <row r="174">
      <c r="A174" s="37" t="n">
        <v>26634</v>
      </c>
      <c r="B174" s="84" t="n">
        <v>802.3</v>
      </c>
      <c r="C174" s="39">
        <f>(Table267[[#This Row],[M2 Money Stock, Billions of Dollars, Weekly, Seasonally Adjusted]]-B173)/B173</f>
        <v/>
      </c>
      <c r="D174" s="40">
        <f>((1+Table267[[#This Row],[Monthly change]])^12)-1</f>
        <v/>
      </c>
      <c r="E174" s="39">
        <f>(Table267[[#This Row],[M2 Money Stock, Billions of Dollars, Weekly, Seasonally Adjusted]]-B162)/B162</f>
        <v/>
      </c>
    </row>
    <row r="175">
      <c r="A175" s="37" t="n">
        <v>26665</v>
      </c>
      <c r="B175" s="84" t="n">
        <v>810.3</v>
      </c>
      <c r="C175" s="39">
        <f>(Table267[[#This Row],[M2 Money Stock, Billions of Dollars, Weekly, Seasonally Adjusted]]-B174)/B174</f>
        <v/>
      </c>
      <c r="D175" s="40">
        <f>((1+Table267[[#This Row],[Monthly change]])^12)-1</f>
        <v/>
      </c>
      <c r="E175" s="39">
        <f>(Table267[[#This Row],[M2 Money Stock, Billions of Dollars, Weekly, Seasonally Adjusted]]-B163)/B163</f>
        <v/>
      </c>
    </row>
    <row r="176">
      <c r="A176" s="37" t="n">
        <v>26696</v>
      </c>
      <c r="B176" s="84" t="n">
        <v>814.1</v>
      </c>
      <c r="C176" s="39">
        <f>(Table267[[#This Row],[M2 Money Stock, Billions of Dollars, Weekly, Seasonally Adjusted]]-B175)/B175</f>
        <v/>
      </c>
      <c r="D176" s="40">
        <f>((1+Table267[[#This Row],[Monthly change]])^12)-1</f>
        <v/>
      </c>
      <c r="E176" s="39">
        <f>(Table267[[#This Row],[M2 Money Stock, Billions of Dollars, Weekly, Seasonally Adjusted]]-B164)/B164</f>
        <v/>
      </c>
    </row>
    <row r="177">
      <c r="A177" s="37" t="n">
        <v>26724</v>
      </c>
      <c r="B177" s="84" t="n">
        <v>815.3</v>
      </c>
      <c r="C177" s="39">
        <f>(Table267[[#This Row],[M2 Money Stock, Billions of Dollars, Weekly, Seasonally Adjusted]]-B176)/B176</f>
        <v/>
      </c>
      <c r="D177" s="40">
        <f>((1+Table267[[#This Row],[Monthly change]])^12)-1</f>
        <v/>
      </c>
      <c r="E177" s="39">
        <f>(Table267[[#This Row],[M2 Money Stock, Billions of Dollars, Weekly, Seasonally Adjusted]]-B165)/B165</f>
        <v/>
      </c>
    </row>
    <row r="178">
      <c r="A178" s="37" t="n">
        <v>26755</v>
      </c>
      <c r="B178" s="84" t="n">
        <v>819.7</v>
      </c>
      <c r="C178" s="39">
        <f>(Table267[[#This Row],[M2 Money Stock, Billions of Dollars, Weekly, Seasonally Adjusted]]-B177)/B177</f>
        <v/>
      </c>
      <c r="D178" s="40">
        <f>((1+Table267[[#This Row],[Monthly change]])^12)-1</f>
        <v/>
      </c>
      <c r="E178" s="39">
        <f>(Table267[[#This Row],[M2 Money Stock, Billions of Dollars, Weekly, Seasonally Adjusted]]-B166)/B166</f>
        <v/>
      </c>
    </row>
    <row r="179">
      <c r="A179" s="37" t="n">
        <v>26785</v>
      </c>
      <c r="B179" s="84" t="n">
        <v>826.8</v>
      </c>
      <c r="C179" s="39">
        <f>(Table267[[#This Row],[M2 Money Stock, Billions of Dollars, Weekly, Seasonally Adjusted]]-B178)/B178</f>
        <v/>
      </c>
      <c r="D179" s="40">
        <f>((1+Table267[[#This Row],[Monthly change]])^12)-1</f>
        <v/>
      </c>
      <c r="E179" s="39">
        <f>(Table267[[#This Row],[M2 Money Stock, Billions of Dollars, Weekly, Seasonally Adjusted]]-B167)/B167</f>
        <v/>
      </c>
    </row>
    <row r="180">
      <c r="A180" s="37" t="n">
        <v>26816</v>
      </c>
      <c r="B180" s="84" t="n">
        <v>833.3</v>
      </c>
      <c r="C180" s="39">
        <f>(Table267[[#This Row],[M2 Money Stock, Billions of Dollars, Weekly, Seasonally Adjusted]]-B179)/B179</f>
        <v/>
      </c>
      <c r="D180" s="40">
        <f>((1+Table267[[#This Row],[Monthly change]])^12)-1</f>
        <v/>
      </c>
      <c r="E180" s="39">
        <f>(Table267[[#This Row],[M2 Money Stock, Billions of Dollars, Weekly, Seasonally Adjusted]]-B168)/B168</f>
        <v/>
      </c>
    </row>
    <row r="181">
      <c r="A181" s="37" t="n">
        <v>26846</v>
      </c>
      <c r="B181" s="84" t="n">
        <v>836.5</v>
      </c>
      <c r="C181" s="39">
        <f>(Table267[[#This Row],[M2 Money Stock, Billions of Dollars, Weekly, Seasonally Adjusted]]-B180)/B180</f>
        <v/>
      </c>
      <c r="D181" s="40">
        <f>((1+Table267[[#This Row],[Monthly change]])^12)-1</f>
        <v/>
      </c>
      <c r="E181" s="39">
        <f>(Table267[[#This Row],[M2 Money Stock, Billions of Dollars, Weekly, Seasonally Adjusted]]-B169)/B169</f>
        <v/>
      </c>
    </row>
    <row r="182">
      <c r="A182" s="37" t="n">
        <v>26877</v>
      </c>
      <c r="B182" s="84" t="n">
        <v>838.8</v>
      </c>
      <c r="C182" s="39">
        <f>(Table267[[#This Row],[M2 Money Stock, Billions of Dollars, Weekly, Seasonally Adjusted]]-B181)/B181</f>
        <v/>
      </c>
      <c r="D182" s="40">
        <f>((1+Table267[[#This Row],[Monthly change]])^12)-1</f>
        <v/>
      </c>
      <c r="E182" s="39">
        <f>(Table267[[#This Row],[M2 Money Stock, Billions of Dollars, Weekly, Seasonally Adjusted]]-B170)/B170</f>
        <v/>
      </c>
    </row>
    <row r="183">
      <c r="A183" s="37" t="n">
        <v>26908</v>
      </c>
      <c r="B183" s="84" t="n">
        <v>839.3</v>
      </c>
      <c r="C183" s="39">
        <f>(Table267[[#This Row],[M2 Money Stock, Billions of Dollars, Weekly, Seasonally Adjusted]]-B182)/B182</f>
        <v/>
      </c>
      <c r="D183" s="40">
        <f>((1+Table267[[#This Row],[Monthly change]])^12)-1</f>
        <v/>
      </c>
      <c r="E183" s="39">
        <f>(Table267[[#This Row],[M2 Money Stock, Billions of Dollars, Weekly, Seasonally Adjusted]]-B171)/B171</f>
        <v/>
      </c>
    </row>
    <row r="184">
      <c r="A184" s="37" t="n">
        <v>26938</v>
      </c>
      <c r="B184" s="84" t="n">
        <v>842.6</v>
      </c>
      <c r="C184" s="39">
        <f>(Table267[[#This Row],[M2 Money Stock, Billions of Dollars, Weekly, Seasonally Adjusted]]-B183)/B183</f>
        <v/>
      </c>
      <c r="D184" s="40">
        <f>((1+Table267[[#This Row],[Monthly change]])^12)-1</f>
        <v/>
      </c>
      <c r="E184" s="39">
        <f>(Table267[[#This Row],[M2 Money Stock, Billions of Dollars, Weekly, Seasonally Adjusted]]-B172)/B172</f>
        <v/>
      </c>
    </row>
    <row r="185">
      <c r="A185" s="37" t="n">
        <v>26969</v>
      </c>
      <c r="B185" s="84" t="n">
        <v>848.9</v>
      </c>
      <c r="C185" s="39">
        <f>(Table267[[#This Row],[M2 Money Stock, Billions of Dollars, Weekly, Seasonally Adjusted]]-B184)/B184</f>
        <v/>
      </c>
      <c r="D185" s="40">
        <f>((1+Table267[[#This Row],[Monthly change]])^12)-1</f>
        <v/>
      </c>
      <c r="E185" s="39">
        <f>(Table267[[#This Row],[M2 Money Stock, Billions of Dollars, Weekly, Seasonally Adjusted]]-B173)/B173</f>
        <v/>
      </c>
    </row>
    <row r="186">
      <c r="A186" s="37" t="n">
        <v>26999</v>
      </c>
      <c r="B186" s="84" t="n">
        <v>855.5</v>
      </c>
      <c r="C186" s="39">
        <f>(Table267[[#This Row],[M2 Money Stock, Billions of Dollars, Weekly, Seasonally Adjusted]]-B185)/B185</f>
        <v/>
      </c>
      <c r="D186" s="40">
        <f>((1+Table267[[#This Row],[Monthly change]])^12)-1</f>
        <v/>
      </c>
      <c r="E186" s="39">
        <f>(Table267[[#This Row],[M2 Money Stock, Billions of Dollars, Weekly, Seasonally Adjusted]]-B174)/B174</f>
        <v/>
      </c>
    </row>
    <row r="187">
      <c r="A187" s="37" t="n">
        <v>27030</v>
      </c>
      <c r="B187" s="84" t="n">
        <v>859.7</v>
      </c>
      <c r="C187" s="39">
        <f>(Table267[[#This Row],[M2 Money Stock, Billions of Dollars, Weekly, Seasonally Adjusted]]-B186)/B186</f>
        <v/>
      </c>
      <c r="D187" s="40">
        <f>((1+Table267[[#This Row],[Monthly change]])^12)-1</f>
        <v/>
      </c>
      <c r="E187" s="39">
        <f>(Table267[[#This Row],[M2 Money Stock, Billions of Dollars, Weekly, Seasonally Adjusted]]-B175)/B175</f>
        <v/>
      </c>
    </row>
    <row r="188">
      <c r="A188" s="37" t="n">
        <v>27061</v>
      </c>
      <c r="B188" s="84" t="n">
        <v>864.2</v>
      </c>
      <c r="C188" s="39">
        <f>(Table267[[#This Row],[M2 Money Stock, Billions of Dollars, Weekly, Seasonally Adjusted]]-B187)/B187</f>
        <v/>
      </c>
      <c r="D188" s="40">
        <f>((1+Table267[[#This Row],[Monthly change]])^12)-1</f>
        <v/>
      </c>
      <c r="E188" s="39">
        <f>(Table267[[#This Row],[M2 Money Stock, Billions of Dollars, Weekly, Seasonally Adjusted]]-B176)/B176</f>
        <v/>
      </c>
    </row>
    <row r="189">
      <c r="A189" s="37" t="n">
        <v>27089</v>
      </c>
      <c r="B189" s="84" t="n">
        <v>870.1</v>
      </c>
      <c r="C189" s="39">
        <f>(Table267[[#This Row],[M2 Money Stock, Billions of Dollars, Weekly, Seasonally Adjusted]]-B188)/B188</f>
        <v/>
      </c>
      <c r="D189" s="40">
        <f>((1+Table267[[#This Row],[Monthly change]])^12)-1</f>
        <v/>
      </c>
      <c r="E189" s="39">
        <f>(Table267[[#This Row],[M2 Money Stock, Billions of Dollars, Weekly, Seasonally Adjusted]]-B177)/B177</f>
        <v/>
      </c>
    </row>
    <row r="190">
      <c r="A190" s="37" t="n">
        <v>27120</v>
      </c>
      <c r="B190" s="84" t="n">
        <v>872.9</v>
      </c>
      <c r="C190" s="39">
        <f>(Table267[[#This Row],[M2 Money Stock, Billions of Dollars, Weekly, Seasonally Adjusted]]-B189)/B189</f>
        <v/>
      </c>
      <c r="D190" s="40">
        <f>((1+Table267[[#This Row],[Monthly change]])^12)-1</f>
        <v/>
      </c>
      <c r="E190" s="39">
        <f>(Table267[[#This Row],[M2 Money Stock, Billions of Dollars, Weekly, Seasonally Adjusted]]-B178)/B178</f>
        <v/>
      </c>
    </row>
    <row r="191">
      <c r="A191" s="37" t="n">
        <v>27150</v>
      </c>
      <c r="B191" s="84" t="n">
        <v>874.6</v>
      </c>
      <c r="C191" s="39">
        <f>(Table267[[#This Row],[M2 Money Stock, Billions of Dollars, Weekly, Seasonally Adjusted]]-B190)/B190</f>
        <v/>
      </c>
      <c r="D191" s="40">
        <f>((1+Table267[[#This Row],[Monthly change]])^12)-1</f>
        <v/>
      </c>
      <c r="E191" s="39">
        <f>(Table267[[#This Row],[M2 Money Stock, Billions of Dollars, Weekly, Seasonally Adjusted]]-B179)/B179</f>
        <v/>
      </c>
    </row>
    <row r="192">
      <c r="A192" s="37" t="n">
        <v>27181</v>
      </c>
      <c r="B192" s="84" t="n">
        <v>877.8</v>
      </c>
      <c r="C192" s="39">
        <f>(Table267[[#This Row],[M2 Money Stock, Billions of Dollars, Weekly, Seasonally Adjusted]]-B191)/B191</f>
        <v/>
      </c>
      <c r="D192" s="40">
        <f>((1+Table267[[#This Row],[Monthly change]])^12)-1</f>
        <v/>
      </c>
      <c r="E192" s="39">
        <f>(Table267[[#This Row],[M2 Money Stock, Billions of Dollars, Weekly, Seasonally Adjusted]]-B180)/B180</f>
        <v/>
      </c>
    </row>
    <row r="193">
      <c r="A193" s="37" t="n">
        <v>27211</v>
      </c>
      <c r="B193" s="84" t="n">
        <v>881.4</v>
      </c>
      <c r="C193" s="39">
        <f>(Table267[[#This Row],[M2 Money Stock, Billions of Dollars, Weekly, Seasonally Adjusted]]-B192)/B192</f>
        <v/>
      </c>
      <c r="D193" s="40">
        <f>((1+Table267[[#This Row],[Monthly change]])^12)-1</f>
        <v/>
      </c>
      <c r="E193" s="39">
        <f>(Table267[[#This Row],[M2 Money Stock, Billions of Dollars, Weekly, Seasonally Adjusted]]-B181)/B181</f>
        <v/>
      </c>
    </row>
    <row r="194">
      <c r="A194" s="37" t="n">
        <v>27242</v>
      </c>
      <c r="B194" s="84" t="n">
        <v>884.1</v>
      </c>
      <c r="C194" s="39">
        <f>(Table267[[#This Row],[M2 Money Stock, Billions of Dollars, Weekly, Seasonally Adjusted]]-B193)/B193</f>
        <v/>
      </c>
      <c r="D194" s="40">
        <f>((1+Table267[[#This Row],[Monthly change]])^12)-1</f>
        <v/>
      </c>
      <c r="E194" s="39">
        <f>(Table267[[#This Row],[M2 Money Stock, Billions of Dollars, Weekly, Seasonally Adjusted]]-B182)/B182</f>
        <v/>
      </c>
    </row>
    <row r="195">
      <c r="A195" s="37" t="n">
        <v>27273</v>
      </c>
      <c r="B195" s="84" t="n">
        <v>887.9</v>
      </c>
      <c r="C195" s="39">
        <f>(Table267[[#This Row],[M2 Money Stock, Billions of Dollars, Weekly, Seasonally Adjusted]]-B194)/B194</f>
        <v/>
      </c>
      <c r="D195" s="40">
        <f>((1+Table267[[#This Row],[Monthly change]])^12)-1</f>
        <v/>
      </c>
      <c r="E195" s="39">
        <f>(Table267[[#This Row],[M2 Money Stock, Billions of Dollars, Weekly, Seasonally Adjusted]]-B183)/B183</f>
        <v/>
      </c>
    </row>
    <row r="196">
      <c r="A196" s="37" t="n">
        <v>27303</v>
      </c>
      <c r="B196" s="84" t="n">
        <v>893.3</v>
      </c>
      <c r="C196" s="39">
        <f>(Table267[[#This Row],[M2 Money Stock, Billions of Dollars, Weekly, Seasonally Adjusted]]-B195)/B195</f>
        <v/>
      </c>
      <c r="D196" s="40">
        <f>((1+Table267[[#This Row],[Monthly change]])^12)-1</f>
        <v/>
      </c>
      <c r="E196" s="39">
        <f>(Table267[[#This Row],[M2 Money Stock, Billions of Dollars, Weekly, Seasonally Adjusted]]-B184)/B184</f>
        <v/>
      </c>
    </row>
    <row r="197">
      <c r="A197" s="37" t="n">
        <v>27334</v>
      </c>
      <c r="B197" s="84" t="n">
        <v>898.6</v>
      </c>
      <c r="C197" s="39">
        <f>(Table267[[#This Row],[M2 Money Stock, Billions of Dollars, Weekly, Seasonally Adjusted]]-B196)/B196</f>
        <v/>
      </c>
      <c r="D197" s="40">
        <f>((1+Table267[[#This Row],[Monthly change]])^12)-1</f>
        <v/>
      </c>
      <c r="E197" s="39">
        <f>(Table267[[#This Row],[M2 Money Stock, Billions of Dollars, Weekly, Seasonally Adjusted]]-B185)/B185</f>
        <v/>
      </c>
    </row>
    <row r="198">
      <c r="A198" s="37" t="n">
        <v>27364</v>
      </c>
      <c r="B198" s="84" t="n">
        <v>902.1</v>
      </c>
      <c r="C198" s="39">
        <f>(Table267[[#This Row],[M2 Money Stock, Billions of Dollars, Weekly, Seasonally Adjusted]]-B197)/B197</f>
        <v/>
      </c>
      <c r="D198" s="40">
        <f>((1+Table267[[#This Row],[Monthly change]])^12)-1</f>
        <v/>
      </c>
      <c r="E198" s="39">
        <f>(Table267[[#This Row],[M2 Money Stock, Billions of Dollars, Weekly, Seasonally Adjusted]]-B186)/B186</f>
        <v/>
      </c>
    </row>
    <row r="199">
      <c r="A199" s="37" t="n">
        <v>27395</v>
      </c>
      <c r="B199" s="84" t="n">
        <v>906.3</v>
      </c>
      <c r="C199" s="39">
        <f>(Table267[[#This Row],[M2 Money Stock, Billions of Dollars, Weekly, Seasonally Adjusted]]-B198)/B198</f>
        <v/>
      </c>
      <c r="D199" s="40">
        <f>((1+Table267[[#This Row],[Monthly change]])^12)-1</f>
        <v/>
      </c>
      <c r="E199" s="39">
        <f>(Table267[[#This Row],[M2 Money Stock, Billions of Dollars, Weekly, Seasonally Adjusted]]-B187)/B187</f>
        <v/>
      </c>
    </row>
    <row r="200">
      <c r="A200" s="37" t="n">
        <v>27426</v>
      </c>
      <c r="B200" s="84" t="n">
        <v>914.1</v>
      </c>
      <c r="C200" s="39">
        <f>(Table267[[#This Row],[M2 Money Stock, Billions of Dollars, Weekly, Seasonally Adjusted]]-B199)/B199</f>
        <v/>
      </c>
      <c r="D200" s="40">
        <f>((1+Table267[[#This Row],[Monthly change]])^12)-1</f>
        <v/>
      </c>
      <c r="E200" s="39">
        <f>(Table267[[#This Row],[M2 Money Stock, Billions of Dollars, Weekly, Seasonally Adjusted]]-B188)/B188</f>
        <v/>
      </c>
    </row>
    <row r="201">
      <c r="A201" s="37" t="n">
        <v>27454</v>
      </c>
      <c r="B201" s="84" t="n">
        <v>925</v>
      </c>
      <c r="C201" s="39">
        <f>(Table267[[#This Row],[M2 Money Stock, Billions of Dollars, Weekly, Seasonally Adjusted]]-B200)/B200</f>
        <v/>
      </c>
      <c r="D201" s="40">
        <f>((1+Table267[[#This Row],[Monthly change]])^12)-1</f>
        <v/>
      </c>
      <c r="E201" s="39">
        <f>(Table267[[#This Row],[M2 Money Stock, Billions of Dollars, Weekly, Seasonally Adjusted]]-B189)/B189</f>
        <v/>
      </c>
    </row>
    <row r="202">
      <c r="A202" s="37" t="n">
        <v>27485</v>
      </c>
      <c r="B202" s="84" t="n">
        <v>935.1</v>
      </c>
      <c r="C202" s="39">
        <f>(Table267[[#This Row],[M2 Money Stock, Billions of Dollars, Weekly, Seasonally Adjusted]]-B201)/B201</f>
        <v/>
      </c>
      <c r="D202" s="40">
        <f>((1+Table267[[#This Row],[Monthly change]])^12)-1</f>
        <v/>
      </c>
      <c r="E202" s="39">
        <f>(Table267[[#This Row],[M2 Money Stock, Billions of Dollars, Weekly, Seasonally Adjusted]]-B190)/B190</f>
        <v/>
      </c>
    </row>
    <row r="203">
      <c r="A203" s="37" t="n">
        <v>27515</v>
      </c>
      <c r="B203" s="84" t="n">
        <v>947.9</v>
      </c>
      <c r="C203" s="39">
        <f>(Table267[[#This Row],[M2 Money Stock, Billions of Dollars, Weekly, Seasonally Adjusted]]-B202)/B202</f>
        <v/>
      </c>
      <c r="D203" s="40">
        <f>((1+Table267[[#This Row],[Monthly change]])^12)-1</f>
        <v/>
      </c>
      <c r="E203" s="39">
        <f>(Table267[[#This Row],[M2 Money Stock, Billions of Dollars, Weekly, Seasonally Adjusted]]-B191)/B191</f>
        <v/>
      </c>
    </row>
    <row r="204">
      <c r="A204" s="37" t="n">
        <v>27546</v>
      </c>
      <c r="B204" s="84" t="n">
        <v>963</v>
      </c>
      <c r="C204" s="39">
        <f>(Table267[[#This Row],[M2 Money Stock, Billions of Dollars, Weekly, Seasonally Adjusted]]-B203)/B203</f>
        <v/>
      </c>
      <c r="D204" s="40">
        <f>((1+Table267[[#This Row],[Monthly change]])^12)-1</f>
        <v/>
      </c>
      <c r="E204" s="39">
        <f>(Table267[[#This Row],[M2 Money Stock, Billions of Dollars, Weekly, Seasonally Adjusted]]-B192)/B192</f>
        <v/>
      </c>
    </row>
    <row r="205">
      <c r="A205" s="37" t="n">
        <v>27576</v>
      </c>
      <c r="B205" s="84" t="n">
        <v>975.1</v>
      </c>
      <c r="C205" s="39">
        <f>(Table267[[#This Row],[M2 Money Stock, Billions of Dollars, Weekly, Seasonally Adjusted]]-B204)/B204</f>
        <v/>
      </c>
      <c r="D205" s="40">
        <f>((1+Table267[[#This Row],[Monthly change]])^12)-1</f>
        <v/>
      </c>
      <c r="E205" s="39">
        <f>(Table267[[#This Row],[M2 Money Stock, Billions of Dollars, Weekly, Seasonally Adjusted]]-B193)/B193</f>
        <v/>
      </c>
    </row>
    <row r="206">
      <c r="A206" s="37" t="n">
        <v>27607</v>
      </c>
      <c r="B206" s="84" t="n">
        <v>983.1</v>
      </c>
      <c r="C206" s="39">
        <f>(Table267[[#This Row],[M2 Money Stock, Billions of Dollars, Weekly, Seasonally Adjusted]]-B205)/B205</f>
        <v/>
      </c>
      <c r="D206" s="40">
        <f>((1+Table267[[#This Row],[Monthly change]])^12)-1</f>
        <v/>
      </c>
      <c r="E206" s="39">
        <f>(Table267[[#This Row],[M2 Money Stock, Billions of Dollars, Weekly, Seasonally Adjusted]]-B194)/B194</f>
        <v/>
      </c>
    </row>
    <row r="207">
      <c r="A207" s="37" t="n">
        <v>27638</v>
      </c>
      <c r="B207" s="84" t="n">
        <v>991.5</v>
      </c>
      <c r="C207" s="39">
        <f>(Table267[[#This Row],[M2 Money Stock, Billions of Dollars, Weekly, Seasonally Adjusted]]-B206)/B206</f>
        <v/>
      </c>
      <c r="D207" s="40">
        <f>((1+Table267[[#This Row],[Monthly change]])^12)-1</f>
        <v/>
      </c>
      <c r="E207" s="39">
        <f>(Table267[[#This Row],[M2 Money Stock, Billions of Dollars, Weekly, Seasonally Adjusted]]-B195)/B195</f>
        <v/>
      </c>
    </row>
    <row r="208">
      <c r="A208" s="37" t="n">
        <v>27668</v>
      </c>
      <c r="B208" s="84" t="n">
        <v>997.8</v>
      </c>
      <c r="C208" s="39">
        <f>(Table267[[#This Row],[M2 Money Stock, Billions of Dollars, Weekly, Seasonally Adjusted]]-B207)/B207</f>
        <v/>
      </c>
      <c r="D208" s="40">
        <f>((1+Table267[[#This Row],[Monthly change]])^12)-1</f>
        <v/>
      </c>
      <c r="E208" s="39">
        <f>(Table267[[#This Row],[M2 Money Stock, Billions of Dollars, Weekly, Seasonally Adjusted]]-B196)/B196</f>
        <v/>
      </c>
    </row>
    <row r="209">
      <c r="A209" s="37" t="n">
        <v>27699</v>
      </c>
      <c r="B209" s="84" t="n">
        <v>1006.9</v>
      </c>
      <c r="C209" s="39">
        <f>(Table267[[#This Row],[M2 Money Stock, Billions of Dollars, Weekly, Seasonally Adjusted]]-B208)/B208</f>
        <v/>
      </c>
      <c r="D209" s="40">
        <f>((1+Table267[[#This Row],[Monthly change]])^12)-1</f>
        <v/>
      </c>
      <c r="E209" s="39">
        <f>(Table267[[#This Row],[M2 Money Stock, Billions of Dollars, Weekly, Seasonally Adjusted]]-B197)/B197</f>
        <v/>
      </c>
    </row>
    <row r="210">
      <c r="A210" s="37" t="n">
        <v>27729</v>
      </c>
      <c r="B210" s="84" t="n">
        <v>1016.2</v>
      </c>
      <c r="C210" s="39">
        <f>(Table267[[#This Row],[M2 Money Stock, Billions of Dollars, Weekly, Seasonally Adjusted]]-B209)/B209</f>
        <v/>
      </c>
      <c r="D210" s="40">
        <f>((1+Table267[[#This Row],[Monthly change]])^12)-1</f>
        <v/>
      </c>
      <c r="E210" s="39">
        <f>(Table267[[#This Row],[M2 Money Stock, Billions of Dollars, Weekly, Seasonally Adjusted]]-B198)/B198</f>
        <v/>
      </c>
    </row>
    <row r="211">
      <c r="A211" s="37" t="n">
        <v>27760</v>
      </c>
      <c r="B211" s="84" t="n">
        <v>1026.6</v>
      </c>
      <c r="C211" s="39">
        <f>(Table267[[#This Row],[M2 Money Stock, Billions of Dollars, Weekly, Seasonally Adjusted]]-B210)/B210</f>
        <v/>
      </c>
      <c r="D211" s="40">
        <f>((1+Table267[[#This Row],[Monthly change]])^12)-1</f>
        <v/>
      </c>
      <c r="E211" s="39">
        <f>(Table267[[#This Row],[M2 Money Stock, Billions of Dollars, Weekly, Seasonally Adjusted]]-B199)/B199</f>
        <v/>
      </c>
    </row>
    <row r="212">
      <c r="A212" s="37" t="n">
        <v>27791</v>
      </c>
      <c r="B212" s="84" t="n">
        <v>1040.3</v>
      </c>
      <c r="C212" s="39">
        <f>(Table267[[#This Row],[M2 Money Stock, Billions of Dollars, Weekly, Seasonally Adjusted]]-B211)/B211</f>
        <v/>
      </c>
      <c r="D212" s="40">
        <f>((1+Table267[[#This Row],[Monthly change]])^12)-1</f>
        <v/>
      </c>
      <c r="E212" s="39">
        <f>(Table267[[#This Row],[M2 Money Stock, Billions of Dollars, Weekly, Seasonally Adjusted]]-B200)/B200</f>
        <v/>
      </c>
    </row>
    <row r="213">
      <c r="A213" s="37" t="n">
        <v>27820</v>
      </c>
      <c r="B213" s="84" t="n">
        <v>1050</v>
      </c>
      <c r="C213" s="39">
        <f>(Table267[[#This Row],[M2 Money Stock, Billions of Dollars, Weekly, Seasonally Adjusted]]-B212)/B212</f>
        <v/>
      </c>
      <c r="D213" s="40">
        <f>((1+Table267[[#This Row],[Monthly change]])^12)-1</f>
        <v/>
      </c>
      <c r="E213" s="39">
        <f>(Table267[[#This Row],[M2 Money Stock, Billions of Dollars, Weekly, Seasonally Adjusted]]-B201)/B201</f>
        <v/>
      </c>
    </row>
    <row r="214">
      <c r="A214" s="37" t="n">
        <v>27851</v>
      </c>
      <c r="B214" s="84" t="n">
        <v>1060.8</v>
      </c>
      <c r="C214" s="39">
        <f>(Table267[[#This Row],[M2 Money Stock, Billions of Dollars, Weekly, Seasonally Adjusted]]-B213)/B213</f>
        <v/>
      </c>
      <c r="D214" s="40">
        <f>((1+Table267[[#This Row],[Monthly change]])^12)-1</f>
        <v/>
      </c>
      <c r="E214" s="39">
        <f>(Table267[[#This Row],[M2 Money Stock, Billions of Dollars, Weekly, Seasonally Adjusted]]-B202)/B202</f>
        <v/>
      </c>
    </row>
    <row r="215">
      <c r="A215" s="37" t="n">
        <v>27881</v>
      </c>
      <c r="B215" s="84" t="n">
        <v>1072.1</v>
      </c>
      <c r="C215" s="39">
        <f>(Table267[[#This Row],[M2 Money Stock, Billions of Dollars, Weekly, Seasonally Adjusted]]-B214)/B214</f>
        <v/>
      </c>
      <c r="D215" s="40">
        <f>((1+Table267[[#This Row],[Monthly change]])^12)-1</f>
        <v/>
      </c>
      <c r="E215" s="39">
        <f>(Table267[[#This Row],[M2 Money Stock, Billions of Dollars, Weekly, Seasonally Adjusted]]-B203)/B203</f>
        <v/>
      </c>
    </row>
    <row r="216">
      <c r="A216" s="37" t="n">
        <v>27912</v>
      </c>
      <c r="B216" s="84" t="n">
        <v>1077.6</v>
      </c>
      <c r="C216" s="39">
        <f>(Table267[[#This Row],[M2 Money Stock, Billions of Dollars, Weekly, Seasonally Adjusted]]-B215)/B215</f>
        <v/>
      </c>
      <c r="D216" s="40">
        <f>((1+Table267[[#This Row],[Monthly change]])^12)-1</f>
        <v/>
      </c>
      <c r="E216" s="39">
        <f>(Table267[[#This Row],[M2 Money Stock, Billions of Dollars, Weekly, Seasonally Adjusted]]-B204)/B204</f>
        <v/>
      </c>
    </row>
    <row r="217">
      <c r="A217" s="37" t="n">
        <v>27942</v>
      </c>
      <c r="B217" s="84" t="n">
        <v>1086.3</v>
      </c>
      <c r="C217" s="39">
        <f>(Table267[[#This Row],[M2 Money Stock, Billions of Dollars, Weekly, Seasonally Adjusted]]-B216)/B216</f>
        <v/>
      </c>
      <c r="D217" s="40">
        <f>((1+Table267[[#This Row],[Monthly change]])^12)-1</f>
        <v/>
      </c>
      <c r="E217" s="39">
        <f>(Table267[[#This Row],[M2 Money Stock, Billions of Dollars, Weekly, Seasonally Adjusted]]-B205)/B205</f>
        <v/>
      </c>
    </row>
    <row r="218">
      <c r="A218" s="37" t="n">
        <v>27973</v>
      </c>
      <c r="B218" s="84" t="n">
        <v>1098.7</v>
      </c>
      <c r="C218" s="39">
        <f>(Table267[[#This Row],[M2 Money Stock, Billions of Dollars, Weekly, Seasonally Adjusted]]-B217)/B217</f>
        <v/>
      </c>
      <c r="D218" s="40">
        <f>((1+Table267[[#This Row],[Monthly change]])^12)-1</f>
        <v/>
      </c>
      <c r="E218" s="39">
        <f>(Table267[[#This Row],[M2 Money Stock, Billions of Dollars, Weekly, Seasonally Adjusted]]-B206)/B206</f>
        <v/>
      </c>
    </row>
    <row r="219">
      <c r="A219" s="37" t="n">
        <v>28004</v>
      </c>
      <c r="B219" s="84" t="n">
        <v>1110.8</v>
      </c>
      <c r="C219" s="39">
        <f>(Table267[[#This Row],[M2 Money Stock, Billions of Dollars, Weekly, Seasonally Adjusted]]-B218)/B218</f>
        <v/>
      </c>
      <c r="D219" s="40">
        <f>((1+Table267[[#This Row],[Monthly change]])^12)-1</f>
        <v/>
      </c>
      <c r="E219" s="39">
        <f>(Table267[[#This Row],[M2 Money Stock, Billions of Dollars, Weekly, Seasonally Adjusted]]-B207)/B207</f>
        <v/>
      </c>
    </row>
    <row r="220">
      <c r="A220" s="37" t="n">
        <v>28034</v>
      </c>
      <c r="B220" s="84" t="n">
        <v>1125</v>
      </c>
      <c r="C220" s="39">
        <f>(Table267[[#This Row],[M2 Money Stock, Billions of Dollars, Weekly, Seasonally Adjusted]]-B219)/B219</f>
        <v/>
      </c>
      <c r="D220" s="40">
        <f>((1+Table267[[#This Row],[Monthly change]])^12)-1</f>
        <v/>
      </c>
      <c r="E220" s="39">
        <f>(Table267[[#This Row],[M2 Money Stock, Billions of Dollars, Weekly, Seasonally Adjusted]]-B208)/B208</f>
        <v/>
      </c>
    </row>
    <row r="221">
      <c r="A221" s="37" t="n">
        <v>28065</v>
      </c>
      <c r="B221" s="84" t="n">
        <v>1138.2</v>
      </c>
      <c r="C221" s="39">
        <f>(Table267[[#This Row],[M2 Money Stock, Billions of Dollars, Weekly, Seasonally Adjusted]]-B220)/B220</f>
        <v/>
      </c>
      <c r="D221" s="40">
        <f>((1+Table267[[#This Row],[Monthly change]])^12)-1</f>
        <v/>
      </c>
      <c r="E221" s="39">
        <f>(Table267[[#This Row],[M2 Money Stock, Billions of Dollars, Weekly, Seasonally Adjusted]]-B209)/B209</f>
        <v/>
      </c>
    </row>
    <row r="222">
      <c r="A222" s="37" t="n">
        <v>28095</v>
      </c>
      <c r="B222" s="84" t="n">
        <v>1152</v>
      </c>
      <c r="C222" s="39">
        <f>(Table267[[#This Row],[M2 Money Stock, Billions of Dollars, Weekly, Seasonally Adjusted]]-B221)/B221</f>
        <v/>
      </c>
      <c r="D222" s="40">
        <f>((1+Table267[[#This Row],[Monthly change]])^12)-1</f>
        <v/>
      </c>
      <c r="E222" s="39">
        <f>(Table267[[#This Row],[M2 Money Stock, Billions of Dollars, Weekly, Seasonally Adjusted]]-B210)/B210</f>
        <v/>
      </c>
    </row>
    <row r="223">
      <c r="A223" s="37" t="n">
        <v>28126</v>
      </c>
      <c r="B223" s="84" t="n">
        <v>1165.2</v>
      </c>
      <c r="C223" s="39">
        <f>(Table267[[#This Row],[M2 Money Stock, Billions of Dollars, Weekly, Seasonally Adjusted]]-B222)/B222</f>
        <v/>
      </c>
      <c r="D223" s="40">
        <f>((1+Table267[[#This Row],[Monthly change]])^12)-1</f>
        <v/>
      </c>
      <c r="E223" s="39">
        <f>(Table267[[#This Row],[M2 Money Stock, Billions of Dollars, Weekly, Seasonally Adjusted]]-B211)/B211</f>
        <v/>
      </c>
    </row>
    <row r="224">
      <c r="A224" s="37" t="n">
        <v>28157</v>
      </c>
      <c r="B224" s="84" t="n">
        <v>1177.6</v>
      </c>
      <c r="C224" s="39">
        <f>(Table267[[#This Row],[M2 Money Stock, Billions of Dollars, Weekly, Seasonally Adjusted]]-B223)/B223</f>
        <v/>
      </c>
      <c r="D224" s="40">
        <f>((1+Table267[[#This Row],[Monthly change]])^12)-1</f>
        <v/>
      </c>
      <c r="E224" s="39">
        <f>(Table267[[#This Row],[M2 Money Stock, Billions of Dollars, Weekly, Seasonally Adjusted]]-B212)/B212</f>
        <v/>
      </c>
    </row>
    <row r="225">
      <c r="A225" s="37" t="n">
        <v>28185</v>
      </c>
      <c r="B225" s="84" t="n">
        <v>1188.5</v>
      </c>
      <c r="C225" s="39">
        <f>(Table267[[#This Row],[M2 Money Stock, Billions of Dollars, Weekly, Seasonally Adjusted]]-B224)/B224</f>
        <v/>
      </c>
      <c r="D225" s="40">
        <f>((1+Table267[[#This Row],[Monthly change]])^12)-1</f>
        <v/>
      </c>
      <c r="E225" s="39">
        <f>(Table267[[#This Row],[M2 Money Stock, Billions of Dollars, Weekly, Seasonally Adjusted]]-B213)/B213</f>
        <v/>
      </c>
    </row>
    <row r="226">
      <c r="A226" s="37" t="n">
        <v>28216</v>
      </c>
      <c r="B226" s="84" t="n">
        <v>1199.6</v>
      </c>
      <c r="C226" s="39">
        <f>(Table267[[#This Row],[M2 Money Stock, Billions of Dollars, Weekly, Seasonally Adjusted]]-B225)/B225</f>
        <v/>
      </c>
      <c r="D226" s="40">
        <f>((1+Table267[[#This Row],[Monthly change]])^12)-1</f>
        <v/>
      </c>
      <c r="E226" s="39">
        <f>(Table267[[#This Row],[M2 Money Stock, Billions of Dollars, Weekly, Seasonally Adjusted]]-B214)/B214</f>
        <v/>
      </c>
    </row>
    <row r="227">
      <c r="A227" s="37" t="n">
        <v>28246</v>
      </c>
      <c r="B227" s="84" t="n">
        <v>1209</v>
      </c>
      <c r="C227" s="39">
        <f>(Table267[[#This Row],[M2 Money Stock, Billions of Dollars, Weekly, Seasonally Adjusted]]-B226)/B226</f>
        <v/>
      </c>
      <c r="D227" s="40">
        <f>((1+Table267[[#This Row],[Monthly change]])^12)-1</f>
        <v/>
      </c>
      <c r="E227" s="39">
        <f>(Table267[[#This Row],[M2 Money Stock, Billions of Dollars, Weekly, Seasonally Adjusted]]-B215)/B215</f>
        <v/>
      </c>
    </row>
    <row r="228">
      <c r="A228" s="37" t="n">
        <v>28277</v>
      </c>
      <c r="B228" s="84" t="n">
        <v>1217.8</v>
      </c>
      <c r="C228" s="39">
        <f>(Table267[[#This Row],[M2 Money Stock, Billions of Dollars, Weekly, Seasonally Adjusted]]-B227)/B227</f>
        <v/>
      </c>
      <c r="D228" s="40">
        <f>((1+Table267[[#This Row],[Monthly change]])^12)-1</f>
        <v/>
      </c>
      <c r="E228" s="39">
        <f>(Table267[[#This Row],[M2 Money Stock, Billions of Dollars, Weekly, Seasonally Adjusted]]-B216)/B216</f>
        <v/>
      </c>
    </row>
    <row r="229">
      <c r="A229" s="37" t="n">
        <v>28307</v>
      </c>
      <c r="B229" s="84" t="n">
        <v>1226.7</v>
      </c>
      <c r="C229" s="39">
        <f>(Table267[[#This Row],[M2 Money Stock, Billions of Dollars, Weekly, Seasonally Adjusted]]-B228)/B228</f>
        <v/>
      </c>
      <c r="D229" s="40">
        <f>((1+Table267[[#This Row],[Monthly change]])^12)-1</f>
        <v/>
      </c>
      <c r="E229" s="39">
        <f>(Table267[[#This Row],[M2 Money Stock, Billions of Dollars, Weekly, Seasonally Adjusted]]-B217)/B217</f>
        <v/>
      </c>
    </row>
    <row r="230">
      <c r="A230" s="37" t="n">
        <v>28338</v>
      </c>
      <c r="B230" s="84" t="n">
        <v>1237</v>
      </c>
      <c r="C230" s="39">
        <f>(Table267[[#This Row],[M2 Money Stock, Billions of Dollars, Weekly, Seasonally Adjusted]]-B229)/B229</f>
        <v/>
      </c>
      <c r="D230" s="40">
        <f>((1+Table267[[#This Row],[Monthly change]])^12)-1</f>
        <v/>
      </c>
      <c r="E230" s="39">
        <f>(Table267[[#This Row],[M2 Money Stock, Billions of Dollars, Weekly, Seasonally Adjusted]]-B218)/B218</f>
        <v/>
      </c>
    </row>
    <row r="231">
      <c r="A231" s="37" t="n">
        <v>28369</v>
      </c>
      <c r="B231" s="84" t="n">
        <v>1246.2</v>
      </c>
      <c r="C231" s="39">
        <f>(Table267[[#This Row],[M2 Money Stock, Billions of Dollars, Weekly, Seasonally Adjusted]]-B230)/B230</f>
        <v/>
      </c>
      <c r="D231" s="40">
        <f>((1+Table267[[#This Row],[Monthly change]])^12)-1</f>
        <v/>
      </c>
      <c r="E231" s="39">
        <f>(Table267[[#This Row],[M2 Money Stock, Billions of Dollars, Weekly, Seasonally Adjusted]]-B219)/B219</f>
        <v/>
      </c>
    </row>
    <row r="232">
      <c r="A232" s="37" t="n">
        <v>28399</v>
      </c>
      <c r="B232" s="84" t="n">
        <v>1254</v>
      </c>
      <c r="C232" s="39">
        <f>(Table267[[#This Row],[M2 Money Stock, Billions of Dollars, Weekly, Seasonally Adjusted]]-B231)/B231</f>
        <v/>
      </c>
      <c r="D232" s="40">
        <f>((1+Table267[[#This Row],[Monthly change]])^12)-1</f>
        <v/>
      </c>
      <c r="E232" s="39">
        <f>(Table267[[#This Row],[M2 Money Stock, Billions of Dollars, Weekly, Seasonally Adjusted]]-B220)/B220</f>
        <v/>
      </c>
    </row>
    <row r="233">
      <c r="A233" s="37" t="n">
        <v>28430</v>
      </c>
      <c r="B233" s="84" t="n">
        <v>1262.4</v>
      </c>
      <c r="C233" s="39">
        <f>(Table267[[#This Row],[M2 Money Stock, Billions of Dollars, Weekly, Seasonally Adjusted]]-B232)/B232</f>
        <v/>
      </c>
      <c r="D233" s="40">
        <f>((1+Table267[[#This Row],[Monthly change]])^12)-1</f>
        <v/>
      </c>
      <c r="E233" s="39">
        <f>(Table267[[#This Row],[M2 Money Stock, Billions of Dollars, Weekly, Seasonally Adjusted]]-B221)/B221</f>
        <v/>
      </c>
    </row>
    <row r="234">
      <c r="A234" s="37" t="n">
        <v>28460</v>
      </c>
      <c r="B234" s="84" t="n">
        <v>1270.3</v>
      </c>
      <c r="C234" s="39">
        <f>(Table267[[#This Row],[M2 Money Stock, Billions of Dollars, Weekly, Seasonally Adjusted]]-B233)/B233</f>
        <v/>
      </c>
      <c r="D234" s="40">
        <f>((1+Table267[[#This Row],[Monthly change]])^12)-1</f>
        <v/>
      </c>
      <c r="E234" s="39">
        <f>(Table267[[#This Row],[M2 Money Stock, Billions of Dollars, Weekly, Seasonally Adjusted]]-B222)/B222</f>
        <v/>
      </c>
    </row>
    <row r="235">
      <c r="A235" s="37" t="n">
        <v>28491</v>
      </c>
      <c r="B235" s="84" t="n">
        <v>1279.7</v>
      </c>
      <c r="C235" s="39">
        <f>(Table267[[#This Row],[M2 Money Stock, Billions of Dollars, Weekly, Seasonally Adjusted]]-B234)/B234</f>
        <v/>
      </c>
      <c r="D235" s="40">
        <f>((1+Table267[[#This Row],[Monthly change]])^12)-1</f>
        <v/>
      </c>
      <c r="E235" s="39">
        <f>(Table267[[#This Row],[M2 Money Stock, Billions of Dollars, Weekly, Seasonally Adjusted]]-B223)/B223</f>
        <v/>
      </c>
    </row>
    <row r="236">
      <c r="A236" s="37" t="n">
        <v>28522</v>
      </c>
      <c r="B236" s="84" t="n">
        <v>1285.5</v>
      </c>
      <c r="C236" s="39">
        <f>(Table267[[#This Row],[M2 Money Stock, Billions of Dollars, Weekly, Seasonally Adjusted]]-B235)/B235</f>
        <v/>
      </c>
      <c r="D236" s="40">
        <f>((1+Table267[[#This Row],[Monthly change]])^12)-1</f>
        <v/>
      </c>
      <c r="E236" s="39">
        <f>(Table267[[#This Row],[M2 Money Stock, Billions of Dollars, Weekly, Seasonally Adjusted]]-B224)/B224</f>
        <v/>
      </c>
    </row>
    <row r="237">
      <c r="A237" s="37" t="n">
        <v>28550</v>
      </c>
      <c r="B237" s="84" t="n">
        <v>1292.2</v>
      </c>
      <c r="C237" s="39">
        <f>(Table267[[#This Row],[M2 Money Stock, Billions of Dollars, Weekly, Seasonally Adjusted]]-B236)/B236</f>
        <v/>
      </c>
      <c r="D237" s="40">
        <f>((1+Table267[[#This Row],[Monthly change]])^12)-1</f>
        <v/>
      </c>
      <c r="E237" s="39">
        <f>(Table267[[#This Row],[M2 Money Stock, Billions of Dollars, Weekly, Seasonally Adjusted]]-B225)/B225</f>
        <v/>
      </c>
    </row>
    <row r="238">
      <c r="A238" s="37" t="n">
        <v>28581</v>
      </c>
      <c r="B238" s="84" t="n">
        <v>1300.4</v>
      </c>
      <c r="C238" s="39">
        <f>(Table267[[#This Row],[M2 Money Stock, Billions of Dollars, Weekly, Seasonally Adjusted]]-B237)/B237</f>
        <v/>
      </c>
      <c r="D238" s="40">
        <f>((1+Table267[[#This Row],[Monthly change]])^12)-1</f>
        <v/>
      </c>
      <c r="E238" s="39">
        <f>(Table267[[#This Row],[M2 Money Stock, Billions of Dollars, Weekly, Seasonally Adjusted]]-B226)/B226</f>
        <v/>
      </c>
    </row>
    <row r="239">
      <c r="A239" s="37" t="n">
        <v>28611</v>
      </c>
      <c r="B239" s="84" t="n">
        <v>1310.5</v>
      </c>
      <c r="C239" s="39">
        <f>(Table267[[#This Row],[M2 Money Stock, Billions of Dollars, Weekly, Seasonally Adjusted]]-B238)/B238</f>
        <v/>
      </c>
      <c r="D239" s="40">
        <f>((1+Table267[[#This Row],[Monthly change]])^12)-1</f>
        <v/>
      </c>
      <c r="E239" s="39">
        <f>(Table267[[#This Row],[M2 Money Stock, Billions of Dollars, Weekly, Seasonally Adjusted]]-B227)/B227</f>
        <v/>
      </c>
    </row>
    <row r="240">
      <c r="A240" s="37" t="n">
        <v>28642</v>
      </c>
      <c r="B240" s="84" t="n">
        <v>1318.5</v>
      </c>
      <c r="C240" s="39">
        <f>(Table267[[#This Row],[M2 Money Stock, Billions of Dollars, Weekly, Seasonally Adjusted]]-B239)/B239</f>
        <v/>
      </c>
      <c r="D240" s="40">
        <f>((1+Table267[[#This Row],[Monthly change]])^12)-1</f>
        <v/>
      </c>
      <c r="E240" s="39">
        <f>(Table267[[#This Row],[M2 Money Stock, Billions of Dollars, Weekly, Seasonally Adjusted]]-B228)/B228</f>
        <v/>
      </c>
    </row>
    <row r="241">
      <c r="A241" s="37" t="n">
        <v>28672</v>
      </c>
      <c r="B241" s="84" t="n">
        <v>1324.1</v>
      </c>
      <c r="C241" s="39">
        <f>(Table267[[#This Row],[M2 Money Stock, Billions of Dollars, Weekly, Seasonally Adjusted]]-B240)/B240</f>
        <v/>
      </c>
      <c r="D241" s="40">
        <f>((1+Table267[[#This Row],[Monthly change]])^12)-1</f>
        <v/>
      </c>
      <c r="E241" s="39">
        <f>(Table267[[#This Row],[M2 Money Stock, Billions of Dollars, Weekly, Seasonally Adjusted]]-B229)/B229</f>
        <v/>
      </c>
    </row>
    <row r="242">
      <c r="A242" s="37" t="n">
        <v>28703</v>
      </c>
      <c r="B242" s="84" t="n">
        <v>1333.5</v>
      </c>
      <c r="C242" s="39">
        <f>(Table267[[#This Row],[M2 Money Stock, Billions of Dollars, Weekly, Seasonally Adjusted]]-B241)/B241</f>
        <v/>
      </c>
      <c r="D242" s="40">
        <f>((1+Table267[[#This Row],[Monthly change]])^12)-1</f>
        <v/>
      </c>
      <c r="E242" s="39">
        <f>(Table267[[#This Row],[M2 Money Stock, Billions of Dollars, Weekly, Seasonally Adjusted]]-B230)/B230</f>
        <v/>
      </c>
    </row>
    <row r="243">
      <c r="A243" s="37" t="n">
        <v>28734</v>
      </c>
      <c r="B243" s="84" t="n">
        <v>1345</v>
      </c>
      <c r="C243" s="39">
        <f>(Table267[[#This Row],[M2 Money Stock, Billions of Dollars, Weekly, Seasonally Adjusted]]-B242)/B242</f>
        <v/>
      </c>
      <c r="D243" s="40">
        <f>((1+Table267[[#This Row],[Monthly change]])^12)-1</f>
        <v/>
      </c>
      <c r="E243" s="39">
        <f>(Table267[[#This Row],[M2 Money Stock, Billions of Dollars, Weekly, Seasonally Adjusted]]-B231)/B231</f>
        <v/>
      </c>
    </row>
    <row r="244">
      <c r="A244" s="37" t="n">
        <v>28764</v>
      </c>
      <c r="B244" s="84" t="n">
        <v>1352.3</v>
      </c>
      <c r="C244" s="39">
        <f>(Table267[[#This Row],[M2 Money Stock, Billions of Dollars, Weekly, Seasonally Adjusted]]-B243)/B243</f>
        <v/>
      </c>
      <c r="D244" s="40">
        <f>((1+Table267[[#This Row],[Monthly change]])^12)-1</f>
        <v/>
      </c>
      <c r="E244" s="39">
        <f>(Table267[[#This Row],[M2 Money Stock, Billions of Dollars, Weekly, Seasonally Adjusted]]-B232)/B232</f>
        <v/>
      </c>
    </row>
    <row r="245">
      <c r="A245" s="37" t="n">
        <v>28795</v>
      </c>
      <c r="B245" s="84" t="n">
        <v>1359.1</v>
      </c>
      <c r="C245" s="39">
        <f>(Table267[[#This Row],[M2 Money Stock, Billions of Dollars, Weekly, Seasonally Adjusted]]-B244)/B244</f>
        <v/>
      </c>
      <c r="D245" s="40">
        <f>((1+Table267[[#This Row],[Monthly change]])^12)-1</f>
        <v/>
      </c>
      <c r="E245" s="39">
        <f>(Table267[[#This Row],[M2 Money Stock, Billions of Dollars, Weekly, Seasonally Adjusted]]-B233)/B233</f>
        <v/>
      </c>
    </row>
    <row r="246">
      <c r="A246" s="37" t="n">
        <v>28825</v>
      </c>
      <c r="B246" s="84" t="n">
        <v>1366</v>
      </c>
      <c r="C246" s="39">
        <f>(Table267[[#This Row],[M2 Money Stock, Billions of Dollars, Weekly, Seasonally Adjusted]]-B245)/B245</f>
        <v/>
      </c>
      <c r="D246" s="40">
        <f>((1+Table267[[#This Row],[Monthly change]])^12)-1</f>
        <v/>
      </c>
      <c r="E246" s="39">
        <f>(Table267[[#This Row],[M2 Money Stock, Billions of Dollars, Weekly, Seasonally Adjusted]]-B234)/B234</f>
        <v/>
      </c>
    </row>
    <row r="247">
      <c r="A247" s="37" t="n">
        <v>28856</v>
      </c>
      <c r="B247" s="84" t="n">
        <v>1371.6</v>
      </c>
      <c r="C247" s="39">
        <f>(Table267[[#This Row],[M2 Money Stock, Billions of Dollars, Weekly, Seasonally Adjusted]]-B246)/B246</f>
        <v/>
      </c>
      <c r="D247" s="40">
        <f>((1+Table267[[#This Row],[Monthly change]])^12)-1</f>
        <v/>
      </c>
      <c r="E247" s="39">
        <f>(Table267[[#This Row],[M2 Money Stock, Billions of Dollars, Weekly, Seasonally Adjusted]]-B235)/B235</f>
        <v/>
      </c>
    </row>
    <row r="248">
      <c r="A248" s="37" t="n">
        <v>28887</v>
      </c>
      <c r="B248" s="84" t="n">
        <v>1377.8</v>
      </c>
      <c r="C248" s="39">
        <f>(Table267[[#This Row],[M2 Money Stock, Billions of Dollars, Weekly, Seasonally Adjusted]]-B247)/B247</f>
        <v/>
      </c>
      <c r="D248" s="40">
        <f>((1+Table267[[#This Row],[Monthly change]])^12)-1</f>
        <v/>
      </c>
      <c r="E248" s="39">
        <f>(Table267[[#This Row],[M2 Money Stock, Billions of Dollars, Weekly, Seasonally Adjusted]]-B236)/B236</f>
        <v/>
      </c>
    </row>
    <row r="249">
      <c r="A249" s="37" t="n">
        <v>28915</v>
      </c>
      <c r="B249" s="84" t="n">
        <v>1387.8</v>
      </c>
      <c r="C249" s="39">
        <f>(Table267[[#This Row],[M2 Money Stock, Billions of Dollars, Weekly, Seasonally Adjusted]]-B248)/B248</f>
        <v/>
      </c>
      <c r="D249" s="40">
        <f>((1+Table267[[#This Row],[Monthly change]])^12)-1</f>
        <v/>
      </c>
      <c r="E249" s="39">
        <f>(Table267[[#This Row],[M2 Money Stock, Billions of Dollars, Weekly, Seasonally Adjusted]]-B237)/B237</f>
        <v/>
      </c>
    </row>
    <row r="250">
      <c r="A250" s="37" t="n">
        <v>28946</v>
      </c>
      <c r="B250" s="84" t="n">
        <v>1402.1</v>
      </c>
      <c r="C250" s="39">
        <f>(Table267[[#This Row],[M2 Money Stock, Billions of Dollars, Weekly, Seasonally Adjusted]]-B249)/B249</f>
        <v/>
      </c>
      <c r="D250" s="40">
        <f>((1+Table267[[#This Row],[Monthly change]])^12)-1</f>
        <v/>
      </c>
      <c r="E250" s="39">
        <f>(Table267[[#This Row],[M2 Money Stock, Billions of Dollars, Weekly, Seasonally Adjusted]]-B238)/B238</f>
        <v/>
      </c>
    </row>
    <row r="251">
      <c r="A251" s="37" t="n">
        <v>28976</v>
      </c>
      <c r="B251" s="84" t="n">
        <v>1410.2</v>
      </c>
      <c r="C251" s="39">
        <f>(Table267[[#This Row],[M2 Money Stock, Billions of Dollars, Weekly, Seasonally Adjusted]]-B250)/B250</f>
        <v/>
      </c>
      <c r="D251" s="40">
        <f>((1+Table267[[#This Row],[Monthly change]])^12)-1</f>
        <v/>
      </c>
      <c r="E251" s="39">
        <f>(Table267[[#This Row],[M2 Money Stock, Billions of Dollars, Weekly, Seasonally Adjusted]]-B239)/B239</f>
        <v/>
      </c>
    </row>
    <row r="252">
      <c r="A252" s="37" t="n">
        <v>29007</v>
      </c>
      <c r="B252" s="84" t="n">
        <v>1423</v>
      </c>
      <c r="C252" s="39">
        <f>(Table267[[#This Row],[M2 Money Stock, Billions of Dollars, Weekly, Seasonally Adjusted]]-B251)/B251</f>
        <v/>
      </c>
      <c r="D252" s="40">
        <f>((1+Table267[[#This Row],[Monthly change]])^12)-1</f>
        <v/>
      </c>
      <c r="E252" s="39">
        <f>(Table267[[#This Row],[M2 Money Stock, Billions of Dollars, Weekly, Seasonally Adjusted]]-B240)/B240</f>
        <v/>
      </c>
    </row>
    <row r="253">
      <c r="A253" s="37" t="n">
        <v>29037</v>
      </c>
      <c r="B253" s="84" t="n">
        <v>1434.8</v>
      </c>
      <c r="C253" s="39">
        <f>(Table267[[#This Row],[M2 Money Stock, Billions of Dollars, Weekly, Seasonally Adjusted]]-B252)/B252</f>
        <v/>
      </c>
      <c r="D253" s="40">
        <f>((1+Table267[[#This Row],[Monthly change]])^12)-1</f>
        <v/>
      </c>
      <c r="E253" s="39">
        <f>(Table267[[#This Row],[M2 Money Stock, Billions of Dollars, Weekly, Seasonally Adjusted]]-B241)/B241</f>
        <v/>
      </c>
    </row>
    <row r="254">
      <c r="A254" s="37" t="n">
        <v>29068</v>
      </c>
      <c r="B254" s="84" t="n">
        <v>1446.6</v>
      </c>
      <c r="C254" s="39">
        <f>(Table267[[#This Row],[M2 Money Stock, Billions of Dollars, Weekly, Seasonally Adjusted]]-B253)/B253</f>
        <v/>
      </c>
      <c r="D254" s="40">
        <f>((1+Table267[[#This Row],[Monthly change]])^12)-1</f>
        <v/>
      </c>
      <c r="E254" s="39">
        <f>(Table267[[#This Row],[M2 Money Stock, Billions of Dollars, Weekly, Seasonally Adjusted]]-B242)/B242</f>
        <v/>
      </c>
    </row>
    <row r="255">
      <c r="A255" s="37" t="n">
        <v>29099</v>
      </c>
      <c r="B255" s="84" t="n">
        <v>1454.1</v>
      </c>
      <c r="C255" s="39">
        <f>(Table267[[#This Row],[M2 Money Stock, Billions of Dollars, Weekly, Seasonally Adjusted]]-B254)/B254</f>
        <v/>
      </c>
      <c r="D255" s="40">
        <f>((1+Table267[[#This Row],[Monthly change]])^12)-1</f>
        <v/>
      </c>
      <c r="E255" s="39">
        <f>(Table267[[#This Row],[M2 Money Stock, Billions of Dollars, Weekly, Seasonally Adjusted]]-B243)/B243</f>
        <v/>
      </c>
    </row>
    <row r="256">
      <c r="A256" s="37" t="n">
        <v>29129</v>
      </c>
      <c r="B256" s="84" t="n">
        <v>1460.4</v>
      </c>
      <c r="C256" s="39">
        <f>(Table267[[#This Row],[M2 Money Stock, Billions of Dollars, Weekly, Seasonally Adjusted]]-B255)/B255</f>
        <v/>
      </c>
      <c r="D256" s="40">
        <f>((1+Table267[[#This Row],[Monthly change]])^12)-1</f>
        <v/>
      </c>
      <c r="E256" s="39">
        <f>(Table267[[#This Row],[M2 Money Stock, Billions of Dollars, Weekly, Seasonally Adjusted]]-B244)/B244</f>
        <v/>
      </c>
    </row>
    <row r="257">
      <c r="A257" s="37" t="n">
        <v>29160</v>
      </c>
      <c r="B257" s="84" t="n">
        <v>1465.9</v>
      </c>
      <c r="C257" s="39">
        <f>(Table267[[#This Row],[M2 Money Stock, Billions of Dollars, Weekly, Seasonally Adjusted]]-B256)/B256</f>
        <v/>
      </c>
      <c r="D257" s="40">
        <f>((1+Table267[[#This Row],[Monthly change]])^12)-1</f>
        <v/>
      </c>
      <c r="E257" s="39">
        <f>(Table267[[#This Row],[M2 Money Stock, Billions of Dollars, Weekly, Seasonally Adjusted]]-B245)/B245</f>
        <v/>
      </c>
    </row>
    <row r="258">
      <c r="A258" s="37" t="n">
        <v>29190</v>
      </c>
      <c r="B258" s="84" t="n">
        <v>1473.7</v>
      </c>
      <c r="C258" s="39">
        <f>(Table267[[#This Row],[M2 Money Stock, Billions of Dollars, Weekly, Seasonally Adjusted]]-B257)/B257</f>
        <v/>
      </c>
      <c r="D258" s="40">
        <f>((1+Table267[[#This Row],[Monthly change]])^12)-1</f>
        <v/>
      </c>
      <c r="E258" s="39">
        <f>(Table267[[#This Row],[M2 Money Stock, Billions of Dollars, Weekly, Seasonally Adjusted]]-B246)/B246</f>
        <v/>
      </c>
    </row>
    <row r="259">
      <c r="A259" s="37" t="n">
        <v>29221</v>
      </c>
      <c r="B259" s="84" t="n">
        <v>1482.7</v>
      </c>
      <c r="C259" s="39">
        <f>(Table267[[#This Row],[M2 Money Stock, Billions of Dollars, Weekly, Seasonally Adjusted]]-B258)/B258</f>
        <v/>
      </c>
      <c r="D259" s="40">
        <f>((1+Table267[[#This Row],[Monthly change]])^12)-1</f>
        <v/>
      </c>
      <c r="E259" s="39">
        <f>(Table267[[#This Row],[M2 Money Stock, Billions of Dollars, Weekly, Seasonally Adjusted]]-B247)/B247</f>
        <v/>
      </c>
    </row>
    <row r="260">
      <c r="A260" s="37" t="n">
        <v>29252</v>
      </c>
      <c r="B260" s="84" t="n">
        <v>1494.6</v>
      </c>
      <c r="C260" s="39">
        <f>(Table267[[#This Row],[M2 Money Stock, Billions of Dollars, Weekly, Seasonally Adjusted]]-B259)/B259</f>
        <v/>
      </c>
      <c r="D260" s="40">
        <f>((1+Table267[[#This Row],[Monthly change]])^12)-1</f>
        <v/>
      </c>
      <c r="E260" s="39">
        <f>(Table267[[#This Row],[M2 Money Stock, Billions of Dollars, Weekly, Seasonally Adjusted]]-B248)/B248</f>
        <v/>
      </c>
    </row>
    <row r="261">
      <c r="A261" s="37" t="n">
        <v>29281</v>
      </c>
      <c r="B261" s="84" t="n">
        <v>1499.8</v>
      </c>
      <c r="C261" s="39">
        <f>(Table267[[#This Row],[M2 Money Stock, Billions of Dollars, Weekly, Seasonally Adjusted]]-B260)/B260</f>
        <v/>
      </c>
      <c r="D261" s="40">
        <f>((1+Table267[[#This Row],[Monthly change]])^12)-1</f>
        <v/>
      </c>
      <c r="E261" s="39">
        <f>(Table267[[#This Row],[M2 Money Stock, Billions of Dollars, Weekly, Seasonally Adjusted]]-B249)/B249</f>
        <v/>
      </c>
    </row>
    <row r="262">
      <c r="A262" s="37" t="n">
        <v>29312</v>
      </c>
      <c r="B262" s="84" t="n">
        <v>1502.2</v>
      </c>
      <c r="C262" s="39">
        <f>(Table267[[#This Row],[M2 Money Stock, Billions of Dollars, Weekly, Seasonally Adjusted]]-B261)/B261</f>
        <v/>
      </c>
      <c r="D262" s="40">
        <f>((1+Table267[[#This Row],[Monthly change]])^12)-1</f>
        <v/>
      </c>
      <c r="E262" s="39">
        <f>(Table267[[#This Row],[M2 Money Stock, Billions of Dollars, Weekly, Seasonally Adjusted]]-B250)/B250</f>
        <v/>
      </c>
    </row>
    <row r="263">
      <c r="A263" s="37" t="n">
        <v>29342</v>
      </c>
      <c r="B263" s="84" t="n">
        <v>1512.3</v>
      </c>
      <c r="C263" s="39">
        <f>(Table267[[#This Row],[M2 Money Stock, Billions of Dollars, Weekly, Seasonally Adjusted]]-B262)/B262</f>
        <v/>
      </c>
      <c r="D263" s="40">
        <f>((1+Table267[[#This Row],[Monthly change]])^12)-1</f>
        <v/>
      </c>
      <c r="E263" s="39">
        <f>(Table267[[#This Row],[M2 Money Stock, Billions of Dollars, Weekly, Seasonally Adjusted]]-B251)/B251</f>
        <v/>
      </c>
    </row>
    <row r="264">
      <c r="A264" s="37" t="n">
        <v>29373</v>
      </c>
      <c r="B264" s="84" t="n">
        <v>1529.2</v>
      </c>
      <c r="C264" s="39">
        <f>(Table267[[#This Row],[M2 Money Stock, Billions of Dollars, Weekly, Seasonally Adjusted]]-B263)/B263</f>
        <v/>
      </c>
      <c r="D264" s="40">
        <f>((1+Table267[[#This Row],[Monthly change]])^12)-1</f>
        <v/>
      </c>
      <c r="E264" s="39">
        <f>(Table267[[#This Row],[M2 Money Stock, Billions of Dollars, Weekly, Seasonally Adjusted]]-B252)/B252</f>
        <v/>
      </c>
    </row>
    <row r="265">
      <c r="A265" s="37" t="n">
        <v>29403</v>
      </c>
      <c r="B265" s="84" t="n">
        <v>1545.5</v>
      </c>
      <c r="C265" s="39">
        <f>(Table267[[#This Row],[M2 Money Stock, Billions of Dollars, Weekly, Seasonally Adjusted]]-B264)/B264</f>
        <v/>
      </c>
      <c r="D265" s="40">
        <f>((1+Table267[[#This Row],[Monthly change]])^12)-1</f>
        <v/>
      </c>
      <c r="E265" s="39">
        <f>(Table267[[#This Row],[M2 Money Stock, Billions of Dollars, Weekly, Seasonally Adjusted]]-B253)/B253</f>
        <v/>
      </c>
    </row>
    <row r="266">
      <c r="A266" s="37" t="n">
        <v>29434</v>
      </c>
      <c r="B266" s="84" t="n">
        <v>1561.5</v>
      </c>
      <c r="C266" s="39">
        <f>(Table267[[#This Row],[M2 Money Stock, Billions of Dollars, Weekly, Seasonally Adjusted]]-B265)/B265</f>
        <v/>
      </c>
      <c r="D266" s="40">
        <f>((1+Table267[[#This Row],[Monthly change]])^12)-1</f>
        <v/>
      </c>
      <c r="E266" s="39">
        <f>(Table267[[#This Row],[M2 Money Stock, Billions of Dollars, Weekly, Seasonally Adjusted]]-B254)/B254</f>
        <v/>
      </c>
    </row>
    <row r="267">
      <c r="A267" s="37" t="n">
        <v>29465</v>
      </c>
      <c r="B267" s="84" t="n">
        <v>1574</v>
      </c>
      <c r="C267" s="39">
        <f>(Table267[[#This Row],[M2 Money Stock, Billions of Dollars, Weekly, Seasonally Adjusted]]-B266)/B266</f>
        <v/>
      </c>
      <c r="D267" s="40">
        <f>((1+Table267[[#This Row],[Monthly change]])^12)-1</f>
        <v/>
      </c>
      <c r="E267" s="39">
        <f>(Table267[[#This Row],[M2 Money Stock, Billions of Dollars, Weekly, Seasonally Adjusted]]-B255)/B255</f>
        <v/>
      </c>
    </row>
    <row r="268">
      <c r="A268" s="37" t="n">
        <v>29495</v>
      </c>
      <c r="B268" s="84" t="n">
        <v>1584.8</v>
      </c>
      <c r="C268" s="39">
        <f>(Table267[[#This Row],[M2 Money Stock, Billions of Dollars, Weekly, Seasonally Adjusted]]-B267)/B267</f>
        <v/>
      </c>
      <c r="D268" s="40">
        <f>((1+Table267[[#This Row],[Monthly change]])^12)-1</f>
        <v/>
      </c>
      <c r="E268" s="39">
        <f>(Table267[[#This Row],[M2 Money Stock, Billions of Dollars, Weekly, Seasonally Adjusted]]-B256)/B256</f>
        <v/>
      </c>
    </row>
    <row r="269">
      <c r="A269" s="37" t="n">
        <v>29526</v>
      </c>
      <c r="B269" s="84" t="n">
        <v>1595.8</v>
      </c>
      <c r="C269" s="39">
        <f>(Table267[[#This Row],[M2 Money Stock, Billions of Dollars, Weekly, Seasonally Adjusted]]-B268)/B268</f>
        <v/>
      </c>
      <c r="D269" s="40">
        <f>((1+Table267[[#This Row],[Monthly change]])^12)-1</f>
        <v/>
      </c>
      <c r="E269" s="39">
        <f>(Table267[[#This Row],[M2 Money Stock, Billions of Dollars, Weekly, Seasonally Adjusted]]-B257)/B257</f>
        <v/>
      </c>
    </row>
    <row r="270">
      <c r="A270" s="37" t="n">
        <v>29556</v>
      </c>
      <c r="B270" s="84" t="n">
        <v>1599.8</v>
      </c>
      <c r="C270" s="39">
        <f>(Table267[[#This Row],[M2 Money Stock, Billions of Dollars, Weekly, Seasonally Adjusted]]-B269)/B269</f>
        <v/>
      </c>
      <c r="D270" s="40">
        <f>((1+Table267[[#This Row],[Monthly change]])^12)-1</f>
        <v/>
      </c>
      <c r="E270" s="39">
        <f>(Table267[[#This Row],[M2 Money Stock, Billions of Dollars, Weekly, Seasonally Adjusted]]-B258)/B258</f>
        <v/>
      </c>
    </row>
    <row r="271">
      <c r="A271" s="37" t="n">
        <v>29587</v>
      </c>
      <c r="B271" s="84" t="n">
        <v>1606.9</v>
      </c>
      <c r="C271" s="39">
        <f>(Table267[[#This Row],[M2 Money Stock, Billions of Dollars, Weekly, Seasonally Adjusted]]-B270)/B270</f>
        <v/>
      </c>
      <c r="D271" s="40">
        <f>((1+Table267[[#This Row],[Monthly change]])^12)-1</f>
        <v/>
      </c>
      <c r="E271" s="39">
        <f>(Table267[[#This Row],[M2 Money Stock, Billions of Dollars, Weekly, Seasonally Adjusted]]-B259)/B259</f>
        <v/>
      </c>
    </row>
    <row r="272">
      <c r="A272" s="37" t="n">
        <v>29618</v>
      </c>
      <c r="B272" s="84" t="n">
        <v>1618.7</v>
      </c>
      <c r="C272" s="39">
        <f>(Table267[[#This Row],[M2 Money Stock, Billions of Dollars, Weekly, Seasonally Adjusted]]-B271)/B271</f>
        <v/>
      </c>
      <c r="D272" s="40">
        <f>((1+Table267[[#This Row],[Monthly change]])^12)-1</f>
        <v/>
      </c>
      <c r="E272" s="39">
        <f>(Table267[[#This Row],[M2 Money Stock, Billions of Dollars, Weekly, Seasonally Adjusted]]-B260)/B260</f>
        <v/>
      </c>
    </row>
    <row r="273">
      <c r="A273" s="37" t="n">
        <v>29646</v>
      </c>
      <c r="B273" s="84" t="n">
        <v>1636.6</v>
      </c>
      <c r="C273" s="39">
        <f>(Table267[[#This Row],[M2 Money Stock, Billions of Dollars, Weekly, Seasonally Adjusted]]-B272)/B272</f>
        <v/>
      </c>
      <c r="D273" s="40">
        <f>((1+Table267[[#This Row],[Monthly change]])^12)-1</f>
        <v/>
      </c>
      <c r="E273" s="39">
        <f>(Table267[[#This Row],[M2 Money Stock, Billions of Dollars, Weekly, Seasonally Adjusted]]-B261)/B261</f>
        <v/>
      </c>
    </row>
    <row r="274">
      <c r="A274" s="37" t="n">
        <v>29677</v>
      </c>
      <c r="B274" s="84" t="n">
        <v>1659.2</v>
      </c>
      <c r="C274" s="39">
        <f>(Table267[[#This Row],[M2 Money Stock, Billions of Dollars, Weekly, Seasonally Adjusted]]-B273)/B273</f>
        <v/>
      </c>
      <c r="D274" s="40">
        <f>((1+Table267[[#This Row],[Monthly change]])^12)-1</f>
        <v/>
      </c>
      <c r="E274" s="39">
        <f>(Table267[[#This Row],[M2 Money Stock, Billions of Dollars, Weekly, Seasonally Adjusted]]-B262)/B262</f>
        <v/>
      </c>
    </row>
    <row r="275">
      <c r="A275" s="37" t="n">
        <v>29707</v>
      </c>
      <c r="B275" s="84" t="n">
        <v>1664.2</v>
      </c>
      <c r="C275" s="39">
        <f>(Table267[[#This Row],[M2 Money Stock, Billions of Dollars, Weekly, Seasonally Adjusted]]-B274)/B274</f>
        <v/>
      </c>
      <c r="D275" s="40">
        <f>((1+Table267[[#This Row],[Monthly change]])^12)-1</f>
        <v/>
      </c>
      <c r="E275" s="39">
        <f>(Table267[[#This Row],[M2 Money Stock, Billions of Dollars, Weekly, Seasonally Adjusted]]-B263)/B263</f>
        <v/>
      </c>
    </row>
    <row r="276">
      <c r="A276" s="37" t="n">
        <v>29738</v>
      </c>
      <c r="B276" s="84" t="n">
        <v>1670.3</v>
      </c>
      <c r="C276" s="39">
        <f>(Table267[[#This Row],[M2 Money Stock, Billions of Dollars, Weekly, Seasonally Adjusted]]-B275)/B275</f>
        <v/>
      </c>
      <c r="D276" s="40">
        <f>((1+Table267[[#This Row],[Monthly change]])^12)-1</f>
        <v/>
      </c>
      <c r="E276" s="39">
        <f>(Table267[[#This Row],[M2 Money Stock, Billions of Dollars, Weekly, Seasonally Adjusted]]-B264)/B264</f>
        <v/>
      </c>
    </row>
    <row r="277">
      <c r="A277" s="37" t="n">
        <v>29768</v>
      </c>
      <c r="B277" s="84" t="n">
        <v>1681.9</v>
      </c>
      <c r="C277" s="39">
        <f>(Table267[[#This Row],[M2 Money Stock, Billions of Dollars, Weekly, Seasonally Adjusted]]-B276)/B276</f>
        <v/>
      </c>
      <c r="D277" s="40">
        <f>((1+Table267[[#This Row],[Monthly change]])^12)-1</f>
        <v/>
      </c>
      <c r="E277" s="39">
        <f>(Table267[[#This Row],[M2 Money Stock, Billions of Dollars, Weekly, Seasonally Adjusted]]-B265)/B265</f>
        <v/>
      </c>
    </row>
    <row r="278">
      <c r="A278" s="37" t="n">
        <v>29799</v>
      </c>
      <c r="B278" s="84" t="n">
        <v>1694.3</v>
      </c>
      <c r="C278" s="39">
        <f>(Table267[[#This Row],[M2 Money Stock, Billions of Dollars, Weekly, Seasonally Adjusted]]-B277)/B277</f>
        <v/>
      </c>
      <c r="D278" s="40">
        <f>((1+Table267[[#This Row],[Monthly change]])^12)-1</f>
        <v/>
      </c>
      <c r="E278" s="39">
        <f>(Table267[[#This Row],[M2 Money Stock, Billions of Dollars, Weekly, Seasonally Adjusted]]-B266)/B266</f>
        <v/>
      </c>
    </row>
    <row r="279">
      <c r="A279" s="37" t="n">
        <v>29830</v>
      </c>
      <c r="B279" s="84" t="n">
        <v>1706</v>
      </c>
      <c r="C279" s="39">
        <f>(Table267[[#This Row],[M2 Money Stock, Billions of Dollars, Weekly, Seasonally Adjusted]]-B278)/B278</f>
        <v/>
      </c>
      <c r="D279" s="40">
        <f>((1+Table267[[#This Row],[Monthly change]])^12)-1</f>
        <v/>
      </c>
      <c r="E279" s="39">
        <f>(Table267[[#This Row],[M2 Money Stock, Billions of Dollars, Weekly, Seasonally Adjusted]]-B267)/B267</f>
        <v/>
      </c>
    </row>
    <row r="280">
      <c r="A280" s="37" t="n">
        <v>29860</v>
      </c>
      <c r="B280" s="84" t="n">
        <v>1721.8</v>
      </c>
      <c r="C280" s="39">
        <f>(Table267[[#This Row],[M2 Money Stock, Billions of Dollars, Weekly, Seasonally Adjusted]]-B279)/B279</f>
        <v/>
      </c>
      <c r="D280" s="40">
        <f>((1+Table267[[#This Row],[Monthly change]])^12)-1</f>
        <v/>
      </c>
      <c r="E280" s="39">
        <f>(Table267[[#This Row],[M2 Money Stock, Billions of Dollars, Weekly, Seasonally Adjusted]]-B268)/B268</f>
        <v/>
      </c>
    </row>
    <row r="281">
      <c r="A281" s="37" t="n">
        <v>29891</v>
      </c>
      <c r="B281" s="84" t="n">
        <v>1736.1</v>
      </c>
      <c r="C281" s="39">
        <f>(Table267[[#This Row],[M2 Money Stock, Billions of Dollars, Weekly, Seasonally Adjusted]]-B280)/B280</f>
        <v/>
      </c>
      <c r="D281" s="40">
        <f>((1+Table267[[#This Row],[Monthly change]])^12)-1</f>
        <v/>
      </c>
      <c r="E281" s="39">
        <f>(Table267[[#This Row],[M2 Money Stock, Billions of Dollars, Weekly, Seasonally Adjusted]]-B269)/B269</f>
        <v/>
      </c>
    </row>
    <row r="282">
      <c r="A282" s="37" t="n">
        <v>29921</v>
      </c>
      <c r="B282" s="84" t="n">
        <v>1755.5</v>
      </c>
      <c r="C282" s="39">
        <f>(Table267[[#This Row],[M2 Money Stock, Billions of Dollars, Weekly, Seasonally Adjusted]]-B281)/B281</f>
        <v/>
      </c>
      <c r="D282" s="40">
        <f>((1+Table267[[#This Row],[Monthly change]])^12)-1</f>
        <v/>
      </c>
      <c r="E282" s="39">
        <f>(Table267[[#This Row],[M2 Money Stock, Billions of Dollars, Weekly, Seasonally Adjusted]]-B270)/B270</f>
        <v/>
      </c>
    </row>
    <row r="283">
      <c r="A283" s="37" t="n">
        <v>29952</v>
      </c>
      <c r="B283" s="84" t="n">
        <v>1770.4</v>
      </c>
      <c r="C283" s="39">
        <f>(Table267[[#This Row],[M2 Money Stock, Billions of Dollars, Weekly, Seasonally Adjusted]]-B282)/B282</f>
        <v/>
      </c>
      <c r="D283" s="40">
        <f>((1+Table267[[#This Row],[Monthly change]])^12)-1</f>
        <v/>
      </c>
      <c r="E283" s="39">
        <f>(Table267[[#This Row],[M2 Money Stock, Billions of Dollars, Weekly, Seasonally Adjusted]]-B271)/B271</f>
        <v/>
      </c>
    </row>
    <row r="284">
      <c r="A284" s="37" t="n">
        <v>29983</v>
      </c>
      <c r="B284" s="84" t="n">
        <v>1774.5</v>
      </c>
      <c r="C284" s="39">
        <f>(Table267[[#This Row],[M2 Money Stock, Billions of Dollars, Weekly, Seasonally Adjusted]]-B283)/B283</f>
        <v/>
      </c>
      <c r="D284" s="40">
        <f>((1+Table267[[#This Row],[Monthly change]])^12)-1</f>
        <v/>
      </c>
      <c r="E284" s="39">
        <f>(Table267[[#This Row],[M2 Money Stock, Billions of Dollars, Weekly, Seasonally Adjusted]]-B272)/B272</f>
        <v/>
      </c>
    </row>
    <row r="285">
      <c r="A285" s="37" t="n">
        <v>30011</v>
      </c>
      <c r="B285" s="84" t="n">
        <v>1786.5</v>
      </c>
      <c r="C285" s="39">
        <f>(Table267[[#This Row],[M2 Money Stock, Billions of Dollars, Weekly, Seasonally Adjusted]]-B284)/B284</f>
        <v/>
      </c>
      <c r="D285" s="40">
        <f>((1+Table267[[#This Row],[Monthly change]])^12)-1</f>
        <v/>
      </c>
      <c r="E285" s="39">
        <f>(Table267[[#This Row],[M2 Money Stock, Billions of Dollars, Weekly, Seasonally Adjusted]]-B273)/B273</f>
        <v/>
      </c>
    </row>
    <row r="286">
      <c r="A286" s="37" t="n">
        <v>30042</v>
      </c>
      <c r="B286" s="84" t="n">
        <v>1803.9</v>
      </c>
      <c r="C286" s="39">
        <f>(Table267[[#This Row],[M2 Money Stock, Billions of Dollars, Weekly, Seasonally Adjusted]]-B285)/B285</f>
        <v/>
      </c>
      <c r="D286" s="40">
        <f>((1+Table267[[#This Row],[Monthly change]])^12)-1</f>
        <v/>
      </c>
      <c r="E286" s="39">
        <f>(Table267[[#This Row],[M2 Money Stock, Billions of Dollars, Weekly, Seasonally Adjusted]]-B274)/B274</f>
        <v/>
      </c>
    </row>
    <row r="287">
      <c r="A287" s="37" t="n">
        <v>30072</v>
      </c>
      <c r="B287" s="84" t="n">
        <v>1815.4</v>
      </c>
      <c r="C287" s="39">
        <f>(Table267[[#This Row],[M2 Money Stock, Billions of Dollars, Weekly, Seasonally Adjusted]]-B286)/B286</f>
        <v/>
      </c>
      <c r="D287" s="40">
        <f>((1+Table267[[#This Row],[Monthly change]])^12)-1</f>
        <v/>
      </c>
      <c r="E287" s="39">
        <f>(Table267[[#This Row],[M2 Money Stock, Billions of Dollars, Weekly, Seasonally Adjusted]]-B275)/B275</f>
        <v/>
      </c>
    </row>
    <row r="288">
      <c r="A288" s="37" t="n">
        <v>30103</v>
      </c>
      <c r="B288" s="84" t="n">
        <v>1826</v>
      </c>
      <c r="C288" s="39">
        <f>(Table267[[#This Row],[M2 Money Stock, Billions of Dollars, Weekly, Seasonally Adjusted]]-B287)/B287</f>
        <v/>
      </c>
      <c r="D288" s="40">
        <f>((1+Table267[[#This Row],[Monthly change]])^12)-1</f>
        <v/>
      </c>
      <c r="E288" s="39">
        <f>(Table267[[#This Row],[M2 Money Stock, Billions of Dollars, Weekly, Seasonally Adjusted]]-B276)/B276</f>
        <v/>
      </c>
    </row>
    <row r="289">
      <c r="A289" s="37" t="n">
        <v>30133</v>
      </c>
      <c r="B289" s="84" t="n">
        <v>1831.5</v>
      </c>
      <c r="C289" s="39">
        <f>(Table267[[#This Row],[M2 Money Stock, Billions of Dollars, Weekly, Seasonally Adjusted]]-B288)/B288</f>
        <v/>
      </c>
      <c r="D289" s="40">
        <f>((1+Table267[[#This Row],[Monthly change]])^12)-1</f>
        <v/>
      </c>
      <c r="E289" s="39">
        <f>(Table267[[#This Row],[M2 Money Stock, Billions of Dollars, Weekly, Seasonally Adjusted]]-B277)/B277</f>
        <v/>
      </c>
    </row>
    <row r="290">
      <c r="A290" s="37" t="n">
        <v>30164</v>
      </c>
      <c r="B290" s="84" t="n">
        <v>1845.2</v>
      </c>
      <c r="C290" s="39">
        <f>(Table267[[#This Row],[M2 Money Stock, Billions of Dollars, Weekly, Seasonally Adjusted]]-B289)/B289</f>
        <v/>
      </c>
      <c r="D290" s="40">
        <f>((1+Table267[[#This Row],[Monthly change]])^12)-1</f>
        <v/>
      </c>
      <c r="E290" s="39">
        <f>(Table267[[#This Row],[M2 Money Stock, Billions of Dollars, Weekly, Seasonally Adjusted]]-B278)/B278</f>
        <v/>
      </c>
    </row>
    <row r="291">
      <c r="A291" s="37" t="n">
        <v>30195</v>
      </c>
      <c r="B291" s="84" t="n">
        <v>1858.4</v>
      </c>
      <c r="C291" s="39">
        <f>(Table267[[#This Row],[M2 Money Stock, Billions of Dollars, Weekly, Seasonally Adjusted]]-B290)/B290</f>
        <v/>
      </c>
      <c r="D291" s="40">
        <f>((1+Table267[[#This Row],[Monthly change]])^12)-1</f>
        <v/>
      </c>
      <c r="E291" s="39">
        <f>(Table267[[#This Row],[M2 Money Stock, Billions of Dollars, Weekly, Seasonally Adjusted]]-B279)/B279</f>
        <v/>
      </c>
    </row>
    <row r="292">
      <c r="A292" s="37" t="n">
        <v>30225</v>
      </c>
      <c r="B292" s="84" t="n">
        <v>1869.7</v>
      </c>
      <c r="C292" s="39">
        <f>(Table267[[#This Row],[M2 Money Stock, Billions of Dollars, Weekly, Seasonally Adjusted]]-B291)/B291</f>
        <v/>
      </c>
      <c r="D292" s="40">
        <f>((1+Table267[[#This Row],[Monthly change]])^12)-1</f>
        <v/>
      </c>
      <c r="E292" s="39">
        <f>(Table267[[#This Row],[M2 Money Stock, Billions of Dollars, Weekly, Seasonally Adjusted]]-B280)/B280</f>
        <v/>
      </c>
    </row>
    <row r="293">
      <c r="A293" s="37" t="n">
        <v>30256</v>
      </c>
      <c r="B293" s="84" t="n">
        <v>1883.7</v>
      </c>
      <c r="C293" s="39">
        <f>(Table267[[#This Row],[M2 Money Stock, Billions of Dollars, Weekly, Seasonally Adjusted]]-B292)/B292</f>
        <v/>
      </c>
      <c r="D293" s="40">
        <f>((1+Table267[[#This Row],[Monthly change]])^12)-1</f>
        <v/>
      </c>
      <c r="E293" s="39">
        <f>(Table267[[#This Row],[M2 Money Stock, Billions of Dollars, Weekly, Seasonally Adjusted]]-B281)/B281</f>
        <v/>
      </c>
    </row>
    <row r="294">
      <c r="A294" s="37" t="n">
        <v>30286</v>
      </c>
      <c r="B294" s="84" t="n">
        <v>1905.9</v>
      </c>
      <c r="C294" s="39">
        <f>(Table267[[#This Row],[M2 Money Stock, Billions of Dollars, Weekly, Seasonally Adjusted]]-B293)/B293</f>
        <v/>
      </c>
      <c r="D294" s="40">
        <f>((1+Table267[[#This Row],[Monthly change]])^12)-1</f>
        <v/>
      </c>
      <c r="E294" s="39">
        <f>(Table267[[#This Row],[M2 Money Stock, Billions of Dollars, Weekly, Seasonally Adjusted]]-B282)/B282</f>
        <v/>
      </c>
    </row>
    <row r="295">
      <c r="A295" s="37" t="n">
        <v>30317</v>
      </c>
      <c r="B295" s="84" t="n">
        <v>1959.4</v>
      </c>
      <c r="C295" s="39">
        <f>(Table267[[#This Row],[M2 Money Stock, Billions of Dollars, Weekly, Seasonally Adjusted]]-B294)/B294</f>
        <v/>
      </c>
      <c r="D295" s="40">
        <f>((1+Table267[[#This Row],[Monthly change]])^12)-1</f>
        <v/>
      </c>
      <c r="E295" s="39">
        <f>(Table267[[#This Row],[M2 Money Stock, Billions of Dollars, Weekly, Seasonally Adjusted]]-B283)/B283</f>
        <v/>
      </c>
    </row>
    <row r="296">
      <c r="A296" s="37" t="n">
        <v>30348</v>
      </c>
      <c r="B296" s="84" t="n">
        <v>1996.8</v>
      </c>
      <c r="C296" s="39">
        <f>(Table267[[#This Row],[M2 Money Stock, Billions of Dollars, Weekly, Seasonally Adjusted]]-B295)/B295</f>
        <v/>
      </c>
      <c r="D296" s="40">
        <f>((1+Table267[[#This Row],[Monthly change]])^12)-1</f>
        <v/>
      </c>
      <c r="E296" s="39">
        <f>(Table267[[#This Row],[M2 Money Stock, Billions of Dollars, Weekly, Seasonally Adjusted]]-B284)/B284</f>
        <v/>
      </c>
    </row>
    <row r="297">
      <c r="A297" s="37" t="n">
        <v>30376</v>
      </c>
      <c r="B297" s="84" t="n">
        <v>2015.2</v>
      </c>
      <c r="C297" s="39">
        <f>(Table267[[#This Row],[M2 Money Stock, Billions of Dollars, Weekly, Seasonally Adjusted]]-B296)/B296</f>
        <v/>
      </c>
      <c r="D297" s="40">
        <f>((1+Table267[[#This Row],[Monthly change]])^12)-1</f>
        <v/>
      </c>
      <c r="E297" s="39">
        <f>(Table267[[#This Row],[M2 Money Stock, Billions of Dollars, Weekly, Seasonally Adjusted]]-B285)/B285</f>
        <v/>
      </c>
    </row>
    <row r="298">
      <c r="A298" s="37" t="n">
        <v>30407</v>
      </c>
      <c r="B298" s="84" t="n">
        <v>2028.6</v>
      </c>
      <c r="C298" s="39">
        <f>(Table267[[#This Row],[M2 Money Stock, Billions of Dollars, Weekly, Seasonally Adjusted]]-B297)/B297</f>
        <v/>
      </c>
      <c r="D298" s="40">
        <f>((1+Table267[[#This Row],[Monthly change]])^12)-1</f>
        <v/>
      </c>
      <c r="E298" s="39">
        <f>(Table267[[#This Row],[M2 Money Stock, Billions of Dollars, Weekly, Seasonally Adjusted]]-B286)/B286</f>
        <v/>
      </c>
    </row>
    <row r="299">
      <c r="A299" s="37" t="n">
        <v>30437</v>
      </c>
      <c r="B299" s="84" t="n">
        <v>2043.1</v>
      </c>
      <c r="C299" s="39">
        <f>(Table267[[#This Row],[M2 Money Stock, Billions of Dollars, Weekly, Seasonally Adjusted]]-B298)/B298</f>
        <v/>
      </c>
      <c r="D299" s="40">
        <f>((1+Table267[[#This Row],[Monthly change]])^12)-1</f>
        <v/>
      </c>
      <c r="E299" s="39">
        <f>(Table267[[#This Row],[M2 Money Stock, Billions of Dollars, Weekly, Seasonally Adjusted]]-B287)/B287</f>
        <v/>
      </c>
    </row>
    <row r="300">
      <c r="A300" s="37" t="n">
        <v>30468</v>
      </c>
      <c r="B300" s="84" t="n">
        <v>2053.5</v>
      </c>
      <c r="C300" s="39">
        <f>(Table267[[#This Row],[M2 Money Stock, Billions of Dollars, Weekly, Seasonally Adjusted]]-B299)/B299</f>
        <v/>
      </c>
      <c r="D300" s="40">
        <f>((1+Table267[[#This Row],[Monthly change]])^12)-1</f>
        <v/>
      </c>
      <c r="E300" s="39">
        <f>(Table267[[#This Row],[M2 Money Stock, Billions of Dollars, Weekly, Seasonally Adjusted]]-B288)/B288</f>
        <v/>
      </c>
    </row>
    <row r="301">
      <c r="A301" s="37" t="n">
        <v>30498</v>
      </c>
      <c r="B301" s="84" t="n">
        <v>2064.8</v>
      </c>
      <c r="C301" s="39">
        <f>(Table267[[#This Row],[M2 Money Stock, Billions of Dollars, Weekly, Seasonally Adjusted]]-B300)/B300</f>
        <v/>
      </c>
      <c r="D301" s="40">
        <f>((1+Table267[[#This Row],[Monthly change]])^12)-1</f>
        <v/>
      </c>
      <c r="E301" s="39">
        <f>(Table267[[#This Row],[M2 Money Stock, Billions of Dollars, Weekly, Seasonally Adjusted]]-B289)/B289</f>
        <v/>
      </c>
    </row>
    <row r="302">
      <c r="A302" s="37" t="n">
        <v>30529</v>
      </c>
      <c r="B302" s="84" t="n">
        <v>2074</v>
      </c>
      <c r="C302" s="39">
        <f>(Table267[[#This Row],[M2 Money Stock, Billions of Dollars, Weekly, Seasonally Adjusted]]-B301)/B301</f>
        <v/>
      </c>
      <c r="D302" s="40">
        <f>((1+Table267[[#This Row],[Monthly change]])^12)-1</f>
        <v/>
      </c>
      <c r="E302" s="39">
        <f>(Table267[[#This Row],[M2 Money Stock, Billions of Dollars, Weekly, Seasonally Adjusted]]-B290)/B290</f>
        <v/>
      </c>
    </row>
    <row r="303">
      <c r="A303" s="37" t="n">
        <v>30560</v>
      </c>
      <c r="B303" s="84" t="n">
        <v>2083.2</v>
      </c>
      <c r="C303" s="39">
        <f>(Table267[[#This Row],[M2 Money Stock, Billions of Dollars, Weekly, Seasonally Adjusted]]-B302)/B302</f>
        <v/>
      </c>
      <c r="D303" s="40">
        <f>((1+Table267[[#This Row],[Monthly change]])^12)-1</f>
        <v/>
      </c>
      <c r="E303" s="39">
        <f>(Table267[[#This Row],[M2 Money Stock, Billions of Dollars, Weekly, Seasonally Adjusted]]-B291)/B291</f>
        <v/>
      </c>
    </row>
    <row r="304">
      <c r="A304" s="37" t="n">
        <v>30590</v>
      </c>
      <c r="B304" s="84" t="n">
        <v>2099.2</v>
      </c>
      <c r="C304" s="39">
        <f>(Table267[[#This Row],[M2 Money Stock, Billions of Dollars, Weekly, Seasonally Adjusted]]-B303)/B303</f>
        <v/>
      </c>
      <c r="D304" s="40">
        <f>((1+Table267[[#This Row],[Monthly change]])^12)-1</f>
        <v/>
      </c>
      <c r="E304" s="39">
        <f>(Table267[[#This Row],[M2 Money Stock, Billions of Dollars, Weekly, Seasonally Adjusted]]-B292)/B292</f>
        <v/>
      </c>
    </row>
    <row r="305">
      <c r="A305" s="37" t="n">
        <v>30621</v>
      </c>
      <c r="B305" s="84" t="n">
        <v>2112.3</v>
      </c>
      <c r="C305" s="39">
        <f>(Table267[[#This Row],[M2 Money Stock, Billions of Dollars, Weekly, Seasonally Adjusted]]-B304)/B304</f>
        <v/>
      </c>
      <c r="D305" s="40">
        <f>((1+Table267[[#This Row],[Monthly change]])^12)-1</f>
        <v/>
      </c>
      <c r="E305" s="39">
        <f>(Table267[[#This Row],[M2 Money Stock, Billions of Dollars, Weekly, Seasonally Adjusted]]-B293)/B293</f>
        <v/>
      </c>
    </row>
    <row r="306">
      <c r="A306" s="37" t="n">
        <v>30651</v>
      </c>
      <c r="B306" s="84" t="n">
        <v>2123.5</v>
      </c>
      <c r="C306" s="39">
        <f>(Table267[[#This Row],[M2 Money Stock, Billions of Dollars, Weekly, Seasonally Adjusted]]-B305)/B305</f>
        <v/>
      </c>
      <c r="D306" s="40">
        <f>((1+Table267[[#This Row],[Monthly change]])^12)-1</f>
        <v/>
      </c>
      <c r="E306" s="39">
        <f>(Table267[[#This Row],[M2 Money Stock, Billions of Dollars, Weekly, Seasonally Adjusted]]-B294)/B294</f>
        <v/>
      </c>
    </row>
    <row r="307">
      <c r="A307" s="37" t="n">
        <v>30682</v>
      </c>
      <c r="B307" s="84" t="n">
        <v>2138.2</v>
      </c>
      <c r="C307" s="39">
        <f>(Table267[[#This Row],[M2 Money Stock, Billions of Dollars, Weekly, Seasonally Adjusted]]-B306)/B306</f>
        <v/>
      </c>
      <c r="D307" s="40">
        <f>((1+Table267[[#This Row],[Monthly change]])^12)-1</f>
        <v/>
      </c>
      <c r="E307" s="39">
        <f>(Table267[[#This Row],[M2 Money Stock, Billions of Dollars, Weekly, Seasonally Adjusted]]-B295)/B295</f>
        <v/>
      </c>
    </row>
    <row r="308">
      <c r="A308" s="37" t="n">
        <v>30713</v>
      </c>
      <c r="B308" s="84" t="n">
        <v>2158.2</v>
      </c>
      <c r="C308" s="39">
        <f>(Table267[[#This Row],[M2 Money Stock, Billions of Dollars, Weekly, Seasonally Adjusted]]-B307)/B307</f>
        <v/>
      </c>
      <c r="D308" s="40">
        <f>((1+Table267[[#This Row],[Monthly change]])^12)-1</f>
        <v/>
      </c>
      <c r="E308" s="39">
        <f>(Table267[[#This Row],[M2 Money Stock, Billions of Dollars, Weekly, Seasonally Adjusted]]-B296)/B296</f>
        <v/>
      </c>
    </row>
    <row r="309">
      <c r="A309" s="37" t="n">
        <v>30742</v>
      </c>
      <c r="B309" s="84" t="n">
        <v>2175.2</v>
      </c>
      <c r="C309" s="39">
        <f>(Table267[[#This Row],[M2 Money Stock, Billions of Dollars, Weekly, Seasonally Adjusted]]-B308)/B308</f>
        <v/>
      </c>
      <c r="D309" s="40">
        <f>((1+Table267[[#This Row],[Monthly change]])^12)-1</f>
        <v/>
      </c>
      <c r="E309" s="39">
        <f>(Table267[[#This Row],[M2 Money Stock, Billions of Dollars, Weekly, Seasonally Adjusted]]-B297)/B297</f>
        <v/>
      </c>
    </row>
    <row r="310">
      <c r="A310" s="37" t="n">
        <v>30773</v>
      </c>
      <c r="B310" s="84" t="n">
        <v>2191.7</v>
      </c>
      <c r="C310" s="39">
        <f>(Table267[[#This Row],[M2 Money Stock, Billions of Dollars, Weekly, Seasonally Adjusted]]-B309)/B309</f>
        <v/>
      </c>
      <c r="D310" s="40">
        <f>((1+Table267[[#This Row],[Monthly change]])^12)-1</f>
        <v/>
      </c>
      <c r="E310" s="39">
        <f>(Table267[[#This Row],[M2 Money Stock, Billions of Dollars, Weekly, Seasonally Adjusted]]-B298)/B298</f>
        <v/>
      </c>
    </row>
    <row r="311">
      <c r="A311" s="37" t="n">
        <v>30803</v>
      </c>
      <c r="B311" s="84" t="n">
        <v>2204.1</v>
      </c>
      <c r="C311" s="39">
        <f>(Table267[[#This Row],[M2 Money Stock, Billions of Dollars, Weekly, Seasonally Adjusted]]-B310)/B310</f>
        <v/>
      </c>
      <c r="D311" s="40">
        <f>((1+Table267[[#This Row],[Monthly change]])^12)-1</f>
        <v/>
      </c>
      <c r="E311" s="39">
        <f>(Table267[[#This Row],[M2 Money Stock, Billions of Dollars, Weekly, Seasonally Adjusted]]-B299)/B299</f>
        <v/>
      </c>
    </row>
    <row r="312">
      <c r="A312" s="37" t="n">
        <v>30834</v>
      </c>
      <c r="B312" s="84" t="n">
        <v>2215.1</v>
      </c>
      <c r="C312" s="39">
        <f>(Table267[[#This Row],[M2 Money Stock, Billions of Dollars, Weekly, Seasonally Adjusted]]-B311)/B311</f>
        <v/>
      </c>
      <c r="D312" s="40">
        <f>((1+Table267[[#This Row],[Monthly change]])^12)-1</f>
        <v/>
      </c>
      <c r="E312" s="39">
        <f>(Table267[[#This Row],[M2 Money Stock, Billions of Dollars, Weekly, Seasonally Adjusted]]-B300)/B300</f>
        <v/>
      </c>
    </row>
    <row r="313">
      <c r="A313" s="37" t="n">
        <v>30864</v>
      </c>
      <c r="B313" s="84" t="n">
        <v>2223.5</v>
      </c>
      <c r="C313" s="39">
        <f>(Table267[[#This Row],[M2 Money Stock, Billions of Dollars, Weekly, Seasonally Adjusted]]-B312)/B312</f>
        <v/>
      </c>
      <c r="D313" s="40">
        <f>((1+Table267[[#This Row],[Monthly change]])^12)-1</f>
        <v/>
      </c>
      <c r="E313" s="39">
        <f>(Table267[[#This Row],[M2 Money Stock, Billions of Dollars, Weekly, Seasonally Adjusted]]-B301)/B301</f>
        <v/>
      </c>
    </row>
    <row r="314">
      <c r="A314" s="37" t="n">
        <v>30895</v>
      </c>
      <c r="B314" s="84" t="n">
        <v>2230.4</v>
      </c>
      <c r="C314" s="39">
        <f>(Table267[[#This Row],[M2 Money Stock, Billions of Dollars, Weekly, Seasonally Adjusted]]-B313)/B313</f>
        <v/>
      </c>
      <c r="D314" s="40">
        <f>((1+Table267[[#This Row],[Monthly change]])^12)-1</f>
        <v/>
      </c>
      <c r="E314" s="39">
        <f>(Table267[[#This Row],[M2 Money Stock, Billions of Dollars, Weekly, Seasonally Adjusted]]-B302)/B302</f>
        <v/>
      </c>
    </row>
    <row r="315">
      <c r="A315" s="37" t="n">
        <v>30926</v>
      </c>
      <c r="B315" s="84" t="n">
        <v>2244.4</v>
      </c>
      <c r="C315" s="39">
        <f>(Table267[[#This Row],[M2 Money Stock, Billions of Dollars, Weekly, Seasonally Adjusted]]-B314)/B314</f>
        <v/>
      </c>
      <c r="D315" s="40">
        <f>((1+Table267[[#This Row],[Monthly change]])^12)-1</f>
        <v/>
      </c>
      <c r="E315" s="39">
        <f>(Table267[[#This Row],[M2 Money Stock, Billions of Dollars, Weekly, Seasonally Adjusted]]-B303)/B303</f>
        <v/>
      </c>
    </row>
    <row r="316">
      <c r="A316" s="37" t="n">
        <v>30956</v>
      </c>
      <c r="B316" s="84" t="n">
        <v>2258.9</v>
      </c>
      <c r="C316" s="39">
        <f>(Table267[[#This Row],[M2 Money Stock, Billions of Dollars, Weekly, Seasonally Adjusted]]-B315)/B315</f>
        <v/>
      </c>
      <c r="D316" s="40">
        <f>((1+Table267[[#This Row],[Monthly change]])^12)-1</f>
        <v/>
      </c>
      <c r="E316" s="39">
        <f>(Table267[[#This Row],[M2 Money Stock, Billions of Dollars, Weekly, Seasonally Adjusted]]-B304)/B304</f>
        <v/>
      </c>
    </row>
    <row r="317">
      <c r="A317" s="37" t="n">
        <v>30987</v>
      </c>
      <c r="B317" s="84" t="n">
        <v>2281.4</v>
      </c>
      <c r="C317" s="39">
        <f>(Table267[[#This Row],[M2 Money Stock, Billions of Dollars, Weekly, Seasonally Adjusted]]-B316)/B316</f>
        <v/>
      </c>
      <c r="D317" s="40">
        <f>((1+Table267[[#This Row],[Monthly change]])^12)-1</f>
        <v/>
      </c>
      <c r="E317" s="39">
        <f>(Table267[[#This Row],[M2 Money Stock, Billions of Dollars, Weekly, Seasonally Adjusted]]-B305)/B305</f>
        <v/>
      </c>
    </row>
    <row r="318">
      <c r="A318" s="37" t="n">
        <v>31017</v>
      </c>
      <c r="B318" s="84" t="n">
        <v>2306.4</v>
      </c>
      <c r="C318" s="39">
        <f>(Table267[[#This Row],[M2 Money Stock, Billions of Dollars, Weekly, Seasonally Adjusted]]-B317)/B317</f>
        <v/>
      </c>
      <c r="D318" s="40">
        <f>((1+Table267[[#This Row],[Monthly change]])^12)-1</f>
        <v/>
      </c>
      <c r="E318" s="39">
        <f>(Table267[[#This Row],[M2 Money Stock, Billions of Dollars, Weekly, Seasonally Adjusted]]-B306)/B306</f>
        <v/>
      </c>
    </row>
    <row r="319">
      <c r="A319" s="37" t="n">
        <v>31048</v>
      </c>
      <c r="B319" s="84" t="n">
        <v>2332.4</v>
      </c>
      <c r="C319" s="39">
        <f>(Table267[[#This Row],[M2 Money Stock, Billions of Dollars, Weekly, Seasonally Adjusted]]-B318)/B318</f>
        <v/>
      </c>
      <c r="D319" s="40">
        <f>((1+Table267[[#This Row],[Monthly change]])^12)-1</f>
        <v/>
      </c>
      <c r="E319" s="39">
        <f>(Table267[[#This Row],[M2 Money Stock, Billions of Dollars, Weekly, Seasonally Adjusted]]-B307)/B307</f>
        <v/>
      </c>
    </row>
    <row r="320">
      <c r="A320" s="37" t="n">
        <v>31079</v>
      </c>
      <c r="B320" s="84" t="n">
        <v>2354.1</v>
      </c>
      <c r="C320" s="39">
        <f>(Table267[[#This Row],[M2 Money Stock, Billions of Dollars, Weekly, Seasonally Adjusted]]-B319)/B319</f>
        <v/>
      </c>
      <c r="D320" s="40">
        <f>((1+Table267[[#This Row],[Monthly change]])^12)-1</f>
        <v/>
      </c>
      <c r="E320" s="39">
        <f>(Table267[[#This Row],[M2 Money Stock, Billions of Dollars, Weekly, Seasonally Adjusted]]-B308)/B308</f>
        <v/>
      </c>
    </row>
    <row r="321">
      <c r="A321" s="37" t="n">
        <v>31107</v>
      </c>
      <c r="B321" s="84" t="n">
        <v>2366.2</v>
      </c>
      <c r="C321" s="39">
        <f>(Table267[[#This Row],[M2 Money Stock, Billions of Dollars, Weekly, Seasonally Adjusted]]-B320)/B320</f>
        <v/>
      </c>
      <c r="D321" s="40">
        <f>((1+Table267[[#This Row],[Monthly change]])^12)-1</f>
        <v/>
      </c>
      <c r="E321" s="39">
        <f>(Table267[[#This Row],[M2 Money Stock, Billions of Dollars, Weekly, Seasonally Adjusted]]-B309)/B309</f>
        <v/>
      </c>
    </row>
    <row r="322">
      <c r="A322" s="37" t="n">
        <v>31138</v>
      </c>
      <c r="B322" s="84" t="n">
        <v>2375.4</v>
      </c>
      <c r="C322" s="39">
        <f>(Table267[[#This Row],[M2 Money Stock, Billions of Dollars, Weekly, Seasonally Adjusted]]-B321)/B321</f>
        <v/>
      </c>
      <c r="D322" s="40">
        <f>((1+Table267[[#This Row],[Monthly change]])^12)-1</f>
        <v/>
      </c>
      <c r="E322" s="39">
        <f>(Table267[[#This Row],[M2 Money Stock, Billions of Dollars, Weekly, Seasonally Adjusted]]-B310)/B310</f>
        <v/>
      </c>
    </row>
    <row r="323">
      <c r="A323" s="37" t="n">
        <v>31168</v>
      </c>
      <c r="B323" s="84" t="n">
        <v>2389.5</v>
      </c>
      <c r="C323" s="39">
        <f>(Table267[[#This Row],[M2 Money Stock, Billions of Dollars, Weekly, Seasonally Adjusted]]-B322)/B322</f>
        <v/>
      </c>
      <c r="D323" s="40">
        <f>((1+Table267[[#This Row],[Monthly change]])^12)-1</f>
        <v/>
      </c>
      <c r="E323" s="39">
        <f>(Table267[[#This Row],[M2 Money Stock, Billions of Dollars, Weekly, Seasonally Adjusted]]-B311)/B311</f>
        <v/>
      </c>
    </row>
    <row r="324">
      <c r="A324" s="37" t="n">
        <v>31199</v>
      </c>
      <c r="B324" s="84" t="n">
        <v>2412.6</v>
      </c>
      <c r="C324" s="39">
        <f>(Table267[[#This Row],[M2 Money Stock, Billions of Dollars, Weekly, Seasonally Adjusted]]-B323)/B323</f>
        <v/>
      </c>
      <c r="D324" s="40">
        <f>((1+Table267[[#This Row],[Monthly change]])^12)-1</f>
        <v/>
      </c>
      <c r="E324" s="39">
        <f>(Table267[[#This Row],[M2 Money Stock, Billions of Dollars, Weekly, Seasonally Adjusted]]-B312)/B312</f>
        <v/>
      </c>
    </row>
    <row r="325">
      <c r="A325" s="37" t="n">
        <v>31229</v>
      </c>
      <c r="B325" s="84" t="n">
        <v>2429.5</v>
      </c>
      <c r="C325" s="39">
        <f>(Table267[[#This Row],[M2 Money Stock, Billions of Dollars, Weekly, Seasonally Adjusted]]-B324)/B324</f>
        <v/>
      </c>
      <c r="D325" s="40">
        <f>((1+Table267[[#This Row],[Monthly change]])^12)-1</f>
        <v/>
      </c>
      <c r="E325" s="39">
        <f>(Table267[[#This Row],[M2 Money Stock, Billions of Dollars, Weekly, Seasonally Adjusted]]-B313)/B313</f>
        <v/>
      </c>
    </row>
    <row r="326">
      <c r="A326" s="37" t="n">
        <v>31260</v>
      </c>
      <c r="B326" s="84" t="n">
        <v>2444</v>
      </c>
      <c r="C326" s="39">
        <f>(Table267[[#This Row],[M2 Money Stock, Billions of Dollars, Weekly, Seasonally Adjusted]]-B325)/B325</f>
        <v/>
      </c>
      <c r="D326" s="40">
        <f>((1+Table267[[#This Row],[Monthly change]])^12)-1</f>
        <v/>
      </c>
      <c r="E326" s="39">
        <f>(Table267[[#This Row],[M2 Money Stock, Billions of Dollars, Weekly, Seasonally Adjusted]]-B314)/B314</f>
        <v/>
      </c>
    </row>
    <row r="327">
      <c r="A327" s="37" t="n">
        <v>31291</v>
      </c>
      <c r="B327" s="84" t="n">
        <v>2456.4</v>
      </c>
      <c r="C327" s="39">
        <f>(Table267[[#This Row],[M2 Money Stock, Billions of Dollars, Weekly, Seasonally Adjusted]]-B326)/B326</f>
        <v/>
      </c>
      <c r="D327" s="40">
        <f>((1+Table267[[#This Row],[Monthly change]])^12)-1</f>
        <v/>
      </c>
      <c r="E327" s="39">
        <f>(Table267[[#This Row],[M2 Money Stock, Billions of Dollars, Weekly, Seasonally Adjusted]]-B315)/B315</f>
        <v/>
      </c>
    </row>
    <row r="328">
      <c r="A328" s="37" t="n">
        <v>31321</v>
      </c>
      <c r="B328" s="84" t="n">
        <v>2468</v>
      </c>
      <c r="C328" s="39">
        <f>(Table267[[#This Row],[M2 Money Stock, Billions of Dollars, Weekly, Seasonally Adjusted]]-B327)/B327</f>
        <v/>
      </c>
      <c r="D328" s="40">
        <f>((1+Table267[[#This Row],[Monthly change]])^12)-1</f>
        <v/>
      </c>
      <c r="E328" s="39">
        <f>(Table267[[#This Row],[M2 Money Stock, Billions of Dollars, Weekly, Seasonally Adjusted]]-B316)/B316</f>
        <v/>
      </c>
    </row>
    <row r="329">
      <c r="A329" s="37" t="n">
        <v>31352</v>
      </c>
      <c r="B329" s="84" t="n">
        <v>2477.8</v>
      </c>
      <c r="C329" s="39">
        <f>(Table267[[#This Row],[M2 Money Stock, Billions of Dollars, Weekly, Seasonally Adjusted]]-B328)/B328</f>
        <v/>
      </c>
      <c r="D329" s="40">
        <f>((1+Table267[[#This Row],[Monthly change]])^12)-1</f>
        <v/>
      </c>
      <c r="E329" s="39">
        <f>(Table267[[#This Row],[M2 Money Stock, Billions of Dollars, Weekly, Seasonally Adjusted]]-B317)/B317</f>
        <v/>
      </c>
    </row>
    <row r="330">
      <c r="A330" s="37" t="n">
        <v>31382</v>
      </c>
      <c r="B330" s="84" t="n">
        <v>2492.1</v>
      </c>
      <c r="C330" s="39">
        <f>(Table267[[#This Row],[M2 Money Stock, Billions of Dollars, Weekly, Seasonally Adjusted]]-B329)/B329</f>
        <v/>
      </c>
      <c r="D330" s="40">
        <f>((1+Table267[[#This Row],[Monthly change]])^12)-1</f>
        <v/>
      </c>
      <c r="E330" s="39">
        <f>(Table267[[#This Row],[M2 Money Stock, Billions of Dollars, Weekly, Seasonally Adjusted]]-B318)/B318</f>
        <v/>
      </c>
    </row>
    <row r="331">
      <c r="A331" s="37" t="n">
        <v>31413</v>
      </c>
      <c r="B331" s="84" t="n">
        <v>2502.1</v>
      </c>
      <c r="C331" s="39">
        <f>(Table267[[#This Row],[M2 Money Stock, Billions of Dollars, Weekly, Seasonally Adjusted]]-B330)/B330</f>
        <v/>
      </c>
      <c r="D331" s="40">
        <f>((1+Table267[[#This Row],[Monthly change]])^12)-1</f>
        <v/>
      </c>
      <c r="E331" s="39">
        <f>(Table267[[#This Row],[M2 Money Stock, Billions of Dollars, Weekly, Seasonally Adjusted]]-B319)/B319</f>
        <v/>
      </c>
    </row>
    <row r="332">
      <c r="A332" s="37" t="n">
        <v>31444</v>
      </c>
      <c r="B332" s="84" t="n">
        <v>2512.9</v>
      </c>
      <c r="C332" s="39">
        <f>(Table267[[#This Row],[M2 Money Stock, Billions of Dollars, Weekly, Seasonally Adjusted]]-B331)/B331</f>
        <v/>
      </c>
      <c r="D332" s="40">
        <f>((1+Table267[[#This Row],[Monthly change]])^12)-1</f>
        <v/>
      </c>
      <c r="E332" s="39">
        <f>(Table267[[#This Row],[M2 Money Stock, Billions of Dollars, Weekly, Seasonally Adjusted]]-B320)/B320</f>
        <v/>
      </c>
    </row>
    <row r="333">
      <c r="A333" s="37" t="n">
        <v>31472</v>
      </c>
      <c r="B333" s="84" t="n">
        <v>2533.1</v>
      </c>
      <c r="C333" s="39">
        <f>(Table267[[#This Row],[M2 Money Stock, Billions of Dollars, Weekly, Seasonally Adjusted]]-B332)/B332</f>
        <v/>
      </c>
      <c r="D333" s="40">
        <f>((1+Table267[[#This Row],[Monthly change]])^12)-1</f>
        <v/>
      </c>
      <c r="E333" s="39">
        <f>(Table267[[#This Row],[M2 Money Stock, Billions of Dollars, Weekly, Seasonally Adjusted]]-B321)/B321</f>
        <v/>
      </c>
    </row>
    <row r="334">
      <c r="A334" s="37" t="n">
        <v>31503</v>
      </c>
      <c r="B334" s="84" t="n">
        <v>2557.8</v>
      </c>
      <c r="C334" s="39">
        <f>(Table267[[#This Row],[M2 Money Stock, Billions of Dollars, Weekly, Seasonally Adjusted]]-B333)/B333</f>
        <v/>
      </c>
      <c r="D334" s="40">
        <f>((1+Table267[[#This Row],[Monthly change]])^12)-1</f>
        <v/>
      </c>
      <c r="E334" s="39">
        <f>(Table267[[#This Row],[M2 Money Stock, Billions of Dollars, Weekly, Seasonally Adjusted]]-B322)/B322</f>
        <v/>
      </c>
    </row>
    <row r="335">
      <c r="A335" s="37" t="n">
        <v>31533</v>
      </c>
      <c r="B335" s="84" t="n">
        <v>2584.8</v>
      </c>
      <c r="C335" s="39">
        <f>(Table267[[#This Row],[M2 Money Stock, Billions of Dollars, Weekly, Seasonally Adjusted]]-B334)/B334</f>
        <v/>
      </c>
      <c r="D335" s="40">
        <f>((1+Table267[[#This Row],[Monthly change]])^12)-1</f>
        <v/>
      </c>
      <c r="E335" s="39">
        <f>(Table267[[#This Row],[M2 Money Stock, Billions of Dollars, Weekly, Seasonally Adjusted]]-B323)/B323</f>
        <v/>
      </c>
    </row>
    <row r="336">
      <c r="A336" s="37" t="n">
        <v>31564</v>
      </c>
      <c r="B336" s="84" t="n">
        <v>2605</v>
      </c>
      <c r="C336" s="39">
        <f>(Table267[[#This Row],[M2 Money Stock, Billions of Dollars, Weekly, Seasonally Adjusted]]-B335)/B335</f>
        <v/>
      </c>
      <c r="D336" s="40">
        <f>((1+Table267[[#This Row],[Monthly change]])^12)-1</f>
        <v/>
      </c>
      <c r="E336" s="39">
        <f>(Table267[[#This Row],[M2 Money Stock, Billions of Dollars, Weekly, Seasonally Adjusted]]-B324)/B324</f>
        <v/>
      </c>
    </row>
    <row r="337">
      <c r="A337" s="37" t="n">
        <v>31594</v>
      </c>
      <c r="B337" s="84" t="n">
        <v>2626.6</v>
      </c>
      <c r="C337" s="39">
        <f>(Table267[[#This Row],[M2 Money Stock, Billions of Dollars, Weekly, Seasonally Adjusted]]-B336)/B336</f>
        <v/>
      </c>
      <c r="D337" s="40">
        <f>((1+Table267[[#This Row],[Monthly change]])^12)-1</f>
        <v/>
      </c>
      <c r="E337" s="39">
        <f>(Table267[[#This Row],[M2 Money Stock, Billions of Dollars, Weekly, Seasonally Adjusted]]-B325)/B325</f>
        <v/>
      </c>
    </row>
    <row r="338">
      <c r="A338" s="37" t="n">
        <v>31625</v>
      </c>
      <c r="B338" s="84" t="n">
        <v>2646.5</v>
      </c>
      <c r="C338" s="39">
        <f>(Table267[[#This Row],[M2 Money Stock, Billions of Dollars, Weekly, Seasonally Adjusted]]-B337)/B337</f>
        <v/>
      </c>
      <c r="D338" s="40">
        <f>((1+Table267[[#This Row],[Monthly change]])^12)-1</f>
        <v/>
      </c>
      <c r="E338" s="39">
        <f>(Table267[[#This Row],[M2 Money Stock, Billions of Dollars, Weekly, Seasonally Adjusted]]-B326)/B326</f>
        <v/>
      </c>
    </row>
    <row r="339">
      <c r="A339" s="37" t="n">
        <v>31656</v>
      </c>
      <c r="B339" s="84" t="n">
        <v>2667.8</v>
      </c>
      <c r="C339" s="39">
        <f>(Table267[[#This Row],[M2 Money Stock, Billions of Dollars, Weekly, Seasonally Adjusted]]-B338)/B338</f>
        <v/>
      </c>
      <c r="D339" s="40">
        <f>((1+Table267[[#This Row],[Monthly change]])^12)-1</f>
        <v/>
      </c>
      <c r="E339" s="39">
        <f>(Table267[[#This Row],[M2 Money Stock, Billions of Dollars, Weekly, Seasonally Adjusted]]-B327)/B327</f>
        <v/>
      </c>
    </row>
    <row r="340">
      <c r="A340" s="37" t="n">
        <v>31686</v>
      </c>
      <c r="B340" s="84" t="n">
        <v>2687.4</v>
      </c>
      <c r="C340" s="39">
        <f>(Table267[[#This Row],[M2 Money Stock, Billions of Dollars, Weekly, Seasonally Adjusted]]-B339)/B339</f>
        <v/>
      </c>
      <c r="D340" s="40">
        <f>((1+Table267[[#This Row],[Monthly change]])^12)-1</f>
        <v/>
      </c>
      <c r="E340" s="39">
        <f>(Table267[[#This Row],[M2 Money Stock, Billions of Dollars, Weekly, Seasonally Adjusted]]-B328)/B328</f>
        <v/>
      </c>
    </row>
    <row r="341">
      <c r="A341" s="37" t="n">
        <v>31717</v>
      </c>
      <c r="B341" s="84" t="n">
        <v>2701.3</v>
      </c>
      <c r="C341" s="39">
        <f>(Table267[[#This Row],[M2 Money Stock, Billions of Dollars, Weekly, Seasonally Adjusted]]-B340)/B340</f>
        <v/>
      </c>
      <c r="D341" s="40">
        <f>((1+Table267[[#This Row],[Monthly change]])^12)-1</f>
        <v/>
      </c>
      <c r="E341" s="39">
        <f>(Table267[[#This Row],[M2 Money Stock, Billions of Dollars, Weekly, Seasonally Adjusted]]-B329)/B329</f>
        <v/>
      </c>
    </row>
    <row r="342">
      <c r="A342" s="37" t="n">
        <v>31747</v>
      </c>
      <c r="B342" s="84" t="n">
        <v>2728</v>
      </c>
      <c r="C342" s="39">
        <f>(Table267[[#This Row],[M2 Money Stock, Billions of Dollars, Weekly, Seasonally Adjusted]]-B341)/B341</f>
        <v/>
      </c>
      <c r="D342" s="40">
        <f>((1+Table267[[#This Row],[Monthly change]])^12)-1</f>
        <v/>
      </c>
      <c r="E342" s="39">
        <f>(Table267[[#This Row],[M2 Money Stock, Billions of Dollars, Weekly, Seasonally Adjusted]]-B330)/B330</f>
        <v/>
      </c>
    </row>
    <row r="343">
      <c r="A343" s="37" t="n">
        <v>31778</v>
      </c>
      <c r="B343" s="84" t="n">
        <v>2743.9</v>
      </c>
      <c r="C343" s="39">
        <f>(Table267[[#This Row],[M2 Money Stock, Billions of Dollars, Weekly, Seasonally Adjusted]]-B342)/B342</f>
        <v/>
      </c>
      <c r="D343" s="40">
        <f>((1+Table267[[#This Row],[Monthly change]])^12)-1</f>
        <v/>
      </c>
      <c r="E343" s="39">
        <f>(Table267[[#This Row],[M2 Money Stock, Billions of Dollars, Weekly, Seasonally Adjusted]]-B331)/B331</f>
        <v/>
      </c>
    </row>
    <row r="344">
      <c r="A344" s="37" t="n">
        <v>31809</v>
      </c>
      <c r="B344" s="84" t="n">
        <v>2747.5</v>
      </c>
      <c r="C344" s="39">
        <f>(Table267[[#This Row],[M2 Money Stock, Billions of Dollars, Weekly, Seasonally Adjusted]]-B343)/B343</f>
        <v/>
      </c>
      <c r="D344" s="40">
        <f>((1+Table267[[#This Row],[Monthly change]])^12)-1</f>
        <v/>
      </c>
      <c r="E344" s="39">
        <f>(Table267[[#This Row],[M2 Money Stock, Billions of Dollars, Weekly, Seasonally Adjusted]]-B332)/B332</f>
        <v/>
      </c>
    </row>
    <row r="345">
      <c r="A345" s="37" t="n">
        <v>31837</v>
      </c>
      <c r="B345" s="84" t="n">
        <v>2753.7</v>
      </c>
      <c r="C345" s="39">
        <f>(Table267[[#This Row],[M2 Money Stock, Billions of Dollars, Weekly, Seasonally Adjusted]]-B344)/B344</f>
        <v/>
      </c>
      <c r="D345" s="40">
        <f>((1+Table267[[#This Row],[Monthly change]])^12)-1</f>
        <v/>
      </c>
      <c r="E345" s="39">
        <f>(Table267[[#This Row],[M2 Money Stock, Billions of Dollars, Weekly, Seasonally Adjusted]]-B333)/B333</f>
        <v/>
      </c>
    </row>
    <row r="346">
      <c r="A346" s="37" t="n">
        <v>31868</v>
      </c>
      <c r="B346" s="84" t="n">
        <v>2767.7</v>
      </c>
      <c r="C346" s="39">
        <f>(Table267[[#This Row],[M2 Money Stock, Billions of Dollars, Weekly, Seasonally Adjusted]]-B345)/B345</f>
        <v/>
      </c>
      <c r="D346" s="40">
        <f>((1+Table267[[#This Row],[Monthly change]])^12)-1</f>
        <v/>
      </c>
      <c r="E346" s="39">
        <f>(Table267[[#This Row],[M2 Money Stock, Billions of Dollars, Weekly, Seasonally Adjusted]]-B334)/B334</f>
        <v/>
      </c>
    </row>
    <row r="347">
      <c r="A347" s="37" t="n">
        <v>31898</v>
      </c>
      <c r="B347" s="84" t="n">
        <v>2772.9</v>
      </c>
      <c r="C347" s="39">
        <f>(Table267[[#This Row],[M2 Money Stock, Billions of Dollars, Weekly, Seasonally Adjusted]]-B346)/B346</f>
        <v/>
      </c>
      <c r="D347" s="40">
        <f>((1+Table267[[#This Row],[Monthly change]])^12)-1</f>
        <v/>
      </c>
      <c r="E347" s="39">
        <f>(Table267[[#This Row],[M2 Money Stock, Billions of Dollars, Weekly, Seasonally Adjusted]]-B335)/B335</f>
        <v/>
      </c>
    </row>
    <row r="348">
      <c r="A348" s="37" t="n">
        <v>31929</v>
      </c>
      <c r="B348" s="84" t="n">
        <v>2774.6</v>
      </c>
      <c r="C348" s="39">
        <f>(Table267[[#This Row],[M2 Money Stock, Billions of Dollars, Weekly, Seasonally Adjusted]]-B347)/B347</f>
        <v/>
      </c>
      <c r="D348" s="40">
        <f>((1+Table267[[#This Row],[Monthly change]])^12)-1</f>
        <v/>
      </c>
      <c r="E348" s="39">
        <f>(Table267[[#This Row],[M2 Money Stock, Billions of Dollars, Weekly, Seasonally Adjusted]]-B336)/B336</f>
        <v/>
      </c>
    </row>
    <row r="349">
      <c r="A349" s="37" t="n">
        <v>31959</v>
      </c>
      <c r="B349" s="84" t="n">
        <v>2779</v>
      </c>
      <c r="C349" s="39">
        <f>(Table267[[#This Row],[M2 Money Stock, Billions of Dollars, Weekly, Seasonally Adjusted]]-B348)/B348</f>
        <v/>
      </c>
      <c r="D349" s="40">
        <f>((1+Table267[[#This Row],[Monthly change]])^12)-1</f>
        <v/>
      </c>
      <c r="E349" s="39">
        <f>(Table267[[#This Row],[M2 Money Stock, Billions of Dollars, Weekly, Seasonally Adjusted]]-B337)/B337</f>
        <v/>
      </c>
    </row>
    <row r="350">
      <c r="A350" s="37" t="n">
        <v>31990</v>
      </c>
      <c r="B350" s="84" t="n">
        <v>2788.2</v>
      </c>
      <c r="C350" s="39">
        <f>(Table267[[#This Row],[M2 Money Stock, Billions of Dollars, Weekly, Seasonally Adjusted]]-B349)/B349</f>
        <v/>
      </c>
      <c r="D350" s="40">
        <f>((1+Table267[[#This Row],[Monthly change]])^12)-1</f>
        <v/>
      </c>
      <c r="E350" s="39">
        <f>(Table267[[#This Row],[M2 Money Stock, Billions of Dollars, Weekly, Seasonally Adjusted]]-B338)/B338</f>
        <v/>
      </c>
    </row>
    <row r="351">
      <c r="A351" s="37" t="n">
        <v>32021</v>
      </c>
      <c r="B351" s="84" t="n">
        <v>2799.5</v>
      </c>
      <c r="C351" s="39">
        <f>(Table267[[#This Row],[M2 Money Stock, Billions of Dollars, Weekly, Seasonally Adjusted]]-B350)/B350</f>
        <v/>
      </c>
      <c r="D351" s="40">
        <f>((1+Table267[[#This Row],[Monthly change]])^12)-1</f>
        <v/>
      </c>
      <c r="E351" s="39">
        <f>(Table267[[#This Row],[M2 Money Stock, Billions of Dollars, Weekly, Seasonally Adjusted]]-B339)/B339</f>
        <v/>
      </c>
    </row>
    <row r="352">
      <c r="A352" s="37" t="n">
        <v>32051</v>
      </c>
      <c r="B352" s="84" t="n">
        <v>2814.8</v>
      </c>
      <c r="C352" s="39">
        <f>(Table267[[#This Row],[M2 Money Stock, Billions of Dollars, Weekly, Seasonally Adjusted]]-B351)/B351</f>
        <v/>
      </c>
      <c r="D352" s="40">
        <f>((1+Table267[[#This Row],[Monthly change]])^12)-1</f>
        <v/>
      </c>
      <c r="E352" s="39">
        <f>(Table267[[#This Row],[M2 Money Stock, Billions of Dollars, Weekly, Seasonally Adjusted]]-B340)/B340</f>
        <v/>
      </c>
    </row>
    <row r="353">
      <c r="A353" s="37" t="n">
        <v>32082</v>
      </c>
      <c r="B353" s="84" t="n">
        <v>2818.9</v>
      </c>
      <c r="C353" s="39">
        <f>(Table267[[#This Row],[M2 Money Stock, Billions of Dollars, Weekly, Seasonally Adjusted]]-B352)/B352</f>
        <v/>
      </c>
      <c r="D353" s="40">
        <f>((1+Table267[[#This Row],[Monthly change]])^12)-1</f>
        <v/>
      </c>
      <c r="E353" s="39">
        <f>(Table267[[#This Row],[M2 Money Stock, Billions of Dollars, Weekly, Seasonally Adjusted]]-B341)/B341</f>
        <v/>
      </c>
    </row>
    <row r="354">
      <c r="A354" s="37" t="n">
        <v>32112</v>
      </c>
      <c r="B354" s="84" t="n">
        <v>2826.4</v>
      </c>
      <c r="C354" s="39">
        <f>(Table267[[#This Row],[M2 Money Stock, Billions of Dollars, Weekly, Seasonally Adjusted]]-B353)/B353</f>
        <v/>
      </c>
      <c r="D354" s="40">
        <f>((1+Table267[[#This Row],[Monthly change]])^12)-1</f>
        <v/>
      </c>
      <c r="E354" s="39">
        <f>(Table267[[#This Row],[M2 Money Stock, Billions of Dollars, Weekly, Seasonally Adjusted]]-B342)/B342</f>
        <v/>
      </c>
    </row>
    <row r="355">
      <c r="A355" s="37" t="n">
        <v>32143</v>
      </c>
      <c r="B355" s="84" t="n">
        <v>2847.4</v>
      </c>
      <c r="C355" s="39">
        <f>(Table267[[#This Row],[M2 Money Stock, Billions of Dollars, Weekly, Seasonally Adjusted]]-B354)/B354</f>
        <v/>
      </c>
      <c r="D355" s="40">
        <f>((1+Table267[[#This Row],[Monthly change]])^12)-1</f>
        <v/>
      </c>
      <c r="E355" s="39">
        <f>(Table267[[#This Row],[M2 Money Stock, Billions of Dollars, Weekly, Seasonally Adjusted]]-B343)/B343</f>
        <v/>
      </c>
    </row>
    <row r="356">
      <c r="A356" s="37" t="n">
        <v>32174</v>
      </c>
      <c r="B356" s="84" t="n">
        <v>2870.4</v>
      </c>
      <c r="C356" s="39">
        <f>(Table267[[#This Row],[M2 Money Stock, Billions of Dollars, Weekly, Seasonally Adjusted]]-B355)/B355</f>
        <v/>
      </c>
      <c r="D356" s="40">
        <f>((1+Table267[[#This Row],[Monthly change]])^12)-1</f>
        <v/>
      </c>
      <c r="E356" s="39">
        <f>(Table267[[#This Row],[M2 Money Stock, Billions of Dollars, Weekly, Seasonally Adjusted]]-B344)/B344</f>
        <v/>
      </c>
    </row>
    <row r="357">
      <c r="A357" s="37" t="n">
        <v>32203</v>
      </c>
      <c r="B357" s="84" t="n">
        <v>2890.7</v>
      </c>
      <c r="C357" s="39">
        <f>(Table267[[#This Row],[M2 Money Stock, Billions of Dollars, Weekly, Seasonally Adjusted]]-B356)/B356</f>
        <v/>
      </c>
      <c r="D357" s="40">
        <f>((1+Table267[[#This Row],[Monthly change]])^12)-1</f>
        <v/>
      </c>
      <c r="E357" s="39">
        <f>(Table267[[#This Row],[M2 Money Stock, Billions of Dollars, Weekly, Seasonally Adjusted]]-B345)/B345</f>
        <v/>
      </c>
    </row>
    <row r="358">
      <c r="A358" s="37" t="n">
        <v>32234</v>
      </c>
      <c r="B358" s="84" t="n">
        <v>2910.7</v>
      </c>
      <c r="C358" s="39">
        <f>(Table267[[#This Row],[M2 Money Stock, Billions of Dollars, Weekly, Seasonally Adjusted]]-B357)/B357</f>
        <v/>
      </c>
      <c r="D358" s="40">
        <f>((1+Table267[[#This Row],[Monthly change]])^12)-1</f>
        <v/>
      </c>
      <c r="E358" s="39">
        <f>(Table267[[#This Row],[M2 Money Stock, Billions of Dollars, Weekly, Seasonally Adjusted]]-B346)/B346</f>
        <v/>
      </c>
    </row>
    <row r="359">
      <c r="A359" s="37" t="n">
        <v>32264</v>
      </c>
      <c r="B359" s="84" t="n">
        <v>2926</v>
      </c>
      <c r="C359" s="39">
        <f>(Table267[[#This Row],[M2 Money Stock, Billions of Dollars, Weekly, Seasonally Adjusted]]-B358)/B358</f>
        <v/>
      </c>
      <c r="D359" s="40">
        <f>((1+Table267[[#This Row],[Monthly change]])^12)-1</f>
        <v/>
      </c>
      <c r="E359" s="39">
        <f>(Table267[[#This Row],[M2 Money Stock, Billions of Dollars, Weekly, Seasonally Adjusted]]-B347)/B347</f>
        <v/>
      </c>
    </row>
    <row r="360">
      <c r="A360" s="37" t="n">
        <v>32295</v>
      </c>
      <c r="B360" s="84" t="n">
        <v>2938.4</v>
      </c>
      <c r="C360" s="39">
        <f>(Table267[[#This Row],[M2 Money Stock, Billions of Dollars, Weekly, Seasonally Adjusted]]-B359)/B359</f>
        <v/>
      </c>
      <c r="D360" s="40">
        <f>((1+Table267[[#This Row],[Monthly change]])^12)-1</f>
        <v/>
      </c>
      <c r="E360" s="39">
        <f>(Table267[[#This Row],[M2 Money Stock, Billions of Dollars, Weekly, Seasonally Adjusted]]-B348)/B348</f>
        <v/>
      </c>
    </row>
    <row r="361">
      <c r="A361" s="37" t="n">
        <v>32325</v>
      </c>
      <c r="B361" s="84" t="n">
        <v>2947.2</v>
      </c>
      <c r="C361" s="39">
        <f>(Table267[[#This Row],[M2 Money Stock, Billions of Dollars, Weekly, Seasonally Adjusted]]-B360)/B360</f>
        <v/>
      </c>
      <c r="D361" s="40">
        <f>((1+Table267[[#This Row],[Monthly change]])^12)-1</f>
        <v/>
      </c>
      <c r="E361" s="39">
        <f>(Table267[[#This Row],[M2 Money Stock, Billions of Dollars, Weekly, Seasonally Adjusted]]-B349)/B349</f>
        <v/>
      </c>
    </row>
    <row r="362">
      <c r="A362" s="37" t="n">
        <v>32356</v>
      </c>
      <c r="B362" s="84" t="n">
        <v>2952</v>
      </c>
      <c r="C362" s="39">
        <f>(Table267[[#This Row],[M2 Money Stock, Billions of Dollars, Weekly, Seasonally Adjusted]]-B361)/B361</f>
        <v/>
      </c>
      <c r="D362" s="40">
        <f>((1+Table267[[#This Row],[Monthly change]])^12)-1</f>
        <v/>
      </c>
      <c r="E362" s="39">
        <f>(Table267[[#This Row],[M2 Money Stock, Billions of Dollars, Weekly, Seasonally Adjusted]]-B350)/B350</f>
        <v/>
      </c>
    </row>
    <row r="363">
      <c r="A363" s="37" t="n">
        <v>32387</v>
      </c>
      <c r="B363" s="84" t="n">
        <v>2956.9</v>
      </c>
      <c r="C363" s="39">
        <f>(Table267[[#This Row],[M2 Money Stock, Billions of Dollars, Weekly, Seasonally Adjusted]]-B362)/B362</f>
        <v/>
      </c>
      <c r="D363" s="40">
        <f>((1+Table267[[#This Row],[Monthly change]])^12)-1</f>
        <v/>
      </c>
      <c r="E363" s="39">
        <f>(Table267[[#This Row],[M2 Money Stock, Billions of Dollars, Weekly, Seasonally Adjusted]]-B351)/B351</f>
        <v/>
      </c>
    </row>
    <row r="364">
      <c r="A364" s="37" t="n">
        <v>32417</v>
      </c>
      <c r="B364" s="84" t="n">
        <v>2965.3</v>
      </c>
      <c r="C364" s="39">
        <f>(Table267[[#This Row],[M2 Money Stock, Billions of Dollars, Weekly, Seasonally Adjusted]]-B363)/B363</f>
        <v/>
      </c>
      <c r="D364" s="40">
        <f>((1+Table267[[#This Row],[Monthly change]])^12)-1</f>
        <v/>
      </c>
      <c r="E364" s="39">
        <f>(Table267[[#This Row],[M2 Money Stock, Billions of Dollars, Weekly, Seasonally Adjusted]]-B352)/B352</f>
        <v/>
      </c>
    </row>
    <row r="365">
      <c r="A365" s="37" t="n">
        <v>32448</v>
      </c>
      <c r="B365" s="84" t="n">
        <v>2980.2</v>
      </c>
      <c r="C365" s="39">
        <f>(Table267[[#This Row],[M2 Money Stock, Billions of Dollars, Weekly, Seasonally Adjusted]]-B364)/B364</f>
        <v/>
      </c>
      <c r="D365" s="40">
        <f>((1+Table267[[#This Row],[Monthly change]])^12)-1</f>
        <v/>
      </c>
      <c r="E365" s="39">
        <f>(Table267[[#This Row],[M2 Money Stock, Billions of Dollars, Weekly, Seasonally Adjusted]]-B353)/B353</f>
        <v/>
      </c>
    </row>
    <row r="366">
      <c r="A366" s="37" t="n">
        <v>32478</v>
      </c>
      <c r="B366" s="84" t="n">
        <v>2988.2</v>
      </c>
      <c r="C366" s="39">
        <f>(Table267[[#This Row],[M2 Money Stock, Billions of Dollars, Weekly, Seasonally Adjusted]]-B365)/B365</f>
        <v/>
      </c>
      <c r="D366" s="40">
        <f>((1+Table267[[#This Row],[Monthly change]])^12)-1</f>
        <v/>
      </c>
      <c r="E366" s="39">
        <f>(Table267[[#This Row],[M2 Money Stock, Billions of Dollars, Weekly, Seasonally Adjusted]]-B354)/B354</f>
        <v/>
      </c>
    </row>
    <row r="367">
      <c r="A367" s="37" t="n">
        <v>32509</v>
      </c>
      <c r="B367" s="84" t="n">
        <v>2991.7</v>
      </c>
      <c r="C367" s="39">
        <f>(Table267[[#This Row],[M2 Money Stock, Billions of Dollars, Weekly, Seasonally Adjusted]]-B366)/B366</f>
        <v/>
      </c>
      <c r="D367" s="40">
        <f>((1+Table267[[#This Row],[Monthly change]])^12)-1</f>
        <v/>
      </c>
      <c r="E367" s="39">
        <f>(Table267[[#This Row],[M2 Money Stock, Billions of Dollars, Weekly, Seasonally Adjusted]]-B355)/B355</f>
        <v/>
      </c>
    </row>
    <row r="368">
      <c r="A368" s="37" t="n">
        <v>32540</v>
      </c>
      <c r="B368" s="84" t="n">
        <v>2992.2</v>
      </c>
      <c r="C368" s="39">
        <f>(Table267[[#This Row],[M2 Money Stock, Billions of Dollars, Weekly, Seasonally Adjusted]]-B367)/B367</f>
        <v/>
      </c>
      <c r="D368" s="40">
        <f>((1+Table267[[#This Row],[Monthly change]])^12)-1</f>
        <v/>
      </c>
      <c r="E368" s="39">
        <f>(Table267[[#This Row],[M2 Money Stock, Billions of Dollars, Weekly, Seasonally Adjusted]]-B356)/B356</f>
        <v/>
      </c>
    </row>
    <row r="369">
      <c r="A369" s="37" t="n">
        <v>32568</v>
      </c>
      <c r="B369" s="84" t="n">
        <v>2999.7</v>
      </c>
      <c r="C369" s="39">
        <f>(Table267[[#This Row],[M2 Money Stock, Billions of Dollars, Weekly, Seasonally Adjusted]]-B368)/B368</f>
        <v/>
      </c>
      <c r="D369" s="40">
        <f>((1+Table267[[#This Row],[Monthly change]])^12)-1</f>
        <v/>
      </c>
      <c r="E369" s="39">
        <f>(Table267[[#This Row],[M2 Money Stock, Billions of Dollars, Weekly, Seasonally Adjusted]]-B357)/B357</f>
        <v/>
      </c>
    </row>
    <row r="370">
      <c r="A370" s="37" t="n">
        <v>32599</v>
      </c>
      <c r="B370" s="84" t="n">
        <v>3006</v>
      </c>
      <c r="C370" s="39">
        <f>(Table267[[#This Row],[M2 Money Stock, Billions of Dollars, Weekly, Seasonally Adjusted]]-B369)/B369</f>
        <v/>
      </c>
      <c r="D370" s="40">
        <f>((1+Table267[[#This Row],[Monthly change]])^12)-1</f>
        <v/>
      </c>
      <c r="E370" s="39">
        <f>(Table267[[#This Row],[M2 Money Stock, Billions of Dollars, Weekly, Seasonally Adjusted]]-B358)/B358</f>
        <v/>
      </c>
    </row>
    <row r="371">
      <c r="A371" s="37" t="n">
        <v>32629</v>
      </c>
      <c r="B371" s="84" t="n">
        <v>3011.6</v>
      </c>
      <c r="C371" s="39">
        <f>(Table267[[#This Row],[M2 Money Stock, Billions of Dollars, Weekly, Seasonally Adjusted]]-B370)/B370</f>
        <v/>
      </c>
      <c r="D371" s="40">
        <f>((1+Table267[[#This Row],[Monthly change]])^12)-1</f>
        <v/>
      </c>
      <c r="E371" s="39">
        <f>(Table267[[#This Row],[M2 Money Stock, Billions of Dollars, Weekly, Seasonally Adjusted]]-B359)/B359</f>
        <v/>
      </c>
    </row>
    <row r="372">
      <c r="A372" s="37" t="n">
        <v>32660</v>
      </c>
      <c r="B372" s="84" t="n">
        <v>3027.9</v>
      </c>
      <c r="C372" s="39">
        <f>(Table267[[#This Row],[M2 Money Stock, Billions of Dollars, Weekly, Seasonally Adjusted]]-B371)/B371</f>
        <v/>
      </c>
      <c r="D372" s="40">
        <f>((1+Table267[[#This Row],[Monthly change]])^12)-1</f>
        <v/>
      </c>
      <c r="E372" s="39">
        <f>(Table267[[#This Row],[M2 Money Stock, Billions of Dollars, Weekly, Seasonally Adjusted]]-B360)/B360</f>
        <v/>
      </c>
    </row>
    <row r="373">
      <c r="A373" s="37" t="n">
        <v>32690</v>
      </c>
      <c r="B373" s="84" t="n">
        <v>3052.4</v>
      </c>
      <c r="C373" s="39">
        <f>(Table267[[#This Row],[M2 Money Stock, Billions of Dollars, Weekly, Seasonally Adjusted]]-B372)/B372</f>
        <v/>
      </c>
      <c r="D373" s="40">
        <f>((1+Table267[[#This Row],[Monthly change]])^12)-1</f>
        <v/>
      </c>
      <c r="E373" s="39">
        <f>(Table267[[#This Row],[M2 Money Stock, Billions of Dollars, Weekly, Seasonally Adjusted]]-B361)/B361</f>
        <v/>
      </c>
    </row>
    <row r="374">
      <c r="A374" s="37" t="n">
        <v>32721</v>
      </c>
      <c r="B374" s="84" t="n">
        <v>3074.4</v>
      </c>
      <c r="C374" s="39">
        <f>(Table267[[#This Row],[M2 Money Stock, Billions of Dollars, Weekly, Seasonally Adjusted]]-B373)/B373</f>
        <v/>
      </c>
      <c r="D374" s="40">
        <f>((1+Table267[[#This Row],[Monthly change]])^12)-1</f>
        <v/>
      </c>
      <c r="E374" s="39">
        <f>(Table267[[#This Row],[M2 Money Stock, Billions of Dollars, Weekly, Seasonally Adjusted]]-B362)/B362</f>
        <v/>
      </c>
    </row>
    <row r="375">
      <c r="A375" s="37" t="n">
        <v>32752</v>
      </c>
      <c r="B375" s="84" t="n">
        <v>3092.5</v>
      </c>
      <c r="C375" s="39">
        <f>(Table267[[#This Row],[M2 Money Stock, Billions of Dollars, Weekly, Seasonally Adjusted]]-B374)/B374</f>
        <v/>
      </c>
      <c r="D375" s="40">
        <f>((1+Table267[[#This Row],[Monthly change]])^12)-1</f>
        <v/>
      </c>
      <c r="E375" s="39">
        <f>(Table267[[#This Row],[M2 Money Stock, Billions of Dollars, Weekly, Seasonally Adjusted]]-B363)/B363</f>
        <v/>
      </c>
    </row>
    <row r="376">
      <c r="A376" s="37" t="n">
        <v>32782</v>
      </c>
      <c r="B376" s="84" t="n">
        <v>3114.1</v>
      </c>
      <c r="C376" s="39">
        <f>(Table267[[#This Row],[M2 Money Stock, Billions of Dollars, Weekly, Seasonally Adjusted]]-B375)/B375</f>
        <v/>
      </c>
      <c r="D376" s="40">
        <f>((1+Table267[[#This Row],[Monthly change]])^12)-1</f>
        <v/>
      </c>
      <c r="E376" s="39">
        <f>(Table267[[#This Row],[M2 Money Stock, Billions of Dollars, Weekly, Seasonally Adjusted]]-B364)/B364</f>
        <v/>
      </c>
    </row>
    <row r="377">
      <c r="A377" s="37" t="n">
        <v>32813</v>
      </c>
      <c r="B377" s="84" t="n">
        <v>3133.3</v>
      </c>
      <c r="C377" s="39">
        <f>(Table267[[#This Row],[M2 Money Stock, Billions of Dollars, Weekly, Seasonally Adjusted]]-B376)/B376</f>
        <v/>
      </c>
      <c r="D377" s="40">
        <f>((1+Table267[[#This Row],[Monthly change]])^12)-1</f>
        <v/>
      </c>
      <c r="E377" s="39">
        <f>(Table267[[#This Row],[M2 Money Stock, Billions of Dollars, Weekly, Seasonally Adjusted]]-B365)/B365</f>
        <v/>
      </c>
    </row>
    <row r="378">
      <c r="A378" s="37" t="n">
        <v>32843</v>
      </c>
      <c r="B378" s="84" t="n">
        <v>3152.5</v>
      </c>
      <c r="C378" s="39">
        <f>(Table267[[#This Row],[M2 Money Stock, Billions of Dollars, Weekly, Seasonally Adjusted]]-B377)/B377</f>
        <v/>
      </c>
      <c r="D378" s="40">
        <f>((1+Table267[[#This Row],[Monthly change]])^12)-1</f>
        <v/>
      </c>
      <c r="E378" s="39">
        <f>(Table267[[#This Row],[M2 Money Stock, Billions of Dollars, Weekly, Seasonally Adjusted]]-B366)/B366</f>
        <v/>
      </c>
    </row>
    <row r="379">
      <c r="A379" s="37" t="n">
        <v>32874</v>
      </c>
      <c r="B379" s="84" t="n">
        <v>3166.8</v>
      </c>
      <c r="C379" s="39">
        <f>(Table267[[#This Row],[M2 Money Stock, Billions of Dollars, Weekly, Seasonally Adjusted]]-B378)/B378</f>
        <v/>
      </c>
      <c r="D379" s="40">
        <f>((1+Table267[[#This Row],[Monthly change]])^12)-1</f>
        <v/>
      </c>
      <c r="E379" s="39">
        <f>(Table267[[#This Row],[M2 Money Stock, Billions of Dollars, Weekly, Seasonally Adjusted]]-B367)/B367</f>
        <v/>
      </c>
    </row>
    <row r="380">
      <c r="A380" s="37" t="n">
        <v>32905</v>
      </c>
      <c r="B380" s="84" t="n">
        <v>3179.2</v>
      </c>
      <c r="C380" s="39">
        <f>(Table267[[#This Row],[M2 Money Stock, Billions of Dollars, Weekly, Seasonally Adjusted]]-B379)/B379</f>
        <v/>
      </c>
      <c r="D380" s="40">
        <f>((1+Table267[[#This Row],[Monthly change]])^12)-1</f>
        <v/>
      </c>
      <c r="E380" s="39">
        <f>(Table267[[#This Row],[M2 Money Stock, Billions of Dollars, Weekly, Seasonally Adjusted]]-B368)/B368</f>
        <v/>
      </c>
    </row>
    <row r="381">
      <c r="A381" s="37" t="n">
        <v>32933</v>
      </c>
      <c r="B381" s="84" t="n">
        <v>3190.1</v>
      </c>
      <c r="C381" s="39">
        <f>(Table267[[#This Row],[M2 Money Stock, Billions of Dollars, Weekly, Seasonally Adjusted]]-B380)/B380</f>
        <v/>
      </c>
      <c r="D381" s="40">
        <f>((1+Table267[[#This Row],[Monthly change]])^12)-1</f>
        <v/>
      </c>
      <c r="E381" s="39">
        <f>(Table267[[#This Row],[M2 Money Stock, Billions of Dollars, Weekly, Seasonally Adjusted]]-B369)/B369</f>
        <v/>
      </c>
    </row>
    <row r="382">
      <c r="A382" s="37" t="n">
        <v>32964</v>
      </c>
      <c r="B382" s="84" t="n">
        <v>3201.6</v>
      </c>
      <c r="C382" s="39">
        <f>(Table267[[#This Row],[M2 Money Stock, Billions of Dollars, Weekly, Seasonally Adjusted]]-B381)/B381</f>
        <v/>
      </c>
      <c r="D382" s="40">
        <f>((1+Table267[[#This Row],[Monthly change]])^12)-1</f>
        <v/>
      </c>
      <c r="E382" s="39">
        <f>(Table267[[#This Row],[M2 Money Stock, Billions of Dollars, Weekly, Seasonally Adjusted]]-B370)/B370</f>
        <v/>
      </c>
    </row>
    <row r="383">
      <c r="A383" s="37" t="n">
        <v>32994</v>
      </c>
      <c r="B383" s="84" t="n">
        <v>3200.6</v>
      </c>
      <c r="C383" s="39">
        <f>(Table267[[#This Row],[M2 Money Stock, Billions of Dollars, Weekly, Seasonally Adjusted]]-B382)/B382</f>
        <v/>
      </c>
      <c r="D383" s="40">
        <f>((1+Table267[[#This Row],[Monthly change]])^12)-1</f>
        <v/>
      </c>
      <c r="E383" s="39">
        <f>(Table267[[#This Row],[M2 Money Stock, Billions of Dollars, Weekly, Seasonally Adjusted]]-B371)/B371</f>
        <v/>
      </c>
    </row>
    <row r="384">
      <c r="A384" s="37" t="n">
        <v>33025</v>
      </c>
      <c r="B384" s="84" t="n">
        <v>3213.7</v>
      </c>
      <c r="C384" s="39">
        <f>(Table267[[#This Row],[M2 Money Stock, Billions of Dollars, Weekly, Seasonally Adjusted]]-B383)/B383</f>
        <v/>
      </c>
      <c r="D384" s="40">
        <f>((1+Table267[[#This Row],[Monthly change]])^12)-1</f>
        <v/>
      </c>
      <c r="E384" s="39">
        <f>(Table267[[#This Row],[M2 Money Stock, Billions of Dollars, Weekly, Seasonally Adjusted]]-B372)/B372</f>
        <v/>
      </c>
    </row>
    <row r="385">
      <c r="A385" s="37" t="n">
        <v>33055</v>
      </c>
      <c r="B385" s="84" t="n">
        <v>3224.5</v>
      </c>
      <c r="C385" s="39">
        <f>(Table267[[#This Row],[M2 Money Stock, Billions of Dollars, Weekly, Seasonally Adjusted]]-B384)/B384</f>
        <v/>
      </c>
      <c r="D385" s="40">
        <f>((1+Table267[[#This Row],[Monthly change]])^12)-1</f>
        <v/>
      </c>
      <c r="E385" s="39">
        <f>(Table267[[#This Row],[M2 Money Stock, Billions of Dollars, Weekly, Seasonally Adjusted]]-B373)/B373</f>
        <v/>
      </c>
    </row>
    <row r="386">
      <c r="A386" s="37" t="n">
        <v>33086</v>
      </c>
      <c r="B386" s="84" t="n">
        <v>3242</v>
      </c>
      <c r="C386" s="39">
        <f>(Table267[[#This Row],[M2 Money Stock, Billions of Dollars, Weekly, Seasonally Adjusted]]-B385)/B385</f>
        <v/>
      </c>
      <c r="D386" s="40">
        <f>((1+Table267[[#This Row],[Monthly change]])^12)-1</f>
        <v/>
      </c>
      <c r="E386" s="39">
        <f>(Table267[[#This Row],[M2 Money Stock, Billions of Dollars, Weekly, Seasonally Adjusted]]-B374)/B374</f>
        <v/>
      </c>
    </row>
    <row r="387">
      <c r="A387" s="37" t="n">
        <v>33117</v>
      </c>
      <c r="B387" s="84" t="n">
        <v>3254.6</v>
      </c>
      <c r="C387" s="39">
        <f>(Table267[[#This Row],[M2 Money Stock, Billions of Dollars, Weekly, Seasonally Adjusted]]-B386)/B386</f>
        <v/>
      </c>
      <c r="D387" s="40">
        <f>((1+Table267[[#This Row],[Monthly change]])^12)-1</f>
        <v/>
      </c>
      <c r="E387" s="39">
        <f>(Table267[[#This Row],[M2 Money Stock, Billions of Dollars, Weekly, Seasonally Adjusted]]-B375)/B375</f>
        <v/>
      </c>
    </row>
    <row r="388">
      <c r="A388" s="37" t="n">
        <v>33147</v>
      </c>
      <c r="B388" s="84" t="n">
        <v>3259.3</v>
      </c>
      <c r="C388" s="39">
        <f>(Table267[[#This Row],[M2 Money Stock, Billions of Dollars, Weekly, Seasonally Adjusted]]-B387)/B387</f>
        <v/>
      </c>
      <c r="D388" s="40">
        <f>((1+Table267[[#This Row],[Monthly change]])^12)-1</f>
        <v/>
      </c>
      <c r="E388" s="39">
        <f>(Table267[[#This Row],[M2 Money Stock, Billions of Dollars, Weekly, Seasonally Adjusted]]-B376)/B376</f>
        <v/>
      </c>
    </row>
    <row r="389">
      <c r="A389" s="37" t="n">
        <v>33178</v>
      </c>
      <c r="B389" s="84" t="n">
        <v>3262.6</v>
      </c>
      <c r="C389" s="39">
        <f>(Table267[[#This Row],[M2 Money Stock, Billions of Dollars, Weekly, Seasonally Adjusted]]-B388)/B388</f>
        <v/>
      </c>
      <c r="D389" s="40">
        <f>((1+Table267[[#This Row],[Monthly change]])^12)-1</f>
        <v/>
      </c>
      <c r="E389" s="39">
        <f>(Table267[[#This Row],[M2 Money Stock, Billions of Dollars, Weekly, Seasonally Adjusted]]-B377)/B377</f>
        <v/>
      </c>
    </row>
    <row r="390">
      <c r="A390" s="37" t="n">
        <v>33208</v>
      </c>
      <c r="B390" s="84" t="n">
        <v>3271.8</v>
      </c>
      <c r="C390" s="39">
        <f>(Table267[[#This Row],[M2 Money Stock, Billions of Dollars, Weekly, Seasonally Adjusted]]-B389)/B389</f>
        <v/>
      </c>
      <c r="D390" s="40">
        <f>((1+Table267[[#This Row],[Monthly change]])^12)-1</f>
        <v/>
      </c>
      <c r="E390" s="39">
        <f>(Table267[[#This Row],[M2 Money Stock, Billions of Dollars, Weekly, Seasonally Adjusted]]-B378)/B378</f>
        <v/>
      </c>
    </row>
    <row r="391">
      <c r="A391" s="37" t="n">
        <v>33239</v>
      </c>
      <c r="B391" s="84" t="n">
        <v>3287.7</v>
      </c>
      <c r="C391" s="39">
        <f>(Table267[[#This Row],[M2 Money Stock, Billions of Dollars, Weekly, Seasonally Adjusted]]-B390)/B390</f>
        <v/>
      </c>
      <c r="D391" s="40">
        <f>((1+Table267[[#This Row],[Monthly change]])^12)-1</f>
        <v/>
      </c>
      <c r="E391" s="39">
        <f>(Table267[[#This Row],[M2 Money Stock, Billions of Dollars, Weekly, Seasonally Adjusted]]-B379)/B379</f>
        <v/>
      </c>
    </row>
    <row r="392">
      <c r="A392" s="37" t="n">
        <v>33270</v>
      </c>
      <c r="B392" s="84" t="n">
        <v>3304.5</v>
      </c>
      <c r="C392" s="39">
        <f>(Table267[[#This Row],[M2 Money Stock, Billions of Dollars, Weekly, Seasonally Adjusted]]-B391)/B391</f>
        <v/>
      </c>
      <c r="D392" s="40">
        <f>((1+Table267[[#This Row],[Monthly change]])^12)-1</f>
        <v/>
      </c>
      <c r="E392" s="39">
        <f>(Table267[[#This Row],[M2 Money Stock, Billions of Dollars, Weekly, Seasonally Adjusted]]-B380)/B380</f>
        <v/>
      </c>
    </row>
    <row r="393">
      <c r="A393" s="37" t="n">
        <v>33298</v>
      </c>
      <c r="B393" s="84" t="n">
        <v>3321.9</v>
      </c>
      <c r="C393" s="39">
        <f>(Table267[[#This Row],[M2 Money Stock, Billions of Dollars, Weekly, Seasonally Adjusted]]-B392)/B392</f>
        <v/>
      </c>
      <c r="D393" s="40">
        <f>((1+Table267[[#This Row],[Monthly change]])^12)-1</f>
        <v/>
      </c>
      <c r="E393" s="39">
        <f>(Table267[[#This Row],[M2 Money Stock, Billions of Dollars, Weekly, Seasonally Adjusted]]-B381)/B381</f>
        <v/>
      </c>
    </row>
    <row r="394">
      <c r="A394" s="37" t="n">
        <v>33329</v>
      </c>
      <c r="B394" s="84" t="n">
        <v>3332.4</v>
      </c>
      <c r="C394" s="39">
        <f>(Table267[[#This Row],[M2 Money Stock, Billions of Dollars, Weekly, Seasonally Adjusted]]-B393)/B393</f>
        <v/>
      </c>
      <c r="D394" s="40">
        <f>((1+Table267[[#This Row],[Monthly change]])^12)-1</f>
        <v/>
      </c>
      <c r="E394" s="39">
        <f>(Table267[[#This Row],[M2 Money Stock, Billions of Dollars, Weekly, Seasonally Adjusted]]-B382)/B382</f>
        <v/>
      </c>
    </row>
    <row r="395">
      <c r="A395" s="37" t="n">
        <v>33359</v>
      </c>
      <c r="B395" s="84" t="n">
        <v>3343</v>
      </c>
      <c r="C395" s="39">
        <f>(Table267[[#This Row],[M2 Money Stock, Billions of Dollars, Weekly, Seasonally Adjusted]]-B394)/B394</f>
        <v/>
      </c>
      <c r="D395" s="40">
        <f>((1+Table267[[#This Row],[Monthly change]])^12)-1</f>
        <v/>
      </c>
      <c r="E395" s="39">
        <f>(Table267[[#This Row],[M2 Money Stock, Billions of Dollars, Weekly, Seasonally Adjusted]]-B383)/B383</f>
        <v/>
      </c>
    </row>
    <row r="396">
      <c r="A396" s="37" t="n">
        <v>33390</v>
      </c>
      <c r="B396" s="84" t="n">
        <v>3351.9</v>
      </c>
      <c r="C396" s="39">
        <f>(Table267[[#This Row],[M2 Money Stock, Billions of Dollars, Weekly, Seasonally Adjusted]]-B395)/B395</f>
        <v/>
      </c>
      <c r="D396" s="40">
        <f>((1+Table267[[#This Row],[Monthly change]])^12)-1</f>
        <v/>
      </c>
      <c r="E396" s="39">
        <f>(Table267[[#This Row],[M2 Money Stock, Billions of Dollars, Weekly, Seasonally Adjusted]]-B384)/B384</f>
        <v/>
      </c>
    </row>
    <row r="397">
      <c r="A397" s="37" t="n">
        <v>33420</v>
      </c>
      <c r="B397" s="84" t="n">
        <v>3356.1</v>
      </c>
      <c r="C397" s="39">
        <f>(Table267[[#This Row],[M2 Money Stock, Billions of Dollars, Weekly, Seasonally Adjusted]]-B396)/B396</f>
        <v/>
      </c>
      <c r="D397" s="40">
        <f>((1+Table267[[#This Row],[Monthly change]])^12)-1</f>
        <v/>
      </c>
      <c r="E397" s="39">
        <f>(Table267[[#This Row],[M2 Money Stock, Billions of Dollars, Weekly, Seasonally Adjusted]]-B385)/B385</f>
        <v/>
      </c>
    </row>
    <row r="398">
      <c r="A398" s="37" t="n">
        <v>33451</v>
      </c>
      <c r="B398" s="84" t="n">
        <v>3355</v>
      </c>
      <c r="C398" s="39">
        <f>(Table267[[#This Row],[M2 Money Stock, Billions of Dollars, Weekly, Seasonally Adjusted]]-B397)/B397</f>
        <v/>
      </c>
      <c r="D398" s="40">
        <f>((1+Table267[[#This Row],[Monthly change]])^12)-1</f>
        <v/>
      </c>
      <c r="E398" s="39">
        <f>(Table267[[#This Row],[M2 Money Stock, Billions of Dollars, Weekly, Seasonally Adjusted]]-B386)/B386</f>
        <v/>
      </c>
    </row>
    <row r="399">
      <c r="A399" s="37" t="n">
        <v>33482</v>
      </c>
      <c r="B399" s="84" t="n">
        <v>3354.9</v>
      </c>
      <c r="C399" s="39">
        <f>(Table267[[#This Row],[M2 Money Stock, Billions of Dollars, Weekly, Seasonally Adjusted]]-B398)/B398</f>
        <v/>
      </c>
      <c r="D399" s="40">
        <f>((1+Table267[[#This Row],[Monthly change]])^12)-1</f>
        <v/>
      </c>
      <c r="E399" s="39">
        <f>(Table267[[#This Row],[M2 Money Stock, Billions of Dollars, Weekly, Seasonally Adjusted]]-B387)/B387</f>
        <v/>
      </c>
    </row>
    <row r="400">
      <c r="A400" s="37" t="n">
        <v>33512</v>
      </c>
      <c r="B400" s="84" t="n">
        <v>3360.1</v>
      </c>
      <c r="C400" s="39">
        <f>(Table267[[#This Row],[M2 Money Stock, Billions of Dollars, Weekly, Seasonally Adjusted]]-B399)/B399</f>
        <v/>
      </c>
      <c r="D400" s="40">
        <f>((1+Table267[[#This Row],[Monthly change]])^12)-1</f>
        <v/>
      </c>
      <c r="E400" s="39">
        <f>(Table267[[#This Row],[M2 Money Stock, Billions of Dollars, Weekly, Seasonally Adjusted]]-B388)/B388</f>
        <v/>
      </c>
    </row>
    <row r="401">
      <c r="A401" s="37" t="n">
        <v>33543</v>
      </c>
      <c r="B401" s="84" t="n">
        <v>3365.5</v>
      </c>
      <c r="C401" s="39">
        <f>(Table267[[#This Row],[M2 Money Stock, Billions of Dollars, Weekly, Seasonally Adjusted]]-B400)/B400</f>
        <v/>
      </c>
      <c r="D401" s="40">
        <f>((1+Table267[[#This Row],[Monthly change]])^12)-1</f>
        <v/>
      </c>
      <c r="E401" s="39">
        <f>(Table267[[#This Row],[M2 Money Stock, Billions of Dollars, Weekly, Seasonally Adjusted]]-B389)/B389</f>
        <v/>
      </c>
    </row>
    <row r="402">
      <c r="A402" s="37" t="n">
        <v>33573</v>
      </c>
      <c r="B402" s="84" t="n">
        <v>3372.2</v>
      </c>
      <c r="C402" s="39">
        <f>(Table267[[#This Row],[M2 Money Stock, Billions of Dollars, Weekly, Seasonally Adjusted]]-B401)/B401</f>
        <v/>
      </c>
      <c r="D402" s="40">
        <f>((1+Table267[[#This Row],[Monthly change]])^12)-1</f>
        <v/>
      </c>
      <c r="E402" s="39">
        <f>(Table267[[#This Row],[M2 Money Stock, Billions of Dollars, Weekly, Seasonally Adjusted]]-B390)/B390</f>
        <v/>
      </c>
    </row>
    <row r="403">
      <c r="A403" s="37" t="n">
        <v>33604</v>
      </c>
      <c r="B403" s="84" t="n">
        <v>3381.2</v>
      </c>
      <c r="C403" s="39">
        <f>(Table267[[#This Row],[M2 Money Stock, Billions of Dollars, Weekly, Seasonally Adjusted]]-B402)/B402</f>
        <v/>
      </c>
      <c r="D403" s="40">
        <f>((1+Table267[[#This Row],[Monthly change]])^12)-1</f>
        <v/>
      </c>
      <c r="E403" s="39">
        <f>(Table267[[#This Row],[M2 Money Stock, Billions of Dollars, Weekly, Seasonally Adjusted]]-B391)/B391</f>
        <v/>
      </c>
    </row>
    <row r="404">
      <c r="A404" s="37" t="n">
        <v>33635</v>
      </c>
      <c r="B404" s="84" t="n">
        <v>3400</v>
      </c>
      <c r="C404" s="39">
        <f>(Table267[[#This Row],[M2 Money Stock, Billions of Dollars, Weekly, Seasonally Adjusted]]-B403)/B403</f>
        <v/>
      </c>
      <c r="D404" s="40">
        <f>((1+Table267[[#This Row],[Monthly change]])^12)-1</f>
        <v/>
      </c>
      <c r="E404" s="39">
        <f>(Table267[[#This Row],[M2 Money Stock, Billions of Dollars, Weekly, Seasonally Adjusted]]-B392)/B392</f>
        <v/>
      </c>
    </row>
    <row r="405">
      <c r="A405" s="37" t="n">
        <v>33664</v>
      </c>
      <c r="B405" s="84" t="n">
        <v>3403.9</v>
      </c>
      <c r="C405" s="39">
        <f>(Table267[[#This Row],[M2 Money Stock, Billions of Dollars, Weekly, Seasonally Adjusted]]-B404)/B404</f>
        <v/>
      </c>
      <c r="D405" s="40">
        <f>((1+Table267[[#This Row],[Monthly change]])^12)-1</f>
        <v/>
      </c>
      <c r="E405" s="39">
        <f>(Table267[[#This Row],[M2 Money Stock, Billions of Dollars, Weekly, Seasonally Adjusted]]-B393)/B393</f>
        <v/>
      </c>
    </row>
    <row r="406">
      <c r="A406" s="37" t="n">
        <v>33695</v>
      </c>
      <c r="B406" s="84" t="n">
        <v>3399.7</v>
      </c>
      <c r="C406" s="39">
        <f>(Table267[[#This Row],[M2 Money Stock, Billions of Dollars, Weekly, Seasonally Adjusted]]-B405)/B405</f>
        <v/>
      </c>
      <c r="D406" s="40">
        <f>((1+Table267[[#This Row],[Monthly change]])^12)-1</f>
        <v/>
      </c>
      <c r="E406" s="39">
        <f>(Table267[[#This Row],[M2 Money Stock, Billions of Dollars, Weekly, Seasonally Adjusted]]-B394)/B394</f>
        <v/>
      </c>
    </row>
    <row r="407">
      <c r="A407" s="37" t="n">
        <v>33725</v>
      </c>
      <c r="B407" s="84" t="n">
        <v>3398.6</v>
      </c>
      <c r="C407" s="39">
        <f>(Table267[[#This Row],[M2 Money Stock, Billions of Dollars, Weekly, Seasonally Adjusted]]-B406)/B406</f>
        <v/>
      </c>
      <c r="D407" s="40">
        <f>((1+Table267[[#This Row],[Monthly change]])^12)-1</f>
        <v/>
      </c>
      <c r="E407" s="39">
        <f>(Table267[[#This Row],[M2 Money Stock, Billions of Dollars, Weekly, Seasonally Adjusted]]-B395)/B395</f>
        <v/>
      </c>
    </row>
    <row r="408">
      <c r="A408" s="37" t="n">
        <v>33756</v>
      </c>
      <c r="B408" s="84" t="n">
        <v>3393.4</v>
      </c>
      <c r="C408" s="39">
        <f>(Table267[[#This Row],[M2 Money Stock, Billions of Dollars, Weekly, Seasonally Adjusted]]-B407)/B407</f>
        <v/>
      </c>
      <c r="D408" s="40">
        <f>((1+Table267[[#This Row],[Monthly change]])^12)-1</f>
        <v/>
      </c>
      <c r="E408" s="39">
        <f>(Table267[[#This Row],[M2 Money Stock, Billions of Dollars, Weekly, Seasonally Adjusted]]-B396)/B396</f>
        <v/>
      </c>
    </row>
    <row r="409">
      <c r="A409" s="37" t="n">
        <v>33786</v>
      </c>
      <c r="B409" s="84" t="n">
        <v>3393.9</v>
      </c>
      <c r="C409" s="39">
        <f>(Table267[[#This Row],[M2 Money Stock, Billions of Dollars, Weekly, Seasonally Adjusted]]-B408)/B408</f>
        <v/>
      </c>
      <c r="D409" s="40">
        <f>((1+Table267[[#This Row],[Monthly change]])^12)-1</f>
        <v/>
      </c>
      <c r="E409" s="39">
        <f>(Table267[[#This Row],[M2 Money Stock, Billions of Dollars, Weekly, Seasonally Adjusted]]-B397)/B397</f>
        <v/>
      </c>
    </row>
    <row r="410">
      <c r="A410" s="37" t="n">
        <v>33817</v>
      </c>
      <c r="B410" s="84" t="n">
        <v>3398.8</v>
      </c>
      <c r="C410" s="39">
        <f>(Table267[[#This Row],[M2 Money Stock, Billions of Dollars, Weekly, Seasonally Adjusted]]-B409)/B409</f>
        <v/>
      </c>
      <c r="D410" s="40">
        <f>((1+Table267[[#This Row],[Monthly change]])^12)-1</f>
        <v/>
      </c>
      <c r="E410" s="39">
        <f>(Table267[[#This Row],[M2 Money Stock, Billions of Dollars, Weekly, Seasonally Adjusted]]-B398)/B398</f>
        <v/>
      </c>
    </row>
    <row r="411">
      <c r="A411" s="37" t="n">
        <v>33848</v>
      </c>
      <c r="B411" s="84" t="n">
        <v>3410.3</v>
      </c>
      <c r="C411" s="39">
        <f>(Table267[[#This Row],[M2 Money Stock, Billions of Dollars, Weekly, Seasonally Adjusted]]-B410)/B410</f>
        <v/>
      </c>
      <c r="D411" s="40">
        <f>((1+Table267[[#This Row],[Monthly change]])^12)-1</f>
        <v/>
      </c>
      <c r="E411" s="39">
        <f>(Table267[[#This Row],[M2 Money Stock, Billions of Dollars, Weekly, Seasonally Adjusted]]-B399)/B399</f>
        <v/>
      </c>
    </row>
    <row r="412">
      <c r="A412" s="37" t="n">
        <v>33878</v>
      </c>
      <c r="B412" s="84" t="n">
        <v>3423.8</v>
      </c>
      <c r="C412" s="39">
        <f>(Table267[[#This Row],[M2 Money Stock, Billions of Dollars, Weekly, Seasonally Adjusted]]-B411)/B411</f>
        <v/>
      </c>
      <c r="D412" s="40">
        <f>((1+Table267[[#This Row],[Monthly change]])^12)-1</f>
        <v/>
      </c>
      <c r="E412" s="39">
        <f>(Table267[[#This Row],[M2 Money Stock, Billions of Dollars, Weekly, Seasonally Adjusted]]-B400)/B400</f>
        <v/>
      </c>
    </row>
    <row r="413">
      <c r="A413" s="37" t="n">
        <v>33909</v>
      </c>
      <c r="B413" s="84" t="n">
        <v>3426.5</v>
      </c>
      <c r="C413" s="39">
        <f>(Table267[[#This Row],[M2 Money Stock, Billions of Dollars, Weekly, Seasonally Adjusted]]-B412)/B412</f>
        <v/>
      </c>
      <c r="D413" s="40">
        <f>((1+Table267[[#This Row],[Monthly change]])^12)-1</f>
        <v/>
      </c>
      <c r="E413" s="39">
        <f>(Table267[[#This Row],[M2 Money Stock, Billions of Dollars, Weekly, Seasonally Adjusted]]-B401)/B401</f>
        <v/>
      </c>
    </row>
    <row r="414">
      <c r="A414" s="37" t="n">
        <v>33939</v>
      </c>
      <c r="B414" s="84" t="n">
        <v>3424.7</v>
      </c>
      <c r="C414" s="39">
        <f>(Table267[[#This Row],[M2 Money Stock, Billions of Dollars, Weekly, Seasonally Adjusted]]-B413)/B413</f>
        <v/>
      </c>
      <c r="D414" s="40">
        <f>((1+Table267[[#This Row],[Monthly change]])^12)-1</f>
        <v/>
      </c>
      <c r="E414" s="39">
        <f>(Table267[[#This Row],[M2 Money Stock, Billions of Dollars, Weekly, Seasonally Adjusted]]-B402)/B402</f>
        <v/>
      </c>
    </row>
    <row r="415">
      <c r="A415" s="37" t="n">
        <v>33970</v>
      </c>
      <c r="B415" s="84" t="n">
        <v>3419.1</v>
      </c>
      <c r="C415" s="39">
        <f>(Table267[[#This Row],[M2 Money Stock, Billions of Dollars, Weekly, Seasonally Adjusted]]-B414)/B414</f>
        <v/>
      </c>
      <c r="D415" s="40">
        <f>((1+Table267[[#This Row],[Monthly change]])^12)-1</f>
        <v/>
      </c>
      <c r="E415" s="39">
        <f>(Table267[[#This Row],[M2 Money Stock, Billions of Dollars, Weekly, Seasonally Adjusted]]-B403)/B403</f>
        <v/>
      </c>
    </row>
    <row r="416">
      <c r="A416" s="37" t="n">
        <v>34001</v>
      </c>
      <c r="B416" s="84" t="n">
        <v>3414.5</v>
      </c>
      <c r="C416" s="39">
        <f>(Table267[[#This Row],[M2 Money Stock, Billions of Dollars, Weekly, Seasonally Adjusted]]-B415)/B415</f>
        <v/>
      </c>
      <c r="D416" s="40">
        <f>((1+Table267[[#This Row],[Monthly change]])^12)-1</f>
        <v/>
      </c>
      <c r="E416" s="39">
        <f>(Table267[[#This Row],[M2 Money Stock, Billions of Dollars, Weekly, Seasonally Adjusted]]-B404)/B404</f>
        <v/>
      </c>
    </row>
    <row r="417">
      <c r="A417" s="37" t="n">
        <v>34029</v>
      </c>
      <c r="B417" s="84" t="n">
        <v>3411.7</v>
      </c>
      <c r="C417" s="39">
        <f>(Table267[[#This Row],[M2 Money Stock, Billions of Dollars, Weekly, Seasonally Adjusted]]-B416)/B416</f>
        <v/>
      </c>
      <c r="D417" s="40">
        <f>((1+Table267[[#This Row],[Monthly change]])^12)-1</f>
        <v/>
      </c>
      <c r="E417" s="39">
        <f>(Table267[[#This Row],[M2 Money Stock, Billions of Dollars, Weekly, Seasonally Adjusted]]-B405)/B405</f>
        <v/>
      </c>
    </row>
    <row r="418">
      <c r="A418" s="37" t="n">
        <v>34060</v>
      </c>
      <c r="B418" s="84" t="n">
        <v>3411.3</v>
      </c>
      <c r="C418" s="39">
        <f>(Table267[[#This Row],[M2 Money Stock, Billions of Dollars, Weekly, Seasonally Adjusted]]-B417)/B417</f>
        <v/>
      </c>
      <c r="D418" s="40">
        <f>((1+Table267[[#This Row],[Monthly change]])^12)-1</f>
        <v/>
      </c>
      <c r="E418" s="39">
        <f>(Table267[[#This Row],[M2 Money Stock, Billions of Dollars, Weekly, Seasonally Adjusted]]-B406)/B406</f>
        <v/>
      </c>
    </row>
    <row r="419">
      <c r="A419" s="37" t="n">
        <v>34090</v>
      </c>
      <c r="B419" s="84" t="n">
        <v>3436.9</v>
      </c>
      <c r="C419" s="39">
        <f>(Table267[[#This Row],[M2 Money Stock, Billions of Dollars, Weekly, Seasonally Adjusted]]-B418)/B418</f>
        <v/>
      </c>
      <c r="D419" s="40">
        <f>((1+Table267[[#This Row],[Monthly change]])^12)-1</f>
        <v/>
      </c>
      <c r="E419" s="39">
        <f>(Table267[[#This Row],[M2 Money Stock, Billions of Dollars, Weekly, Seasonally Adjusted]]-B407)/B407</f>
        <v/>
      </c>
    </row>
    <row r="420">
      <c r="A420" s="37" t="n">
        <v>34121</v>
      </c>
      <c r="B420" s="84" t="n">
        <v>3442.4</v>
      </c>
      <c r="C420" s="39">
        <f>(Table267[[#This Row],[M2 Money Stock, Billions of Dollars, Weekly, Seasonally Adjusted]]-B419)/B419</f>
        <v/>
      </c>
      <c r="D420" s="40">
        <f>((1+Table267[[#This Row],[Monthly change]])^12)-1</f>
        <v/>
      </c>
      <c r="E420" s="39">
        <f>(Table267[[#This Row],[M2 Money Stock, Billions of Dollars, Weekly, Seasonally Adjusted]]-B408)/B408</f>
        <v/>
      </c>
    </row>
    <row r="421">
      <c r="A421" s="37" t="n">
        <v>34151</v>
      </c>
      <c r="B421" s="84" t="n">
        <v>3442</v>
      </c>
      <c r="C421" s="39">
        <f>(Table267[[#This Row],[M2 Money Stock, Billions of Dollars, Weekly, Seasonally Adjusted]]-B420)/B420</f>
        <v/>
      </c>
      <c r="D421" s="40">
        <f>((1+Table267[[#This Row],[Monthly change]])^12)-1</f>
        <v/>
      </c>
      <c r="E421" s="39">
        <f>(Table267[[#This Row],[M2 Money Stock, Billions of Dollars, Weekly, Seasonally Adjusted]]-B409)/B409</f>
        <v/>
      </c>
    </row>
    <row r="422">
      <c r="A422" s="37" t="n">
        <v>34182</v>
      </c>
      <c r="B422" s="84" t="n">
        <v>3445.7</v>
      </c>
      <c r="C422" s="39">
        <f>(Table267[[#This Row],[M2 Money Stock, Billions of Dollars, Weekly, Seasonally Adjusted]]-B421)/B421</f>
        <v/>
      </c>
      <c r="D422" s="40">
        <f>((1+Table267[[#This Row],[Monthly change]])^12)-1</f>
        <v/>
      </c>
      <c r="E422" s="39">
        <f>(Table267[[#This Row],[M2 Money Stock, Billions of Dollars, Weekly, Seasonally Adjusted]]-B410)/B410</f>
        <v/>
      </c>
    </row>
    <row r="423">
      <c r="A423" s="37" t="n">
        <v>34213</v>
      </c>
      <c r="B423" s="84" t="n">
        <v>3452.2</v>
      </c>
      <c r="C423" s="39">
        <f>(Table267[[#This Row],[M2 Money Stock, Billions of Dollars, Weekly, Seasonally Adjusted]]-B422)/B422</f>
        <v/>
      </c>
      <c r="D423" s="40">
        <f>((1+Table267[[#This Row],[Monthly change]])^12)-1</f>
        <v/>
      </c>
      <c r="E423" s="39">
        <f>(Table267[[#This Row],[M2 Money Stock, Billions of Dollars, Weekly, Seasonally Adjusted]]-B411)/B411</f>
        <v/>
      </c>
    </row>
    <row r="424">
      <c r="A424" s="37" t="n">
        <v>34243</v>
      </c>
      <c r="B424" s="84" t="n">
        <v>3456.7</v>
      </c>
      <c r="C424" s="39">
        <f>(Table267[[#This Row],[M2 Money Stock, Billions of Dollars, Weekly, Seasonally Adjusted]]-B423)/B423</f>
        <v/>
      </c>
      <c r="D424" s="40">
        <f>((1+Table267[[#This Row],[Monthly change]])^12)-1</f>
        <v/>
      </c>
      <c r="E424" s="39">
        <f>(Table267[[#This Row],[M2 Money Stock, Billions of Dollars, Weekly, Seasonally Adjusted]]-B412)/B412</f>
        <v/>
      </c>
    </row>
    <row r="425">
      <c r="A425" s="37" t="n">
        <v>34274</v>
      </c>
      <c r="B425" s="84" t="n">
        <v>3470.1</v>
      </c>
      <c r="C425" s="39">
        <f>(Table267[[#This Row],[M2 Money Stock, Billions of Dollars, Weekly, Seasonally Adjusted]]-B424)/B424</f>
        <v/>
      </c>
      <c r="D425" s="40">
        <f>((1+Table267[[#This Row],[Monthly change]])^12)-1</f>
        <v/>
      </c>
      <c r="E425" s="39">
        <f>(Table267[[#This Row],[M2 Money Stock, Billions of Dollars, Weekly, Seasonally Adjusted]]-B413)/B413</f>
        <v/>
      </c>
    </row>
    <row r="426">
      <c r="A426" s="37" t="n">
        <v>34304</v>
      </c>
      <c r="B426" s="84" t="n">
        <v>3474.5</v>
      </c>
      <c r="C426" s="39">
        <f>(Table267[[#This Row],[M2 Money Stock, Billions of Dollars, Weekly, Seasonally Adjusted]]-B425)/B425</f>
        <v/>
      </c>
      <c r="D426" s="40">
        <f>((1+Table267[[#This Row],[Monthly change]])^12)-1</f>
        <v/>
      </c>
      <c r="E426" s="39">
        <f>(Table267[[#This Row],[M2 Money Stock, Billions of Dollars, Weekly, Seasonally Adjusted]]-B414)/B414</f>
        <v/>
      </c>
    </row>
    <row r="427">
      <c r="A427" s="37" t="n">
        <v>34335</v>
      </c>
      <c r="B427" s="84" t="n">
        <v>3474.9</v>
      </c>
      <c r="C427" s="39">
        <f>(Table267[[#This Row],[M2 Money Stock, Billions of Dollars, Weekly, Seasonally Adjusted]]-B426)/B426</f>
        <v/>
      </c>
      <c r="D427" s="40">
        <f>((1+Table267[[#This Row],[Monthly change]])^12)-1</f>
        <v/>
      </c>
      <c r="E427" s="39">
        <f>(Table267[[#This Row],[M2 Money Stock, Billions of Dollars, Weekly, Seasonally Adjusted]]-B415)/B415</f>
        <v/>
      </c>
    </row>
    <row r="428">
      <c r="A428" s="37" t="n">
        <v>34366</v>
      </c>
      <c r="B428" s="84" t="n">
        <v>3475.7</v>
      </c>
      <c r="C428" s="39">
        <f>(Table267[[#This Row],[M2 Money Stock, Billions of Dollars, Weekly, Seasonally Adjusted]]-B427)/B427</f>
        <v/>
      </c>
      <c r="D428" s="40">
        <f>((1+Table267[[#This Row],[Monthly change]])^12)-1</f>
        <v/>
      </c>
      <c r="E428" s="39">
        <f>(Table267[[#This Row],[M2 Money Stock, Billions of Dollars, Weekly, Seasonally Adjusted]]-B416)/B416</f>
        <v/>
      </c>
    </row>
    <row r="429">
      <c r="A429" s="37" t="n">
        <v>34394</v>
      </c>
      <c r="B429" s="84" t="n">
        <v>3480.1</v>
      </c>
      <c r="C429" s="39">
        <f>(Table267[[#This Row],[M2 Money Stock, Billions of Dollars, Weekly, Seasonally Adjusted]]-B428)/B428</f>
        <v/>
      </c>
      <c r="D429" s="40">
        <f>((1+Table267[[#This Row],[Monthly change]])^12)-1</f>
        <v/>
      </c>
      <c r="E429" s="39">
        <f>(Table267[[#This Row],[M2 Money Stock, Billions of Dollars, Weekly, Seasonally Adjusted]]-B417)/B417</f>
        <v/>
      </c>
    </row>
    <row r="430">
      <c r="A430" s="37" t="n">
        <v>34425</v>
      </c>
      <c r="B430" s="84" t="n">
        <v>3481.3</v>
      </c>
      <c r="C430" s="39">
        <f>(Table267[[#This Row],[M2 Money Stock, Billions of Dollars, Weekly, Seasonally Adjusted]]-B429)/B429</f>
        <v/>
      </c>
      <c r="D430" s="40">
        <f>((1+Table267[[#This Row],[Monthly change]])^12)-1</f>
        <v/>
      </c>
      <c r="E430" s="39">
        <f>(Table267[[#This Row],[M2 Money Stock, Billions of Dollars, Weekly, Seasonally Adjusted]]-B418)/B418</f>
        <v/>
      </c>
    </row>
    <row r="431">
      <c r="A431" s="37" t="n">
        <v>34455</v>
      </c>
      <c r="B431" s="84" t="n">
        <v>3490.8</v>
      </c>
      <c r="C431" s="39">
        <f>(Table267[[#This Row],[M2 Money Stock, Billions of Dollars, Weekly, Seasonally Adjusted]]-B430)/B430</f>
        <v/>
      </c>
      <c r="D431" s="40">
        <f>((1+Table267[[#This Row],[Monthly change]])^12)-1</f>
        <v/>
      </c>
      <c r="E431" s="39">
        <f>(Table267[[#This Row],[M2 Money Stock, Billions of Dollars, Weekly, Seasonally Adjusted]]-B419)/B419</f>
        <v/>
      </c>
    </row>
    <row r="432">
      <c r="A432" s="37" t="n">
        <v>34486</v>
      </c>
      <c r="B432" s="84" t="n">
        <v>3479.5</v>
      </c>
      <c r="C432" s="39">
        <f>(Table267[[#This Row],[M2 Money Stock, Billions of Dollars, Weekly, Seasonally Adjusted]]-B431)/B431</f>
        <v/>
      </c>
      <c r="D432" s="40">
        <f>((1+Table267[[#This Row],[Monthly change]])^12)-1</f>
        <v/>
      </c>
      <c r="E432" s="39">
        <f>(Table267[[#This Row],[M2 Money Stock, Billions of Dollars, Weekly, Seasonally Adjusted]]-B420)/B420</f>
        <v/>
      </c>
    </row>
    <row r="433">
      <c r="A433" s="37" t="n">
        <v>34516</v>
      </c>
      <c r="B433" s="84" t="n">
        <v>3488.2</v>
      </c>
      <c r="C433" s="39">
        <f>(Table267[[#This Row],[M2 Money Stock, Billions of Dollars, Weekly, Seasonally Adjusted]]-B432)/B432</f>
        <v/>
      </c>
      <c r="D433" s="40">
        <f>((1+Table267[[#This Row],[Monthly change]])^12)-1</f>
        <v/>
      </c>
      <c r="E433" s="39">
        <f>(Table267[[#This Row],[M2 Money Stock, Billions of Dollars, Weekly, Seasonally Adjusted]]-B421)/B421</f>
        <v/>
      </c>
    </row>
    <row r="434">
      <c r="A434" s="37" t="n">
        <v>34547</v>
      </c>
      <c r="B434" s="84" t="n">
        <v>3485.7</v>
      </c>
      <c r="C434" s="39">
        <f>(Table267[[#This Row],[M2 Money Stock, Billions of Dollars, Weekly, Seasonally Adjusted]]-B433)/B433</f>
        <v/>
      </c>
      <c r="D434" s="40">
        <f>((1+Table267[[#This Row],[Monthly change]])^12)-1</f>
        <v/>
      </c>
      <c r="E434" s="39">
        <f>(Table267[[#This Row],[M2 Money Stock, Billions of Dollars, Weekly, Seasonally Adjusted]]-B422)/B422</f>
        <v/>
      </c>
    </row>
    <row r="435">
      <c r="A435" s="37" t="n">
        <v>34578</v>
      </c>
      <c r="B435" s="84" t="n">
        <v>3486.1</v>
      </c>
      <c r="C435" s="39">
        <f>(Table267[[#This Row],[M2 Money Stock, Billions of Dollars, Weekly, Seasonally Adjusted]]-B434)/B434</f>
        <v/>
      </c>
      <c r="D435" s="40">
        <f>((1+Table267[[#This Row],[Monthly change]])^12)-1</f>
        <v/>
      </c>
      <c r="E435" s="39">
        <f>(Table267[[#This Row],[M2 Money Stock, Billions of Dollars, Weekly, Seasonally Adjusted]]-B423)/B423</f>
        <v/>
      </c>
    </row>
    <row r="436">
      <c r="A436" s="37" t="n">
        <v>34608</v>
      </c>
      <c r="B436" s="84" t="n">
        <v>3484.3</v>
      </c>
      <c r="C436" s="39">
        <f>(Table267[[#This Row],[M2 Money Stock, Billions of Dollars, Weekly, Seasonally Adjusted]]-B435)/B435</f>
        <v/>
      </c>
      <c r="D436" s="40">
        <f>((1+Table267[[#This Row],[Monthly change]])^12)-1</f>
        <v/>
      </c>
      <c r="E436" s="39">
        <f>(Table267[[#This Row],[M2 Money Stock, Billions of Dollars, Weekly, Seasonally Adjusted]]-B424)/B424</f>
        <v/>
      </c>
    </row>
    <row r="437">
      <c r="A437" s="37" t="n">
        <v>34639</v>
      </c>
      <c r="B437" s="84" t="n">
        <v>3487.2</v>
      </c>
      <c r="C437" s="39">
        <f>(Table267[[#This Row],[M2 Money Stock, Billions of Dollars, Weekly, Seasonally Adjusted]]-B436)/B436</f>
        <v/>
      </c>
      <c r="D437" s="40">
        <f>((1+Table267[[#This Row],[Monthly change]])^12)-1</f>
        <v/>
      </c>
      <c r="E437" s="39">
        <f>(Table267[[#This Row],[M2 Money Stock, Billions of Dollars, Weekly, Seasonally Adjusted]]-B425)/B425</f>
        <v/>
      </c>
    </row>
    <row r="438">
      <c r="A438" s="37" t="n">
        <v>34669</v>
      </c>
      <c r="B438" s="84" t="n">
        <v>3486.4</v>
      </c>
      <c r="C438" s="39">
        <f>(Table267[[#This Row],[M2 Money Stock, Billions of Dollars, Weekly, Seasonally Adjusted]]-B437)/B437</f>
        <v/>
      </c>
      <c r="D438" s="40">
        <f>((1+Table267[[#This Row],[Monthly change]])^12)-1</f>
        <v/>
      </c>
      <c r="E438" s="39">
        <f>(Table267[[#This Row],[M2 Money Stock, Billions of Dollars, Weekly, Seasonally Adjusted]]-B426)/B426</f>
        <v/>
      </c>
    </row>
    <row r="439">
      <c r="A439" s="37" t="n">
        <v>34700</v>
      </c>
      <c r="B439" s="84" t="n">
        <v>3492.4</v>
      </c>
      <c r="C439" s="39">
        <f>(Table267[[#This Row],[M2 Money Stock, Billions of Dollars, Weekly, Seasonally Adjusted]]-B438)/B438</f>
        <v/>
      </c>
      <c r="D439" s="40">
        <f>((1+Table267[[#This Row],[Monthly change]])^12)-1</f>
        <v/>
      </c>
      <c r="E439" s="39">
        <f>(Table267[[#This Row],[M2 Money Stock, Billions of Dollars, Weekly, Seasonally Adjusted]]-B427)/B427</f>
        <v/>
      </c>
    </row>
    <row r="440">
      <c r="A440" s="37" t="n">
        <v>34731</v>
      </c>
      <c r="B440" s="84" t="n">
        <v>3489.9</v>
      </c>
      <c r="C440" s="39">
        <f>(Table267[[#This Row],[M2 Money Stock, Billions of Dollars, Weekly, Seasonally Adjusted]]-B439)/B439</f>
        <v/>
      </c>
      <c r="D440" s="40">
        <f>((1+Table267[[#This Row],[Monthly change]])^12)-1</f>
        <v/>
      </c>
      <c r="E440" s="39">
        <f>(Table267[[#This Row],[M2 Money Stock, Billions of Dollars, Weekly, Seasonally Adjusted]]-B428)/B428</f>
        <v/>
      </c>
    </row>
    <row r="441">
      <c r="A441" s="37" t="n">
        <v>34759</v>
      </c>
      <c r="B441" s="84" t="n">
        <v>3491.1</v>
      </c>
      <c r="C441" s="39">
        <f>(Table267[[#This Row],[M2 Money Stock, Billions of Dollars, Weekly, Seasonally Adjusted]]-B440)/B440</f>
        <v/>
      </c>
      <c r="D441" s="40">
        <f>((1+Table267[[#This Row],[Monthly change]])^12)-1</f>
        <v/>
      </c>
      <c r="E441" s="39">
        <f>(Table267[[#This Row],[M2 Money Stock, Billions of Dollars, Weekly, Seasonally Adjusted]]-B429)/B429</f>
        <v/>
      </c>
    </row>
    <row r="442">
      <c r="A442" s="37" t="n">
        <v>34790</v>
      </c>
      <c r="B442" s="84" t="n">
        <v>3499.2</v>
      </c>
      <c r="C442" s="39">
        <f>(Table267[[#This Row],[M2 Money Stock, Billions of Dollars, Weekly, Seasonally Adjusted]]-B441)/B441</f>
        <v/>
      </c>
      <c r="D442" s="40">
        <f>((1+Table267[[#This Row],[Monthly change]])^12)-1</f>
        <v/>
      </c>
      <c r="E442" s="39">
        <f>(Table267[[#This Row],[M2 Money Stock, Billions of Dollars, Weekly, Seasonally Adjusted]]-B430)/B430</f>
        <v/>
      </c>
    </row>
    <row r="443">
      <c r="A443" s="37" t="n">
        <v>34820</v>
      </c>
      <c r="B443" s="84" t="n">
        <v>3524.2</v>
      </c>
      <c r="C443" s="39">
        <f>(Table267[[#This Row],[M2 Money Stock, Billions of Dollars, Weekly, Seasonally Adjusted]]-B442)/B442</f>
        <v/>
      </c>
      <c r="D443" s="40">
        <f>((1+Table267[[#This Row],[Monthly change]])^12)-1</f>
        <v/>
      </c>
      <c r="E443" s="39">
        <f>(Table267[[#This Row],[M2 Money Stock, Billions of Dollars, Weekly, Seasonally Adjusted]]-B431)/B431</f>
        <v/>
      </c>
    </row>
    <row r="444">
      <c r="A444" s="37" t="n">
        <v>34851</v>
      </c>
      <c r="B444" s="84" t="n">
        <v>3548.9</v>
      </c>
      <c r="C444" s="39">
        <f>(Table267[[#This Row],[M2 Money Stock, Billions of Dollars, Weekly, Seasonally Adjusted]]-B443)/B443</f>
        <v/>
      </c>
      <c r="D444" s="40">
        <f>((1+Table267[[#This Row],[Monthly change]])^12)-1</f>
        <v/>
      </c>
      <c r="E444" s="39">
        <f>(Table267[[#This Row],[M2 Money Stock, Billions of Dollars, Weekly, Seasonally Adjusted]]-B432)/B432</f>
        <v/>
      </c>
    </row>
    <row r="445">
      <c r="A445" s="37" t="n">
        <v>34881</v>
      </c>
      <c r="B445" s="84" t="n">
        <v>3567.4</v>
      </c>
      <c r="C445" s="39">
        <f>(Table267[[#This Row],[M2 Money Stock, Billions of Dollars, Weekly, Seasonally Adjusted]]-B444)/B444</f>
        <v/>
      </c>
      <c r="D445" s="40">
        <f>((1+Table267[[#This Row],[Monthly change]])^12)-1</f>
        <v/>
      </c>
      <c r="E445" s="39">
        <f>(Table267[[#This Row],[M2 Money Stock, Billions of Dollars, Weekly, Seasonally Adjusted]]-B433)/B433</f>
        <v/>
      </c>
    </row>
    <row r="446">
      <c r="A446" s="37" t="n">
        <v>34912</v>
      </c>
      <c r="B446" s="84" t="n">
        <v>3589</v>
      </c>
      <c r="C446" s="39">
        <f>(Table267[[#This Row],[M2 Money Stock, Billions of Dollars, Weekly, Seasonally Adjusted]]-B445)/B445</f>
        <v/>
      </c>
      <c r="D446" s="40">
        <f>((1+Table267[[#This Row],[Monthly change]])^12)-1</f>
        <v/>
      </c>
      <c r="E446" s="39">
        <f>(Table267[[#This Row],[M2 Money Stock, Billions of Dollars, Weekly, Seasonally Adjusted]]-B434)/B434</f>
        <v/>
      </c>
    </row>
    <row r="447">
      <c r="A447" s="37" t="n">
        <v>34943</v>
      </c>
      <c r="B447" s="84" t="n">
        <v>3602.1</v>
      </c>
      <c r="C447" s="39">
        <f>(Table267[[#This Row],[M2 Money Stock, Billions of Dollars, Weekly, Seasonally Adjusted]]-B446)/B446</f>
        <v/>
      </c>
      <c r="D447" s="40">
        <f>((1+Table267[[#This Row],[Monthly change]])^12)-1</f>
        <v/>
      </c>
      <c r="E447" s="39">
        <f>(Table267[[#This Row],[M2 Money Stock, Billions of Dollars, Weekly, Seasonally Adjusted]]-B435)/B435</f>
        <v/>
      </c>
    </row>
    <row r="448">
      <c r="A448" s="37" t="n">
        <v>34973</v>
      </c>
      <c r="B448" s="84" t="n">
        <v>3613.4</v>
      </c>
      <c r="C448" s="39">
        <f>(Table267[[#This Row],[M2 Money Stock, Billions of Dollars, Weekly, Seasonally Adjusted]]-B447)/B447</f>
        <v/>
      </c>
      <c r="D448" s="40">
        <f>((1+Table267[[#This Row],[Monthly change]])^12)-1</f>
        <v/>
      </c>
      <c r="E448" s="39">
        <f>(Table267[[#This Row],[M2 Money Stock, Billions of Dollars, Weekly, Seasonally Adjusted]]-B436)/B436</f>
        <v/>
      </c>
    </row>
    <row r="449">
      <c r="A449" s="37" t="n">
        <v>35004</v>
      </c>
      <c r="B449" s="84" t="n">
        <v>3619.9</v>
      </c>
      <c r="C449" s="39">
        <f>(Table267[[#This Row],[M2 Money Stock, Billions of Dollars, Weekly, Seasonally Adjusted]]-B448)/B448</f>
        <v/>
      </c>
      <c r="D449" s="40">
        <f>((1+Table267[[#This Row],[Monthly change]])^12)-1</f>
        <v/>
      </c>
      <c r="E449" s="39">
        <f>(Table267[[#This Row],[M2 Money Stock, Billions of Dollars, Weekly, Seasonally Adjusted]]-B437)/B437</f>
        <v/>
      </c>
    </row>
    <row r="450">
      <c r="A450" s="37" t="n">
        <v>35034</v>
      </c>
      <c r="B450" s="84" t="n">
        <v>3629.5</v>
      </c>
      <c r="C450" s="39">
        <f>(Table267[[#This Row],[M2 Money Stock, Billions of Dollars, Weekly, Seasonally Adjusted]]-B449)/B449</f>
        <v/>
      </c>
      <c r="D450" s="40">
        <f>((1+Table267[[#This Row],[Monthly change]])^12)-1</f>
        <v/>
      </c>
      <c r="E450" s="39">
        <f>(Table267[[#This Row],[M2 Money Stock, Billions of Dollars, Weekly, Seasonally Adjusted]]-B438)/B438</f>
        <v/>
      </c>
    </row>
    <row r="451">
      <c r="A451" s="37" t="n">
        <v>35065</v>
      </c>
      <c r="B451" s="84" t="n">
        <v>3647.9</v>
      </c>
      <c r="C451" s="39">
        <f>(Table267[[#This Row],[M2 Money Stock, Billions of Dollars, Weekly, Seasonally Adjusted]]-B450)/B450</f>
        <v/>
      </c>
      <c r="D451" s="40">
        <f>((1+Table267[[#This Row],[Monthly change]])^12)-1</f>
        <v/>
      </c>
      <c r="E451" s="39">
        <f>(Table267[[#This Row],[M2 Money Stock, Billions of Dollars, Weekly, Seasonally Adjusted]]-B439)/B439</f>
        <v/>
      </c>
    </row>
    <row r="452">
      <c r="A452" s="37" t="n">
        <v>35096</v>
      </c>
      <c r="B452" s="84" t="n">
        <v>3661.8</v>
      </c>
      <c r="C452" s="39">
        <f>(Table267[[#This Row],[M2 Money Stock, Billions of Dollars, Weekly, Seasonally Adjusted]]-B451)/B451</f>
        <v/>
      </c>
      <c r="D452" s="40">
        <f>((1+Table267[[#This Row],[Monthly change]])^12)-1</f>
        <v/>
      </c>
      <c r="E452" s="39">
        <f>(Table267[[#This Row],[M2 Money Stock, Billions of Dollars, Weekly, Seasonally Adjusted]]-B440)/B440</f>
        <v/>
      </c>
    </row>
    <row r="453">
      <c r="A453" s="37" t="n">
        <v>35125</v>
      </c>
      <c r="B453" s="84" t="n">
        <v>3686.9</v>
      </c>
      <c r="C453" s="39">
        <f>(Table267[[#This Row],[M2 Money Stock, Billions of Dollars, Weekly, Seasonally Adjusted]]-B452)/B452</f>
        <v/>
      </c>
      <c r="D453" s="40">
        <f>((1+Table267[[#This Row],[Monthly change]])^12)-1</f>
        <v/>
      </c>
      <c r="E453" s="39">
        <f>(Table267[[#This Row],[M2 Money Stock, Billions of Dollars, Weekly, Seasonally Adjusted]]-B441)/B441</f>
        <v/>
      </c>
    </row>
    <row r="454">
      <c r="A454" s="37" t="n">
        <v>35156</v>
      </c>
      <c r="B454" s="84" t="n">
        <v>3697.7</v>
      </c>
      <c r="C454" s="39">
        <f>(Table267[[#This Row],[M2 Money Stock, Billions of Dollars, Weekly, Seasonally Adjusted]]-B453)/B453</f>
        <v/>
      </c>
      <c r="D454" s="40">
        <f>((1+Table267[[#This Row],[Monthly change]])^12)-1</f>
        <v/>
      </c>
      <c r="E454" s="39">
        <f>(Table267[[#This Row],[M2 Money Stock, Billions of Dollars, Weekly, Seasonally Adjusted]]-B442)/B442</f>
        <v/>
      </c>
    </row>
    <row r="455">
      <c r="A455" s="37" t="n">
        <v>35186</v>
      </c>
      <c r="B455" s="84" t="n">
        <v>3709.6</v>
      </c>
      <c r="C455" s="39">
        <f>(Table267[[#This Row],[M2 Money Stock, Billions of Dollars, Weekly, Seasonally Adjusted]]-B454)/B454</f>
        <v/>
      </c>
      <c r="D455" s="40">
        <f>((1+Table267[[#This Row],[Monthly change]])^12)-1</f>
        <v/>
      </c>
      <c r="E455" s="39">
        <f>(Table267[[#This Row],[M2 Money Stock, Billions of Dollars, Weekly, Seasonally Adjusted]]-B443)/B443</f>
        <v/>
      </c>
    </row>
    <row r="456">
      <c r="A456" s="37" t="n">
        <v>35217</v>
      </c>
      <c r="B456" s="84" t="n">
        <v>3722.5</v>
      </c>
      <c r="C456" s="39">
        <f>(Table267[[#This Row],[M2 Money Stock, Billions of Dollars, Weekly, Seasonally Adjusted]]-B455)/B455</f>
        <v/>
      </c>
      <c r="D456" s="40">
        <f>((1+Table267[[#This Row],[Monthly change]])^12)-1</f>
        <v/>
      </c>
      <c r="E456" s="39">
        <f>(Table267[[#This Row],[M2 Money Stock, Billions of Dollars, Weekly, Seasonally Adjusted]]-B444)/B444</f>
        <v/>
      </c>
    </row>
    <row r="457">
      <c r="A457" s="37" t="n">
        <v>35247</v>
      </c>
      <c r="B457" s="84" t="n">
        <v>3737.1</v>
      </c>
      <c r="C457" s="39">
        <f>(Table267[[#This Row],[M2 Money Stock, Billions of Dollars, Weekly, Seasonally Adjusted]]-B456)/B456</f>
        <v/>
      </c>
      <c r="D457" s="40">
        <f>((1+Table267[[#This Row],[Monthly change]])^12)-1</f>
        <v/>
      </c>
      <c r="E457" s="39">
        <f>(Table267[[#This Row],[M2 Money Stock, Billions of Dollars, Weekly, Seasonally Adjusted]]-B445)/B445</f>
        <v/>
      </c>
    </row>
    <row r="458">
      <c r="A458" s="37" t="n">
        <v>35278</v>
      </c>
      <c r="B458" s="84" t="n">
        <v>3744</v>
      </c>
      <c r="C458" s="39">
        <f>(Table267[[#This Row],[M2 Money Stock, Billions of Dollars, Weekly, Seasonally Adjusted]]-B457)/B457</f>
        <v/>
      </c>
      <c r="D458" s="40">
        <f>((1+Table267[[#This Row],[Monthly change]])^12)-1</f>
        <v/>
      </c>
      <c r="E458" s="39">
        <f>(Table267[[#This Row],[M2 Money Stock, Billions of Dollars, Weekly, Seasonally Adjusted]]-B446)/B446</f>
        <v/>
      </c>
    </row>
    <row r="459">
      <c r="A459" s="37" t="n">
        <v>35309</v>
      </c>
      <c r="B459" s="84" t="n">
        <v>3753.4</v>
      </c>
      <c r="C459" s="39">
        <f>(Table267[[#This Row],[M2 Money Stock, Billions of Dollars, Weekly, Seasonally Adjusted]]-B458)/B458</f>
        <v/>
      </c>
      <c r="D459" s="40">
        <f>((1+Table267[[#This Row],[Monthly change]])^12)-1</f>
        <v/>
      </c>
      <c r="E459" s="39">
        <f>(Table267[[#This Row],[M2 Money Stock, Billions of Dollars, Weekly, Seasonally Adjusted]]-B447)/B447</f>
        <v/>
      </c>
    </row>
    <row r="460">
      <c r="A460" s="37" t="n">
        <v>35339</v>
      </c>
      <c r="B460" s="84" t="n">
        <v>3772.8</v>
      </c>
      <c r="C460" s="39">
        <f>(Table267[[#This Row],[M2 Money Stock, Billions of Dollars, Weekly, Seasonally Adjusted]]-B459)/B459</f>
        <v/>
      </c>
      <c r="D460" s="40">
        <f>((1+Table267[[#This Row],[Monthly change]])^12)-1</f>
        <v/>
      </c>
      <c r="E460" s="39">
        <f>(Table267[[#This Row],[M2 Money Stock, Billions of Dollars, Weekly, Seasonally Adjusted]]-B448)/B448</f>
        <v/>
      </c>
    </row>
    <row r="461">
      <c r="A461" s="37" t="n">
        <v>35370</v>
      </c>
      <c r="B461" s="84" t="n">
        <v>3795.1</v>
      </c>
      <c r="C461" s="39">
        <f>(Table267[[#This Row],[M2 Money Stock, Billions of Dollars, Weekly, Seasonally Adjusted]]-B460)/B460</f>
        <v/>
      </c>
      <c r="D461" s="40">
        <f>((1+Table267[[#This Row],[Monthly change]])^12)-1</f>
        <v/>
      </c>
      <c r="E461" s="39">
        <f>(Table267[[#This Row],[M2 Money Stock, Billions of Dollars, Weekly, Seasonally Adjusted]]-B449)/B449</f>
        <v/>
      </c>
    </row>
    <row r="462">
      <c r="A462" s="37" t="n">
        <v>35400</v>
      </c>
      <c r="B462" s="84" t="n">
        <v>3818.6</v>
      </c>
      <c r="C462" s="39">
        <f>(Table267[[#This Row],[M2 Money Stock, Billions of Dollars, Weekly, Seasonally Adjusted]]-B461)/B461</f>
        <v/>
      </c>
      <c r="D462" s="40">
        <f>((1+Table267[[#This Row],[Monthly change]])^12)-1</f>
        <v/>
      </c>
      <c r="E462" s="39">
        <f>(Table267[[#This Row],[M2 Money Stock, Billions of Dollars, Weekly, Seasonally Adjusted]]-B450)/B450</f>
        <v/>
      </c>
    </row>
    <row r="463">
      <c r="A463" s="37" t="n">
        <v>35431</v>
      </c>
      <c r="B463" s="84" t="n">
        <v>3834.6</v>
      </c>
      <c r="C463" s="39">
        <f>(Table267[[#This Row],[M2 Money Stock, Billions of Dollars, Weekly, Seasonally Adjusted]]-B462)/B462</f>
        <v/>
      </c>
      <c r="D463" s="40">
        <f>((1+Table267[[#This Row],[Monthly change]])^12)-1</f>
        <v/>
      </c>
      <c r="E463" s="39">
        <f>(Table267[[#This Row],[M2 Money Stock, Billions of Dollars, Weekly, Seasonally Adjusted]]-B451)/B451</f>
        <v/>
      </c>
    </row>
    <row r="464">
      <c r="A464" s="37" t="n">
        <v>35462</v>
      </c>
      <c r="B464" s="84" t="n">
        <v>3846.3</v>
      </c>
      <c r="C464" s="39">
        <f>(Table267[[#This Row],[M2 Money Stock, Billions of Dollars, Weekly, Seasonally Adjusted]]-B463)/B463</f>
        <v/>
      </c>
      <c r="D464" s="40">
        <f>((1+Table267[[#This Row],[Monthly change]])^12)-1</f>
        <v/>
      </c>
      <c r="E464" s="39">
        <f>(Table267[[#This Row],[M2 Money Stock, Billions of Dollars, Weekly, Seasonally Adjusted]]-B452)/B452</f>
        <v/>
      </c>
    </row>
    <row r="465">
      <c r="A465" s="37" t="n">
        <v>35490</v>
      </c>
      <c r="B465" s="84" t="n">
        <v>3861.2</v>
      </c>
      <c r="C465" s="39">
        <f>(Table267[[#This Row],[M2 Money Stock, Billions of Dollars, Weekly, Seasonally Adjusted]]-B464)/B464</f>
        <v/>
      </c>
      <c r="D465" s="40">
        <f>((1+Table267[[#This Row],[Monthly change]])^12)-1</f>
        <v/>
      </c>
      <c r="E465" s="39">
        <f>(Table267[[#This Row],[M2 Money Stock, Billions of Dollars, Weekly, Seasonally Adjusted]]-B453)/B453</f>
        <v/>
      </c>
    </row>
    <row r="466">
      <c r="A466" s="37" t="n">
        <v>35521</v>
      </c>
      <c r="B466" s="84" t="n">
        <v>3877</v>
      </c>
      <c r="C466" s="39">
        <f>(Table267[[#This Row],[M2 Money Stock, Billions of Dollars, Weekly, Seasonally Adjusted]]-B465)/B465</f>
        <v/>
      </c>
      <c r="D466" s="40">
        <f>((1+Table267[[#This Row],[Monthly change]])^12)-1</f>
        <v/>
      </c>
      <c r="E466" s="39">
        <f>(Table267[[#This Row],[M2 Money Stock, Billions of Dollars, Weekly, Seasonally Adjusted]]-B454)/B454</f>
        <v/>
      </c>
    </row>
    <row r="467">
      <c r="A467" s="37" t="n">
        <v>35551</v>
      </c>
      <c r="B467" s="84" t="n">
        <v>3889.2</v>
      </c>
      <c r="C467" s="39">
        <f>(Table267[[#This Row],[M2 Money Stock, Billions of Dollars, Weekly, Seasonally Adjusted]]-B466)/B466</f>
        <v/>
      </c>
      <c r="D467" s="40">
        <f>((1+Table267[[#This Row],[Monthly change]])^12)-1</f>
        <v/>
      </c>
      <c r="E467" s="39">
        <f>(Table267[[#This Row],[M2 Money Stock, Billions of Dollars, Weekly, Seasonally Adjusted]]-B455)/B455</f>
        <v/>
      </c>
    </row>
    <row r="468">
      <c r="A468" s="37" t="n">
        <v>35582</v>
      </c>
      <c r="B468" s="84" t="n">
        <v>3906</v>
      </c>
      <c r="C468" s="39">
        <f>(Table267[[#This Row],[M2 Money Stock, Billions of Dollars, Weekly, Seasonally Adjusted]]-B467)/B467</f>
        <v/>
      </c>
      <c r="D468" s="40">
        <f>((1+Table267[[#This Row],[Monthly change]])^12)-1</f>
        <v/>
      </c>
      <c r="E468" s="39">
        <f>(Table267[[#This Row],[M2 Money Stock, Billions of Dollars, Weekly, Seasonally Adjusted]]-B456)/B456</f>
        <v/>
      </c>
    </row>
    <row r="469">
      <c r="A469" s="37" t="n">
        <v>35612</v>
      </c>
      <c r="B469" s="84" t="n">
        <v>3923.9</v>
      </c>
      <c r="C469" s="39">
        <f>(Table267[[#This Row],[M2 Money Stock, Billions of Dollars, Weekly, Seasonally Adjusted]]-B468)/B468</f>
        <v/>
      </c>
      <c r="D469" s="40">
        <f>((1+Table267[[#This Row],[Monthly change]])^12)-1</f>
        <v/>
      </c>
      <c r="E469" s="39">
        <f>(Table267[[#This Row],[M2 Money Stock, Billions of Dollars, Weekly, Seasonally Adjusted]]-B457)/B457</f>
        <v/>
      </c>
    </row>
    <row r="470">
      <c r="A470" s="37" t="n">
        <v>35643</v>
      </c>
      <c r="B470" s="84" t="n">
        <v>3957.4</v>
      </c>
      <c r="C470" s="39">
        <f>(Table267[[#This Row],[M2 Money Stock, Billions of Dollars, Weekly, Seasonally Adjusted]]-B469)/B469</f>
        <v/>
      </c>
      <c r="D470" s="40">
        <f>((1+Table267[[#This Row],[Monthly change]])^12)-1</f>
        <v/>
      </c>
      <c r="E470" s="39">
        <f>(Table267[[#This Row],[M2 Money Stock, Billions of Dollars, Weekly, Seasonally Adjusted]]-B458)/B458</f>
        <v/>
      </c>
    </row>
    <row r="471">
      <c r="A471" s="37" t="n">
        <v>35674</v>
      </c>
      <c r="B471" s="84" t="n">
        <v>3973.1</v>
      </c>
      <c r="C471" s="39">
        <f>(Table267[[#This Row],[M2 Money Stock, Billions of Dollars, Weekly, Seasonally Adjusted]]-B470)/B470</f>
        <v/>
      </c>
      <c r="D471" s="40">
        <f>((1+Table267[[#This Row],[Monthly change]])^12)-1</f>
        <v/>
      </c>
      <c r="E471" s="39">
        <f>(Table267[[#This Row],[M2 Money Stock, Billions of Dollars, Weekly, Seasonally Adjusted]]-B459)/B459</f>
        <v/>
      </c>
    </row>
    <row r="472">
      <c r="A472" s="37" t="n">
        <v>35704</v>
      </c>
      <c r="B472" s="84" t="n">
        <v>3992.3</v>
      </c>
      <c r="C472" s="39">
        <f>(Table267[[#This Row],[M2 Money Stock, Billions of Dollars, Weekly, Seasonally Adjusted]]-B471)/B471</f>
        <v/>
      </c>
      <c r="D472" s="40">
        <f>((1+Table267[[#This Row],[Monthly change]])^12)-1</f>
        <v/>
      </c>
      <c r="E472" s="39">
        <f>(Table267[[#This Row],[M2 Money Stock, Billions of Dollars, Weekly, Seasonally Adjusted]]-B460)/B460</f>
        <v/>
      </c>
    </row>
    <row r="473">
      <c r="A473" s="37" t="n">
        <v>35735</v>
      </c>
      <c r="B473" s="84" t="n">
        <v>4014.8</v>
      </c>
      <c r="C473" s="39">
        <f>(Table267[[#This Row],[M2 Money Stock, Billions of Dollars, Weekly, Seasonally Adjusted]]-B472)/B472</f>
        <v/>
      </c>
      <c r="D473" s="40">
        <f>((1+Table267[[#This Row],[Monthly change]])^12)-1</f>
        <v/>
      </c>
      <c r="E473" s="39">
        <f>(Table267[[#This Row],[M2 Money Stock, Billions of Dollars, Weekly, Seasonally Adjusted]]-B461)/B461</f>
        <v/>
      </c>
    </row>
    <row r="474">
      <c r="A474" s="37" t="n">
        <v>35765</v>
      </c>
      <c r="B474" s="84" t="n">
        <v>4032.9</v>
      </c>
      <c r="C474" s="39">
        <f>(Table267[[#This Row],[M2 Money Stock, Billions of Dollars, Weekly, Seasonally Adjusted]]-B473)/B473</f>
        <v/>
      </c>
      <c r="D474" s="40">
        <f>((1+Table267[[#This Row],[Monthly change]])^12)-1</f>
        <v/>
      </c>
      <c r="E474" s="39">
        <f>(Table267[[#This Row],[M2 Money Stock, Billions of Dollars, Weekly, Seasonally Adjusted]]-B462)/B462</f>
        <v/>
      </c>
    </row>
    <row r="475">
      <c r="A475" s="37" t="n">
        <v>35796</v>
      </c>
      <c r="B475" s="84" t="n">
        <v>4056.2</v>
      </c>
      <c r="C475" s="39">
        <f>(Table267[[#This Row],[M2 Money Stock, Billions of Dollars, Weekly, Seasonally Adjusted]]-B474)/B474</f>
        <v/>
      </c>
      <c r="D475" s="40">
        <f>((1+Table267[[#This Row],[Monthly change]])^12)-1</f>
        <v/>
      </c>
      <c r="E475" s="39">
        <f>(Table267[[#This Row],[M2 Money Stock, Billions of Dollars, Weekly, Seasonally Adjusted]]-B463)/B463</f>
        <v/>
      </c>
    </row>
    <row r="476">
      <c r="A476" s="37" t="n">
        <v>35827</v>
      </c>
      <c r="B476" s="84" t="n">
        <v>4088.9</v>
      </c>
      <c r="C476" s="39">
        <f>(Table267[[#This Row],[M2 Money Stock, Billions of Dollars, Weekly, Seasonally Adjusted]]-B475)/B475</f>
        <v/>
      </c>
      <c r="D476" s="40">
        <f>((1+Table267[[#This Row],[Monthly change]])^12)-1</f>
        <v/>
      </c>
      <c r="E476" s="39">
        <f>(Table267[[#This Row],[M2 Money Stock, Billions of Dollars, Weekly, Seasonally Adjusted]]-B464)/B464</f>
        <v/>
      </c>
    </row>
    <row r="477">
      <c r="A477" s="37" t="n">
        <v>35855</v>
      </c>
      <c r="B477" s="84" t="n">
        <v>4114.3</v>
      </c>
      <c r="C477" s="39">
        <f>(Table267[[#This Row],[M2 Money Stock, Billions of Dollars, Weekly, Seasonally Adjusted]]-B476)/B476</f>
        <v/>
      </c>
      <c r="D477" s="40">
        <f>((1+Table267[[#This Row],[Monthly change]])^12)-1</f>
        <v/>
      </c>
      <c r="E477" s="39">
        <f>(Table267[[#This Row],[M2 Money Stock, Billions of Dollars, Weekly, Seasonally Adjusted]]-B465)/B465</f>
        <v/>
      </c>
    </row>
    <row r="478">
      <c r="A478" s="37" t="n">
        <v>35886</v>
      </c>
      <c r="B478" s="84" t="n">
        <v>4140.2</v>
      </c>
      <c r="C478" s="39">
        <f>(Table267[[#This Row],[M2 Money Stock, Billions of Dollars, Weekly, Seasonally Adjusted]]-B477)/B477</f>
        <v/>
      </c>
      <c r="D478" s="40">
        <f>((1+Table267[[#This Row],[Monthly change]])^12)-1</f>
        <v/>
      </c>
      <c r="E478" s="39">
        <f>(Table267[[#This Row],[M2 Money Stock, Billions of Dollars, Weekly, Seasonally Adjusted]]-B466)/B466</f>
        <v/>
      </c>
    </row>
    <row r="479">
      <c r="A479" s="37" t="n">
        <v>35916</v>
      </c>
      <c r="B479" s="84" t="n">
        <v>4164.4</v>
      </c>
      <c r="C479" s="39">
        <f>(Table267[[#This Row],[M2 Money Stock, Billions of Dollars, Weekly, Seasonally Adjusted]]-B478)/B478</f>
        <v/>
      </c>
      <c r="D479" s="40">
        <f>((1+Table267[[#This Row],[Monthly change]])^12)-1</f>
        <v/>
      </c>
      <c r="E479" s="39">
        <f>(Table267[[#This Row],[M2 Money Stock, Billions of Dollars, Weekly, Seasonally Adjusted]]-B467)/B467</f>
        <v/>
      </c>
    </row>
    <row r="480">
      <c r="A480" s="37" t="n">
        <v>35947</v>
      </c>
      <c r="B480" s="84" t="n">
        <v>4184.1</v>
      </c>
      <c r="C480" s="39">
        <f>(Table267[[#This Row],[M2 Money Stock, Billions of Dollars, Weekly, Seasonally Adjusted]]-B479)/B479</f>
        <v/>
      </c>
      <c r="D480" s="40">
        <f>((1+Table267[[#This Row],[Monthly change]])^12)-1</f>
        <v/>
      </c>
      <c r="E480" s="39">
        <f>(Table267[[#This Row],[M2 Money Stock, Billions of Dollars, Weekly, Seasonally Adjusted]]-B468)/B468</f>
        <v/>
      </c>
    </row>
    <row r="481">
      <c r="A481" s="37" t="n">
        <v>35977</v>
      </c>
      <c r="B481" s="84" t="n">
        <v>4203.8</v>
      </c>
      <c r="C481" s="39">
        <f>(Table267[[#This Row],[M2 Money Stock, Billions of Dollars, Weekly, Seasonally Adjusted]]-B480)/B480</f>
        <v/>
      </c>
      <c r="D481" s="40">
        <f>((1+Table267[[#This Row],[Monthly change]])^12)-1</f>
        <v/>
      </c>
      <c r="E481" s="39">
        <f>(Table267[[#This Row],[M2 Money Stock, Billions of Dollars, Weekly, Seasonally Adjusted]]-B469)/B469</f>
        <v/>
      </c>
    </row>
    <row r="482">
      <c r="A482" s="37" t="n">
        <v>36008</v>
      </c>
      <c r="B482" s="84" t="n">
        <v>4228.7</v>
      </c>
      <c r="C482" s="39">
        <f>(Table267[[#This Row],[M2 Money Stock, Billions of Dollars, Weekly, Seasonally Adjusted]]-B481)/B481</f>
        <v/>
      </c>
      <c r="D482" s="40">
        <f>((1+Table267[[#This Row],[Monthly change]])^12)-1</f>
        <v/>
      </c>
      <c r="E482" s="39">
        <f>(Table267[[#This Row],[M2 Money Stock, Billions of Dollars, Weekly, Seasonally Adjusted]]-B470)/B470</f>
        <v/>
      </c>
    </row>
    <row r="483">
      <c r="A483" s="37" t="n">
        <v>36039</v>
      </c>
      <c r="B483" s="84" t="n">
        <v>4267.6</v>
      </c>
      <c r="C483" s="39">
        <f>(Table267[[#This Row],[M2 Money Stock, Billions of Dollars, Weekly, Seasonally Adjusted]]-B482)/B482</f>
        <v/>
      </c>
      <c r="D483" s="40">
        <f>((1+Table267[[#This Row],[Monthly change]])^12)-1</f>
        <v/>
      </c>
      <c r="E483" s="39">
        <f>(Table267[[#This Row],[M2 Money Stock, Billions of Dollars, Weekly, Seasonally Adjusted]]-B471)/B471</f>
        <v/>
      </c>
    </row>
    <row r="484">
      <c r="A484" s="37" t="n">
        <v>36069</v>
      </c>
      <c r="B484" s="84" t="n">
        <v>4307.7</v>
      </c>
      <c r="C484" s="39">
        <f>(Table267[[#This Row],[M2 Money Stock, Billions of Dollars, Weekly, Seasonally Adjusted]]-B483)/B483</f>
        <v/>
      </c>
      <c r="D484" s="40">
        <f>((1+Table267[[#This Row],[Monthly change]])^12)-1</f>
        <v/>
      </c>
      <c r="E484" s="39">
        <f>(Table267[[#This Row],[M2 Money Stock, Billions of Dollars, Weekly, Seasonally Adjusted]]-B472)/B472</f>
        <v/>
      </c>
    </row>
    <row r="485">
      <c r="A485" s="37" t="n">
        <v>36100</v>
      </c>
      <c r="B485" s="84" t="n">
        <v>4346.4</v>
      </c>
      <c r="C485" s="39">
        <f>(Table267[[#This Row],[M2 Money Stock, Billions of Dollars, Weekly, Seasonally Adjusted]]-B484)/B484</f>
        <v/>
      </c>
      <c r="D485" s="40">
        <f>((1+Table267[[#This Row],[Monthly change]])^12)-1</f>
        <v/>
      </c>
      <c r="E485" s="39">
        <f>(Table267[[#This Row],[M2 Money Stock, Billions of Dollars, Weekly, Seasonally Adjusted]]-B473)/B473</f>
        <v/>
      </c>
    </row>
    <row r="486">
      <c r="A486" s="37" t="n">
        <v>36130</v>
      </c>
      <c r="B486" s="84" t="n">
        <v>4375.2</v>
      </c>
      <c r="C486" s="39">
        <f>(Table267[[#This Row],[M2 Money Stock, Billions of Dollars, Weekly, Seasonally Adjusted]]-B485)/B485</f>
        <v/>
      </c>
      <c r="D486" s="40">
        <f>((1+Table267[[#This Row],[Monthly change]])^12)-1</f>
        <v/>
      </c>
      <c r="E486" s="39">
        <f>(Table267[[#This Row],[M2 Money Stock, Billions of Dollars, Weekly, Seasonally Adjusted]]-B474)/B474</f>
        <v/>
      </c>
    </row>
    <row r="487">
      <c r="A487" s="37" t="n">
        <v>36161</v>
      </c>
      <c r="B487" s="84" t="n">
        <v>4402.6</v>
      </c>
      <c r="C487" s="39">
        <f>(Table267[[#This Row],[M2 Money Stock, Billions of Dollars, Weekly, Seasonally Adjusted]]-B486)/B486</f>
        <v/>
      </c>
      <c r="D487" s="40">
        <f>((1+Table267[[#This Row],[Monthly change]])^12)-1</f>
        <v/>
      </c>
      <c r="E487" s="39">
        <f>(Table267[[#This Row],[M2 Money Stock, Billions of Dollars, Weekly, Seasonally Adjusted]]-B475)/B475</f>
        <v/>
      </c>
    </row>
    <row r="488">
      <c r="A488" s="37" t="n">
        <v>36192</v>
      </c>
      <c r="B488" s="84" t="n">
        <v>4425.3</v>
      </c>
      <c r="C488" s="39">
        <f>(Table267[[#This Row],[M2 Money Stock, Billions of Dollars, Weekly, Seasonally Adjusted]]-B487)/B487</f>
        <v/>
      </c>
      <c r="D488" s="40">
        <f>((1+Table267[[#This Row],[Monthly change]])^12)-1</f>
        <v/>
      </c>
      <c r="E488" s="39">
        <f>(Table267[[#This Row],[M2 Money Stock, Billions of Dollars, Weekly, Seasonally Adjusted]]-B476)/B476</f>
        <v/>
      </c>
    </row>
    <row r="489">
      <c r="A489" s="37" t="n">
        <v>36220</v>
      </c>
      <c r="B489" s="84" t="n">
        <v>4432.1</v>
      </c>
      <c r="C489" s="39">
        <f>(Table267[[#This Row],[M2 Money Stock, Billions of Dollars, Weekly, Seasonally Adjusted]]-B488)/B488</f>
        <v/>
      </c>
      <c r="D489" s="40">
        <f>((1+Table267[[#This Row],[Monthly change]])^12)-1</f>
        <v/>
      </c>
      <c r="E489" s="39">
        <f>(Table267[[#This Row],[M2 Money Stock, Billions of Dollars, Weekly, Seasonally Adjusted]]-B477)/B477</f>
        <v/>
      </c>
    </row>
    <row r="490">
      <c r="A490" s="37" t="n">
        <v>36251</v>
      </c>
      <c r="B490" s="84" t="n">
        <v>4460.7</v>
      </c>
      <c r="C490" s="39">
        <f>(Table267[[#This Row],[M2 Money Stock, Billions of Dollars, Weekly, Seasonally Adjusted]]-B489)/B489</f>
        <v/>
      </c>
      <c r="D490" s="40">
        <f>((1+Table267[[#This Row],[Monthly change]])^12)-1</f>
        <v/>
      </c>
      <c r="E490" s="39">
        <f>(Table267[[#This Row],[M2 Money Stock, Billions of Dollars, Weekly, Seasonally Adjusted]]-B478)/B478</f>
        <v/>
      </c>
    </row>
    <row r="491">
      <c r="A491" s="37" t="n">
        <v>36281</v>
      </c>
      <c r="B491" s="84" t="n">
        <v>4485.3</v>
      </c>
      <c r="C491" s="39">
        <f>(Table267[[#This Row],[M2 Money Stock, Billions of Dollars, Weekly, Seasonally Adjusted]]-B490)/B490</f>
        <v/>
      </c>
      <c r="D491" s="40">
        <f>((1+Table267[[#This Row],[Monthly change]])^12)-1</f>
        <v/>
      </c>
      <c r="E491" s="39">
        <f>(Table267[[#This Row],[M2 Money Stock, Billions of Dollars, Weekly, Seasonally Adjusted]]-B479)/B479</f>
        <v/>
      </c>
    </row>
    <row r="492">
      <c r="A492" s="37" t="n">
        <v>36312</v>
      </c>
      <c r="B492" s="84" t="n">
        <v>4507.2</v>
      </c>
      <c r="C492" s="39">
        <f>(Table267[[#This Row],[M2 Money Stock, Billions of Dollars, Weekly, Seasonally Adjusted]]-B491)/B491</f>
        <v/>
      </c>
      <c r="D492" s="40">
        <f>((1+Table267[[#This Row],[Monthly change]])^12)-1</f>
        <v/>
      </c>
      <c r="E492" s="39">
        <f>(Table267[[#This Row],[M2 Money Stock, Billions of Dollars, Weekly, Seasonally Adjusted]]-B480)/B480</f>
        <v/>
      </c>
    </row>
    <row r="493">
      <c r="A493" s="37" t="n">
        <v>36342</v>
      </c>
      <c r="B493" s="84" t="n">
        <v>4534.5</v>
      </c>
      <c r="C493" s="39">
        <f>(Table267[[#This Row],[M2 Money Stock, Billions of Dollars, Weekly, Seasonally Adjusted]]-B492)/B492</f>
        <v/>
      </c>
      <c r="D493" s="40">
        <f>((1+Table267[[#This Row],[Monthly change]])^12)-1</f>
        <v/>
      </c>
      <c r="E493" s="39">
        <f>(Table267[[#This Row],[M2 Money Stock, Billions of Dollars, Weekly, Seasonally Adjusted]]-B481)/B481</f>
        <v/>
      </c>
    </row>
    <row r="494">
      <c r="A494" s="37" t="n">
        <v>36373</v>
      </c>
      <c r="B494" s="84" t="n">
        <v>4551.7</v>
      </c>
      <c r="C494" s="39">
        <f>(Table267[[#This Row],[M2 Money Stock, Billions of Dollars, Weekly, Seasonally Adjusted]]-B493)/B493</f>
        <v/>
      </c>
      <c r="D494" s="40">
        <f>((1+Table267[[#This Row],[Monthly change]])^12)-1</f>
        <v/>
      </c>
      <c r="E494" s="39">
        <f>(Table267[[#This Row],[M2 Money Stock, Billions of Dollars, Weekly, Seasonally Adjusted]]-B482)/B482</f>
        <v/>
      </c>
    </row>
    <row r="495">
      <c r="A495" s="37" t="n">
        <v>36404</v>
      </c>
      <c r="B495" s="84" t="n">
        <v>4567.7</v>
      </c>
      <c r="C495" s="39">
        <f>(Table267[[#This Row],[M2 Money Stock, Billions of Dollars, Weekly, Seasonally Adjusted]]-B494)/B494</f>
        <v/>
      </c>
      <c r="D495" s="40">
        <f>((1+Table267[[#This Row],[Monthly change]])^12)-1</f>
        <v/>
      </c>
      <c r="E495" s="39">
        <f>(Table267[[#This Row],[M2 Money Stock, Billions of Dollars, Weekly, Seasonally Adjusted]]-B483)/B483</f>
        <v/>
      </c>
    </row>
    <row r="496">
      <c r="A496" s="37" t="n">
        <v>36434</v>
      </c>
      <c r="B496" s="84" t="n">
        <v>4591.5</v>
      </c>
      <c r="C496" s="39">
        <f>(Table267[[#This Row],[M2 Money Stock, Billions of Dollars, Weekly, Seasonally Adjusted]]-B495)/B495</f>
        <v/>
      </c>
      <c r="D496" s="40">
        <f>((1+Table267[[#This Row],[Monthly change]])^12)-1</f>
        <v/>
      </c>
      <c r="E496" s="39">
        <f>(Table267[[#This Row],[M2 Money Stock, Billions of Dollars, Weekly, Seasonally Adjusted]]-B484)/B484</f>
        <v/>
      </c>
    </row>
    <row r="497">
      <c r="A497" s="37" t="n">
        <v>36465</v>
      </c>
      <c r="B497" s="84" t="n">
        <v>4610.5</v>
      </c>
      <c r="C497" s="39">
        <f>(Table267[[#This Row],[M2 Money Stock, Billions of Dollars, Weekly, Seasonally Adjusted]]-B496)/B496</f>
        <v/>
      </c>
      <c r="D497" s="40">
        <f>((1+Table267[[#This Row],[Monthly change]])^12)-1</f>
        <v/>
      </c>
      <c r="E497" s="39">
        <f>(Table267[[#This Row],[M2 Money Stock, Billions of Dollars, Weekly, Seasonally Adjusted]]-B485)/B485</f>
        <v/>
      </c>
    </row>
    <row r="498">
      <c r="A498" s="37" t="n">
        <v>36495</v>
      </c>
      <c r="B498" s="84" t="n">
        <v>4638</v>
      </c>
      <c r="C498" s="39">
        <f>(Table267[[#This Row],[M2 Money Stock, Billions of Dollars, Weekly, Seasonally Adjusted]]-B497)/B497</f>
        <v/>
      </c>
      <c r="D498" s="40">
        <f>((1+Table267[[#This Row],[Monthly change]])^12)-1</f>
        <v/>
      </c>
      <c r="E498" s="39">
        <f>(Table267[[#This Row],[M2 Money Stock, Billions of Dollars, Weekly, Seasonally Adjusted]]-B486)/B486</f>
        <v/>
      </c>
    </row>
    <row r="499">
      <c r="A499" s="37" t="n">
        <v>36526</v>
      </c>
      <c r="B499" s="84" t="n">
        <v>4666.2</v>
      </c>
      <c r="C499" s="39">
        <f>(Table267[[#This Row],[M2 Money Stock, Billions of Dollars, Weekly, Seasonally Adjusted]]-B498)/B498</f>
        <v/>
      </c>
      <c r="D499" s="40">
        <f>((1+Table267[[#This Row],[Monthly change]])^12)-1</f>
        <v/>
      </c>
      <c r="E499" s="39">
        <f>(Table267[[#This Row],[M2 Money Stock, Billions of Dollars, Weekly, Seasonally Adjusted]]-B487)/B487</f>
        <v/>
      </c>
    </row>
    <row r="500">
      <c r="A500" s="37" t="n">
        <v>36557</v>
      </c>
      <c r="B500" s="84" t="n">
        <v>4679.4</v>
      </c>
      <c r="C500" s="39">
        <f>(Table267[[#This Row],[M2 Money Stock, Billions of Dollars, Weekly, Seasonally Adjusted]]-B499)/B499</f>
        <v/>
      </c>
      <c r="D500" s="40">
        <f>((1+Table267[[#This Row],[Monthly change]])^12)-1</f>
        <v/>
      </c>
      <c r="E500" s="39">
        <f>(Table267[[#This Row],[M2 Money Stock, Billions of Dollars, Weekly, Seasonally Adjusted]]-B488)/B488</f>
        <v/>
      </c>
    </row>
    <row r="501">
      <c r="A501" s="37" t="n">
        <v>36586</v>
      </c>
      <c r="B501" s="84" t="n">
        <v>4710.2</v>
      </c>
      <c r="C501" s="39">
        <f>(Table267[[#This Row],[M2 Money Stock, Billions of Dollars, Weekly, Seasonally Adjusted]]-B500)/B500</f>
        <v/>
      </c>
      <c r="D501" s="40">
        <f>((1+Table267[[#This Row],[Monthly change]])^12)-1</f>
        <v/>
      </c>
      <c r="E501" s="39">
        <f>(Table267[[#This Row],[M2 Money Stock, Billions of Dollars, Weekly, Seasonally Adjusted]]-B489)/B489</f>
        <v/>
      </c>
    </row>
    <row r="502">
      <c r="A502" s="37" t="n">
        <v>36617</v>
      </c>
      <c r="B502" s="84" t="n">
        <v>4766.1</v>
      </c>
      <c r="C502" s="39">
        <f>(Table267[[#This Row],[M2 Money Stock, Billions of Dollars, Weekly, Seasonally Adjusted]]-B501)/B501</f>
        <v/>
      </c>
      <c r="D502" s="40">
        <f>((1+Table267[[#This Row],[Monthly change]])^12)-1</f>
        <v/>
      </c>
      <c r="E502" s="39">
        <f>(Table267[[#This Row],[M2 Money Stock, Billions of Dollars, Weekly, Seasonally Adjusted]]-B490)/B490</f>
        <v/>
      </c>
    </row>
    <row r="503">
      <c r="A503" s="37" t="n">
        <v>36647</v>
      </c>
      <c r="B503" s="84" t="n">
        <v>4753.9</v>
      </c>
      <c r="C503" s="39">
        <f>(Table267[[#This Row],[M2 Money Stock, Billions of Dollars, Weekly, Seasonally Adjusted]]-B502)/B502</f>
        <v/>
      </c>
      <c r="D503" s="40">
        <f>((1+Table267[[#This Row],[Monthly change]])^12)-1</f>
        <v/>
      </c>
      <c r="E503" s="39">
        <f>(Table267[[#This Row],[M2 Money Stock, Billions of Dollars, Weekly, Seasonally Adjusted]]-B491)/B491</f>
        <v/>
      </c>
    </row>
    <row r="504">
      <c r="A504" s="37" t="n">
        <v>36678</v>
      </c>
      <c r="B504" s="84" t="n">
        <v>4771.8</v>
      </c>
      <c r="C504" s="39">
        <f>(Table267[[#This Row],[M2 Money Stock, Billions of Dollars, Weekly, Seasonally Adjusted]]-B503)/B503</f>
        <v/>
      </c>
      <c r="D504" s="40">
        <f>((1+Table267[[#This Row],[Monthly change]])^12)-1</f>
        <v/>
      </c>
      <c r="E504" s="39">
        <f>(Table267[[#This Row],[M2 Money Stock, Billions of Dollars, Weekly, Seasonally Adjusted]]-B492)/B492</f>
        <v/>
      </c>
    </row>
    <row r="505">
      <c r="A505" s="37" t="n">
        <v>36708</v>
      </c>
      <c r="B505" s="84" t="n">
        <v>4789.4</v>
      </c>
      <c r="C505" s="39">
        <f>(Table267[[#This Row],[M2 Money Stock, Billions of Dollars, Weekly, Seasonally Adjusted]]-B504)/B504</f>
        <v/>
      </c>
      <c r="D505" s="40">
        <f>((1+Table267[[#This Row],[Monthly change]])^12)-1</f>
        <v/>
      </c>
      <c r="E505" s="39">
        <f>(Table267[[#This Row],[M2 Money Stock, Billions of Dollars, Weekly, Seasonally Adjusted]]-B493)/B493</f>
        <v/>
      </c>
    </row>
    <row r="506">
      <c r="A506" s="37" t="n">
        <v>36739</v>
      </c>
      <c r="B506" s="84" t="n">
        <v>4817.5</v>
      </c>
      <c r="C506" s="39">
        <f>(Table267[[#This Row],[M2 Money Stock, Billions of Dollars, Weekly, Seasonally Adjusted]]-B505)/B505</f>
        <v/>
      </c>
      <c r="D506" s="40">
        <f>((1+Table267[[#This Row],[Monthly change]])^12)-1</f>
        <v/>
      </c>
      <c r="E506" s="39">
        <f>(Table267[[#This Row],[M2 Money Stock, Billions of Dollars, Weekly, Seasonally Adjusted]]-B494)/B494</f>
        <v/>
      </c>
    </row>
    <row r="507">
      <c r="A507" s="37" t="n">
        <v>36770</v>
      </c>
      <c r="B507" s="84" t="n">
        <v>4853.2</v>
      </c>
      <c r="C507" s="39">
        <f>(Table267[[#This Row],[M2 Money Stock, Billions of Dollars, Weekly, Seasonally Adjusted]]-B506)/B506</f>
        <v/>
      </c>
      <c r="D507" s="40">
        <f>((1+Table267[[#This Row],[Monthly change]])^12)-1</f>
        <v/>
      </c>
      <c r="E507" s="39">
        <f>(Table267[[#This Row],[M2 Money Stock, Billions of Dollars, Weekly, Seasonally Adjusted]]-B495)/B495</f>
        <v/>
      </c>
    </row>
    <row r="508">
      <c r="A508" s="37" t="n">
        <v>36800</v>
      </c>
      <c r="B508" s="84" t="n">
        <v>4869.2</v>
      </c>
      <c r="C508" s="39">
        <f>(Table267[[#This Row],[M2 Money Stock, Billions of Dollars, Weekly, Seasonally Adjusted]]-B507)/B507</f>
        <v/>
      </c>
      <c r="D508" s="40">
        <f>((1+Table267[[#This Row],[Monthly change]])^12)-1</f>
        <v/>
      </c>
      <c r="E508" s="39">
        <f>(Table267[[#This Row],[M2 Money Stock, Billions of Dollars, Weekly, Seasonally Adjusted]]-B496)/B496</f>
        <v/>
      </c>
    </row>
    <row r="509">
      <c r="A509" s="37" t="n">
        <v>36831</v>
      </c>
      <c r="B509" s="84" t="n">
        <v>4880.1</v>
      </c>
      <c r="C509" s="39">
        <f>(Table267[[#This Row],[M2 Money Stock, Billions of Dollars, Weekly, Seasonally Adjusted]]-B508)/B508</f>
        <v/>
      </c>
      <c r="D509" s="40">
        <f>((1+Table267[[#This Row],[Monthly change]])^12)-1</f>
        <v/>
      </c>
      <c r="E509" s="39">
        <f>(Table267[[#This Row],[M2 Money Stock, Billions of Dollars, Weekly, Seasonally Adjusted]]-B497)/B497</f>
        <v/>
      </c>
    </row>
    <row r="510">
      <c r="A510" s="37" t="n">
        <v>36861</v>
      </c>
      <c r="B510" s="84" t="n">
        <v>4924.7</v>
      </c>
      <c r="C510" s="39">
        <f>(Table267[[#This Row],[M2 Money Stock, Billions of Dollars, Weekly, Seasonally Adjusted]]-B509)/B509</f>
        <v/>
      </c>
      <c r="D510" s="40">
        <f>((1+Table267[[#This Row],[Monthly change]])^12)-1</f>
        <v/>
      </c>
      <c r="E510" s="39">
        <f>(Table267[[#This Row],[M2 Money Stock, Billions of Dollars, Weekly, Seasonally Adjusted]]-B498)/B498</f>
        <v/>
      </c>
    </row>
    <row r="511">
      <c r="A511" s="37" t="n">
        <v>36892</v>
      </c>
      <c r="B511" s="84" t="n">
        <v>4975.3</v>
      </c>
      <c r="C511" s="39">
        <f>(Table267[[#This Row],[M2 Money Stock, Billions of Dollars, Weekly, Seasonally Adjusted]]-B510)/B510</f>
        <v/>
      </c>
      <c r="D511" s="40">
        <f>((1+Table267[[#This Row],[Monthly change]])^12)-1</f>
        <v/>
      </c>
      <c r="E511" s="39">
        <f>(Table267[[#This Row],[M2 Money Stock, Billions of Dollars, Weekly, Seasonally Adjusted]]-B499)/B499</f>
        <v/>
      </c>
    </row>
    <row r="512">
      <c r="A512" s="37" t="n">
        <v>36923</v>
      </c>
      <c r="B512" s="84" t="n">
        <v>5013.5</v>
      </c>
      <c r="C512" s="39">
        <f>(Table267[[#This Row],[M2 Money Stock, Billions of Dollars, Weekly, Seasonally Adjusted]]-B511)/B511</f>
        <v/>
      </c>
      <c r="D512" s="40">
        <f>((1+Table267[[#This Row],[Monthly change]])^12)-1</f>
        <v/>
      </c>
      <c r="E512" s="39">
        <f>(Table267[[#This Row],[M2 Money Stock, Billions of Dollars, Weekly, Seasonally Adjusted]]-B500)/B500</f>
        <v/>
      </c>
    </row>
    <row r="513">
      <c r="A513" s="37" t="n">
        <v>36951</v>
      </c>
      <c r="B513" s="84" t="n">
        <v>5071.2</v>
      </c>
      <c r="C513" s="39">
        <f>(Table267[[#This Row],[M2 Money Stock, Billions of Dollars, Weekly, Seasonally Adjusted]]-B512)/B512</f>
        <v/>
      </c>
      <c r="D513" s="40">
        <f>((1+Table267[[#This Row],[Monthly change]])^12)-1</f>
        <v/>
      </c>
      <c r="E513" s="39">
        <f>(Table267[[#This Row],[M2 Money Stock, Billions of Dollars, Weekly, Seasonally Adjusted]]-B501)/B501</f>
        <v/>
      </c>
    </row>
    <row r="514">
      <c r="A514" s="37" t="n">
        <v>36982</v>
      </c>
      <c r="B514" s="84" t="n">
        <v>5135.2</v>
      </c>
      <c r="C514" s="39">
        <f>(Table267[[#This Row],[M2 Money Stock, Billions of Dollars, Weekly, Seasonally Adjusted]]-B513)/B513</f>
        <v/>
      </c>
      <c r="D514" s="40">
        <f>((1+Table267[[#This Row],[Monthly change]])^12)-1</f>
        <v/>
      </c>
      <c r="E514" s="39">
        <f>(Table267[[#This Row],[M2 Money Stock, Billions of Dollars, Weekly, Seasonally Adjusted]]-B502)/B502</f>
        <v/>
      </c>
    </row>
    <row r="515">
      <c r="A515" s="37" t="n">
        <v>37012</v>
      </c>
      <c r="B515" s="84" t="n">
        <v>5132.2</v>
      </c>
      <c r="C515" s="39">
        <f>(Table267[[#This Row],[M2 Money Stock, Billions of Dollars, Weekly, Seasonally Adjusted]]-B514)/B514</f>
        <v/>
      </c>
      <c r="D515" s="40">
        <f>((1+Table267[[#This Row],[Monthly change]])^12)-1</f>
        <v/>
      </c>
      <c r="E515" s="39">
        <f>(Table267[[#This Row],[M2 Money Stock, Billions of Dollars, Weekly, Seasonally Adjusted]]-B503)/B503</f>
        <v/>
      </c>
    </row>
    <row r="516">
      <c r="A516" s="37" t="n">
        <v>37043</v>
      </c>
      <c r="B516" s="84" t="n">
        <v>5172.5</v>
      </c>
      <c r="C516" s="39">
        <f>(Table267[[#This Row],[M2 Money Stock, Billions of Dollars, Weekly, Seasonally Adjusted]]-B515)/B515</f>
        <v/>
      </c>
      <c r="D516" s="40">
        <f>((1+Table267[[#This Row],[Monthly change]])^12)-1</f>
        <v/>
      </c>
      <c r="E516" s="39">
        <f>(Table267[[#This Row],[M2 Money Stock, Billions of Dollars, Weekly, Seasonally Adjusted]]-B504)/B504</f>
        <v/>
      </c>
    </row>
    <row r="517">
      <c r="A517" s="37" t="n">
        <v>37073</v>
      </c>
      <c r="B517" s="84" t="n">
        <v>5202.4</v>
      </c>
      <c r="C517" s="39">
        <f>(Table267[[#This Row],[M2 Money Stock, Billions of Dollars, Weekly, Seasonally Adjusted]]-B516)/B516</f>
        <v/>
      </c>
      <c r="D517" s="40">
        <f>((1+Table267[[#This Row],[Monthly change]])^12)-1</f>
        <v/>
      </c>
      <c r="E517" s="39">
        <f>(Table267[[#This Row],[M2 Money Stock, Billions of Dollars, Weekly, Seasonally Adjusted]]-B505)/B505</f>
        <v/>
      </c>
    </row>
    <row r="518">
      <c r="A518" s="37" t="n">
        <v>37104</v>
      </c>
      <c r="B518" s="84" t="n">
        <v>5236.3</v>
      </c>
      <c r="C518" s="39">
        <f>(Table267[[#This Row],[M2 Money Stock, Billions of Dollars, Weekly, Seasonally Adjusted]]-B517)/B517</f>
        <v/>
      </c>
      <c r="D518" s="40">
        <f>((1+Table267[[#This Row],[Monthly change]])^12)-1</f>
        <v/>
      </c>
      <c r="E518" s="39">
        <f>(Table267[[#This Row],[M2 Money Stock, Billions of Dollars, Weekly, Seasonally Adjusted]]-B506)/B506</f>
        <v/>
      </c>
    </row>
    <row r="519">
      <c r="A519" s="37" t="n">
        <v>37135</v>
      </c>
      <c r="B519" s="84" t="n">
        <v>5347.4</v>
      </c>
      <c r="C519" s="39">
        <f>(Table267[[#This Row],[M2 Money Stock, Billions of Dollars, Weekly, Seasonally Adjusted]]-B518)/B518</f>
        <v/>
      </c>
      <c r="D519" s="40">
        <f>((1+Table267[[#This Row],[Monthly change]])^12)-1</f>
        <v/>
      </c>
      <c r="E519" s="39">
        <f>(Table267[[#This Row],[M2 Money Stock, Billions of Dollars, Weekly, Seasonally Adjusted]]-B507)/B507</f>
        <v/>
      </c>
    </row>
    <row r="520">
      <c r="A520" s="37" t="n">
        <v>37165</v>
      </c>
      <c r="B520" s="84" t="n">
        <v>5336</v>
      </c>
      <c r="C520" s="39">
        <f>(Table267[[#This Row],[M2 Money Stock, Billions of Dollars, Weekly, Seasonally Adjusted]]-B519)/B519</f>
        <v/>
      </c>
      <c r="D520" s="40">
        <f>((1+Table267[[#This Row],[Monthly change]])^12)-1</f>
        <v/>
      </c>
      <c r="E520" s="39">
        <f>(Table267[[#This Row],[M2 Money Stock, Billions of Dollars, Weekly, Seasonally Adjusted]]-B508)/B508</f>
        <v/>
      </c>
    </row>
    <row r="521">
      <c r="A521" s="37" t="n">
        <v>37196</v>
      </c>
      <c r="B521" s="84" t="n">
        <v>5379.6</v>
      </c>
      <c r="C521" s="39">
        <f>(Table267[[#This Row],[M2 Money Stock, Billions of Dollars, Weekly, Seasonally Adjusted]]-B520)/B520</f>
        <v/>
      </c>
      <c r="D521" s="40">
        <f>((1+Table267[[#This Row],[Monthly change]])^12)-1</f>
        <v/>
      </c>
      <c r="E521" s="39">
        <f>(Table267[[#This Row],[M2 Money Stock, Billions of Dollars, Weekly, Seasonally Adjusted]]-B509)/B509</f>
        <v/>
      </c>
    </row>
    <row r="522">
      <c r="A522" s="37" t="n">
        <v>37226</v>
      </c>
      <c r="B522" s="84" t="n">
        <v>5432.7</v>
      </c>
      <c r="C522" s="39">
        <f>(Table267[[#This Row],[M2 Money Stock, Billions of Dollars, Weekly, Seasonally Adjusted]]-B521)/B521</f>
        <v/>
      </c>
      <c r="D522" s="40">
        <f>((1+Table267[[#This Row],[Monthly change]])^12)-1</f>
        <v/>
      </c>
      <c r="E522" s="39">
        <f>(Table267[[#This Row],[M2 Money Stock, Billions of Dollars, Weekly, Seasonally Adjusted]]-B510)/B510</f>
        <v/>
      </c>
    </row>
    <row r="523">
      <c r="A523" s="37" t="n">
        <v>37257</v>
      </c>
      <c r="B523" s="84" t="n">
        <v>5453</v>
      </c>
      <c r="C523" s="39">
        <f>(Table267[[#This Row],[M2 Money Stock, Billions of Dollars, Weekly, Seasonally Adjusted]]-B522)/B522</f>
        <v/>
      </c>
      <c r="D523" s="40">
        <f>((1+Table267[[#This Row],[Monthly change]])^12)-1</f>
        <v/>
      </c>
      <c r="E523" s="39">
        <f>(Table267[[#This Row],[M2 Money Stock, Billions of Dollars, Weekly, Seasonally Adjusted]]-B511)/B511</f>
        <v/>
      </c>
    </row>
    <row r="524">
      <c r="A524" s="37" t="n">
        <v>37288</v>
      </c>
      <c r="B524" s="84" t="n">
        <v>5482.4</v>
      </c>
      <c r="C524" s="39">
        <f>(Table267[[#This Row],[M2 Money Stock, Billions of Dollars, Weekly, Seasonally Adjusted]]-B523)/B523</f>
        <v/>
      </c>
      <c r="D524" s="40">
        <f>((1+Table267[[#This Row],[Monthly change]])^12)-1</f>
        <v/>
      </c>
      <c r="E524" s="39">
        <f>(Table267[[#This Row],[M2 Money Stock, Billions of Dollars, Weekly, Seasonally Adjusted]]-B512)/B512</f>
        <v/>
      </c>
    </row>
    <row r="525">
      <c r="A525" s="37" t="n">
        <v>37316</v>
      </c>
      <c r="B525" s="84" t="n">
        <v>5494.2</v>
      </c>
      <c r="C525" s="39">
        <f>(Table267[[#This Row],[M2 Money Stock, Billions of Dollars, Weekly, Seasonally Adjusted]]-B524)/B524</f>
        <v/>
      </c>
      <c r="D525" s="40">
        <f>((1+Table267[[#This Row],[Monthly change]])^12)-1</f>
        <v/>
      </c>
      <c r="E525" s="39">
        <f>(Table267[[#This Row],[M2 Money Stock, Billions of Dollars, Weekly, Seasonally Adjusted]]-B513)/B513</f>
        <v/>
      </c>
    </row>
    <row r="526">
      <c r="A526" s="37" t="n">
        <v>37347</v>
      </c>
      <c r="B526" s="84" t="n">
        <v>5494.4</v>
      </c>
      <c r="C526" s="39">
        <f>(Table267[[#This Row],[M2 Money Stock, Billions of Dollars, Weekly, Seasonally Adjusted]]-B525)/B525</f>
        <v/>
      </c>
      <c r="D526" s="40">
        <f>((1+Table267[[#This Row],[Monthly change]])^12)-1</f>
        <v/>
      </c>
      <c r="E526" s="39">
        <f>(Table267[[#This Row],[M2 Money Stock, Billions of Dollars, Weekly, Seasonally Adjusted]]-B514)/B514</f>
        <v/>
      </c>
    </row>
    <row r="527">
      <c r="A527" s="37" t="n">
        <v>37377</v>
      </c>
      <c r="B527" s="84" t="n">
        <v>5520.6</v>
      </c>
      <c r="C527" s="39">
        <f>(Table267[[#This Row],[M2 Money Stock, Billions of Dollars, Weekly, Seasonally Adjusted]]-B526)/B526</f>
        <v/>
      </c>
      <c r="D527" s="40">
        <f>((1+Table267[[#This Row],[Monthly change]])^12)-1</f>
        <v/>
      </c>
      <c r="E527" s="39">
        <f>(Table267[[#This Row],[M2 Money Stock, Billions of Dollars, Weekly, Seasonally Adjusted]]-B515)/B515</f>
        <v/>
      </c>
    </row>
    <row r="528">
      <c r="A528" s="37" t="n">
        <v>37408</v>
      </c>
      <c r="B528" s="84" t="n">
        <v>5545.6</v>
      </c>
      <c r="C528" s="39">
        <f>(Table267[[#This Row],[M2 Money Stock, Billions of Dollars, Weekly, Seasonally Adjusted]]-B527)/B527</f>
        <v/>
      </c>
      <c r="D528" s="40">
        <f>((1+Table267[[#This Row],[Monthly change]])^12)-1</f>
        <v/>
      </c>
      <c r="E528" s="39">
        <f>(Table267[[#This Row],[M2 Money Stock, Billions of Dollars, Weekly, Seasonally Adjusted]]-B516)/B516</f>
        <v/>
      </c>
    </row>
    <row r="529">
      <c r="A529" s="37" t="n">
        <v>37438</v>
      </c>
      <c r="B529" s="84" t="n">
        <v>5588.2</v>
      </c>
      <c r="C529" s="39">
        <f>(Table267[[#This Row],[M2 Money Stock, Billions of Dollars, Weekly, Seasonally Adjusted]]-B528)/B528</f>
        <v/>
      </c>
      <c r="D529" s="40">
        <f>((1+Table267[[#This Row],[Monthly change]])^12)-1</f>
        <v/>
      </c>
      <c r="E529" s="39">
        <f>(Table267[[#This Row],[M2 Money Stock, Billions of Dollars, Weekly, Seasonally Adjusted]]-B517)/B517</f>
        <v/>
      </c>
    </row>
    <row r="530">
      <c r="A530" s="37" t="n">
        <v>37469</v>
      </c>
      <c r="B530" s="84" t="n">
        <v>5630.6</v>
      </c>
      <c r="C530" s="39">
        <f>(Table267[[#This Row],[M2 Money Stock, Billions of Dollars, Weekly, Seasonally Adjusted]]-B529)/B529</f>
        <v/>
      </c>
      <c r="D530" s="40">
        <f>((1+Table267[[#This Row],[Monthly change]])^12)-1</f>
        <v/>
      </c>
      <c r="E530" s="39">
        <f>(Table267[[#This Row],[M2 Money Stock, Billions of Dollars, Weekly, Seasonally Adjusted]]-B518)/B518</f>
        <v/>
      </c>
    </row>
    <row r="531">
      <c r="A531" s="37" t="n">
        <v>37500</v>
      </c>
      <c r="B531" s="84" t="n">
        <v>5655</v>
      </c>
      <c r="C531" s="39">
        <f>(Table267[[#This Row],[M2 Money Stock, Billions of Dollars, Weekly, Seasonally Adjusted]]-B530)/B530</f>
        <v/>
      </c>
      <c r="D531" s="40">
        <f>((1+Table267[[#This Row],[Monthly change]])^12)-1</f>
        <v/>
      </c>
      <c r="E531" s="39">
        <f>(Table267[[#This Row],[M2 Money Stock, Billions of Dollars, Weekly, Seasonally Adjusted]]-B519)/B519</f>
        <v/>
      </c>
    </row>
    <row r="532">
      <c r="A532" s="37" t="n">
        <v>37530</v>
      </c>
      <c r="B532" s="84" t="n">
        <v>5699.6</v>
      </c>
      <c r="C532" s="39">
        <f>(Table267[[#This Row],[M2 Money Stock, Billions of Dollars, Weekly, Seasonally Adjusted]]-B531)/B531</f>
        <v/>
      </c>
      <c r="D532" s="40">
        <f>((1+Table267[[#This Row],[Monthly change]])^12)-1</f>
        <v/>
      </c>
      <c r="E532" s="39">
        <f>(Table267[[#This Row],[M2 Money Stock, Billions of Dollars, Weekly, Seasonally Adjusted]]-B520)/B520</f>
        <v/>
      </c>
    </row>
    <row r="533">
      <c r="A533" s="37" t="n">
        <v>37561</v>
      </c>
      <c r="B533" s="84" t="n">
        <v>5749.7</v>
      </c>
      <c r="C533" s="39">
        <f>(Table267[[#This Row],[M2 Money Stock, Billions of Dollars, Weekly, Seasonally Adjusted]]-B532)/B532</f>
        <v/>
      </c>
      <c r="D533" s="40">
        <f>((1+Table267[[#This Row],[Monthly change]])^12)-1</f>
        <v/>
      </c>
      <c r="E533" s="39">
        <f>(Table267[[#This Row],[M2 Money Stock, Billions of Dollars, Weekly, Seasonally Adjusted]]-B521)/B521</f>
        <v/>
      </c>
    </row>
    <row r="534">
      <c r="A534" s="37" t="n">
        <v>37591</v>
      </c>
      <c r="B534" s="84" t="n">
        <v>5770.9</v>
      </c>
      <c r="C534" s="39">
        <f>(Table267[[#This Row],[M2 Money Stock, Billions of Dollars, Weekly, Seasonally Adjusted]]-B533)/B533</f>
        <v/>
      </c>
      <c r="D534" s="40">
        <f>((1+Table267[[#This Row],[Monthly change]])^12)-1</f>
        <v/>
      </c>
      <c r="E534" s="39">
        <f>(Table267[[#This Row],[M2 Money Stock, Billions of Dollars, Weekly, Seasonally Adjusted]]-B522)/B522</f>
        <v/>
      </c>
    </row>
    <row r="535">
      <c r="A535" s="37" t="n">
        <v>37622</v>
      </c>
      <c r="B535" s="84" t="n">
        <v>5803.5</v>
      </c>
      <c r="C535" s="39">
        <f>(Table267[[#This Row],[M2 Money Stock, Billions of Dollars, Weekly, Seasonally Adjusted]]-B534)/B534</f>
        <v/>
      </c>
      <c r="D535" s="40">
        <f>((1+Table267[[#This Row],[Monthly change]])^12)-1</f>
        <v/>
      </c>
      <c r="E535" s="39">
        <f>(Table267[[#This Row],[M2 Money Stock, Billions of Dollars, Weekly, Seasonally Adjusted]]-B523)/B523</f>
        <v/>
      </c>
    </row>
    <row r="536">
      <c r="A536" s="37" t="n">
        <v>37653</v>
      </c>
      <c r="B536" s="84" t="n">
        <v>5839.5</v>
      </c>
      <c r="C536" s="39">
        <f>(Table267[[#This Row],[M2 Money Stock, Billions of Dollars, Weekly, Seasonally Adjusted]]-B535)/B535</f>
        <v/>
      </c>
      <c r="D536" s="40">
        <f>((1+Table267[[#This Row],[Monthly change]])^12)-1</f>
        <v/>
      </c>
      <c r="E536" s="39">
        <f>(Table267[[#This Row],[M2 Money Stock, Billions of Dollars, Weekly, Seasonally Adjusted]]-B524)/B524</f>
        <v/>
      </c>
    </row>
    <row r="537">
      <c r="A537" s="37" t="n">
        <v>37681</v>
      </c>
      <c r="B537" s="84" t="n">
        <v>5860.3</v>
      </c>
      <c r="C537" s="39">
        <f>(Table267[[#This Row],[M2 Money Stock, Billions of Dollars, Weekly, Seasonally Adjusted]]-B536)/B536</f>
        <v/>
      </c>
      <c r="D537" s="40">
        <f>((1+Table267[[#This Row],[Monthly change]])^12)-1</f>
        <v/>
      </c>
      <c r="E537" s="39">
        <f>(Table267[[#This Row],[M2 Money Stock, Billions of Dollars, Weekly, Seasonally Adjusted]]-B525)/B525</f>
        <v/>
      </c>
    </row>
    <row r="538">
      <c r="A538" s="37" t="n">
        <v>37712</v>
      </c>
      <c r="B538" s="84" t="n">
        <v>5897.7</v>
      </c>
      <c r="C538" s="39">
        <f>(Table267[[#This Row],[M2 Money Stock, Billions of Dollars, Weekly, Seasonally Adjusted]]-B537)/B537</f>
        <v/>
      </c>
      <c r="D538" s="40">
        <f>((1+Table267[[#This Row],[Monthly change]])^12)-1</f>
        <v/>
      </c>
      <c r="E538" s="39">
        <f>(Table267[[#This Row],[M2 Money Stock, Billions of Dollars, Weekly, Seasonally Adjusted]]-B526)/B526</f>
        <v/>
      </c>
    </row>
    <row r="539">
      <c r="A539" s="37" t="n">
        <v>37742</v>
      </c>
      <c r="B539" s="84" t="n">
        <v>5958</v>
      </c>
      <c r="C539" s="39">
        <f>(Table267[[#This Row],[M2 Money Stock, Billions of Dollars, Weekly, Seasonally Adjusted]]-B538)/B538</f>
        <v/>
      </c>
      <c r="D539" s="40">
        <f>((1+Table267[[#This Row],[Monthly change]])^12)-1</f>
        <v/>
      </c>
      <c r="E539" s="39">
        <f>(Table267[[#This Row],[M2 Money Stock, Billions of Dollars, Weekly, Seasonally Adjusted]]-B527)/B527</f>
        <v/>
      </c>
    </row>
    <row r="540">
      <c r="A540" s="37" t="n">
        <v>37773</v>
      </c>
      <c r="B540" s="84" t="n">
        <v>5994.7</v>
      </c>
      <c r="C540" s="39">
        <f>(Table267[[#This Row],[M2 Money Stock, Billions of Dollars, Weekly, Seasonally Adjusted]]-B539)/B539</f>
        <v/>
      </c>
      <c r="D540" s="40">
        <f>((1+Table267[[#This Row],[Monthly change]])^12)-1</f>
        <v/>
      </c>
      <c r="E540" s="39">
        <f>(Table267[[#This Row],[M2 Money Stock, Billions of Dollars, Weekly, Seasonally Adjusted]]-B528)/B528</f>
        <v/>
      </c>
    </row>
    <row r="541">
      <c r="A541" s="37" t="n">
        <v>37803</v>
      </c>
      <c r="B541" s="84" t="n">
        <v>6041.4</v>
      </c>
      <c r="C541" s="39">
        <f>(Table267[[#This Row],[M2 Money Stock, Billions of Dollars, Weekly, Seasonally Adjusted]]-B540)/B540</f>
        <v/>
      </c>
      <c r="D541" s="40">
        <f>((1+Table267[[#This Row],[Monthly change]])^12)-1</f>
        <v/>
      </c>
      <c r="E541" s="39">
        <f>(Table267[[#This Row],[M2 Money Stock, Billions of Dollars, Weekly, Seasonally Adjusted]]-B529)/B529</f>
        <v/>
      </c>
    </row>
    <row r="542">
      <c r="A542" s="37" t="n">
        <v>37834</v>
      </c>
      <c r="B542" s="84" t="n">
        <v>6099.5</v>
      </c>
      <c r="C542" s="39">
        <f>(Table267[[#This Row],[M2 Money Stock, Billions of Dollars, Weekly, Seasonally Adjusted]]-B541)/B541</f>
        <v/>
      </c>
      <c r="D542" s="40">
        <f>((1+Table267[[#This Row],[Monthly change]])^12)-1</f>
        <v/>
      </c>
      <c r="E542" s="39">
        <f>(Table267[[#This Row],[M2 Money Stock, Billions of Dollars, Weekly, Seasonally Adjusted]]-B530)/B530</f>
        <v/>
      </c>
    </row>
    <row r="543">
      <c r="A543" s="37" t="n">
        <v>37865</v>
      </c>
      <c r="B543" s="84" t="n">
        <v>6071.6</v>
      </c>
      <c r="C543" s="39">
        <f>(Table267[[#This Row],[M2 Money Stock, Billions of Dollars, Weekly, Seasonally Adjusted]]-B542)/B542</f>
        <v/>
      </c>
      <c r="D543" s="40">
        <f>((1+Table267[[#This Row],[Monthly change]])^12)-1</f>
        <v/>
      </c>
      <c r="E543" s="39">
        <f>(Table267[[#This Row],[M2 Money Stock, Billions of Dollars, Weekly, Seasonally Adjusted]]-B531)/B531</f>
        <v/>
      </c>
    </row>
    <row r="544">
      <c r="A544" s="37" t="n">
        <v>37895</v>
      </c>
      <c r="B544" s="84" t="n">
        <v>6062.5</v>
      </c>
      <c r="C544" s="39">
        <f>(Table267[[#This Row],[M2 Money Stock, Billions of Dollars, Weekly, Seasonally Adjusted]]-B543)/B543</f>
        <v/>
      </c>
      <c r="D544" s="40">
        <f>((1+Table267[[#This Row],[Monthly change]])^12)-1</f>
        <v/>
      </c>
      <c r="E544" s="39">
        <f>(Table267[[#This Row],[M2 Money Stock, Billions of Dollars, Weekly, Seasonally Adjusted]]-B532)/B532</f>
        <v/>
      </c>
    </row>
    <row r="545">
      <c r="A545" s="37" t="n">
        <v>37926</v>
      </c>
      <c r="B545" s="84" t="n">
        <v>6067.7</v>
      </c>
      <c r="C545" s="39">
        <f>(Table267[[#This Row],[M2 Money Stock, Billions of Dollars, Weekly, Seasonally Adjusted]]-B544)/B544</f>
        <v/>
      </c>
      <c r="D545" s="40">
        <f>((1+Table267[[#This Row],[Monthly change]])^12)-1</f>
        <v/>
      </c>
      <c r="E545" s="39">
        <f>(Table267[[#This Row],[M2 Money Stock, Billions of Dollars, Weekly, Seasonally Adjusted]]-B533)/B533</f>
        <v/>
      </c>
    </row>
    <row r="546">
      <c r="A546" s="37" t="n">
        <v>37956</v>
      </c>
      <c r="B546" s="84" t="n">
        <v>6065.9</v>
      </c>
      <c r="C546" s="39">
        <f>(Table267[[#This Row],[M2 Money Stock, Billions of Dollars, Weekly, Seasonally Adjusted]]-B545)/B545</f>
        <v/>
      </c>
      <c r="D546" s="40">
        <f>((1+Table267[[#This Row],[Monthly change]])^12)-1</f>
        <v/>
      </c>
      <c r="E546" s="39">
        <f>(Table267[[#This Row],[M2 Money Stock, Billions of Dollars, Weekly, Seasonally Adjusted]]-B534)/B534</f>
        <v/>
      </c>
    </row>
    <row r="547">
      <c r="A547" s="37" t="n">
        <v>37987</v>
      </c>
      <c r="B547" s="84" t="n">
        <v>6074.4</v>
      </c>
      <c r="C547" s="39">
        <f>(Table267[[#This Row],[M2 Money Stock, Billions of Dollars, Weekly, Seasonally Adjusted]]-B546)/B546</f>
        <v/>
      </c>
      <c r="D547" s="40">
        <f>((1+Table267[[#This Row],[Monthly change]])^12)-1</f>
        <v/>
      </c>
      <c r="E547" s="39">
        <f>(Table267[[#This Row],[M2 Money Stock, Billions of Dollars, Weekly, Seasonally Adjusted]]-B535)/B535</f>
        <v/>
      </c>
    </row>
    <row r="548">
      <c r="A548" s="37" t="n">
        <v>38018</v>
      </c>
      <c r="B548" s="84" t="n">
        <v>6113.2</v>
      </c>
      <c r="C548" s="39">
        <f>(Table267[[#This Row],[M2 Money Stock, Billions of Dollars, Weekly, Seasonally Adjusted]]-B547)/B547</f>
        <v/>
      </c>
      <c r="D548" s="40">
        <f>((1+Table267[[#This Row],[Monthly change]])^12)-1</f>
        <v/>
      </c>
      <c r="E548" s="39">
        <f>(Table267[[#This Row],[M2 Money Stock, Billions of Dollars, Weekly, Seasonally Adjusted]]-B536)/B536</f>
        <v/>
      </c>
    </row>
    <row r="549">
      <c r="A549" s="37" t="n">
        <v>38047</v>
      </c>
      <c r="B549" s="84" t="n">
        <v>6149</v>
      </c>
      <c r="C549" s="39">
        <f>(Table267[[#This Row],[M2 Money Stock, Billions of Dollars, Weekly, Seasonally Adjusted]]-B548)/B548</f>
        <v/>
      </c>
      <c r="D549" s="40">
        <f>((1+Table267[[#This Row],[Monthly change]])^12)-1</f>
        <v/>
      </c>
      <c r="E549" s="39">
        <f>(Table267[[#This Row],[M2 Money Stock, Billions of Dollars, Weekly, Seasonally Adjusted]]-B537)/B537</f>
        <v/>
      </c>
    </row>
    <row r="550">
      <c r="A550" s="37" t="n">
        <v>38078</v>
      </c>
      <c r="B550" s="84" t="n">
        <v>6190.2</v>
      </c>
      <c r="C550" s="39">
        <f>(Table267[[#This Row],[M2 Money Stock, Billions of Dollars, Weekly, Seasonally Adjusted]]-B549)/B549</f>
        <v/>
      </c>
      <c r="D550" s="40">
        <f>((1+Table267[[#This Row],[Monthly change]])^12)-1</f>
        <v/>
      </c>
      <c r="E550" s="39">
        <f>(Table267[[#This Row],[M2 Money Stock, Billions of Dollars, Weekly, Seasonally Adjusted]]-B538)/B538</f>
        <v/>
      </c>
    </row>
    <row r="551">
      <c r="A551" s="37" t="n">
        <v>38108</v>
      </c>
      <c r="B551" s="84" t="n">
        <v>6267</v>
      </c>
      <c r="C551" s="39">
        <f>(Table267[[#This Row],[M2 Money Stock, Billions of Dollars, Weekly, Seasonally Adjusted]]-B550)/B550</f>
        <v/>
      </c>
      <c r="D551" s="40">
        <f>((1+Table267[[#This Row],[Monthly change]])^12)-1</f>
        <v/>
      </c>
      <c r="E551" s="39">
        <f>(Table267[[#This Row],[M2 Money Stock, Billions of Dollars, Weekly, Seasonally Adjusted]]-B539)/B539</f>
        <v/>
      </c>
    </row>
    <row r="552">
      <c r="A552" s="37" t="n">
        <v>38139</v>
      </c>
      <c r="B552" s="84" t="n">
        <v>6269.4</v>
      </c>
      <c r="C552" s="39">
        <f>(Table267[[#This Row],[M2 Money Stock, Billions of Dollars, Weekly, Seasonally Adjusted]]-B551)/B551</f>
        <v/>
      </c>
      <c r="D552" s="40">
        <f>((1+Table267[[#This Row],[Monthly change]])^12)-1</f>
        <v/>
      </c>
      <c r="E552" s="39">
        <f>(Table267[[#This Row],[M2 Money Stock, Billions of Dollars, Weekly, Seasonally Adjusted]]-B540)/B540</f>
        <v/>
      </c>
    </row>
    <row r="553">
      <c r="A553" s="37" t="n">
        <v>38169</v>
      </c>
      <c r="B553" s="84" t="n">
        <v>6283.1</v>
      </c>
      <c r="C553" s="39">
        <f>(Table267[[#This Row],[M2 Money Stock, Billions of Dollars, Weekly, Seasonally Adjusted]]-B552)/B552</f>
        <v/>
      </c>
      <c r="D553" s="40">
        <f>((1+Table267[[#This Row],[Monthly change]])^12)-1</f>
        <v/>
      </c>
      <c r="E553" s="39">
        <f>(Table267[[#This Row],[M2 Money Stock, Billions of Dollars, Weekly, Seasonally Adjusted]]-B541)/B541</f>
        <v/>
      </c>
    </row>
    <row r="554">
      <c r="A554" s="37" t="n">
        <v>38200</v>
      </c>
      <c r="B554" s="84" t="n">
        <v>6309.2</v>
      </c>
      <c r="C554" s="39">
        <f>(Table267[[#This Row],[M2 Money Stock, Billions of Dollars, Weekly, Seasonally Adjusted]]-B553)/B553</f>
        <v/>
      </c>
      <c r="D554" s="40">
        <f>((1+Table267[[#This Row],[Monthly change]])^12)-1</f>
        <v/>
      </c>
      <c r="E554" s="39">
        <f>(Table267[[#This Row],[M2 Money Stock, Billions of Dollars, Weekly, Seasonally Adjusted]]-B542)/B542</f>
        <v/>
      </c>
    </row>
    <row r="555">
      <c r="A555" s="37" t="n">
        <v>38231</v>
      </c>
      <c r="B555" s="84" t="n">
        <v>6343.9</v>
      </c>
      <c r="C555" s="39">
        <f>(Table267[[#This Row],[M2 Money Stock, Billions of Dollars, Weekly, Seasonally Adjusted]]-B554)/B554</f>
        <v/>
      </c>
      <c r="D555" s="40">
        <f>((1+Table267[[#This Row],[Monthly change]])^12)-1</f>
        <v/>
      </c>
      <c r="E555" s="39">
        <f>(Table267[[#This Row],[M2 Money Stock, Billions of Dollars, Weekly, Seasonally Adjusted]]-B543)/B543</f>
        <v/>
      </c>
    </row>
    <row r="556">
      <c r="A556" s="37" t="n">
        <v>38261</v>
      </c>
      <c r="B556" s="84" t="n">
        <v>6372.1</v>
      </c>
      <c r="C556" s="39">
        <f>(Table267[[#This Row],[M2 Money Stock, Billions of Dollars, Weekly, Seasonally Adjusted]]-B555)/B555</f>
        <v/>
      </c>
      <c r="D556" s="40">
        <f>((1+Table267[[#This Row],[Monthly change]])^12)-1</f>
        <v/>
      </c>
      <c r="E556" s="39">
        <f>(Table267[[#This Row],[M2 Money Stock, Billions of Dollars, Weekly, Seasonally Adjusted]]-B544)/B544</f>
        <v/>
      </c>
    </row>
    <row r="557">
      <c r="A557" s="37" t="n">
        <v>38292</v>
      </c>
      <c r="B557" s="84" t="n">
        <v>6398.7</v>
      </c>
      <c r="C557" s="39">
        <f>(Table267[[#This Row],[M2 Money Stock, Billions of Dollars, Weekly, Seasonally Adjusted]]-B556)/B556</f>
        <v/>
      </c>
      <c r="D557" s="40">
        <f>((1+Table267[[#This Row],[Monthly change]])^12)-1</f>
        <v/>
      </c>
      <c r="E557" s="39">
        <f>(Table267[[#This Row],[M2 Money Stock, Billions of Dollars, Weekly, Seasonally Adjusted]]-B545)/B545</f>
        <v/>
      </c>
    </row>
    <row r="558">
      <c r="A558" s="37" t="n">
        <v>38322</v>
      </c>
      <c r="B558" s="84" t="n">
        <v>6417.2</v>
      </c>
      <c r="C558" s="39">
        <f>(Table267[[#This Row],[M2 Money Stock, Billions of Dollars, Weekly, Seasonally Adjusted]]-B557)/B557</f>
        <v/>
      </c>
      <c r="D558" s="40">
        <f>((1+Table267[[#This Row],[Monthly change]])^12)-1</f>
        <v/>
      </c>
      <c r="E558" s="39">
        <f>(Table267[[#This Row],[M2 Money Stock, Billions of Dollars, Weekly, Seasonally Adjusted]]-B546)/B546</f>
        <v/>
      </c>
    </row>
    <row r="559">
      <c r="A559" s="37" t="n">
        <v>38353</v>
      </c>
      <c r="B559" s="84" t="n">
        <v>6423.4</v>
      </c>
      <c r="C559" s="39">
        <f>(Table267[[#This Row],[M2 Money Stock, Billions of Dollars, Weekly, Seasonally Adjusted]]-B558)/B558</f>
        <v/>
      </c>
      <c r="D559" s="40">
        <f>((1+Table267[[#This Row],[Monthly change]])^12)-1</f>
        <v/>
      </c>
      <c r="E559" s="39">
        <f>(Table267[[#This Row],[M2 Money Stock, Billions of Dollars, Weekly, Seasonally Adjusted]]-B547)/B547</f>
        <v/>
      </c>
    </row>
    <row r="560">
      <c r="A560" s="37" t="n">
        <v>38384</v>
      </c>
      <c r="B560" s="84" t="n">
        <v>6431.8</v>
      </c>
      <c r="C560" s="39">
        <f>(Table267[[#This Row],[M2 Money Stock, Billions of Dollars, Weekly, Seasonally Adjusted]]-B559)/B559</f>
        <v/>
      </c>
      <c r="D560" s="40">
        <f>((1+Table267[[#This Row],[Monthly change]])^12)-1</f>
        <v/>
      </c>
      <c r="E560" s="39">
        <f>(Table267[[#This Row],[M2 Money Stock, Billions of Dollars, Weekly, Seasonally Adjusted]]-B548)/B548</f>
        <v/>
      </c>
    </row>
    <row r="561">
      <c r="A561" s="37" t="n">
        <v>38412</v>
      </c>
      <c r="B561" s="84" t="n">
        <v>6440.8</v>
      </c>
      <c r="C561" s="39">
        <f>(Table267[[#This Row],[M2 Money Stock, Billions of Dollars, Weekly, Seasonally Adjusted]]-B560)/B560</f>
        <v/>
      </c>
      <c r="D561" s="40">
        <f>((1+Table267[[#This Row],[Monthly change]])^12)-1</f>
        <v/>
      </c>
      <c r="E561" s="39">
        <f>(Table267[[#This Row],[M2 Money Stock, Billions of Dollars, Weekly, Seasonally Adjusted]]-B549)/B549</f>
        <v/>
      </c>
    </row>
    <row r="562">
      <c r="A562" s="37" t="n">
        <v>38443</v>
      </c>
      <c r="B562" s="84" t="n">
        <v>6454.7</v>
      </c>
      <c r="C562" s="39">
        <f>(Table267[[#This Row],[M2 Money Stock, Billions of Dollars, Weekly, Seasonally Adjusted]]-B561)/B561</f>
        <v/>
      </c>
      <c r="D562" s="40">
        <f>((1+Table267[[#This Row],[Monthly change]])^12)-1</f>
        <v/>
      </c>
      <c r="E562" s="39">
        <f>(Table267[[#This Row],[M2 Money Stock, Billions of Dollars, Weekly, Seasonally Adjusted]]-B550)/B550</f>
        <v/>
      </c>
    </row>
    <row r="563">
      <c r="A563" s="37" t="n">
        <v>38473</v>
      </c>
      <c r="B563" s="84" t="n">
        <v>6472</v>
      </c>
      <c r="C563" s="39">
        <f>(Table267[[#This Row],[M2 Money Stock, Billions of Dollars, Weekly, Seasonally Adjusted]]-B562)/B562</f>
        <v/>
      </c>
      <c r="D563" s="40">
        <f>((1+Table267[[#This Row],[Monthly change]])^12)-1</f>
        <v/>
      </c>
      <c r="E563" s="39">
        <f>(Table267[[#This Row],[M2 Money Stock, Billions of Dollars, Weekly, Seasonally Adjusted]]-B551)/B551</f>
        <v/>
      </c>
    </row>
    <row r="564">
      <c r="A564" s="37" t="n">
        <v>38504</v>
      </c>
      <c r="B564" s="84" t="n">
        <v>6504.4</v>
      </c>
      <c r="C564" s="39">
        <f>(Table267[[#This Row],[M2 Money Stock, Billions of Dollars, Weekly, Seasonally Adjusted]]-B563)/B563</f>
        <v/>
      </c>
      <c r="D564" s="40">
        <f>((1+Table267[[#This Row],[Monthly change]])^12)-1</f>
        <v/>
      </c>
      <c r="E564" s="39">
        <f>(Table267[[#This Row],[M2 Money Stock, Billions of Dollars, Weekly, Seasonally Adjusted]]-B552)/B552</f>
        <v/>
      </c>
    </row>
    <row r="565">
      <c r="A565" s="37" t="n">
        <v>38534</v>
      </c>
      <c r="B565" s="84" t="n">
        <v>6536</v>
      </c>
      <c r="C565" s="39">
        <f>(Table267[[#This Row],[M2 Money Stock, Billions of Dollars, Weekly, Seasonally Adjusted]]-B564)/B564</f>
        <v/>
      </c>
      <c r="D565" s="40">
        <f>((1+Table267[[#This Row],[Monthly change]])^12)-1</f>
        <v/>
      </c>
      <c r="E565" s="39">
        <f>(Table267[[#This Row],[M2 Money Stock, Billions of Dollars, Weekly, Seasonally Adjusted]]-B553)/B553</f>
        <v/>
      </c>
    </row>
    <row r="566">
      <c r="A566" s="37" t="n">
        <v>38565</v>
      </c>
      <c r="B566" s="84" t="n">
        <v>6568.7</v>
      </c>
      <c r="C566" s="39">
        <f>(Table267[[#This Row],[M2 Money Stock, Billions of Dollars, Weekly, Seasonally Adjusted]]-B565)/B565</f>
        <v/>
      </c>
      <c r="D566" s="40">
        <f>((1+Table267[[#This Row],[Monthly change]])^12)-1</f>
        <v/>
      </c>
      <c r="E566" s="39">
        <f>(Table267[[#This Row],[M2 Money Stock, Billions of Dollars, Weekly, Seasonally Adjusted]]-B554)/B554</f>
        <v/>
      </c>
    </row>
    <row r="567">
      <c r="A567" s="37" t="n">
        <v>38596</v>
      </c>
      <c r="B567" s="84" t="n">
        <v>6602.9</v>
      </c>
      <c r="C567" s="39">
        <f>(Table267[[#This Row],[M2 Money Stock, Billions of Dollars, Weekly, Seasonally Adjusted]]-B566)/B566</f>
        <v/>
      </c>
      <c r="D567" s="40">
        <f>((1+Table267[[#This Row],[Monthly change]])^12)-1</f>
        <v/>
      </c>
      <c r="E567" s="39">
        <f>(Table267[[#This Row],[M2 Money Stock, Billions of Dollars, Weekly, Seasonally Adjusted]]-B555)/B555</f>
        <v/>
      </c>
    </row>
    <row r="568">
      <c r="A568" s="37" t="n">
        <v>38626</v>
      </c>
      <c r="B568" s="84" t="n">
        <v>6637</v>
      </c>
      <c r="C568" s="39">
        <f>(Table267[[#This Row],[M2 Money Stock, Billions of Dollars, Weekly, Seasonally Adjusted]]-B567)/B567</f>
        <v/>
      </c>
      <c r="D568" s="40">
        <f>((1+Table267[[#This Row],[Monthly change]])^12)-1</f>
        <v/>
      </c>
      <c r="E568" s="39">
        <f>(Table267[[#This Row],[M2 Money Stock, Billions of Dollars, Weekly, Seasonally Adjusted]]-B556)/B556</f>
        <v/>
      </c>
    </row>
    <row r="569">
      <c r="A569" s="37" t="n">
        <v>38657</v>
      </c>
      <c r="B569" s="84" t="n">
        <v>6653.4</v>
      </c>
      <c r="C569" s="39">
        <f>(Table267[[#This Row],[M2 Money Stock, Billions of Dollars, Weekly, Seasonally Adjusted]]-B568)/B568</f>
        <v/>
      </c>
      <c r="D569" s="40">
        <f>((1+Table267[[#This Row],[Monthly change]])^12)-1</f>
        <v/>
      </c>
      <c r="E569" s="39">
        <f>(Table267[[#This Row],[M2 Money Stock, Billions of Dollars, Weekly, Seasonally Adjusted]]-B557)/B557</f>
        <v/>
      </c>
    </row>
    <row r="570">
      <c r="A570" s="37" t="n">
        <v>38687</v>
      </c>
      <c r="B570" s="84" t="n">
        <v>6680.1</v>
      </c>
      <c r="C570" s="39">
        <f>(Table267[[#This Row],[M2 Money Stock, Billions of Dollars, Weekly, Seasonally Adjusted]]-B569)/B569</f>
        <v/>
      </c>
      <c r="D570" s="40">
        <f>((1+Table267[[#This Row],[Monthly change]])^12)-1</f>
        <v/>
      </c>
      <c r="E570" s="39">
        <f>(Table267[[#This Row],[M2 Money Stock, Billions of Dollars, Weekly, Seasonally Adjusted]]-B558)/B558</f>
        <v/>
      </c>
    </row>
    <row r="571">
      <c r="A571" s="37" t="n">
        <v>38718</v>
      </c>
      <c r="B571" s="84" t="n">
        <v>6722.5</v>
      </c>
      <c r="C571" s="39">
        <f>(Table267[[#This Row],[M2 Money Stock, Billions of Dollars, Weekly, Seasonally Adjusted]]-B570)/B570</f>
        <v/>
      </c>
      <c r="D571" s="40">
        <f>((1+Table267[[#This Row],[Monthly change]])^12)-1</f>
        <v/>
      </c>
      <c r="E571" s="39">
        <f>(Table267[[#This Row],[M2 Money Stock, Billions of Dollars, Weekly, Seasonally Adjusted]]-B559)/B559</f>
        <v/>
      </c>
    </row>
    <row r="572">
      <c r="A572" s="37" t="n">
        <v>38749</v>
      </c>
      <c r="B572" s="84" t="n">
        <v>6746.8</v>
      </c>
      <c r="C572" s="39">
        <f>(Table267[[#This Row],[M2 Money Stock, Billions of Dollars, Weekly, Seasonally Adjusted]]-B571)/B571</f>
        <v/>
      </c>
      <c r="D572" s="40">
        <f>((1+Table267[[#This Row],[Monthly change]])^12)-1</f>
        <v/>
      </c>
      <c r="E572" s="39">
        <f>(Table267[[#This Row],[M2 Money Stock, Billions of Dollars, Weekly, Seasonally Adjusted]]-B560)/B560</f>
        <v/>
      </c>
    </row>
    <row r="573">
      <c r="A573" s="37" t="n">
        <v>38777</v>
      </c>
      <c r="B573" s="84" t="n">
        <v>6761.1</v>
      </c>
      <c r="C573" s="39">
        <f>(Table267[[#This Row],[M2 Money Stock, Billions of Dollars, Weekly, Seasonally Adjusted]]-B572)/B572</f>
        <v/>
      </c>
      <c r="D573" s="40">
        <f>((1+Table267[[#This Row],[Monthly change]])^12)-1</f>
        <v/>
      </c>
      <c r="E573" s="39">
        <f>(Table267[[#This Row],[M2 Money Stock, Billions of Dollars, Weekly, Seasonally Adjusted]]-B561)/B561</f>
        <v/>
      </c>
    </row>
    <row r="574">
      <c r="A574" s="37" t="n">
        <v>38808</v>
      </c>
      <c r="B574" s="84" t="n">
        <v>6798.5</v>
      </c>
      <c r="C574" s="39">
        <f>(Table267[[#This Row],[M2 Money Stock, Billions of Dollars, Weekly, Seasonally Adjusted]]-B573)/B573</f>
        <v/>
      </c>
      <c r="D574" s="40">
        <f>((1+Table267[[#This Row],[Monthly change]])^12)-1</f>
        <v/>
      </c>
      <c r="E574" s="39">
        <f>(Table267[[#This Row],[M2 Money Stock, Billions of Dollars, Weekly, Seasonally Adjusted]]-B562)/B562</f>
        <v/>
      </c>
    </row>
    <row r="575">
      <c r="A575" s="37" t="n">
        <v>38838</v>
      </c>
      <c r="B575" s="84" t="n">
        <v>6805.2</v>
      </c>
      <c r="C575" s="39">
        <f>(Table267[[#This Row],[M2 Money Stock, Billions of Dollars, Weekly, Seasonally Adjusted]]-B574)/B574</f>
        <v/>
      </c>
      <c r="D575" s="40">
        <f>((1+Table267[[#This Row],[Monthly change]])^12)-1</f>
        <v/>
      </c>
      <c r="E575" s="39">
        <f>(Table267[[#This Row],[M2 Money Stock, Billions of Dollars, Weekly, Seasonally Adjusted]]-B563)/B563</f>
        <v/>
      </c>
    </row>
    <row r="576">
      <c r="A576" s="37" t="n">
        <v>38869</v>
      </c>
      <c r="B576" s="84" t="n">
        <v>6843.2</v>
      </c>
      <c r="C576" s="39">
        <f>(Table267[[#This Row],[M2 Money Stock, Billions of Dollars, Weekly, Seasonally Adjusted]]-B575)/B575</f>
        <v/>
      </c>
      <c r="D576" s="40">
        <f>((1+Table267[[#This Row],[Monthly change]])^12)-1</f>
        <v/>
      </c>
      <c r="E576" s="39">
        <f>(Table267[[#This Row],[M2 Money Stock, Billions of Dollars, Weekly, Seasonally Adjusted]]-B564)/B564</f>
        <v/>
      </c>
    </row>
    <row r="577">
      <c r="A577" s="37" t="n">
        <v>38899</v>
      </c>
      <c r="B577" s="84" t="n">
        <v>6884.6</v>
      </c>
      <c r="C577" s="39">
        <f>(Table267[[#This Row],[M2 Money Stock, Billions of Dollars, Weekly, Seasonally Adjusted]]-B576)/B576</f>
        <v/>
      </c>
      <c r="D577" s="40">
        <f>((1+Table267[[#This Row],[Monthly change]])^12)-1</f>
        <v/>
      </c>
      <c r="E577" s="39">
        <f>(Table267[[#This Row],[M2 Money Stock, Billions of Dollars, Weekly, Seasonally Adjusted]]-B565)/B565</f>
        <v/>
      </c>
    </row>
    <row r="578">
      <c r="A578" s="37" t="n">
        <v>38930</v>
      </c>
      <c r="B578" s="84" t="n">
        <v>6915.4</v>
      </c>
      <c r="C578" s="39">
        <f>(Table267[[#This Row],[M2 Money Stock, Billions of Dollars, Weekly, Seasonally Adjusted]]-B577)/B577</f>
        <v/>
      </c>
      <c r="D578" s="40">
        <f>((1+Table267[[#This Row],[Monthly change]])^12)-1</f>
        <v/>
      </c>
      <c r="E578" s="39">
        <f>(Table267[[#This Row],[M2 Money Stock, Billions of Dollars, Weekly, Seasonally Adjusted]]-B566)/B566</f>
        <v/>
      </c>
    </row>
    <row r="579">
      <c r="A579" s="37" t="n">
        <v>38961</v>
      </c>
      <c r="B579" s="84" t="n">
        <v>6942.6</v>
      </c>
      <c r="C579" s="39">
        <f>(Table267[[#This Row],[M2 Money Stock, Billions of Dollars, Weekly, Seasonally Adjusted]]-B578)/B578</f>
        <v/>
      </c>
      <c r="D579" s="40">
        <f>((1+Table267[[#This Row],[Monthly change]])^12)-1</f>
        <v/>
      </c>
      <c r="E579" s="39">
        <f>(Table267[[#This Row],[M2 Money Stock, Billions of Dollars, Weekly, Seasonally Adjusted]]-B567)/B567</f>
        <v/>
      </c>
    </row>
    <row r="580">
      <c r="A580" s="37" t="n">
        <v>38991</v>
      </c>
      <c r="B580" s="84" t="n">
        <v>6991.6</v>
      </c>
      <c r="C580" s="39">
        <f>(Table267[[#This Row],[M2 Money Stock, Billions of Dollars, Weekly, Seasonally Adjusted]]-B579)/B579</f>
        <v/>
      </c>
      <c r="D580" s="40">
        <f>((1+Table267[[#This Row],[Monthly change]])^12)-1</f>
        <v/>
      </c>
      <c r="E580" s="39">
        <f>(Table267[[#This Row],[M2 Money Stock, Billions of Dollars, Weekly, Seasonally Adjusted]]-B568)/B568</f>
        <v/>
      </c>
    </row>
    <row r="581">
      <c r="A581" s="37" t="n">
        <v>39022</v>
      </c>
      <c r="B581" s="84" t="n">
        <v>7026.5</v>
      </c>
      <c r="C581" s="39">
        <f>(Table267[[#This Row],[M2 Money Stock, Billions of Dollars, Weekly, Seasonally Adjusted]]-B580)/B580</f>
        <v/>
      </c>
      <c r="D581" s="40">
        <f>((1+Table267[[#This Row],[Monthly change]])^12)-1</f>
        <v/>
      </c>
      <c r="E581" s="39">
        <f>(Table267[[#This Row],[M2 Money Stock, Billions of Dollars, Weekly, Seasonally Adjusted]]-B569)/B569</f>
        <v/>
      </c>
    </row>
    <row r="582">
      <c r="A582" s="37" t="n">
        <v>39052</v>
      </c>
      <c r="B582" s="84" t="n">
        <v>7069.5</v>
      </c>
      <c r="C582" s="39">
        <f>(Table267[[#This Row],[M2 Money Stock, Billions of Dollars, Weekly, Seasonally Adjusted]]-B581)/B581</f>
        <v/>
      </c>
      <c r="D582" s="40">
        <f>((1+Table267[[#This Row],[Monthly change]])^12)-1</f>
        <v/>
      </c>
      <c r="E582" s="39">
        <f>(Table267[[#This Row],[M2 Money Stock, Billions of Dollars, Weekly, Seasonally Adjusted]]-B570)/B570</f>
        <v/>
      </c>
    </row>
    <row r="583">
      <c r="A583" s="37" t="n">
        <v>39083</v>
      </c>
      <c r="B583" s="84" t="n">
        <v>7107.4</v>
      </c>
      <c r="C583" s="39">
        <f>(Table267[[#This Row],[M2 Money Stock, Billions of Dollars, Weekly, Seasonally Adjusted]]-B582)/B582</f>
        <v/>
      </c>
      <c r="D583" s="40">
        <f>((1+Table267[[#This Row],[Monthly change]])^12)-1</f>
        <v/>
      </c>
      <c r="E583" s="39">
        <f>(Table267[[#This Row],[M2 Money Stock, Billions of Dollars, Weekly, Seasonally Adjusted]]-B571)/B571</f>
        <v/>
      </c>
    </row>
    <row r="584">
      <c r="A584" s="37" t="n">
        <v>39114</v>
      </c>
      <c r="B584" s="84" t="n">
        <v>7123.2</v>
      </c>
      <c r="C584" s="39">
        <f>(Table267[[#This Row],[M2 Money Stock, Billions of Dollars, Weekly, Seasonally Adjusted]]-B583)/B583</f>
        <v/>
      </c>
      <c r="D584" s="40">
        <f>((1+Table267[[#This Row],[Monthly change]])^12)-1</f>
        <v/>
      </c>
      <c r="E584" s="39">
        <f>(Table267[[#This Row],[M2 Money Stock, Billions of Dollars, Weekly, Seasonally Adjusted]]-B572)/B572</f>
        <v/>
      </c>
    </row>
    <row r="585">
      <c r="A585" s="37" t="n">
        <v>39142</v>
      </c>
      <c r="B585" s="84" t="n">
        <v>7156.9</v>
      </c>
      <c r="C585" s="39">
        <f>(Table267[[#This Row],[M2 Money Stock, Billions of Dollars, Weekly, Seasonally Adjusted]]-B584)/B584</f>
        <v/>
      </c>
      <c r="D585" s="40">
        <f>((1+Table267[[#This Row],[Monthly change]])^12)-1</f>
        <v/>
      </c>
      <c r="E585" s="39">
        <f>(Table267[[#This Row],[M2 Money Stock, Billions of Dollars, Weekly, Seasonally Adjusted]]-B573)/B573</f>
        <v/>
      </c>
    </row>
    <row r="586">
      <c r="A586" s="37" t="n">
        <v>39173</v>
      </c>
      <c r="B586" s="84" t="n">
        <v>7229.3</v>
      </c>
      <c r="C586" s="39">
        <f>(Table267[[#This Row],[M2 Money Stock, Billions of Dollars, Weekly, Seasonally Adjusted]]-B585)/B585</f>
        <v/>
      </c>
      <c r="D586" s="40">
        <f>((1+Table267[[#This Row],[Monthly change]])^12)-1</f>
        <v/>
      </c>
      <c r="E586" s="39">
        <f>(Table267[[#This Row],[M2 Money Stock, Billions of Dollars, Weekly, Seasonally Adjusted]]-B574)/B574</f>
        <v/>
      </c>
    </row>
    <row r="587">
      <c r="A587" s="37" t="n">
        <v>39203</v>
      </c>
      <c r="B587" s="84" t="n">
        <v>7243.2</v>
      </c>
      <c r="C587" s="39">
        <f>(Table267[[#This Row],[M2 Money Stock, Billions of Dollars, Weekly, Seasonally Adjusted]]-B586)/B586</f>
        <v/>
      </c>
      <c r="D587" s="40">
        <f>((1+Table267[[#This Row],[Monthly change]])^12)-1</f>
        <v/>
      </c>
      <c r="E587" s="39">
        <f>(Table267[[#This Row],[M2 Money Stock, Billions of Dollars, Weekly, Seasonally Adjusted]]-B575)/B575</f>
        <v/>
      </c>
    </row>
    <row r="588">
      <c r="A588" s="37" t="n">
        <v>39234</v>
      </c>
      <c r="B588" s="84" t="n">
        <v>7276.3</v>
      </c>
      <c r="C588" s="39">
        <f>(Table267[[#This Row],[M2 Money Stock, Billions of Dollars, Weekly, Seasonally Adjusted]]-B587)/B587</f>
        <v/>
      </c>
      <c r="D588" s="40">
        <f>((1+Table267[[#This Row],[Monthly change]])^12)-1</f>
        <v/>
      </c>
      <c r="E588" s="39">
        <f>(Table267[[#This Row],[M2 Money Stock, Billions of Dollars, Weekly, Seasonally Adjusted]]-B576)/B576</f>
        <v/>
      </c>
    </row>
    <row r="589">
      <c r="A589" s="37" t="n">
        <v>39264</v>
      </c>
      <c r="B589" s="84" t="n">
        <v>7306.6</v>
      </c>
      <c r="C589" s="39">
        <f>(Table267[[#This Row],[M2 Money Stock, Billions of Dollars, Weekly, Seasonally Adjusted]]-B588)/B588</f>
        <v/>
      </c>
      <c r="D589" s="40">
        <f>((1+Table267[[#This Row],[Monthly change]])^12)-1</f>
        <v/>
      </c>
      <c r="E589" s="39">
        <f>(Table267[[#This Row],[M2 Money Stock, Billions of Dollars, Weekly, Seasonally Adjusted]]-B577)/B577</f>
        <v/>
      </c>
    </row>
    <row r="590">
      <c r="A590" s="37" t="n">
        <v>39295</v>
      </c>
      <c r="B590" s="84" t="n">
        <v>7382.8</v>
      </c>
      <c r="C590" s="39">
        <f>(Table267[[#This Row],[M2 Money Stock, Billions of Dollars, Weekly, Seasonally Adjusted]]-B589)/B589</f>
        <v/>
      </c>
      <c r="D590" s="40">
        <f>((1+Table267[[#This Row],[Monthly change]])^12)-1</f>
        <v/>
      </c>
      <c r="E590" s="39">
        <f>(Table267[[#This Row],[M2 Money Stock, Billions of Dollars, Weekly, Seasonally Adjusted]]-B578)/B578</f>
        <v/>
      </c>
    </row>
    <row r="591">
      <c r="A591" s="37" t="n">
        <v>39326</v>
      </c>
      <c r="B591" s="84" t="n">
        <v>7401.1</v>
      </c>
      <c r="C591" s="39">
        <f>(Table267[[#This Row],[M2 Money Stock, Billions of Dollars, Weekly, Seasonally Adjusted]]-B590)/B590</f>
        <v/>
      </c>
      <c r="D591" s="40">
        <f>((1+Table267[[#This Row],[Monthly change]])^12)-1</f>
        <v/>
      </c>
      <c r="E591" s="39">
        <f>(Table267[[#This Row],[M2 Money Stock, Billions of Dollars, Weekly, Seasonally Adjusted]]-B579)/B579</f>
        <v/>
      </c>
    </row>
    <row r="592">
      <c r="A592" s="37" t="n">
        <v>39356</v>
      </c>
      <c r="B592" s="84" t="n">
        <v>7414.8</v>
      </c>
      <c r="C592" s="39">
        <f>(Table267[[#This Row],[M2 Money Stock, Billions of Dollars, Weekly, Seasonally Adjusted]]-B591)/B591</f>
        <v/>
      </c>
      <c r="D592" s="40">
        <f>((1+Table267[[#This Row],[Monthly change]])^12)-1</f>
        <v/>
      </c>
      <c r="E592" s="39">
        <f>(Table267[[#This Row],[M2 Money Stock, Billions of Dollars, Weekly, Seasonally Adjusted]]-B580)/B580</f>
        <v/>
      </c>
    </row>
    <row r="593">
      <c r="A593" s="37" t="n">
        <v>39387</v>
      </c>
      <c r="B593" s="84" t="n">
        <v>7439.6</v>
      </c>
      <c r="C593" s="39">
        <f>(Table267[[#This Row],[M2 Money Stock, Billions of Dollars, Weekly, Seasonally Adjusted]]-B592)/B592</f>
        <v/>
      </c>
      <c r="D593" s="40">
        <f>((1+Table267[[#This Row],[Monthly change]])^12)-1</f>
        <v/>
      </c>
      <c r="E593" s="39">
        <f>(Table267[[#This Row],[M2 Money Stock, Billions of Dollars, Weekly, Seasonally Adjusted]]-B581)/B581</f>
        <v/>
      </c>
    </row>
    <row r="594">
      <c r="A594" s="37" t="n">
        <v>39417</v>
      </c>
      <c r="B594" s="84" t="n">
        <v>7469.4</v>
      </c>
      <c r="C594" s="39">
        <f>(Table267[[#This Row],[M2 Money Stock, Billions of Dollars, Weekly, Seasonally Adjusted]]-B593)/B593</f>
        <v/>
      </c>
      <c r="D594" s="40">
        <f>((1+Table267[[#This Row],[Monthly change]])^12)-1</f>
        <v/>
      </c>
      <c r="E594" s="39">
        <f>(Table267[[#This Row],[M2 Money Stock, Billions of Dollars, Weekly, Seasonally Adjusted]]-B582)/B582</f>
        <v/>
      </c>
    </row>
    <row r="595">
      <c r="A595" s="37" t="n">
        <v>39448</v>
      </c>
      <c r="B595" s="84" t="n">
        <v>7503.1</v>
      </c>
      <c r="C595" s="39">
        <f>(Table267[[#This Row],[M2 Money Stock, Billions of Dollars, Weekly, Seasonally Adjusted]]-B594)/B594</f>
        <v/>
      </c>
      <c r="D595" s="40">
        <f>((1+Table267[[#This Row],[Monthly change]])^12)-1</f>
        <v/>
      </c>
      <c r="E595" s="39">
        <f>(Table267[[#This Row],[M2 Money Stock, Billions of Dollars, Weekly, Seasonally Adjusted]]-B583)/B583</f>
        <v/>
      </c>
    </row>
    <row r="596">
      <c r="A596" s="37" t="n">
        <v>39479</v>
      </c>
      <c r="B596" s="84" t="n">
        <v>7587.6</v>
      </c>
      <c r="C596" s="39">
        <f>(Table267[[#This Row],[M2 Money Stock, Billions of Dollars, Weekly, Seasonally Adjusted]]-B595)/B595</f>
        <v/>
      </c>
      <c r="D596" s="40">
        <f>((1+Table267[[#This Row],[Monthly change]])^12)-1</f>
        <v/>
      </c>
      <c r="E596" s="39">
        <f>(Table267[[#This Row],[M2 Money Stock, Billions of Dollars, Weekly, Seasonally Adjusted]]-B584)/B584</f>
        <v/>
      </c>
    </row>
    <row r="597">
      <c r="A597" s="37" t="n">
        <v>39508</v>
      </c>
      <c r="B597" s="84" t="n">
        <v>7653.3</v>
      </c>
      <c r="C597" s="39">
        <f>(Table267[[#This Row],[M2 Money Stock, Billions of Dollars, Weekly, Seasonally Adjusted]]-B596)/B596</f>
        <v/>
      </c>
      <c r="D597" s="40">
        <f>((1+Table267[[#This Row],[Monthly change]])^12)-1</f>
        <v/>
      </c>
      <c r="E597" s="39">
        <f>(Table267[[#This Row],[M2 Money Stock, Billions of Dollars, Weekly, Seasonally Adjusted]]-B585)/B585</f>
        <v/>
      </c>
    </row>
    <row r="598">
      <c r="A598" s="37" t="n">
        <v>39539</v>
      </c>
      <c r="B598" s="84" t="n">
        <v>7696.1</v>
      </c>
      <c r="C598" s="39">
        <f>(Table267[[#This Row],[M2 Money Stock, Billions of Dollars, Weekly, Seasonally Adjusted]]-B597)/B597</f>
        <v/>
      </c>
      <c r="D598" s="40">
        <f>((1+Table267[[#This Row],[Monthly change]])^12)-1</f>
        <v/>
      </c>
      <c r="E598" s="39">
        <f>(Table267[[#This Row],[M2 Money Stock, Billions of Dollars, Weekly, Seasonally Adjusted]]-B586)/B586</f>
        <v/>
      </c>
    </row>
    <row r="599">
      <c r="A599" s="37" t="n">
        <v>39569</v>
      </c>
      <c r="B599" s="84" t="n">
        <v>7708.3</v>
      </c>
      <c r="C599" s="39">
        <f>(Table267[[#This Row],[M2 Money Stock, Billions of Dollars, Weekly, Seasonally Adjusted]]-B598)/B598</f>
        <v/>
      </c>
      <c r="D599" s="40">
        <f>((1+Table267[[#This Row],[Monthly change]])^12)-1</f>
        <v/>
      </c>
      <c r="E599" s="39">
        <f>(Table267[[#This Row],[M2 Money Stock, Billions of Dollars, Weekly, Seasonally Adjusted]]-B587)/B587</f>
        <v/>
      </c>
    </row>
    <row r="600">
      <c r="A600" s="37" t="n">
        <v>39600</v>
      </c>
      <c r="B600" s="84" t="n">
        <v>7725.8</v>
      </c>
      <c r="C600" s="39">
        <f>(Table267[[#This Row],[M2 Money Stock, Billions of Dollars, Weekly, Seasonally Adjusted]]-B599)/B599</f>
        <v/>
      </c>
      <c r="D600" s="40">
        <f>((1+Table267[[#This Row],[Monthly change]])^12)-1</f>
        <v/>
      </c>
      <c r="E600" s="39">
        <f>(Table267[[#This Row],[M2 Money Stock, Billions of Dollars, Weekly, Seasonally Adjusted]]-B588)/B588</f>
        <v/>
      </c>
    </row>
    <row r="601">
      <c r="A601" s="37" t="n">
        <v>39630</v>
      </c>
      <c r="B601" s="84" t="n">
        <v>7772.1</v>
      </c>
      <c r="C601" s="39">
        <f>(Table267[[#This Row],[M2 Money Stock, Billions of Dollars, Weekly, Seasonally Adjusted]]-B600)/B600</f>
        <v/>
      </c>
      <c r="D601" s="40">
        <f>((1+Table267[[#This Row],[Monthly change]])^12)-1</f>
        <v/>
      </c>
      <c r="E601" s="39">
        <f>(Table267[[#This Row],[M2 Money Stock, Billions of Dollars, Weekly, Seasonally Adjusted]]-B589)/B589</f>
        <v/>
      </c>
    </row>
    <row r="602">
      <c r="A602" s="37" t="n">
        <v>39661</v>
      </c>
      <c r="B602" s="84" t="n">
        <v>7787</v>
      </c>
      <c r="C602" s="39">
        <f>(Table267[[#This Row],[M2 Money Stock, Billions of Dollars, Weekly, Seasonally Adjusted]]-B601)/B601</f>
        <v/>
      </c>
      <c r="D602" s="40">
        <f>((1+Table267[[#This Row],[Monthly change]])^12)-1</f>
        <v/>
      </c>
      <c r="E602" s="39">
        <f>(Table267[[#This Row],[M2 Money Stock, Billions of Dollars, Weekly, Seasonally Adjusted]]-B590)/B590</f>
        <v/>
      </c>
    </row>
    <row r="603">
      <c r="A603" s="37" t="n">
        <v>39692</v>
      </c>
      <c r="B603" s="84" t="n">
        <v>7856.5</v>
      </c>
      <c r="C603" s="39">
        <f>(Table267[[#This Row],[M2 Money Stock, Billions of Dollars, Weekly, Seasonally Adjusted]]-B602)/B602</f>
        <v/>
      </c>
      <c r="D603" s="40">
        <f>((1+Table267[[#This Row],[Monthly change]])^12)-1</f>
        <v/>
      </c>
      <c r="E603" s="39">
        <f>(Table267[[#This Row],[M2 Money Stock, Billions of Dollars, Weekly, Seasonally Adjusted]]-B591)/B591</f>
        <v/>
      </c>
    </row>
    <row r="604">
      <c r="A604" s="37" t="n">
        <v>39722</v>
      </c>
      <c r="B604" s="84" t="n">
        <v>7963.1</v>
      </c>
      <c r="C604" s="39">
        <f>(Table267[[#This Row],[M2 Money Stock, Billions of Dollars, Weekly, Seasonally Adjusted]]-B603)/B603</f>
        <v/>
      </c>
      <c r="D604" s="40">
        <f>((1+Table267[[#This Row],[Monthly change]])^12)-1</f>
        <v/>
      </c>
      <c r="E604" s="39">
        <f>(Table267[[#This Row],[M2 Money Stock, Billions of Dollars, Weekly, Seasonally Adjusted]]-B592)/B592</f>
        <v/>
      </c>
    </row>
    <row r="605">
      <c r="A605" s="37" t="n">
        <v>39753</v>
      </c>
      <c r="B605" s="84" t="n">
        <v>8013.5</v>
      </c>
      <c r="C605" s="39">
        <f>(Table267[[#This Row],[M2 Money Stock, Billions of Dollars, Weekly, Seasonally Adjusted]]-B604)/B604</f>
        <v/>
      </c>
      <c r="D605" s="40">
        <f>((1+Table267[[#This Row],[Monthly change]])^12)-1</f>
        <v/>
      </c>
      <c r="E605" s="39">
        <f>(Table267[[#This Row],[M2 Money Stock, Billions of Dollars, Weekly, Seasonally Adjusted]]-B593)/B593</f>
        <v/>
      </c>
    </row>
    <row r="606">
      <c r="A606" s="37" t="n">
        <v>39783</v>
      </c>
      <c r="B606" s="84" t="n">
        <v>8189.7</v>
      </c>
      <c r="C606" s="39">
        <f>(Table267[[#This Row],[M2 Money Stock, Billions of Dollars, Weekly, Seasonally Adjusted]]-B605)/B605</f>
        <v/>
      </c>
      <c r="D606" s="40">
        <f>((1+Table267[[#This Row],[Monthly change]])^12)-1</f>
        <v/>
      </c>
      <c r="E606" s="39">
        <f>(Table267[[#This Row],[M2 Money Stock, Billions of Dollars, Weekly, Seasonally Adjusted]]-B594)/B594</f>
        <v/>
      </c>
    </row>
    <row r="607">
      <c r="A607" s="37" t="n">
        <v>39814</v>
      </c>
      <c r="B607" s="84" t="n">
        <v>8271.200000000001</v>
      </c>
      <c r="C607" s="39">
        <f>(Table267[[#This Row],[M2 Money Stock, Billions of Dollars, Weekly, Seasonally Adjusted]]-B606)/B606</f>
        <v/>
      </c>
      <c r="D607" s="40">
        <f>((1+Table267[[#This Row],[Monthly change]])^12)-1</f>
        <v/>
      </c>
      <c r="E607" s="39">
        <f>(Table267[[#This Row],[M2 Money Stock, Billions of Dollars, Weekly, Seasonally Adjusted]]-B595)/B595</f>
        <v/>
      </c>
    </row>
    <row r="608">
      <c r="A608" s="37" t="n">
        <v>39845</v>
      </c>
      <c r="B608" s="84" t="n">
        <v>8300.5</v>
      </c>
      <c r="C608" s="39">
        <f>(Table267[[#This Row],[M2 Money Stock, Billions of Dollars, Weekly, Seasonally Adjusted]]-B607)/B607</f>
        <v/>
      </c>
      <c r="D608" s="40">
        <f>((1+Table267[[#This Row],[Monthly change]])^12)-1</f>
        <v/>
      </c>
      <c r="E608" s="39">
        <f>(Table267[[#This Row],[M2 Money Stock, Billions of Dollars, Weekly, Seasonally Adjusted]]-B596)/B596</f>
        <v/>
      </c>
    </row>
    <row r="609">
      <c r="A609" s="37" t="n">
        <v>39873</v>
      </c>
      <c r="B609" s="84" t="n">
        <v>8366.5</v>
      </c>
      <c r="C609" s="39">
        <f>(Table267[[#This Row],[M2 Money Stock, Billions of Dollars, Weekly, Seasonally Adjusted]]-B608)/B608</f>
        <v/>
      </c>
      <c r="D609" s="40">
        <f>((1+Table267[[#This Row],[Monthly change]])^12)-1</f>
        <v/>
      </c>
      <c r="E609" s="39">
        <f>(Table267[[#This Row],[M2 Money Stock, Billions of Dollars, Weekly, Seasonally Adjusted]]-B597)/B597</f>
        <v/>
      </c>
    </row>
    <row r="610">
      <c r="A610" s="37" t="n">
        <v>39904</v>
      </c>
      <c r="B610" s="84" t="n">
        <v>8369.9</v>
      </c>
      <c r="C610" s="39">
        <f>(Table267[[#This Row],[M2 Money Stock, Billions of Dollars, Weekly, Seasonally Adjusted]]-B609)/B609</f>
        <v/>
      </c>
      <c r="D610" s="40">
        <f>((1+Table267[[#This Row],[Monthly change]])^12)-1</f>
        <v/>
      </c>
      <c r="E610" s="39">
        <f>(Table267[[#This Row],[M2 Money Stock, Billions of Dollars, Weekly, Seasonally Adjusted]]-B598)/B598</f>
        <v/>
      </c>
    </row>
    <row r="611">
      <c r="A611" s="37" t="n">
        <v>39934</v>
      </c>
      <c r="B611" s="84" t="n">
        <v>8427.6</v>
      </c>
      <c r="C611" s="39">
        <f>(Table267[[#This Row],[M2 Money Stock, Billions of Dollars, Weekly, Seasonally Adjusted]]-B610)/B610</f>
        <v/>
      </c>
      <c r="D611" s="40">
        <f>((1+Table267[[#This Row],[Monthly change]])^12)-1</f>
        <v/>
      </c>
      <c r="E611" s="39">
        <f>(Table267[[#This Row],[M2 Money Stock, Billions of Dollars, Weekly, Seasonally Adjusted]]-B599)/B599</f>
        <v/>
      </c>
    </row>
    <row r="612">
      <c r="A612" s="37" t="n">
        <v>39965</v>
      </c>
      <c r="B612" s="84" t="n">
        <v>8437.200000000001</v>
      </c>
      <c r="C612" s="39">
        <f>(Table267[[#This Row],[M2 Money Stock, Billions of Dollars, Weekly, Seasonally Adjusted]]-B611)/B611</f>
        <v/>
      </c>
      <c r="D612" s="40">
        <f>((1+Table267[[#This Row],[Monthly change]])^12)-1</f>
        <v/>
      </c>
      <c r="E612" s="39">
        <f>(Table267[[#This Row],[M2 Money Stock, Billions of Dollars, Weekly, Seasonally Adjusted]]-B600)/B600</f>
        <v/>
      </c>
    </row>
    <row r="613">
      <c r="A613" s="37" t="n">
        <v>39995</v>
      </c>
      <c r="B613" s="84" t="n">
        <v>8442</v>
      </c>
      <c r="C613" s="39">
        <f>(Table267[[#This Row],[M2 Money Stock, Billions of Dollars, Weekly, Seasonally Adjusted]]-B612)/B612</f>
        <v/>
      </c>
      <c r="D613" s="40">
        <f>((1+Table267[[#This Row],[Monthly change]])^12)-1</f>
        <v/>
      </c>
      <c r="E613" s="39">
        <f>(Table267[[#This Row],[M2 Money Stock, Billions of Dollars, Weekly, Seasonally Adjusted]]-B601)/B601</f>
        <v/>
      </c>
    </row>
    <row r="614">
      <c r="A614" s="37" t="n">
        <v>40026</v>
      </c>
      <c r="B614" s="84" t="n">
        <v>8441.799999999999</v>
      </c>
      <c r="C614" s="39">
        <f>(Table267[[#This Row],[M2 Money Stock, Billions of Dollars, Weekly, Seasonally Adjusted]]-B613)/B613</f>
        <v/>
      </c>
      <c r="D614" s="40">
        <f>((1+Table267[[#This Row],[Monthly change]])^12)-1</f>
        <v/>
      </c>
      <c r="E614" s="39">
        <f>(Table267[[#This Row],[M2 Money Stock, Billions of Dollars, Weekly, Seasonally Adjusted]]-B602)/B602</f>
        <v/>
      </c>
    </row>
    <row r="615">
      <c r="A615" s="37" t="n">
        <v>40057</v>
      </c>
      <c r="B615" s="84" t="n">
        <v>8441.1</v>
      </c>
      <c r="C615" s="39">
        <f>(Table267[[#This Row],[M2 Money Stock, Billions of Dollars, Weekly, Seasonally Adjusted]]-B614)/B614</f>
        <v/>
      </c>
      <c r="D615" s="40">
        <f>((1+Table267[[#This Row],[Monthly change]])^12)-1</f>
        <v/>
      </c>
      <c r="E615" s="39">
        <f>(Table267[[#This Row],[M2 Money Stock, Billions of Dollars, Weekly, Seasonally Adjusted]]-B603)/B603</f>
        <v/>
      </c>
    </row>
    <row r="616">
      <c r="A616" s="37" t="n">
        <v>40087</v>
      </c>
      <c r="B616" s="84" t="n">
        <v>8468.1</v>
      </c>
      <c r="C616" s="39">
        <f>(Table267[[#This Row],[M2 Money Stock, Billions of Dollars, Weekly, Seasonally Adjusted]]-B615)/B615</f>
        <v/>
      </c>
      <c r="D616" s="40">
        <f>((1+Table267[[#This Row],[Monthly change]])^12)-1</f>
        <v/>
      </c>
      <c r="E616" s="39">
        <f>(Table267[[#This Row],[M2 Money Stock, Billions of Dollars, Weekly, Seasonally Adjusted]]-B604)/B604</f>
        <v/>
      </c>
    </row>
    <row r="617">
      <c r="A617" s="37" t="n">
        <v>40118</v>
      </c>
      <c r="B617" s="84" t="n">
        <v>8498.200000000001</v>
      </c>
      <c r="C617" s="39">
        <f>(Table267[[#This Row],[M2 Money Stock, Billions of Dollars, Weekly, Seasonally Adjusted]]-B616)/B616</f>
        <v/>
      </c>
      <c r="D617" s="40">
        <f>((1+Table267[[#This Row],[Monthly change]])^12)-1</f>
        <v/>
      </c>
      <c r="E617" s="39">
        <f>(Table267[[#This Row],[M2 Money Stock, Billions of Dollars, Weekly, Seasonally Adjusted]]-B605)/B605</f>
        <v/>
      </c>
    </row>
    <row r="618">
      <c r="A618" s="37" t="n">
        <v>40148</v>
      </c>
      <c r="B618" s="84" t="n">
        <v>8493.1</v>
      </c>
      <c r="C618" s="39">
        <f>(Table267[[#This Row],[M2 Money Stock, Billions of Dollars, Weekly, Seasonally Adjusted]]-B617)/B617</f>
        <v/>
      </c>
      <c r="D618" s="40">
        <f>((1+Table267[[#This Row],[Monthly change]])^12)-1</f>
        <v/>
      </c>
      <c r="E618" s="39">
        <f>(Table267[[#This Row],[M2 Money Stock, Billions of Dollars, Weekly, Seasonally Adjusted]]-B606)/B606</f>
        <v/>
      </c>
    </row>
    <row r="619">
      <c r="A619" s="37" t="n">
        <v>40179</v>
      </c>
      <c r="B619" s="84" t="n">
        <v>8455.4</v>
      </c>
      <c r="C619" s="39">
        <f>(Table267[[#This Row],[M2 Money Stock, Billions of Dollars, Weekly, Seasonally Adjusted]]-B618)/B618</f>
        <v/>
      </c>
      <c r="D619" s="40">
        <f>((1+Table267[[#This Row],[Monthly change]])^12)-1</f>
        <v/>
      </c>
      <c r="E619" s="39">
        <f>(Table267[[#This Row],[M2 Money Stock, Billions of Dollars, Weekly, Seasonally Adjusted]]-B607)/B607</f>
        <v/>
      </c>
    </row>
    <row r="620">
      <c r="A620" s="37" t="n">
        <v>40210</v>
      </c>
      <c r="B620" s="84" t="n">
        <v>8505.1</v>
      </c>
      <c r="C620" s="39">
        <f>(Table267[[#This Row],[M2 Money Stock, Billions of Dollars, Weekly, Seasonally Adjusted]]-B619)/B619</f>
        <v/>
      </c>
      <c r="D620" s="40">
        <f>((1+Table267[[#This Row],[Monthly change]])^12)-1</f>
        <v/>
      </c>
      <c r="E620" s="39">
        <f>(Table267[[#This Row],[M2 Money Stock, Billions of Dollars, Weekly, Seasonally Adjusted]]-B608)/B608</f>
        <v/>
      </c>
    </row>
    <row r="621">
      <c r="A621" s="37" t="n">
        <v>40238</v>
      </c>
      <c r="B621" s="84" t="n">
        <v>8502.200000000001</v>
      </c>
      <c r="C621" s="39">
        <f>(Table267[[#This Row],[M2 Money Stock, Billions of Dollars, Weekly, Seasonally Adjusted]]-B620)/B620</f>
        <v/>
      </c>
      <c r="D621" s="40">
        <f>((1+Table267[[#This Row],[Monthly change]])^12)-1</f>
        <v/>
      </c>
      <c r="E621" s="39">
        <f>(Table267[[#This Row],[M2 Money Stock, Billions of Dollars, Weekly, Seasonally Adjusted]]-B609)/B609</f>
        <v/>
      </c>
    </row>
    <row r="622">
      <c r="A622" s="37" t="n">
        <v>40269</v>
      </c>
      <c r="B622" s="84" t="n">
        <v>8532.799999999999</v>
      </c>
      <c r="C622" s="39">
        <f>(Table267[[#This Row],[M2 Money Stock, Billions of Dollars, Weekly, Seasonally Adjusted]]-B621)/B621</f>
        <v/>
      </c>
      <c r="D622" s="40">
        <f>((1+Table267[[#This Row],[Monthly change]])^12)-1</f>
        <v/>
      </c>
      <c r="E622" s="39">
        <f>(Table267[[#This Row],[M2 Money Stock, Billions of Dollars, Weekly, Seasonally Adjusted]]-B610)/B610</f>
        <v/>
      </c>
    </row>
    <row r="623">
      <c r="A623" s="37" t="n">
        <v>40299</v>
      </c>
      <c r="B623" s="84" t="n">
        <v>8587.700000000001</v>
      </c>
      <c r="C623" s="39">
        <f>(Table267[[#This Row],[M2 Money Stock, Billions of Dollars, Weekly, Seasonally Adjusted]]-B622)/B622</f>
        <v/>
      </c>
      <c r="D623" s="40">
        <f>((1+Table267[[#This Row],[Monthly change]])^12)-1</f>
        <v/>
      </c>
      <c r="E623" s="39">
        <f>(Table267[[#This Row],[M2 Money Stock, Billions of Dollars, Weekly, Seasonally Adjusted]]-B611)/B611</f>
        <v/>
      </c>
    </row>
    <row r="624">
      <c r="A624" s="37" t="n">
        <v>40330</v>
      </c>
      <c r="B624" s="84" t="n">
        <v>8606.700000000001</v>
      </c>
      <c r="C624" s="39">
        <f>(Table267[[#This Row],[M2 Money Stock, Billions of Dollars, Weekly, Seasonally Adjusted]]-B623)/B623</f>
        <v/>
      </c>
      <c r="D624" s="40">
        <f>((1+Table267[[#This Row],[Monthly change]])^12)-1</f>
        <v/>
      </c>
      <c r="E624" s="39">
        <f>(Table267[[#This Row],[M2 Money Stock, Billions of Dollars, Weekly, Seasonally Adjusted]]-B612)/B612</f>
        <v/>
      </c>
    </row>
    <row r="625">
      <c r="A625" s="37" t="n">
        <v>40360</v>
      </c>
      <c r="B625" s="84" t="n">
        <v>8616.299999999999</v>
      </c>
      <c r="C625" s="39">
        <f>(Table267[[#This Row],[M2 Money Stock, Billions of Dollars, Weekly, Seasonally Adjusted]]-B624)/B624</f>
        <v/>
      </c>
      <c r="D625" s="40">
        <f>((1+Table267[[#This Row],[Monthly change]])^12)-1</f>
        <v/>
      </c>
      <c r="E625" s="39">
        <f>(Table267[[#This Row],[M2 Money Stock, Billions of Dollars, Weekly, Seasonally Adjusted]]-B613)/B613</f>
        <v/>
      </c>
    </row>
    <row r="626">
      <c r="A626" s="37" t="n">
        <v>40391</v>
      </c>
      <c r="B626" s="84" t="n">
        <v>8666.700000000001</v>
      </c>
      <c r="C626" s="39">
        <f>(Table267[[#This Row],[M2 Money Stock, Billions of Dollars, Weekly, Seasonally Adjusted]]-B625)/B625</f>
        <v/>
      </c>
      <c r="D626" s="40">
        <f>((1+Table267[[#This Row],[Monthly change]])^12)-1</f>
        <v/>
      </c>
      <c r="E626" s="39">
        <f>(Table267[[#This Row],[M2 Money Stock, Billions of Dollars, Weekly, Seasonally Adjusted]]-B614)/B614</f>
        <v/>
      </c>
    </row>
    <row r="627">
      <c r="A627" s="37" t="n">
        <v>40422</v>
      </c>
      <c r="B627" s="84" t="n">
        <v>8697.799999999999</v>
      </c>
      <c r="C627" s="39">
        <f>(Table267[[#This Row],[M2 Money Stock, Billions of Dollars, Weekly, Seasonally Adjusted]]-B626)/B626</f>
        <v/>
      </c>
      <c r="D627" s="40">
        <f>((1+Table267[[#This Row],[Monthly change]])^12)-1</f>
        <v/>
      </c>
      <c r="E627" s="39">
        <f>(Table267[[#This Row],[M2 Money Stock, Billions of Dollars, Weekly, Seasonally Adjusted]]-B615)/B615</f>
        <v/>
      </c>
    </row>
    <row r="628">
      <c r="A628" s="37" t="n">
        <v>40452</v>
      </c>
      <c r="B628" s="84" t="n">
        <v>8746.9</v>
      </c>
      <c r="C628" s="39">
        <f>(Table267[[#This Row],[M2 Money Stock, Billions of Dollars, Weekly, Seasonally Adjusted]]-B627)/B627</f>
        <v/>
      </c>
      <c r="D628" s="40">
        <f>((1+Table267[[#This Row],[Monthly change]])^12)-1</f>
        <v/>
      </c>
      <c r="E628" s="39">
        <f>(Table267[[#This Row],[M2 Money Stock, Billions of Dollars, Weekly, Seasonally Adjusted]]-B616)/B616</f>
        <v/>
      </c>
    </row>
    <row r="629">
      <c r="A629" s="37" t="n">
        <v>40483</v>
      </c>
      <c r="B629" s="84" t="n">
        <v>8767.700000000001</v>
      </c>
      <c r="C629" s="39">
        <f>(Table267[[#This Row],[M2 Money Stock, Billions of Dollars, Weekly, Seasonally Adjusted]]-B628)/B628</f>
        <v/>
      </c>
      <c r="D629" s="40">
        <f>((1+Table267[[#This Row],[Monthly change]])^12)-1</f>
        <v/>
      </c>
      <c r="E629" s="39">
        <f>(Table267[[#This Row],[M2 Money Stock, Billions of Dollars, Weekly, Seasonally Adjusted]]-B617)/B617</f>
        <v/>
      </c>
    </row>
    <row r="630">
      <c r="A630" s="37" t="n">
        <v>40513</v>
      </c>
      <c r="B630" s="84" t="n">
        <v>8799.4</v>
      </c>
      <c r="C630" s="39">
        <f>(Table267[[#This Row],[M2 Money Stock, Billions of Dollars, Weekly, Seasonally Adjusted]]-B629)/B629</f>
        <v/>
      </c>
      <c r="D630" s="40">
        <f>((1+Table267[[#This Row],[Monthly change]])^12)-1</f>
        <v/>
      </c>
      <c r="E630" s="39">
        <f>(Table267[[#This Row],[M2 Money Stock, Billions of Dollars, Weekly, Seasonally Adjusted]]-B618)/B618</f>
        <v/>
      </c>
    </row>
    <row r="631">
      <c r="A631" s="37" t="n">
        <v>40544</v>
      </c>
      <c r="B631" s="84" t="n">
        <v>8820.4</v>
      </c>
      <c r="C631" s="39">
        <f>(Table267[[#This Row],[M2 Money Stock, Billions of Dollars, Weekly, Seasonally Adjusted]]-B630)/B630</f>
        <v/>
      </c>
      <c r="D631" s="40">
        <f>((1+Table267[[#This Row],[Monthly change]])^12)-1</f>
        <v/>
      </c>
      <c r="E631" s="39">
        <f>(Table267[[#This Row],[M2 Money Stock, Billions of Dollars, Weekly, Seasonally Adjusted]]-B619)/B619</f>
        <v/>
      </c>
    </row>
    <row r="632">
      <c r="A632" s="37" t="n">
        <v>40575</v>
      </c>
      <c r="B632" s="84" t="n">
        <v>8884.200000000001</v>
      </c>
      <c r="C632" s="39">
        <f>(Table267[[#This Row],[M2 Money Stock, Billions of Dollars, Weekly, Seasonally Adjusted]]-B631)/B631</f>
        <v/>
      </c>
      <c r="D632" s="40">
        <f>((1+Table267[[#This Row],[Monthly change]])^12)-1</f>
        <v/>
      </c>
      <c r="E632" s="39">
        <f>(Table267[[#This Row],[M2 Money Stock, Billions of Dollars, Weekly, Seasonally Adjusted]]-B620)/B620</f>
        <v/>
      </c>
    </row>
    <row r="633">
      <c r="A633" s="37" t="n">
        <v>40603</v>
      </c>
      <c r="B633" s="84" t="n">
        <v>8940.6</v>
      </c>
      <c r="C633" s="39">
        <f>(Table267[[#This Row],[M2 Money Stock, Billions of Dollars, Weekly, Seasonally Adjusted]]-B632)/B632</f>
        <v/>
      </c>
      <c r="D633" s="40">
        <f>((1+Table267[[#This Row],[Monthly change]])^12)-1</f>
        <v/>
      </c>
      <c r="E633" s="39">
        <f>(Table267[[#This Row],[M2 Money Stock, Billions of Dollars, Weekly, Seasonally Adjusted]]-B621)/B621</f>
        <v/>
      </c>
    </row>
    <row r="634">
      <c r="A634" s="37" t="n">
        <v>40634</v>
      </c>
      <c r="B634" s="84" t="n">
        <v>9002.1</v>
      </c>
      <c r="C634" s="39">
        <f>(Table267[[#This Row],[M2 Money Stock, Billions of Dollars, Weekly, Seasonally Adjusted]]-B633)/B633</f>
        <v/>
      </c>
      <c r="D634" s="40">
        <f>((1+Table267[[#This Row],[Monthly change]])^12)-1</f>
        <v/>
      </c>
      <c r="E634" s="39">
        <f>(Table267[[#This Row],[M2 Money Stock, Billions of Dollars, Weekly, Seasonally Adjusted]]-B622)/B622</f>
        <v/>
      </c>
    </row>
    <row r="635">
      <c r="A635" s="37" t="n">
        <v>40664</v>
      </c>
      <c r="B635" s="84" t="n">
        <v>9072.700000000001</v>
      </c>
      <c r="C635" s="39">
        <f>(Table267[[#This Row],[M2 Money Stock, Billions of Dollars, Weekly, Seasonally Adjusted]]-B634)/B634</f>
        <v/>
      </c>
      <c r="D635" s="40">
        <f>((1+Table267[[#This Row],[Monthly change]])^12)-1</f>
        <v/>
      </c>
      <c r="E635" s="39">
        <f>(Table267[[#This Row],[M2 Money Stock, Billions of Dollars, Weekly, Seasonally Adjusted]]-B623)/B623</f>
        <v/>
      </c>
    </row>
    <row r="636">
      <c r="A636" s="37" t="n">
        <v>40695</v>
      </c>
      <c r="B636" s="84" t="n">
        <v>9148.4</v>
      </c>
      <c r="C636" s="39">
        <f>(Table267[[#This Row],[M2 Money Stock, Billions of Dollars, Weekly, Seasonally Adjusted]]-B635)/B635</f>
        <v/>
      </c>
      <c r="D636" s="40">
        <f>((1+Table267[[#This Row],[Monthly change]])^12)-1</f>
        <v/>
      </c>
      <c r="E636" s="39">
        <f>(Table267[[#This Row],[M2 Money Stock, Billions of Dollars, Weekly, Seasonally Adjusted]]-B624)/B624</f>
        <v/>
      </c>
    </row>
    <row r="637">
      <c r="A637" s="37" t="n">
        <v>40725</v>
      </c>
      <c r="B637" s="84" t="n">
        <v>9313.799999999999</v>
      </c>
      <c r="C637" s="39">
        <f>(Table267[[#This Row],[M2 Money Stock, Billions of Dollars, Weekly, Seasonally Adjusted]]-B636)/B636</f>
        <v/>
      </c>
      <c r="D637" s="40">
        <f>((1+Table267[[#This Row],[Monthly change]])^12)-1</f>
        <v/>
      </c>
      <c r="E637" s="39">
        <f>(Table267[[#This Row],[M2 Money Stock, Billions of Dollars, Weekly, Seasonally Adjusted]]-B625)/B625</f>
        <v/>
      </c>
    </row>
    <row r="638">
      <c r="A638" s="37" t="n">
        <v>40756</v>
      </c>
      <c r="B638" s="84" t="n">
        <v>9505</v>
      </c>
      <c r="C638" s="39">
        <f>(Table267[[#This Row],[M2 Money Stock, Billions of Dollars, Weekly, Seasonally Adjusted]]-B637)/B637</f>
        <v/>
      </c>
      <c r="D638" s="40">
        <f>((1+Table267[[#This Row],[Monthly change]])^12)-1</f>
        <v/>
      </c>
      <c r="E638" s="39">
        <f>(Table267[[#This Row],[M2 Money Stock, Billions of Dollars, Weekly, Seasonally Adjusted]]-B626)/B626</f>
        <v/>
      </c>
    </row>
    <row r="639">
      <c r="A639" s="37" t="n">
        <v>40787</v>
      </c>
      <c r="B639" s="84" t="n">
        <v>9525.799999999999</v>
      </c>
      <c r="C639" s="39">
        <f>(Table267[[#This Row],[M2 Money Stock, Billions of Dollars, Weekly, Seasonally Adjusted]]-B638)/B638</f>
        <v/>
      </c>
      <c r="D639" s="40">
        <f>((1+Table267[[#This Row],[Monthly change]])^12)-1</f>
        <v/>
      </c>
      <c r="E639" s="39">
        <f>(Table267[[#This Row],[M2 Money Stock, Billions of Dollars, Weekly, Seasonally Adjusted]]-B627)/B627</f>
        <v/>
      </c>
    </row>
    <row r="640">
      <c r="A640" s="37" t="n">
        <v>40817</v>
      </c>
      <c r="B640" s="84" t="n">
        <v>9559.5</v>
      </c>
      <c r="C640" s="39">
        <f>(Table267[[#This Row],[M2 Money Stock, Billions of Dollars, Weekly, Seasonally Adjusted]]-B639)/B639</f>
        <v/>
      </c>
      <c r="D640" s="40">
        <f>((1+Table267[[#This Row],[Monthly change]])^12)-1</f>
        <v/>
      </c>
      <c r="E640" s="39">
        <f>(Table267[[#This Row],[M2 Money Stock, Billions of Dollars, Weekly, Seasonally Adjusted]]-B628)/B628</f>
        <v/>
      </c>
    </row>
    <row r="641">
      <c r="A641" s="37" t="n">
        <v>40848</v>
      </c>
      <c r="B641" s="84" t="n">
        <v>9610.1</v>
      </c>
      <c r="C641" s="39">
        <f>(Table267[[#This Row],[M2 Money Stock, Billions of Dollars, Weekly, Seasonally Adjusted]]-B640)/B640</f>
        <v/>
      </c>
      <c r="D641" s="40">
        <f>((1+Table267[[#This Row],[Monthly change]])^12)-1</f>
        <v/>
      </c>
      <c r="E641" s="39">
        <f>(Table267[[#This Row],[M2 Money Stock, Billions of Dollars, Weekly, Seasonally Adjusted]]-B629)/B629</f>
        <v/>
      </c>
    </row>
    <row r="642">
      <c r="A642" s="37" t="n">
        <v>40878</v>
      </c>
      <c r="B642" s="84" t="n">
        <v>9657.700000000001</v>
      </c>
      <c r="C642" s="39">
        <f>(Table267[[#This Row],[M2 Money Stock, Billions of Dollars, Weekly, Seasonally Adjusted]]-B641)/B641</f>
        <v/>
      </c>
      <c r="D642" s="40">
        <f>((1+Table267[[#This Row],[Monthly change]])^12)-1</f>
        <v/>
      </c>
      <c r="E642" s="39">
        <f>(Table267[[#This Row],[M2 Money Stock, Billions of Dollars, Weekly, Seasonally Adjusted]]-B630)/B630</f>
        <v/>
      </c>
    </row>
    <row r="643">
      <c r="A643" s="37" t="n">
        <v>40909</v>
      </c>
      <c r="B643" s="84" t="n">
        <v>9731.5</v>
      </c>
      <c r="C643" s="39">
        <f>(Table267[[#This Row],[M2 Money Stock, Billions of Dollars, Weekly, Seasonally Adjusted]]-B642)/B642</f>
        <v/>
      </c>
      <c r="D643" s="40">
        <f>((1+Table267[[#This Row],[Monthly change]])^12)-1</f>
        <v/>
      </c>
      <c r="E643" s="39">
        <f>(Table267[[#This Row],[M2 Money Stock, Billions of Dollars, Weekly, Seasonally Adjusted]]-B631)/B631</f>
        <v/>
      </c>
    </row>
    <row r="644">
      <c r="A644" s="37" t="n">
        <v>40940</v>
      </c>
      <c r="B644" s="84" t="n">
        <v>9789.299999999999</v>
      </c>
      <c r="C644" s="39">
        <f>(Table267[[#This Row],[M2 Money Stock, Billions of Dollars, Weekly, Seasonally Adjusted]]-B643)/B643</f>
        <v/>
      </c>
      <c r="D644" s="40">
        <f>((1+Table267[[#This Row],[Monthly change]])^12)-1</f>
        <v/>
      </c>
      <c r="E644" s="39">
        <f>(Table267[[#This Row],[M2 Money Stock, Billions of Dollars, Weekly, Seasonally Adjusted]]-B632)/B632</f>
        <v/>
      </c>
    </row>
    <row r="645">
      <c r="A645" s="37" t="n">
        <v>40969</v>
      </c>
      <c r="B645" s="84" t="n">
        <v>9837.1</v>
      </c>
      <c r="C645" s="39">
        <f>(Table267[[#This Row],[M2 Money Stock, Billions of Dollars, Weekly, Seasonally Adjusted]]-B644)/B644</f>
        <v/>
      </c>
      <c r="D645" s="40">
        <f>((1+Table267[[#This Row],[Monthly change]])^12)-1</f>
        <v/>
      </c>
      <c r="E645" s="39">
        <f>(Table267[[#This Row],[M2 Money Stock, Billions of Dollars, Weekly, Seasonally Adjusted]]-B633)/B633</f>
        <v/>
      </c>
    </row>
    <row r="646">
      <c r="A646" s="37" t="n">
        <v>41000</v>
      </c>
      <c r="B646" s="84" t="n">
        <v>9889.9</v>
      </c>
      <c r="C646" s="39">
        <f>(Table267[[#This Row],[M2 Money Stock, Billions of Dollars, Weekly, Seasonally Adjusted]]-B645)/B645</f>
        <v/>
      </c>
      <c r="D646" s="40">
        <f>((1+Table267[[#This Row],[Monthly change]])^12)-1</f>
        <v/>
      </c>
      <c r="E646" s="39">
        <f>(Table267[[#This Row],[M2 Money Stock, Billions of Dollars, Weekly, Seasonally Adjusted]]-B634)/B634</f>
        <v/>
      </c>
    </row>
    <row r="647">
      <c r="A647" s="37" t="n">
        <v>41030</v>
      </c>
      <c r="B647" s="84" t="n">
        <v>9934.6</v>
      </c>
      <c r="C647" s="39">
        <f>(Table267[[#This Row],[M2 Money Stock, Billions of Dollars, Weekly, Seasonally Adjusted]]-B646)/B646</f>
        <v/>
      </c>
      <c r="D647" s="40">
        <f>((1+Table267[[#This Row],[Monthly change]])^12)-1</f>
        <v/>
      </c>
      <c r="E647" s="39">
        <f>(Table267[[#This Row],[M2 Money Stock, Billions of Dollars, Weekly, Seasonally Adjusted]]-B635)/B635</f>
        <v/>
      </c>
    </row>
    <row r="648">
      <c r="A648" s="37" t="n">
        <v>41061</v>
      </c>
      <c r="B648" s="84" t="n">
        <v>9998.1</v>
      </c>
      <c r="C648" s="39">
        <f>(Table267[[#This Row],[M2 Money Stock, Billions of Dollars, Weekly, Seasonally Adjusted]]-B647)/B647</f>
        <v/>
      </c>
      <c r="D648" s="40">
        <f>((1+Table267[[#This Row],[Monthly change]])^12)-1</f>
        <v/>
      </c>
      <c r="E648" s="39">
        <f>(Table267[[#This Row],[M2 Money Stock, Billions of Dollars, Weekly, Seasonally Adjusted]]-B636)/B636</f>
        <v/>
      </c>
    </row>
    <row r="649">
      <c r="A649" s="37" t="n">
        <v>41091</v>
      </c>
      <c r="B649" s="84" t="n">
        <v>10055.3</v>
      </c>
      <c r="C649" s="39">
        <f>(Table267[[#This Row],[M2 Money Stock, Billions of Dollars, Weekly, Seasonally Adjusted]]-B648)/B648</f>
        <v/>
      </c>
      <c r="D649" s="40">
        <f>((1+Table267[[#This Row],[Monthly change]])^12)-1</f>
        <v/>
      </c>
      <c r="E649" s="39">
        <f>(Table267[[#This Row],[M2 Money Stock, Billions of Dollars, Weekly, Seasonally Adjusted]]-B637)/B637</f>
        <v/>
      </c>
    </row>
    <row r="650">
      <c r="A650" s="37" t="n">
        <v>41122</v>
      </c>
      <c r="B650" s="84" t="n">
        <v>10115.2</v>
      </c>
      <c r="C650" s="39">
        <f>(Table267[[#This Row],[M2 Money Stock, Billions of Dollars, Weekly, Seasonally Adjusted]]-B649)/B649</f>
        <v/>
      </c>
      <c r="D650" s="40">
        <f>((1+Table267[[#This Row],[Monthly change]])^12)-1</f>
        <v/>
      </c>
      <c r="E650" s="39">
        <f>(Table267[[#This Row],[M2 Money Stock, Billions of Dollars, Weekly, Seasonally Adjusted]]-B638)/B638</f>
        <v/>
      </c>
    </row>
    <row r="651">
      <c r="A651" s="37" t="n">
        <v>41153</v>
      </c>
      <c r="B651" s="84" t="n">
        <v>10193.1</v>
      </c>
      <c r="C651" s="39">
        <f>(Table267[[#This Row],[M2 Money Stock, Billions of Dollars, Weekly, Seasonally Adjusted]]-B650)/B650</f>
        <v/>
      </c>
      <c r="D651" s="40">
        <f>((1+Table267[[#This Row],[Monthly change]])^12)-1</f>
        <v/>
      </c>
      <c r="E651" s="39">
        <f>(Table267[[#This Row],[M2 Money Stock, Billions of Dollars, Weekly, Seasonally Adjusted]]-B639)/B639</f>
        <v/>
      </c>
    </row>
    <row r="652">
      <c r="A652" s="37" t="n">
        <v>41183</v>
      </c>
      <c r="B652" s="84" t="n">
        <v>10256.5</v>
      </c>
      <c r="C652" s="39">
        <f>(Table267[[#This Row],[M2 Money Stock, Billions of Dollars, Weekly, Seasonally Adjusted]]-B651)/B651</f>
        <v/>
      </c>
      <c r="D652" s="40">
        <f>((1+Table267[[#This Row],[Monthly change]])^12)-1</f>
        <v/>
      </c>
      <c r="E652" s="39">
        <f>(Table267[[#This Row],[M2 Money Stock, Billions of Dollars, Weekly, Seasonally Adjusted]]-B640)/B640</f>
        <v/>
      </c>
    </row>
    <row r="653">
      <c r="A653" s="37" t="n">
        <v>41214</v>
      </c>
      <c r="B653" s="84" t="n">
        <v>10319.8</v>
      </c>
      <c r="C653" s="39">
        <f>(Table267[[#This Row],[M2 Money Stock, Billions of Dollars, Weekly, Seasonally Adjusted]]-B652)/B652</f>
        <v/>
      </c>
      <c r="D653" s="40">
        <f>((1+Table267[[#This Row],[Monthly change]])^12)-1</f>
        <v/>
      </c>
      <c r="E653" s="39">
        <f>(Table267[[#This Row],[M2 Money Stock, Billions of Dollars, Weekly, Seasonally Adjusted]]-B641)/B641</f>
        <v/>
      </c>
    </row>
    <row r="654">
      <c r="A654" s="37" t="n">
        <v>41244</v>
      </c>
      <c r="B654" s="84" t="n">
        <v>10451.5</v>
      </c>
      <c r="C654" s="39">
        <f>(Table267[[#This Row],[M2 Money Stock, Billions of Dollars, Weekly, Seasonally Adjusted]]-B653)/B653</f>
        <v/>
      </c>
      <c r="D654" s="40">
        <f>((1+Table267[[#This Row],[Monthly change]])^12)-1</f>
        <v/>
      </c>
      <c r="E654" s="39">
        <f>(Table267[[#This Row],[M2 Money Stock, Billions of Dollars, Weekly, Seasonally Adjusted]]-B642)/B642</f>
        <v/>
      </c>
    </row>
    <row r="655">
      <c r="A655" s="37" t="n">
        <v>41275</v>
      </c>
      <c r="B655" s="84" t="n">
        <v>10477</v>
      </c>
      <c r="C655" s="39">
        <f>(Table267[[#This Row],[M2 Money Stock, Billions of Dollars, Weekly, Seasonally Adjusted]]-B654)/B654</f>
        <v/>
      </c>
      <c r="D655" s="40">
        <f>((1+Table267[[#This Row],[Monthly change]])^12)-1</f>
        <v/>
      </c>
      <c r="E655" s="39">
        <f>(Table267[[#This Row],[M2 Money Stock, Billions of Dollars, Weekly, Seasonally Adjusted]]-B643)/B643</f>
        <v/>
      </c>
    </row>
    <row r="656">
      <c r="A656" s="37" t="n">
        <v>41306</v>
      </c>
      <c r="B656" s="84" t="n">
        <v>10489.1</v>
      </c>
      <c r="C656" s="39">
        <f>(Table267[[#This Row],[M2 Money Stock, Billions of Dollars, Weekly, Seasonally Adjusted]]-B655)/B655</f>
        <v/>
      </c>
      <c r="D656" s="40">
        <f>((1+Table267[[#This Row],[Monthly change]])^12)-1</f>
        <v/>
      </c>
      <c r="E656" s="39">
        <f>(Table267[[#This Row],[M2 Money Stock, Billions of Dollars, Weekly, Seasonally Adjusted]]-B644)/B644</f>
        <v/>
      </c>
    </row>
    <row r="657">
      <c r="A657" s="37" t="n">
        <v>41334</v>
      </c>
      <c r="B657" s="84" t="n">
        <v>10555.8</v>
      </c>
      <c r="C657" s="39">
        <f>(Table267[[#This Row],[M2 Money Stock, Billions of Dollars, Weekly, Seasonally Adjusted]]-B656)/B656</f>
        <v/>
      </c>
      <c r="D657" s="40">
        <f>((1+Table267[[#This Row],[Monthly change]])^12)-1</f>
        <v/>
      </c>
      <c r="E657" s="39">
        <f>(Table267[[#This Row],[M2 Money Stock, Billions of Dollars, Weekly, Seasonally Adjusted]]-B645)/B645</f>
        <v/>
      </c>
    </row>
    <row r="658">
      <c r="A658" s="37" t="n">
        <v>41365</v>
      </c>
      <c r="B658" s="84" t="n">
        <v>10590.3</v>
      </c>
      <c r="C658" s="39">
        <f>(Table267[[#This Row],[M2 Money Stock, Billions of Dollars, Weekly, Seasonally Adjusted]]-B657)/B657</f>
        <v/>
      </c>
      <c r="D658" s="40">
        <f>((1+Table267[[#This Row],[Monthly change]])^12)-1</f>
        <v/>
      </c>
      <c r="E658" s="39">
        <f>(Table267[[#This Row],[M2 Money Stock, Billions of Dollars, Weekly, Seasonally Adjusted]]-B646)/B646</f>
        <v/>
      </c>
    </row>
    <row r="659">
      <c r="A659" s="37" t="n">
        <v>41395</v>
      </c>
      <c r="B659" s="84" t="n">
        <v>10630.1</v>
      </c>
      <c r="C659" s="39">
        <f>(Table267[[#This Row],[M2 Money Stock, Billions of Dollars, Weekly, Seasonally Adjusted]]-B658)/B658</f>
        <v/>
      </c>
      <c r="D659" s="40">
        <f>((1+Table267[[#This Row],[Monthly change]])^12)-1</f>
        <v/>
      </c>
      <c r="E659" s="39">
        <f>(Table267[[#This Row],[M2 Money Stock, Billions of Dollars, Weekly, Seasonally Adjusted]]-B647)/B647</f>
        <v/>
      </c>
    </row>
    <row r="660">
      <c r="A660" s="37" t="n">
        <v>41426</v>
      </c>
      <c r="B660" s="84" t="n">
        <v>10682.5</v>
      </c>
      <c r="C660" s="39">
        <f>(Table267[[#This Row],[M2 Money Stock, Billions of Dollars, Weekly, Seasonally Adjusted]]-B659)/B659</f>
        <v/>
      </c>
      <c r="D660" s="40">
        <f>((1+Table267[[#This Row],[Monthly change]])^12)-1</f>
        <v/>
      </c>
      <c r="E660" s="39">
        <f>(Table267[[#This Row],[M2 Money Stock, Billions of Dollars, Weekly, Seasonally Adjusted]]-B648)/B648</f>
        <v/>
      </c>
    </row>
    <row r="661">
      <c r="A661" s="37" t="n">
        <v>41456</v>
      </c>
      <c r="B661" s="84" t="n">
        <v>10728.9</v>
      </c>
      <c r="C661" s="39">
        <f>(Table267[[#This Row],[M2 Money Stock, Billions of Dollars, Weekly, Seasonally Adjusted]]-B660)/B660</f>
        <v/>
      </c>
      <c r="D661" s="40">
        <f>((1+Table267[[#This Row],[Monthly change]])^12)-1</f>
        <v/>
      </c>
      <c r="E661" s="39">
        <f>(Table267[[#This Row],[M2 Money Stock, Billions of Dollars, Weekly, Seasonally Adjusted]]-B649)/B649</f>
        <v/>
      </c>
    </row>
    <row r="662">
      <c r="A662" s="37" t="n">
        <v>41487</v>
      </c>
      <c r="B662" s="84" t="n">
        <v>10783.5</v>
      </c>
      <c r="C662" s="39">
        <f>(Table267[[#This Row],[M2 Money Stock, Billions of Dollars, Weekly, Seasonally Adjusted]]-B661)/B661</f>
        <v/>
      </c>
      <c r="D662" s="40">
        <f>((1+Table267[[#This Row],[Monthly change]])^12)-1</f>
        <v/>
      </c>
      <c r="E662" s="39">
        <f>(Table267[[#This Row],[M2 Money Stock, Billions of Dollars, Weekly, Seasonally Adjusted]]-B650)/B650</f>
        <v/>
      </c>
    </row>
    <row r="663">
      <c r="A663" s="37" t="n">
        <v>41518</v>
      </c>
      <c r="B663" s="84" t="n">
        <v>10835.3</v>
      </c>
      <c r="C663" s="39">
        <f>(Table267[[#This Row],[M2 Money Stock, Billions of Dollars, Weekly, Seasonally Adjusted]]-B662)/B662</f>
        <v/>
      </c>
      <c r="D663" s="40">
        <f>((1+Table267[[#This Row],[Monthly change]])^12)-1</f>
        <v/>
      </c>
      <c r="E663" s="39">
        <f>(Table267[[#This Row],[M2 Money Stock, Billions of Dollars, Weekly, Seasonally Adjusted]]-B651)/B651</f>
        <v/>
      </c>
    </row>
    <row r="664">
      <c r="A664" s="37" t="n">
        <v>41548</v>
      </c>
      <c r="B664" s="84" t="n">
        <v>10948.7</v>
      </c>
      <c r="C664" s="39">
        <f>(Table267[[#This Row],[M2 Money Stock, Billions of Dollars, Weekly, Seasonally Adjusted]]-B663)/B663</f>
        <v/>
      </c>
      <c r="D664" s="40">
        <f>((1+Table267[[#This Row],[Monthly change]])^12)-1</f>
        <v/>
      </c>
      <c r="E664" s="39">
        <f>(Table267[[#This Row],[M2 Money Stock, Billions of Dollars, Weekly, Seasonally Adjusted]]-B652)/B652</f>
        <v/>
      </c>
    </row>
    <row r="665">
      <c r="A665" s="37" t="n">
        <v>41579</v>
      </c>
      <c r="B665" s="84" t="n">
        <v>10954.1</v>
      </c>
      <c r="C665" s="39">
        <f>(Table267[[#This Row],[M2 Money Stock, Billions of Dollars, Weekly, Seasonally Adjusted]]-B664)/B664</f>
        <v/>
      </c>
      <c r="D665" s="40">
        <f>((1+Table267[[#This Row],[Monthly change]])^12)-1</f>
        <v/>
      </c>
      <c r="E665" s="39">
        <f>(Table267[[#This Row],[M2 Money Stock, Billions of Dollars, Weekly, Seasonally Adjusted]]-B653)/B653</f>
        <v/>
      </c>
    </row>
    <row r="666">
      <c r="A666" s="37" t="n">
        <v>41609</v>
      </c>
      <c r="B666" s="84" t="n">
        <v>11020.3</v>
      </c>
      <c r="C666" s="39">
        <f>(Table267[[#This Row],[M2 Money Stock, Billions of Dollars, Weekly, Seasonally Adjusted]]-B665)/B665</f>
        <v/>
      </c>
      <c r="D666" s="40">
        <f>((1+Table267[[#This Row],[Monthly change]])^12)-1</f>
        <v/>
      </c>
      <c r="E666" s="39">
        <f>(Table267[[#This Row],[M2 Money Stock, Billions of Dollars, Weekly, Seasonally Adjusted]]-B654)/B654</f>
        <v/>
      </c>
    </row>
    <row r="667">
      <c r="A667" s="37" t="n">
        <v>41640</v>
      </c>
      <c r="B667" s="84" t="n">
        <v>11076.6</v>
      </c>
      <c r="C667" s="39">
        <f>(Table267[[#This Row],[M2 Money Stock, Billions of Dollars, Weekly, Seasonally Adjusted]]-B666)/B666</f>
        <v/>
      </c>
      <c r="D667" s="40">
        <f>((1+Table267[[#This Row],[Monthly change]])^12)-1</f>
        <v/>
      </c>
      <c r="E667" s="39">
        <f>(Table267[[#This Row],[M2 Money Stock, Billions of Dollars, Weekly, Seasonally Adjusted]]-B655)/B655</f>
        <v/>
      </c>
    </row>
    <row r="668">
      <c r="A668" s="37" t="n">
        <v>41671</v>
      </c>
      <c r="B668" s="84" t="n">
        <v>11169.3</v>
      </c>
      <c r="C668" s="39">
        <f>(Table267[[#This Row],[M2 Money Stock, Billions of Dollars, Weekly, Seasonally Adjusted]]-B667)/B667</f>
        <v/>
      </c>
      <c r="D668" s="40">
        <f>((1+Table267[[#This Row],[Monthly change]])^12)-1</f>
        <v/>
      </c>
      <c r="E668" s="39">
        <f>(Table267[[#This Row],[M2 Money Stock, Billions of Dollars, Weekly, Seasonally Adjusted]]-B656)/B656</f>
        <v/>
      </c>
    </row>
    <row r="669">
      <c r="A669" s="37" t="n">
        <v>41699</v>
      </c>
      <c r="B669" s="84" t="n">
        <v>11207.6</v>
      </c>
      <c r="C669" s="39">
        <f>(Table267[[#This Row],[M2 Money Stock, Billions of Dollars, Weekly, Seasonally Adjusted]]-B668)/B668</f>
        <v/>
      </c>
      <c r="D669" s="40">
        <f>((1+Table267[[#This Row],[Monthly change]])^12)-1</f>
        <v/>
      </c>
      <c r="E669" s="39">
        <f>(Table267[[#This Row],[M2 Money Stock, Billions of Dollars, Weekly, Seasonally Adjusted]]-B657)/B657</f>
        <v/>
      </c>
    </row>
    <row r="670">
      <c r="A670" s="37" t="n">
        <v>41730</v>
      </c>
      <c r="B670" s="84" t="n">
        <v>11259.8</v>
      </c>
      <c r="C670" s="39">
        <f>(Table267[[#This Row],[M2 Money Stock, Billions of Dollars, Weekly, Seasonally Adjusted]]-B669)/B669</f>
        <v/>
      </c>
      <c r="D670" s="40">
        <f>((1+Table267[[#This Row],[Monthly change]])^12)-1</f>
        <v/>
      </c>
      <c r="E670" s="39">
        <f>(Table267[[#This Row],[M2 Money Stock, Billions of Dollars, Weekly, Seasonally Adjusted]]-B658)/B658</f>
        <v/>
      </c>
    </row>
    <row r="671">
      <c r="A671" s="37" t="n">
        <v>41760</v>
      </c>
      <c r="B671" s="84" t="n">
        <v>11326.3</v>
      </c>
      <c r="C671" s="39">
        <f>(Table267[[#This Row],[M2 Money Stock, Billions of Dollars, Weekly, Seasonally Adjusted]]-B670)/B670</f>
        <v/>
      </c>
      <c r="D671" s="40">
        <f>((1+Table267[[#This Row],[Monthly change]])^12)-1</f>
        <v/>
      </c>
      <c r="E671" s="39">
        <f>(Table267[[#This Row],[M2 Money Stock, Billions of Dollars, Weekly, Seasonally Adjusted]]-B659)/B659</f>
        <v/>
      </c>
    </row>
    <row r="672">
      <c r="A672" s="37" t="n">
        <v>41791</v>
      </c>
      <c r="B672" s="84" t="n">
        <v>11377.2</v>
      </c>
      <c r="C672" s="39">
        <f>(Table267[[#This Row],[M2 Money Stock, Billions of Dollars, Weekly, Seasonally Adjusted]]-B671)/B671</f>
        <v/>
      </c>
      <c r="D672" s="40">
        <f>((1+Table267[[#This Row],[Monthly change]])^12)-1</f>
        <v/>
      </c>
      <c r="E672" s="39">
        <f>(Table267[[#This Row],[M2 Money Stock, Billions of Dollars, Weekly, Seasonally Adjusted]]-B660)/B660</f>
        <v/>
      </c>
    </row>
    <row r="673">
      <c r="A673" s="37" t="n">
        <v>41821</v>
      </c>
      <c r="B673" s="84" t="n">
        <v>11434</v>
      </c>
      <c r="C673" s="39">
        <f>(Table267[[#This Row],[M2 Money Stock, Billions of Dollars, Weekly, Seasonally Adjusted]]-B672)/B672</f>
        <v/>
      </c>
      <c r="D673" s="40">
        <f>((1+Table267[[#This Row],[Monthly change]])^12)-1</f>
        <v/>
      </c>
      <c r="E673" s="39">
        <f>(Table267[[#This Row],[M2 Money Stock, Billions of Dollars, Weekly, Seasonally Adjusted]]-B661)/B661</f>
        <v/>
      </c>
    </row>
    <row r="674">
      <c r="A674" s="37" t="n">
        <v>41852</v>
      </c>
      <c r="B674" s="84" t="n">
        <v>11462.9</v>
      </c>
      <c r="C674" s="39">
        <f>(Table267[[#This Row],[M2 Money Stock, Billions of Dollars, Weekly, Seasonally Adjusted]]-B673)/B673</f>
        <v/>
      </c>
      <c r="D674" s="40">
        <f>((1+Table267[[#This Row],[Monthly change]])^12)-1</f>
        <v/>
      </c>
      <c r="E674" s="39">
        <f>(Table267[[#This Row],[M2 Money Stock, Billions of Dollars, Weekly, Seasonally Adjusted]]-B662)/B662</f>
        <v/>
      </c>
    </row>
    <row r="675">
      <c r="A675" s="37" t="n">
        <v>41883</v>
      </c>
      <c r="B675" s="84" t="n">
        <v>11496.7</v>
      </c>
      <c r="C675" s="39">
        <f>(Table267[[#This Row],[M2 Money Stock, Billions of Dollars, Weekly, Seasonally Adjusted]]-B674)/B674</f>
        <v/>
      </c>
      <c r="D675" s="40">
        <f>((1+Table267[[#This Row],[Monthly change]])^12)-1</f>
        <v/>
      </c>
      <c r="E675" s="39">
        <f>(Table267[[#This Row],[M2 Money Stock, Billions of Dollars, Weekly, Seasonally Adjusted]]-B663)/B663</f>
        <v/>
      </c>
    </row>
    <row r="676">
      <c r="A676" s="37" t="n">
        <v>41913</v>
      </c>
      <c r="B676" s="84" t="n">
        <v>11558.6</v>
      </c>
      <c r="C676" s="39">
        <f>(Table267[[#This Row],[M2 Money Stock, Billions of Dollars, Weekly, Seasonally Adjusted]]-B675)/B675</f>
        <v/>
      </c>
      <c r="D676" s="40">
        <f>((1+Table267[[#This Row],[Monthly change]])^12)-1</f>
        <v/>
      </c>
      <c r="E676" s="39">
        <f>(Table267[[#This Row],[M2 Money Stock, Billions of Dollars, Weekly, Seasonally Adjusted]]-B664)/B664</f>
        <v/>
      </c>
    </row>
    <row r="677">
      <c r="A677" s="37" t="n">
        <v>41944</v>
      </c>
      <c r="B677" s="84" t="n">
        <v>11594.7</v>
      </c>
      <c r="C677" s="39">
        <f>(Table267[[#This Row],[M2 Money Stock, Billions of Dollars, Weekly, Seasonally Adjusted]]-B676)/B676</f>
        <v/>
      </c>
      <c r="D677" s="40">
        <f>((1+Table267[[#This Row],[Monthly change]])^12)-1</f>
        <v/>
      </c>
      <c r="E677" s="39">
        <f>(Table267[[#This Row],[M2 Money Stock, Billions of Dollars, Weekly, Seasonally Adjusted]]-B665)/B665</f>
        <v/>
      </c>
    </row>
    <row r="678">
      <c r="A678" s="37" t="n">
        <v>41974</v>
      </c>
      <c r="B678" s="84" t="n">
        <v>11674</v>
      </c>
      <c r="C678" s="39">
        <f>(Table267[[#This Row],[M2 Money Stock, Billions of Dollars, Weekly, Seasonally Adjusted]]-B677)/B677</f>
        <v/>
      </c>
      <c r="D678" s="40">
        <f>((1+Table267[[#This Row],[Monthly change]])^12)-1</f>
        <v/>
      </c>
      <c r="E678" s="39">
        <f>(Table267[[#This Row],[M2 Money Stock, Billions of Dollars, Weekly, Seasonally Adjusted]]-B666)/B666</f>
        <v/>
      </c>
    </row>
    <row r="679">
      <c r="A679" s="37" t="n">
        <v>42005</v>
      </c>
      <c r="B679" s="84" t="n">
        <v>11743.9</v>
      </c>
      <c r="C679" s="39">
        <f>(Table267[[#This Row],[M2 Money Stock, Billions of Dollars, Weekly, Seasonally Adjusted]]-B678)/B678</f>
        <v/>
      </c>
      <c r="D679" s="40">
        <f>((1+Table267[[#This Row],[Monthly change]])^12)-1</f>
        <v/>
      </c>
      <c r="E679" s="39">
        <f>(Table267[[#This Row],[M2 Money Stock, Billions of Dollars, Weekly, Seasonally Adjusted]]-B667)/B667</f>
        <v/>
      </c>
    </row>
    <row r="680">
      <c r="A680" s="37" t="n">
        <v>42036</v>
      </c>
      <c r="B680" s="84" t="n">
        <v>11871.7</v>
      </c>
      <c r="C680" s="39">
        <f>(Table267[[#This Row],[M2 Money Stock, Billions of Dollars, Weekly, Seasonally Adjusted]]-B679)/B679</f>
        <v/>
      </c>
      <c r="D680" s="40">
        <f>((1+Table267[[#This Row],[Monthly change]])^12)-1</f>
        <v/>
      </c>
      <c r="E680" s="39">
        <f>(Table267[[#This Row],[M2 Money Stock, Billions of Dollars, Weekly, Seasonally Adjusted]]-B668)/B668</f>
        <v/>
      </c>
    </row>
    <row r="681">
      <c r="A681" s="37" t="n">
        <v>42064</v>
      </c>
      <c r="B681" s="84" t="n">
        <v>11888.1</v>
      </c>
      <c r="C681" s="39">
        <f>(Table267[[#This Row],[M2 Money Stock, Billions of Dollars, Weekly, Seasonally Adjusted]]-B680)/B680</f>
        <v/>
      </c>
      <c r="D681" s="40">
        <f>((1+Table267[[#This Row],[Monthly change]])^12)-1</f>
        <v/>
      </c>
      <c r="E681" s="39">
        <f>(Table267[[#This Row],[M2 Money Stock, Billions of Dollars, Weekly, Seasonally Adjusted]]-B669)/B669</f>
        <v/>
      </c>
    </row>
    <row r="682">
      <c r="A682" s="37" t="n">
        <v>42095</v>
      </c>
      <c r="B682" s="84" t="n">
        <v>11927.6</v>
      </c>
      <c r="C682" s="39">
        <f>(Table267[[#This Row],[M2 Money Stock, Billions of Dollars, Weekly, Seasonally Adjusted]]-B681)/B681</f>
        <v/>
      </c>
      <c r="D682" s="40">
        <f>((1+Table267[[#This Row],[Monthly change]])^12)-1</f>
        <v/>
      </c>
      <c r="E682" s="39">
        <f>(Table267[[#This Row],[M2 Money Stock, Billions of Dollars, Weekly, Seasonally Adjusted]]-B670)/B670</f>
        <v/>
      </c>
    </row>
    <row r="683">
      <c r="A683" s="37" t="n">
        <v>42125</v>
      </c>
      <c r="B683" s="84" t="n">
        <v>11957.9</v>
      </c>
      <c r="C683" s="39">
        <f>(Table267[[#This Row],[M2 Money Stock, Billions of Dollars, Weekly, Seasonally Adjusted]]-B682)/B682</f>
        <v/>
      </c>
      <c r="D683" s="40">
        <f>((1+Table267[[#This Row],[Monthly change]])^12)-1</f>
        <v/>
      </c>
      <c r="E683" s="39">
        <f>(Table267[[#This Row],[M2 Money Stock, Billions of Dollars, Weekly, Seasonally Adjusted]]-B671)/B671</f>
        <v/>
      </c>
    </row>
    <row r="684">
      <c r="A684" s="37" t="n">
        <v>42156</v>
      </c>
      <c r="B684" s="84" t="n">
        <v>12002.9</v>
      </c>
      <c r="C684" s="39">
        <f>(Table267[[#This Row],[M2 Money Stock, Billions of Dollars, Weekly, Seasonally Adjusted]]-B683)/B683</f>
        <v/>
      </c>
      <c r="D684" s="40">
        <f>((1+Table267[[#This Row],[Monthly change]])^12)-1</f>
        <v/>
      </c>
      <c r="E684" s="39">
        <f>(Table267[[#This Row],[M2 Money Stock, Billions of Dollars, Weekly, Seasonally Adjusted]]-B672)/B672</f>
        <v/>
      </c>
    </row>
    <row r="685">
      <c r="A685" s="37" t="n">
        <v>42186</v>
      </c>
      <c r="B685" s="84" t="n">
        <v>12052</v>
      </c>
      <c r="C685" s="39">
        <f>(Table267[[#This Row],[M2 Money Stock, Billions of Dollars, Weekly, Seasonally Adjusted]]-B684)/B684</f>
        <v/>
      </c>
      <c r="D685" s="40">
        <f>((1+Table267[[#This Row],[Monthly change]])^12)-1</f>
        <v/>
      </c>
      <c r="E685" s="39">
        <f>(Table267[[#This Row],[M2 Money Stock, Billions of Dollars, Weekly, Seasonally Adjusted]]-B673)/B673</f>
        <v/>
      </c>
    </row>
    <row r="686">
      <c r="A686" s="37" t="n">
        <v>42217</v>
      </c>
      <c r="B686" s="84" t="n">
        <v>12100.6</v>
      </c>
      <c r="C686" s="39">
        <f>(Table267[[#This Row],[M2 Money Stock, Billions of Dollars, Weekly, Seasonally Adjusted]]-B685)/B685</f>
        <v/>
      </c>
      <c r="D686" s="40">
        <f>((1+Table267[[#This Row],[Monthly change]])^12)-1</f>
        <v/>
      </c>
      <c r="E686" s="39">
        <f>(Table267[[#This Row],[M2 Money Stock, Billions of Dollars, Weekly, Seasonally Adjusted]]-B674)/B674</f>
        <v/>
      </c>
    </row>
    <row r="687">
      <c r="A687" s="37" t="n">
        <v>42248</v>
      </c>
      <c r="B687" s="84" t="n">
        <v>12154.6</v>
      </c>
      <c r="C687" s="39">
        <f>(Table267[[#This Row],[M2 Money Stock, Billions of Dollars, Weekly, Seasonally Adjusted]]-B686)/B686</f>
        <v/>
      </c>
      <c r="D687" s="40">
        <f>((1+Table267[[#This Row],[Monthly change]])^12)-1</f>
        <v/>
      </c>
      <c r="E687" s="39">
        <f>(Table267[[#This Row],[M2 Money Stock, Billions of Dollars, Weekly, Seasonally Adjusted]]-B675)/B675</f>
        <v/>
      </c>
    </row>
    <row r="688">
      <c r="A688" s="37" t="n">
        <v>42278</v>
      </c>
      <c r="B688" s="84" t="n">
        <v>12192.5</v>
      </c>
      <c r="C688" s="39">
        <f>(Table267[[#This Row],[M2 Money Stock, Billions of Dollars, Weekly, Seasonally Adjusted]]-B687)/B687</f>
        <v/>
      </c>
      <c r="D688" s="40">
        <f>((1+Table267[[#This Row],[Monthly change]])^12)-1</f>
        <v/>
      </c>
      <c r="E688" s="39">
        <f>(Table267[[#This Row],[M2 Money Stock, Billions of Dollars, Weekly, Seasonally Adjusted]]-B676)/B676</f>
        <v/>
      </c>
    </row>
    <row r="689">
      <c r="A689" s="37" t="n">
        <v>42309</v>
      </c>
      <c r="B689" s="84" t="n">
        <v>12277</v>
      </c>
      <c r="C689" s="39">
        <f>(Table267[[#This Row],[M2 Money Stock, Billions of Dollars, Weekly, Seasonally Adjusted]]-B688)/B688</f>
        <v/>
      </c>
      <c r="D689" s="40">
        <f>((1+Table267[[#This Row],[Monthly change]])^12)-1</f>
        <v/>
      </c>
      <c r="E689" s="39">
        <f>(Table267[[#This Row],[M2 Money Stock, Billions of Dollars, Weekly, Seasonally Adjusted]]-B677)/B677</f>
        <v/>
      </c>
    </row>
    <row r="690">
      <c r="A690" s="37" t="n">
        <v>42339</v>
      </c>
      <c r="B690" s="84" t="n">
        <v>12340.1</v>
      </c>
      <c r="C690" s="39">
        <f>(Table267[[#This Row],[M2 Money Stock, Billions of Dollars, Weekly, Seasonally Adjusted]]-B689)/B689</f>
        <v/>
      </c>
      <c r="D690" s="40">
        <f>((1+Table267[[#This Row],[Monthly change]])^12)-1</f>
        <v/>
      </c>
      <c r="E690" s="39">
        <f>(Table267[[#This Row],[M2 Money Stock, Billions of Dollars, Weekly, Seasonally Adjusted]]-B678)/B678</f>
        <v/>
      </c>
    </row>
    <row r="691">
      <c r="A691" s="37" t="n">
        <v>42370</v>
      </c>
      <c r="B691" s="84" t="n">
        <v>12471.4</v>
      </c>
      <c r="C691" s="39">
        <f>(Table267[[#This Row],[M2 Money Stock, Billions of Dollars, Weekly, Seasonally Adjusted]]-B690)/B690</f>
        <v/>
      </c>
      <c r="D691" s="40">
        <f>((1+Table267[[#This Row],[Monthly change]])^12)-1</f>
        <v/>
      </c>
      <c r="E691" s="39">
        <f>(Table267[[#This Row],[M2 Money Stock, Billions of Dollars, Weekly, Seasonally Adjusted]]-B679)/B679</f>
        <v/>
      </c>
    </row>
    <row r="692">
      <c r="A692" s="37" t="n">
        <v>42401</v>
      </c>
      <c r="B692" s="84" t="n">
        <v>12552.3</v>
      </c>
      <c r="C692" s="39">
        <f>(Table267[[#This Row],[M2 Money Stock, Billions of Dollars, Weekly, Seasonally Adjusted]]-B691)/B691</f>
        <v/>
      </c>
      <c r="D692" s="40">
        <f>((1+Table267[[#This Row],[Monthly change]])^12)-1</f>
        <v/>
      </c>
      <c r="E692" s="39">
        <f>(Table267[[#This Row],[M2 Money Stock, Billions of Dollars, Weekly, Seasonally Adjusted]]-B680)/B680</f>
        <v/>
      </c>
    </row>
    <row r="693">
      <c r="A693" s="37" t="n">
        <v>42430</v>
      </c>
      <c r="B693" s="84" t="n">
        <v>12616.6</v>
      </c>
      <c r="C693" s="39">
        <f>(Table267[[#This Row],[M2 Money Stock, Billions of Dollars, Weekly, Seasonally Adjusted]]-B692)/B692</f>
        <v/>
      </c>
      <c r="D693" s="40">
        <f>((1+Table267[[#This Row],[Monthly change]])^12)-1</f>
        <v/>
      </c>
      <c r="E693" s="39">
        <f>(Table267[[#This Row],[M2 Money Stock, Billions of Dollars, Weekly, Seasonally Adjusted]]-B681)/B681</f>
        <v/>
      </c>
    </row>
    <row r="694">
      <c r="A694" s="37" t="n">
        <v>42461</v>
      </c>
      <c r="B694" s="84" t="n">
        <v>12697</v>
      </c>
      <c r="C694" s="39">
        <f>(Table267[[#This Row],[M2 Money Stock, Billions of Dollars, Weekly, Seasonally Adjusted]]-B693)/B693</f>
        <v/>
      </c>
      <c r="D694" s="40">
        <f>((1+Table267[[#This Row],[Monthly change]])^12)-1</f>
        <v/>
      </c>
      <c r="E694" s="39">
        <f>(Table267[[#This Row],[M2 Money Stock, Billions of Dollars, Weekly, Seasonally Adjusted]]-B682)/B682</f>
        <v/>
      </c>
    </row>
    <row r="695">
      <c r="A695" s="37" t="n">
        <v>42491</v>
      </c>
      <c r="B695" s="84" t="n">
        <v>12763.7</v>
      </c>
      <c r="C695" s="39">
        <f>(Table267[[#This Row],[M2 Money Stock, Billions of Dollars, Weekly, Seasonally Adjusted]]-B694)/B694</f>
        <v/>
      </c>
      <c r="D695" s="40">
        <f>((1+Table267[[#This Row],[Monthly change]])^12)-1</f>
        <v/>
      </c>
      <c r="E695" s="39">
        <f>(Table267[[#This Row],[M2 Money Stock, Billions of Dollars, Weekly, Seasonally Adjusted]]-B683)/B683</f>
        <v/>
      </c>
    </row>
    <row r="696">
      <c r="A696" s="37" t="n">
        <v>42522</v>
      </c>
      <c r="B696" s="84" t="n">
        <v>12830.6</v>
      </c>
      <c r="C696" s="39">
        <f>(Table267[[#This Row],[M2 Money Stock, Billions of Dollars, Weekly, Seasonally Adjusted]]-B695)/B695</f>
        <v/>
      </c>
      <c r="D696" s="40">
        <f>((1+Table267[[#This Row],[Monthly change]])^12)-1</f>
        <v/>
      </c>
      <c r="E696" s="39">
        <f>(Table267[[#This Row],[M2 Money Stock, Billions of Dollars, Weekly, Seasonally Adjusted]]-B684)/B684</f>
        <v/>
      </c>
    </row>
    <row r="697">
      <c r="A697" s="37" t="n">
        <v>42552</v>
      </c>
      <c r="B697" s="84" t="n">
        <v>12889.1</v>
      </c>
      <c r="C697" s="39">
        <f>(Table267[[#This Row],[M2 Money Stock, Billions of Dollars, Weekly, Seasonally Adjusted]]-B696)/B696</f>
        <v/>
      </c>
      <c r="D697" s="40">
        <f>((1+Table267[[#This Row],[Monthly change]])^12)-1</f>
        <v/>
      </c>
      <c r="E697" s="39">
        <f>(Table267[[#This Row],[M2 Money Stock, Billions of Dollars, Weekly, Seasonally Adjusted]]-B685)/B685</f>
        <v/>
      </c>
    </row>
    <row r="698">
      <c r="A698" s="37" t="n">
        <v>42583</v>
      </c>
      <c r="B698" s="84" t="n">
        <v>12968.2</v>
      </c>
      <c r="C698" s="39">
        <f>(Table267[[#This Row],[M2 Money Stock, Billions of Dollars, Weekly, Seasonally Adjusted]]-B697)/B697</f>
        <v/>
      </c>
      <c r="D698" s="40">
        <f>((1+Table267[[#This Row],[Monthly change]])^12)-1</f>
        <v/>
      </c>
      <c r="E698" s="39">
        <f>(Table267[[#This Row],[M2 Money Stock, Billions of Dollars, Weekly, Seasonally Adjusted]]-B686)/B686</f>
        <v/>
      </c>
    </row>
    <row r="699">
      <c r="A699" s="37" t="n">
        <v>42614</v>
      </c>
      <c r="B699" s="84" t="n">
        <v>13027.4</v>
      </c>
      <c r="C699" s="39">
        <f>(Table267[[#This Row],[M2 Money Stock, Billions of Dollars, Weekly, Seasonally Adjusted]]-B698)/B698</f>
        <v/>
      </c>
      <c r="D699" s="40">
        <f>((1+Table267[[#This Row],[Monthly change]])^12)-1</f>
        <v/>
      </c>
      <c r="E699" s="39">
        <f>(Table267[[#This Row],[M2 Money Stock, Billions of Dollars, Weekly, Seasonally Adjusted]]-B687)/B687</f>
        <v/>
      </c>
    </row>
    <row r="700">
      <c r="A700" s="37" t="n">
        <v>42644</v>
      </c>
      <c r="B700" s="84" t="n">
        <v>13099.7</v>
      </c>
      <c r="C700" s="39">
        <f>(Table267[[#This Row],[M2 Money Stock, Billions of Dollars, Weekly, Seasonally Adjusted]]-B699)/B699</f>
        <v/>
      </c>
      <c r="D700" s="40">
        <f>((1+Table267[[#This Row],[Monthly change]])^12)-1</f>
        <v/>
      </c>
      <c r="E700" s="39">
        <f>(Table267[[#This Row],[M2 Money Stock, Billions of Dollars, Weekly, Seasonally Adjusted]]-B688)/B688</f>
        <v/>
      </c>
    </row>
    <row r="701">
      <c r="A701" s="37" t="n">
        <v>42675</v>
      </c>
      <c r="B701" s="84" t="n">
        <v>13174.1</v>
      </c>
      <c r="C701" s="39">
        <f>(Table267[[#This Row],[M2 Money Stock, Billions of Dollars, Weekly, Seasonally Adjusted]]-B700)/B700</f>
        <v/>
      </c>
      <c r="D701" s="40">
        <f>((1+Table267[[#This Row],[Monthly change]])^12)-1</f>
        <v/>
      </c>
      <c r="E701" s="39">
        <f>(Table267[[#This Row],[M2 Money Stock, Billions of Dollars, Weekly, Seasonally Adjusted]]-B689)/B689</f>
        <v/>
      </c>
    </row>
    <row r="702">
      <c r="A702" s="37" t="n">
        <v>42705</v>
      </c>
      <c r="B702" s="84" t="n">
        <v>13214.2</v>
      </c>
      <c r="C702" s="39">
        <f>(Table267[[#This Row],[M2 Money Stock, Billions of Dollars, Weekly, Seasonally Adjusted]]-B701)/B701</f>
        <v/>
      </c>
      <c r="D702" s="40">
        <f>((1+Table267[[#This Row],[Monthly change]])^12)-1</f>
        <v/>
      </c>
      <c r="E702" s="39">
        <f>(Table267[[#This Row],[M2 Money Stock, Billions of Dollars, Weekly, Seasonally Adjusted]]-B690)/B690</f>
        <v/>
      </c>
    </row>
    <row r="703">
      <c r="A703" s="37" t="n">
        <v>42736</v>
      </c>
      <c r="B703" s="84" t="n">
        <v>13288.7</v>
      </c>
      <c r="C703" s="39">
        <f>(Table267[[#This Row],[M2 Money Stock, Billions of Dollars, Weekly, Seasonally Adjusted]]-B702)/B702</f>
        <v/>
      </c>
      <c r="D703" s="40">
        <f>((1+Table267[[#This Row],[Monthly change]])^12)-1</f>
        <v/>
      </c>
      <c r="E703" s="39">
        <f>(Table267[[#This Row],[M2 Money Stock, Billions of Dollars, Weekly, Seasonally Adjusted]]-B691)/B691</f>
        <v/>
      </c>
    </row>
    <row r="704">
      <c r="A704" s="37" t="n">
        <v>42767</v>
      </c>
      <c r="B704" s="84" t="n">
        <v>13359.2</v>
      </c>
      <c r="C704" s="39">
        <f>(Table267[[#This Row],[M2 Money Stock, Billions of Dollars, Weekly, Seasonally Adjusted]]-B703)/B703</f>
        <v/>
      </c>
      <c r="D704" s="40">
        <f>((1+Table267[[#This Row],[Monthly change]])^12)-1</f>
        <v/>
      </c>
      <c r="E704" s="39">
        <f>(Table267[[#This Row],[M2 Money Stock, Billions of Dollars, Weekly, Seasonally Adjusted]]-B692)/B692</f>
        <v/>
      </c>
    </row>
    <row r="705">
      <c r="A705" s="37" t="n">
        <v>42795</v>
      </c>
      <c r="B705" s="84" t="n">
        <v>13428.6</v>
      </c>
      <c r="C705" s="39">
        <f>(Table267[[#This Row],[M2 Money Stock, Billions of Dollars, Weekly, Seasonally Adjusted]]-B704)/B704</f>
        <v/>
      </c>
      <c r="D705" s="40">
        <f>((1+Table267[[#This Row],[Monthly change]])^12)-1</f>
        <v/>
      </c>
      <c r="E705" s="39">
        <f>(Table267[[#This Row],[M2 Money Stock, Billions of Dollars, Weekly, Seasonally Adjusted]]-B693)/B693</f>
        <v/>
      </c>
    </row>
    <row r="706">
      <c r="A706" s="37" t="n">
        <v>42826</v>
      </c>
      <c r="B706" s="84" t="n">
        <v>13486.6</v>
      </c>
      <c r="C706" s="39">
        <f>(Table267[[#This Row],[M2 Money Stock, Billions of Dollars, Weekly, Seasonally Adjusted]]-B705)/B705</f>
        <v/>
      </c>
      <c r="D706" s="40">
        <f>((1+Table267[[#This Row],[Monthly change]])^12)-1</f>
        <v/>
      </c>
      <c r="E706" s="39">
        <f>(Table267[[#This Row],[M2 Money Stock, Billions of Dollars, Weekly, Seasonally Adjusted]]-B694)/B694</f>
        <v/>
      </c>
    </row>
    <row r="707">
      <c r="A707" s="37" t="n">
        <v>42856</v>
      </c>
      <c r="B707" s="84" t="n">
        <v>13537.3</v>
      </c>
      <c r="C707" s="39">
        <f>(Table267[[#This Row],[M2 Money Stock, Billions of Dollars, Weekly, Seasonally Adjusted]]-B706)/B706</f>
        <v/>
      </c>
      <c r="D707" s="40">
        <f>((1+Table267[[#This Row],[Monthly change]])^12)-1</f>
        <v/>
      </c>
      <c r="E707" s="39">
        <f>(Table267[[#This Row],[M2 Money Stock, Billions of Dollars, Weekly, Seasonally Adjusted]]-B695)/B695</f>
        <v/>
      </c>
    </row>
    <row r="708">
      <c r="A708" s="37" t="n">
        <v>42887</v>
      </c>
      <c r="B708" s="84" t="n">
        <v>13564.7</v>
      </c>
      <c r="C708" s="39">
        <f>(Table267[[#This Row],[M2 Money Stock, Billions of Dollars, Weekly, Seasonally Adjusted]]-B707)/B707</f>
        <v/>
      </c>
      <c r="D708" s="40">
        <f>((1+Table267[[#This Row],[Monthly change]])^12)-1</f>
        <v/>
      </c>
      <c r="E708" s="39">
        <f>(Table267[[#This Row],[M2 Money Stock, Billions of Dollars, Weekly, Seasonally Adjusted]]-B696)/B696</f>
        <v/>
      </c>
    </row>
    <row r="709">
      <c r="A709" s="37" t="n">
        <v>42917</v>
      </c>
      <c r="B709" s="84" t="n">
        <v>13621.8</v>
      </c>
      <c r="C709" s="39">
        <f>(Table267[[#This Row],[M2 Money Stock, Billions of Dollars, Weekly, Seasonally Adjusted]]-B708)/B708</f>
        <v/>
      </c>
      <c r="D709" s="40">
        <f>((1+Table267[[#This Row],[Monthly change]])^12)-1</f>
        <v/>
      </c>
      <c r="E709" s="39">
        <f>(Table267[[#This Row],[M2 Money Stock, Billions of Dollars, Weekly, Seasonally Adjusted]]-B697)/B697</f>
        <v/>
      </c>
    </row>
    <row r="710">
      <c r="A710" s="37" t="n">
        <v>42948</v>
      </c>
      <c r="B710" s="84" t="n">
        <v>13671.4</v>
      </c>
      <c r="C710" s="39">
        <f>(Table267[[#This Row],[M2 Money Stock, Billions of Dollars, Weekly, Seasonally Adjusted]]-B709)/B709</f>
        <v/>
      </c>
      <c r="D710" s="40">
        <f>((1+Table267[[#This Row],[Monthly change]])^12)-1</f>
        <v/>
      </c>
      <c r="E710" s="39">
        <f>(Table267[[#This Row],[M2 Money Stock, Billions of Dollars, Weekly, Seasonally Adjusted]]-B698)/B698</f>
        <v/>
      </c>
    </row>
    <row r="711">
      <c r="A711" s="37" t="n">
        <v>42979</v>
      </c>
      <c r="B711" s="84" t="n">
        <v>13714.4</v>
      </c>
      <c r="C711" s="39">
        <f>(Table267[[#This Row],[M2 Money Stock, Billions of Dollars, Weekly, Seasonally Adjusted]]-B710)/B710</f>
        <v/>
      </c>
      <c r="D711" s="40">
        <f>((1+Table267[[#This Row],[Monthly change]])^12)-1</f>
        <v/>
      </c>
      <c r="E711" s="39">
        <f>(Table267[[#This Row],[M2 Money Stock, Billions of Dollars, Weekly, Seasonally Adjusted]]-B699)/B699</f>
        <v/>
      </c>
    </row>
    <row r="712">
      <c r="A712" s="37" t="n">
        <v>43009</v>
      </c>
      <c r="B712" s="84" t="n">
        <v>13767.6</v>
      </c>
      <c r="C712" s="39">
        <f>(Table267[[#This Row],[M2 Money Stock, Billions of Dollars, Weekly, Seasonally Adjusted]]-B711)/B711</f>
        <v/>
      </c>
      <c r="D712" s="40">
        <f>((1+Table267[[#This Row],[Monthly change]])^12)-1</f>
        <v/>
      </c>
      <c r="E712" s="39">
        <f>(Table267[[#This Row],[M2 Money Stock, Billions of Dollars, Weekly, Seasonally Adjusted]]-B700)/B700</f>
        <v/>
      </c>
    </row>
    <row r="713">
      <c r="A713" s="37" t="n">
        <v>43040</v>
      </c>
      <c r="B713" s="84" t="n">
        <v>13802.4</v>
      </c>
      <c r="C713" s="39">
        <f>(Table267[[#This Row],[M2 Money Stock, Billions of Dollars, Weekly, Seasonally Adjusted]]-B712)/B712</f>
        <v/>
      </c>
      <c r="D713" s="40">
        <f>((1+Table267[[#This Row],[Monthly change]])^12)-1</f>
        <v/>
      </c>
      <c r="E713" s="39">
        <f>(Table267[[#This Row],[M2 Money Stock, Billions of Dollars, Weekly, Seasonally Adjusted]]-B701)/B701</f>
        <v/>
      </c>
    </row>
    <row r="714">
      <c r="A714" s="37" t="n">
        <v>43070</v>
      </c>
      <c r="B714" s="84" t="n">
        <v>13854.8</v>
      </c>
      <c r="C714" s="39">
        <f>(Table267[[#This Row],[M2 Money Stock, Billions of Dollars, Weekly, Seasonally Adjusted]]-B713)/B713</f>
        <v/>
      </c>
      <c r="D714" s="40">
        <f>((1+Table267[[#This Row],[Monthly change]])^12)-1</f>
        <v/>
      </c>
      <c r="E714" s="39">
        <f>(Table267[[#This Row],[M2 Money Stock, Billions of Dollars, Weekly, Seasonally Adjusted]]-B702)/B702</f>
        <v/>
      </c>
    </row>
    <row r="715">
      <c r="A715" s="37" t="n">
        <v>43101</v>
      </c>
      <c r="B715" s="84" t="n">
        <v>13872</v>
      </c>
      <c r="C715" s="39">
        <f>(Table267[[#This Row],[M2 Money Stock, Billions of Dollars, Weekly, Seasonally Adjusted]]-B714)/B714</f>
        <v/>
      </c>
      <c r="D715" s="40">
        <f>((1+Table267[[#This Row],[Monthly change]])^12)-1</f>
        <v/>
      </c>
      <c r="E715" s="39">
        <f>(Table267[[#This Row],[M2 Money Stock, Billions of Dollars, Weekly, Seasonally Adjusted]]-B703)/B703</f>
        <v/>
      </c>
    </row>
    <row r="716">
      <c r="A716" s="37" t="n">
        <v>43132</v>
      </c>
      <c r="B716" s="84" t="n">
        <v>13914.6</v>
      </c>
      <c r="C716" s="39">
        <f>(Table267[[#This Row],[M2 Money Stock, Billions of Dollars, Weekly, Seasonally Adjusted]]-B715)/B715</f>
        <v/>
      </c>
      <c r="D716" s="40">
        <f>((1+Table267[[#This Row],[Monthly change]])^12)-1</f>
        <v/>
      </c>
      <c r="E716" s="39">
        <f>(Table267[[#This Row],[M2 Money Stock, Billions of Dollars, Weekly, Seasonally Adjusted]]-B704)/B704</f>
        <v/>
      </c>
    </row>
    <row r="717">
      <c r="A717" s="37" t="n">
        <v>43160</v>
      </c>
      <c r="B717" s="84" t="n">
        <v>13971.2</v>
      </c>
      <c r="C717" s="39">
        <f>(Table267[[#This Row],[M2 Money Stock, Billions of Dollars, Weekly, Seasonally Adjusted]]-B716)/B716</f>
        <v/>
      </c>
      <c r="D717" s="40">
        <f>((1+Table267[[#This Row],[Monthly change]])^12)-1</f>
        <v/>
      </c>
      <c r="E717" s="39">
        <f>(Table267[[#This Row],[M2 Money Stock, Billions of Dollars, Weekly, Seasonally Adjusted]]-B705)/B705</f>
        <v/>
      </c>
    </row>
    <row r="718">
      <c r="A718" s="37" t="n">
        <v>43191</v>
      </c>
      <c r="B718" s="84" t="n">
        <v>14001.3</v>
      </c>
      <c r="C718" s="39">
        <f>(Table267[[#This Row],[M2 Money Stock, Billions of Dollars, Weekly, Seasonally Adjusted]]-B717)/B717</f>
        <v/>
      </c>
      <c r="D718" s="40">
        <f>((1+Table267[[#This Row],[Monthly change]])^12)-1</f>
        <v/>
      </c>
      <c r="E718" s="39">
        <f>(Table267[[#This Row],[M2 Money Stock, Billions of Dollars, Weekly, Seasonally Adjusted]]-B706)/B706</f>
        <v/>
      </c>
    </row>
    <row r="719">
      <c r="A719" s="37" t="n">
        <v>43221</v>
      </c>
      <c r="B719" s="84" t="n">
        <v>14066</v>
      </c>
      <c r="C719" s="39">
        <f>(Table267[[#This Row],[M2 Money Stock, Billions of Dollars, Weekly, Seasonally Adjusted]]-B718)/B718</f>
        <v/>
      </c>
      <c r="D719" s="40">
        <f>((1+Table267[[#This Row],[Monthly change]])^12)-1</f>
        <v/>
      </c>
      <c r="E719" s="39">
        <f>(Table267[[#This Row],[M2 Money Stock, Billions of Dollars, Weekly, Seasonally Adjusted]]-B707)/B707</f>
        <v/>
      </c>
    </row>
    <row r="720">
      <c r="A720" s="37" t="n">
        <v>43252</v>
      </c>
      <c r="B720" s="84" t="n">
        <v>14125.8</v>
      </c>
      <c r="C720" s="39">
        <f>(Table267[[#This Row],[M2 Money Stock, Billions of Dollars, Weekly, Seasonally Adjusted]]-B719)/B719</f>
        <v/>
      </c>
      <c r="D720" s="40">
        <f>((1+Table267[[#This Row],[Monthly change]])^12)-1</f>
        <v/>
      </c>
      <c r="E720" s="39">
        <f>(Table267[[#This Row],[M2 Money Stock, Billions of Dollars, Weekly, Seasonally Adjusted]]-B708)/B708</f>
        <v/>
      </c>
    </row>
    <row r="721">
      <c r="A721" s="37" t="n">
        <v>43282</v>
      </c>
      <c r="B721" s="84" t="n">
        <v>14155.2</v>
      </c>
      <c r="C721" s="39">
        <f>(Table267[[#This Row],[M2 Money Stock, Billions of Dollars, Weekly, Seasonally Adjusted]]-B720)/B720</f>
        <v/>
      </c>
      <c r="D721" s="40">
        <f>((1+Table267[[#This Row],[Monthly change]])^12)-1</f>
        <v/>
      </c>
      <c r="E721" s="39">
        <f>(Table267[[#This Row],[M2 Money Stock, Billions of Dollars, Weekly, Seasonally Adjusted]]-B709)/B709</f>
        <v/>
      </c>
    </row>
    <row r="722">
      <c r="A722" s="37" t="n">
        <v>43313</v>
      </c>
      <c r="B722" s="84" t="n">
        <v>14197.7</v>
      </c>
      <c r="C722" s="39">
        <f>(Table267[[#This Row],[M2 Money Stock, Billions of Dollars, Weekly, Seasonally Adjusted]]-B721)/B721</f>
        <v/>
      </c>
      <c r="D722" s="40">
        <f>((1+Table267[[#This Row],[Monthly change]])^12)-1</f>
        <v/>
      </c>
      <c r="E722" s="39">
        <f>(Table267[[#This Row],[M2 Money Stock, Billions of Dollars, Weekly, Seasonally Adjusted]]-B710)/B710</f>
        <v/>
      </c>
    </row>
    <row r="723">
      <c r="A723" s="37" t="n">
        <v>43344</v>
      </c>
      <c r="B723" s="84" t="n">
        <v>14228.4</v>
      </c>
      <c r="C723" s="39">
        <f>(Table267[[#This Row],[M2 Money Stock, Billions of Dollars, Weekly, Seasonally Adjusted]]-B722)/B722</f>
        <v/>
      </c>
      <c r="D723" s="40">
        <f>((1+Table267[[#This Row],[Monthly change]])^12)-1</f>
        <v/>
      </c>
      <c r="E723" s="39">
        <f>(Table267[[#This Row],[M2 Money Stock, Billions of Dollars, Weekly, Seasonally Adjusted]]-B711)/B711</f>
        <v/>
      </c>
    </row>
    <row r="724">
      <c r="A724" s="37" t="n">
        <v>43374</v>
      </c>
      <c r="B724" s="84" t="n">
        <v>14235.8</v>
      </c>
      <c r="C724" s="39">
        <f>(Table267[[#This Row],[M2 Money Stock, Billions of Dollars, Weekly, Seasonally Adjusted]]-B723)/B723</f>
        <v/>
      </c>
      <c r="D724" s="40">
        <f>((1+Table267[[#This Row],[Monthly change]])^12)-1</f>
        <v/>
      </c>
      <c r="E724" s="39">
        <f>(Table267[[#This Row],[M2 Money Stock, Billions of Dollars, Weekly, Seasonally Adjusted]]-B712)/B712</f>
        <v/>
      </c>
    </row>
    <row r="725">
      <c r="A725" s="37" t="n">
        <v>43405</v>
      </c>
      <c r="B725" s="84" t="n">
        <v>14254.9</v>
      </c>
      <c r="C725" s="39">
        <f>(Table267[[#This Row],[M2 Money Stock, Billions of Dollars, Weekly, Seasonally Adjusted]]-B724)/B724</f>
        <v/>
      </c>
      <c r="D725" s="40">
        <f>((1+Table267[[#This Row],[Monthly change]])^12)-1</f>
        <v/>
      </c>
      <c r="E725" s="39">
        <f>(Table267[[#This Row],[M2 Money Stock, Billions of Dollars, Weekly, Seasonally Adjusted]]-B713)/B713</f>
        <v/>
      </c>
    </row>
    <row r="726">
      <c r="A726" s="37" t="n">
        <v>43435</v>
      </c>
      <c r="B726" s="84" t="n">
        <v>14373.9</v>
      </c>
      <c r="C726" s="39">
        <f>(Table267[[#This Row],[M2 Money Stock, Billions of Dollars, Weekly, Seasonally Adjusted]]-B725)/B725</f>
        <v/>
      </c>
      <c r="D726" s="40">
        <f>((1+Table267[[#This Row],[Monthly change]])^12)-1</f>
        <v/>
      </c>
      <c r="E726" s="39">
        <f>(Table267[[#This Row],[M2 Money Stock, Billions of Dollars, Weekly, Seasonally Adjusted]]-B714)/B714</f>
        <v/>
      </c>
    </row>
    <row r="727">
      <c r="A727" s="37" t="n">
        <v>43466</v>
      </c>
      <c r="B727" s="84" t="n">
        <v>14443.3</v>
      </c>
      <c r="C727" s="39">
        <f>(Table267[[#This Row],[M2 Money Stock, Billions of Dollars, Weekly, Seasonally Adjusted]]-B726)/B726</f>
        <v/>
      </c>
      <c r="D727" s="40">
        <f>((1+Table267[[#This Row],[Monthly change]])^12)-1</f>
        <v/>
      </c>
      <c r="E727" s="39">
        <f>(Table267[[#This Row],[M2 Money Stock, Billions of Dollars, Weekly, Seasonally Adjusted]]-B715)/B715</f>
        <v/>
      </c>
    </row>
    <row r="728">
      <c r="A728" s="37" t="n">
        <v>43497</v>
      </c>
      <c r="B728" s="84" t="n">
        <v>14486.2</v>
      </c>
      <c r="C728" s="39">
        <f>(Table267[[#This Row],[M2 Money Stock, Billions of Dollars, Weekly, Seasonally Adjusted]]-B727)/B727</f>
        <v/>
      </c>
      <c r="D728" s="40">
        <f>((1+Table267[[#This Row],[Monthly change]])^12)-1</f>
        <v/>
      </c>
      <c r="E728" s="39">
        <f>(Table267[[#This Row],[M2 Money Stock, Billions of Dollars, Weekly, Seasonally Adjusted]]-B716)/B716</f>
        <v/>
      </c>
    </row>
    <row r="729">
      <c r="A729" s="37" t="n">
        <v>43525</v>
      </c>
      <c r="B729" s="84" t="n">
        <v>14533.5</v>
      </c>
      <c r="C729" s="39">
        <f>(Table267[[#This Row],[M2 Money Stock, Billions of Dollars, Weekly, Seasonally Adjusted]]-B728)/B728</f>
        <v/>
      </c>
      <c r="D729" s="40">
        <f>((1+Table267[[#This Row],[Monthly change]])^12)-1</f>
        <v/>
      </c>
      <c r="E729" s="39">
        <f>(Table267[[#This Row],[M2 Money Stock, Billions of Dollars, Weekly, Seasonally Adjusted]]-B717)/B717</f>
        <v/>
      </c>
    </row>
    <row r="730">
      <c r="A730" s="37" t="n">
        <v>43556</v>
      </c>
      <c r="B730" s="84" t="n">
        <v>14568.9</v>
      </c>
      <c r="C730" s="39">
        <f>(Table267[[#This Row],[M2 Money Stock, Billions of Dollars, Weekly, Seasonally Adjusted]]-B729)/B729</f>
        <v/>
      </c>
      <c r="D730" s="40">
        <f>((1+Table267[[#This Row],[Monthly change]])^12)-1</f>
        <v/>
      </c>
      <c r="E730" s="39">
        <f>(Table267[[#This Row],[M2 Money Stock, Billions of Dollars, Weekly, Seasonally Adjusted]]-B718)/B718</f>
        <v/>
      </c>
    </row>
    <row r="731">
      <c r="A731" s="37" t="n">
        <v>43586</v>
      </c>
      <c r="B731" s="84" t="n">
        <v>14668.4</v>
      </c>
      <c r="C731" s="39">
        <f>(Table267[[#This Row],[M2 Money Stock, Billions of Dollars, Weekly, Seasonally Adjusted]]-B730)/B730</f>
        <v/>
      </c>
      <c r="D731" s="40">
        <f>((1+Table267[[#This Row],[Monthly change]])^12)-1</f>
        <v/>
      </c>
      <c r="E731" s="39">
        <f>(Table267[[#This Row],[M2 Money Stock, Billions of Dollars, Weekly, Seasonally Adjusted]]-B719)/B719</f>
        <v/>
      </c>
    </row>
    <row r="732">
      <c r="A732" s="37" t="n">
        <v>43617</v>
      </c>
      <c r="B732" s="84" t="n">
        <v>14787</v>
      </c>
      <c r="C732" s="39">
        <f>(Table267[[#This Row],[M2 Money Stock, Billions of Dollars, Weekly, Seasonally Adjusted]]-B731)/B731</f>
        <v/>
      </c>
      <c r="D732" s="40">
        <f>((1+Table267[[#This Row],[Monthly change]])^12)-1</f>
        <v/>
      </c>
      <c r="E732" s="39">
        <f>(Table267[[#This Row],[M2 Money Stock, Billions of Dollars, Weekly, Seasonally Adjusted]]-B720)/B720</f>
        <v/>
      </c>
    </row>
    <row r="733">
      <c r="A733" s="37" t="n">
        <v>43647</v>
      </c>
      <c r="B733" s="84" t="n">
        <v>14857.9</v>
      </c>
      <c r="C733" s="39">
        <f>(Table267[[#This Row],[M2 Money Stock, Billions of Dollars, Weekly, Seasonally Adjusted]]-B732)/B732</f>
        <v/>
      </c>
      <c r="D733" s="40">
        <f>((1+Table267[[#This Row],[Monthly change]])^12)-1</f>
        <v/>
      </c>
      <c r="E733" s="39">
        <f>(Table267[[#This Row],[M2 Money Stock, Billions of Dollars, Weekly, Seasonally Adjusted]]-B721)/B721</f>
        <v/>
      </c>
    </row>
    <row r="734">
      <c r="A734" s="37" t="n">
        <v>43678</v>
      </c>
      <c r="B734" s="84" t="n">
        <v>14935.2</v>
      </c>
      <c r="C734" s="39">
        <f>(Table267[[#This Row],[M2 Money Stock, Billions of Dollars, Weekly, Seasonally Adjusted]]-B733)/B733</f>
        <v/>
      </c>
      <c r="D734" s="40">
        <f>((1+Table267[[#This Row],[Monthly change]])^12)-1</f>
        <v/>
      </c>
      <c r="E734" s="39">
        <f>(Table267[[#This Row],[M2 Money Stock, Billions of Dollars, Weekly, Seasonally Adjusted]]-B722)/B722</f>
        <v/>
      </c>
    </row>
    <row r="735">
      <c r="A735" s="37" t="n">
        <v>43709</v>
      </c>
      <c r="B735" s="84" t="n">
        <v>15026.6</v>
      </c>
      <c r="C735" s="39">
        <f>(Table267[[#This Row],[M2 Money Stock, Billions of Dollars, Weekly, Seasonally Adjusted]]-B734)/B734</f>
        <v/>
      </c>
      <c r="D735" s="40">
        <f>((1+Table267[[#This Row],[Monthly change]])^12)-1</f>
        <v/>
      </c>
      <c r="E735" s="39">
        <f>(Table267[[#This Row],[M2 Money Stock, Billions of Dollars, Weekly, Seasonally Adjusted]]-B723)/B723</f>
        <v/>
      </c>
    </row>
    <row r="736">
      <c r="A736" s="37" t="n">
        <v>43739</v>
      </c>
      <c r="B736" s="84" t="n">
        <v>15153.1</v>
      </c>
      <c r="C736" s="39">
        <f>(Table267[[#This Row],[M2 Money Stock, Billions of Dollars, Weekly, Seasonally Adjusted]]-B735)/B735</f>
        <v/>
      </c>
      <c r="D736" s="40">
        <f>((1+Table267[[#This Row],[Monthly change]])^12)-1</f>
        <v/>
      </c>
      <c r="E736" s="39">
        <f>(Table267[[#This Row],[M2 Money Stock, Billions of Dollars, Weekly, Seasonally Adjusted]]-B724)/B724</f>
        <v/>
      </c>
    </row>
    <row r="737">
      <c r="A737" s="37" t="n">
        <v>43770</v>
      </c>
      <c r="B737" s="84" t="n">
        <v>15251.3</v>
      </c>
      <c r="C737" s="39">
        <f>(Table267[[#This Row],[M2 Money Stock, Billions of Dollars, Weekly, Seasonally Adjusted]]-B736)/B736</f>
        <v/>
      </c>
      <c r="D737" s="40">
        <f>((1+Table267[[#This Row],[Monthly change]])^12)-1</f>
        <v/>
      </c>
      <c r="E737" s="39">
        <f>(Table267[[#This Row],[M2 Money Stock, Billions of Dollars, Weekly, Seasonally Adjusted]]-B725)/B725</f>
        <v/>
      </c>
    </row>
    <row r="738">
      <c r="A738" s="37" t="n">
        <v>43800</v>
      </c>
      <c r="B738" s="84" t="n">
        <v>15325.8</v>
      </c>
      <c r="C738" s="39">
        <f>(Table267[[#This Row],[M2 Money Stock, Billions of Dollars, Weekly, Seasonally Adjusted]]-B737)/B737</f>
        <v/>
      </c>
      <c r="D738" s="40">
        <f>((1+Table267[[#This Row],[Monthly change]])^12)-1</f>
        <v/>
      </c>
      <c r="E738" s="39">
        <f>(Table267[[#This Row],[M2 Money Stock, Billions of Dollars, Weekly, Seasonally Adjusted]]-B726)/B726</f>
        <v/>
      </c>
    </row>
    <row r="739">
      <c r="A739" s="37" t="n">
        <v>43831</v>
      </c>
      <c r="B739" s="84" t="n">
        <v>15406.8</v>
      </c>
      <c r="C739" s="39">
        <f>(Table267[[#This Row],[M2 Money Stock, Billions of Dollars, Weekly, Seasonally Adjusted]]-B738)/B738</f>
        <v/>
      </c>
      <c r="D739" s="40">
        <f>((1+Table267[[#This Row],[Monthly change]])^12)-1</f>
        <v/>
      </c>
      <c r="E739" s="39">
        <f>(Table267[[#This Row],[M2 Money Stock, Billions of Dollars, Weekly, Seasonally Adjusted]]-B727)/B727</f>
        <v/>
      </c>
    </row>
    <row r="740">
      <c r="A740" s="37" t="n">
        <v>43862</v>
      </c>
      <c r="B740" s="84" t="n">
        <v>15470.4</v>
      </c>
      <c r="C740" s="39">
        <f>(Table267[[#This Row],[M2 Money Stock, Billions of Dollars, Weekly, Seasonally Adjusted]]-B739)/B739</f>
        <v/>
      </c>
      <c r="D740" s="40">
        <f>((1+Table267[[#This Row],[Monthly change]])^12)-1</f>
        <v/>
      </c>
      <c r="E740" s="39">
        <f>(Table267[[#This Row],[M2 Money Stock, Billions of Dollars, Weekly, Seasonally Adjusted]]-B728)/B728</f>
        <v/>
      </c>
    </row>
    <row r="741">
      <c r="A741" s="37" t="n">
        <v>43891</v>
      </c>
      <c r="B741" s="84" t="n">
        <v>16011.4</v>
      </c>
      <c r="C741" s="39">
        <f>(Table267[[#This Row],[M2 Money Stock, Billions of Dollars, Weekly, Seasonally Adjusted]]-B740)/B740</f>
        <v/>
      </c>
      <c r="D741" s="40">
        <f>((1+Table267[[#This Row],[Monthly change]])^12)-1</f>
        <v/>
      </c>
      <c r="E741" s="39">
        <f>(Table267[[#This Row],[M2 Money Stock, Billions of Dollars, Weekly, Seasonally Adjusted]]-B729)/B729</f>
        <v/>
      </c>
    </row>
    <row r="742">
      <c r="A742" s="37" t="n">
        <v>43922</v>
      </c>
      <c r="B742" s="84" t="n">
        <v>17039.1</v>
      </c>
      <c r="C742" s="39">
        <f>(Table267[[#This Row],[M2 Money Stock, Billions of Dollars, Weekly, Seasonally Adjusted]]-B741)/B741</f>
        <v/>
      </c>
      <c r="D742" s="40">
        <f>((1+Table267[[#This Row],[Monthly change]])^12)-1</f>
        <v/>
      </c>
      <c r="E742" s="39">
        <f>(Table267[[#This Row],[M2 Money Stock, Billions of Dollars, Weekly, Seasonally Adjusted]]-B730)/B730</f>
        <v/>
      </c>
    </row>
    <row r="743">
      <c r="A743" s="37" t="n">
        <v>43952</v>
      </c>
      <c r="B743" s="84" t="n">
        <v>17889.2</v>
      </c>
      <c r="C743" s="39">
        <f>(Table267[[#This Row],[M2 Money Stock, Billions of Dollars, Weekly, Seasonally Adjusted]]-B742)/B742</f>
        <v/>
      </c>
      <c r="D743" s="40">
        <f>((1+Table267[[#This Row],[Monthly change]])^12)-1</f>
        <v/>
      </c>
      <c r="E743" s="39">
        <f>(Table267[[#This Row],[M2 Money Stock, Billions of Dollars, Weekly, Seasonally Adjusted]]-B731)/B731</f>
        <v/>
      </c>
    </row>
    <row r="744">
      <c r="A744" s="37" t="n">
        <v>43983</v>
      </c>
      <c r="B744" s="84" t="n">
        <v>18175.7</v>
      </c>
      <c r="C744" s="39">
        <f>(Table267[[#This Row],[M2 Money Stock, Billions of Dollars, Weekly, Seasonally Adjusted]]-B743)/B743</f>
        <v/>
      </c>
      <c r="D744" s="40">
        <f>((1+Table267[[#This Row],[Monthly change]])^12)-1</f>
        <v/>
      </c>
      <c r="E744" s="39">
        <f>(Table267[[#This Row],[M2 Money Stock, Billions of Dollars, Weekly, Seasonally Adjusted]]-B732)/B732</f>
        <v/>
      </c>
    </row>
    <row r="745">
      <c r="A745" s="37" t="n">
        <v>44013</v>
      </c>
      <c r="B745" s="84" t="n">
        <v>18316.6</v>
      </c>
      <c r="C745" s="39">
        <f>(Table267[[#This Row],[M2 Money Stock, Billions of Dollars, Weekly, Seasonally Adjusted]]-B744)/B744</f>
        <v/>
      </c>
      <c r="D745" s="40">
        <f>((1+Table267[[#This Row],[Monthly change]])^12)-1</f>
        <v/>
      </c>
      <c r="E745" s="39">
        <f>(Table267[[#This Row],[M2 Money Stock, Billions of Dollars, Weekly, Seasonally Adjusted]]-B733)/B733</f>
        <v/>
      </c>
    </row>
    <row r="746">
      <c r="A746" s="37" t="n">
        <v>44044</v>
      </c>
      <c r="B746" s="84" t="n">
        <v>18378.5</v>
      </c>
      <c r="C746" s="39">
        <f>(Table267[[#This Row],[M2 Money Stock, Billions of Dollars, Weekly, Seasonally Adjusted]]-B745)/B745</f>
        <v/>
      </c>
      <c r="D746" s="40">
        <f>((1+Table267[[#This Row],[Monthly change]])^12)-1</f>
        <v/>
      </c>
      <c r="E746" s="39">
        <f>(Table267[[#This Row],[M2 Money Stock, Billions of Dollars, Weekly, Seasonally Adjusted]]-B734)/B734</f>
        <v/>
      </c>
    </row>
    <row r="747">
      <c r="A747" s="37" t="n">
        <v>44075</v>
      </c>
      <c r="B747" s="84" t="n">
        <v>18601.6</v>
      </c>
      <c r="C747" s="39">
        <f>(Table267[[#This Row],[M2 Money Stock, Billions of Dollars, Weekly, Seasonally Adjusted]]-B746)/B746</f>
        <v/>
      </c>
      <c r="D747" s="40">
        <f>((1+Table267[[#This Row],[Monthly change]])^12)-1</f>
        <v/>
      </c>
      <c r="E747" s="39">
        <f>(Table267[[#This Row],[M2 Money Stock, Billions of Dollars, Weekly, Seasonally Adjusted]]-B735)/B735</f>
        <v/>
      </c>
    </row>
    <row r="748">
      <c r="A748" s="37" t="n">
        <v>44105</v>
      </c>
      <c r="B748" s="84" t="n">
        <v>18747.9</v>
      </c>
      <c r="C748" s="39">
        <f>(Table267[[#This Row],[M2 Money Stock, Billions of Dollars, Weekly, Seasonally Adjusted]]-B747)/B747</f>
        <v/>
      </c>
      <c r="D748" s="40">
        <f>((1+Table267[[#This Row],[Monthly change]])^12)-1</f>
        <v/>
      </c>
      <c r="E748" s="39">
        <f>(Table267[[#This Row],[M2 Money Stock, Billions of Dollars, Weekly, Seasonally Adjusted]]-B736)/B736</f>
        <v/>
      </c>
    </row>
    <row r="749">
      <c r="A749" s="37" t="n">
        <v>44136</v>
      </c>
      <c r="B749" s="84" t="n">
        <v>18958.7</v>
      </c>
      <c r="C749" s="39">
        <f>(Table267[[#This Row],[M2 Money Stock, Billions of Dollars, Weekly, Seasonally Adjusted]]-B748)/B748</f>
        <v/>
      </c>
      <c r="D749" s="40">
        <f>((1+Table267[[#This Row],[Monthly change]])^12)-1</f>
        <v/>
      </c>
      <c r="E749" s="39">
        <f>(Table267[[#This Row],[M2 Money Stock, Billions of Dollars, Weekly, Seasonally Adjusted]]-B737)/B737</f>
        <v/>
      </c>
    </row>
    <row r="750">
      <c r="A750" s="37" t="n">
        <v>44166</v>
      </c>
      <c r="B750" s="84" t="n">
        <v>19129.5</v>
      </c>
      <c r="C750" s="39">
        <f>(Table267[[#This Row],[M2 Money Stock, Billions of Dollars, Weekly, Seasonally Adjusted]]-B749)/B749</f>
        <v/>
      </c>
      <c r="D750" s="40">
        <f>((1+Table267[[#This Row],[Monthly change]])^12)-1</f>
        <v/>
      </c>
      <c r="E750" s="39">
        <f>(Table267[[#This Row],[M2 Money Stock, Billions of Dollars, Weekly, Seasonally Adjusted]]-B738)/B738</f>
        <v/>
      </c>
    </row>
    <row r="751">
      <c r="A751" s="37" t="n">
        <v>44197</v>
      </c>
      <c r="B751" s="84" t="n">
        <v>19393.2</v>
      </c>
      <c r="C751" s="39">
        <f>(Table267[[#This Row],[M2 Money Stock, Billions of Dollars, Weekly, Seasonally Adjusted]]-B750)/B750</f>
        <v/>
      </c>
      <c r="D751" s="40">
        <f>((1+Table267[[#This Row],[Monthly change]])^12)-1</f>
        <v/>
      </c>
      <c r="E751" s="39">
        <f>(Table267[[#This Row],[M2 Money Stock, Billions of Dollars, Weekly, Seasonally Adjusted]]-B739)/B739</f>
        <v/>
      </c>
    </row>
    <row r="752">
      <c r="A752" s="37" t="n">
        <v>44228</v>
      </c>
      <c r="B752" s="84" t="n">
        <v>19665.5</v>
      </c>
      <c r="C752" s="39">
        <f>(Table267[[#This Row],[M2 Money Stock, Billions of Dollars, Weekly, Seasonally Adjusted]]-B751)/B751</f>
        <v/>
      </c>
      <c r="D752" s="40">
        <f>((1+Table267[[#This Row],[Monthly change]])^12)-1</f>
        <v/>
      </c>
      <c r="E752" s="39">
        <f>(Table267[[#This Row],[M2 Money Stock, Billions of Dollars, Weekly, Seasonally Adjusted]]-B740)/B740</f>
        <v/>
      </c>
    </row>
    <row r="753">
      <c r="A753" s="37" t="n">
        <v>44256</v>
      </c>
      <c r="B753" s="84" t="n">
        <v>19913.5</v>
      </c>
      <c r="C753" s="39">
        <f>(Table267[[#This Row],[M2 Money Stock, Billions of Dollars, Weekly, Seasonally Adjusted]]-B752)/B752</f>
        <v/>
      </c>
      <c r="D753" s="40">
        <f>((1+Table267[[#This Row],[Monthly change]])^12)-1</f>
        <v/>
      </c>
      <c r="E753" s="39">
        <f>(Table267[[#This Row],[M2 Money Stock, Billions of Dollars, Weekly, Seasonally Adjusted]]-B741)/B741</f>
        <v/>
      </c>
    </row>
    <row r="754">
      <c r="A754" s="37" t="n">
        <v>44287</v>
      </c>
      <c r="B754" s="84" t="n">
        <v>20122.9</v>
      </c>
      <c r="C754" s="39">
        <f>(Table267[[#This Row],[M2 Money Stock, Billions of Dollars, Weekly, Seasonally Adjusted]]-B753)/B753</f>
        <v/>
      </c>
      <c r="D754" s="40">
        <f>((1+Table267[[#This Row],[Monthly change]])^12)-1</f>
        <v/>
      </c>
      <c r="E754" s="39">
        <f>(Table267[[#This Row],[M2 Money Stock, Billions of Dollars, Weekly, Seasonally Adjusted]]-B742)/B742</f>
        <v/>
      </c>
    </row>
    <row r="755">
      <c r="A755" s="37" t="n">
        <v>44317</v>
      </c>
      <c r="B755" s="84" t="n">
        <v>20372.7</v>
      </c>
      <c r="C755" s="39">
        <f>(Table267[[#This Row],[M2 Money Stock, Billions of Dollars, Weekly, Seasonally Adjusted]]-B754)/B754</f>
        <v/>
      </c>
      <c r="D755" s="40">
        <f>((1+Table267[[#This Row],[Monthly change]])^12)-1</f>
        <v/>
      </c>
      <c r="E755" s="39">
        <f>(Table267[[#This Row],[M2 Money Stock, Billions of Dollars, Weekly, Seasonally Adjusted]]-B743)/B743</f>
        <v/>
      </c>
    </row>
    <row r="756">
      <c r="A756" s="37" t="n">
        <v>44348</v>
      </c>
      <c r="B756" s="84" t="n">
        <v>20387.4</v>
      </c>
      <c r="C756" s="39">
        <f>(Table267[[#This Row],[M2 Money Stock, Billions of Dollars, Weekly, Seasonally Adjusted]]-B755)/B755</f>
        <v/>
      </c>
      <c r="D756" s="40">
        <f>((1+Table267[[#This Row],[Monthly change]])^12)-1</f>
        <v/>
      </c>
      <c r="E756" s="39">
        <f>(Table267[[#This Row],[M2 Money Stock, Billions of Dollars, Weekly, Seasonally Adjusted]]-B744)/B744</f>
        <v/>
      </c>
    </row>
    <row r="757">
      <c r="A757" s="37" t="n">
        <v>44378</v>
      </c>
      <c r="B757" s="84" t="n">
        <v>20534.6</v>
      </c>
      <c r="C757" s="39">
        <f>(Table267[[#This Row],[M2 Money Stock, Billions of Dollars, Weekly, Seasonally Adjusted]]-B756)/B756</f>
        <v/>
      </c>
      <c r="D757" s="40">
        <f>((1+Table267[[#This Row],[Monthly change]])^12)-1</f>
        <v/>
      </c>
      <c r="E757" s="39">
        <f>(Table267[[#This Row],[M2 Money Stock, Billions of Dollars, Weekly, Seasonally Adjusted]]-B745)/B745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E2103"/>
  <sheetViews>
    <sheetView zoomScale="150" zoomScaleNormal="150" workbookViewId="0">
      <pane ySplit="6" topLeftCell="A7" activePane="bottomLeft" state="frozen"/>
      <selection pane="bottomLeft" activeCell="J2110" sqref="J2110"/>
    </sheetView>
  </sheetViews>
  <sheetFormatPr baseColWidth="10" defaultColWidth="9.1640625" defaultRowHeight="15"/>
  <cols>
    <col width="16.6640625" customWidth="1" style="5" min="1" max="1"/>
    <col width="19" customWidth="1" style="5" min="2" max="2"/>
    <col width="14.6640625" customWidth="1" style="5" min="3" max="3"/>
    <col width="14.6640625" customWidth="1" style="72" min="4" max="4"/>
    <col width="18.1640625" customWidth="1" style="72" min="5" max="5"/>
    <col width="9.1640625" customWidth="1" style="72" min="6" max="6"/>
    <col width="9.1640625" customWidth="1" style="72" min="7" max="16384"/>
  </cols>
  <sheetData>
    <row r="1">
      <c r="A1" s="72" t="inlineStr">
        <is>
          <t>https://fred.stlouisfed.org/series/M2</t>
        </is>
      </c>
    </row>
    <row r="3">
      <c r="A3" s="72" t="inlineStr">
        <is>
          <t>Average</t>
        </is>
      </c>
      <c r="B3" s="7">
        <f>AVERAGE(D8:D2013)</f>
        <v/>
      </c>
    </row>
    <row r="4">
      <c r="A4" s="72" t="n"/>
      <c r="B4" s="7">
        <f>_xlfn.STDEV.S(D8:D2013)</f>
        <v/>
      </c>
    </row>
    <row r="5" ht="16" customHeight="1" s="54" thickBot="1"/>
    <row r="6" ht="39.75" customHeight="1" s="54" thickBot="1">
      <c r="A6" s="43" t="inlineStr">
        <is>
          <t>Date</t>
        </is>
      </c>
      <c r="B6" s="44" t="inlineStr">
        <is>
          <t>M2 Money Stock, Billions of Dollars, Weekly, Seasonally Adjusted</t>
        </is>
      </c>
      <c r="C6" s="45" t="inlineStr">
        <is>
          <t>Weekly change</t>
        </is>
      </c>
      <c r="D6" s="45" t="inlineStr">
        <is>
          <t>Annualized return</t>
        </is>
      </c>
      <c r="E6" s="46" t="inlineStr">
        <is>
          <t>YoY Change</t>
        </is>
      </c>
    </row>
    <row r="7">
      <c r="A7" s="41" t="n">
        <v>29528</v>
      </c>
      <c r="B7" s="83" t="n">
        <v>1591.4</v>
      </c>
      <c r="C7" s="42" t="n"/>
      <c r="D7" s="42" t="n"/>
      <c r="E7" s="42" t="n"/>
    </row>
    <row r="8">
      <c r="A8" s="37" t="n">
        <v>29535</v>
      </c>
      <c r="B8" s="84" t="n">
        <v>1592.9</v>
      </c>
      <c r="C8" s="39">
        <f>(Table26[[#This Row],[M2 Money Stock, Billions of Dollars, Weekly, Seasonally Adjusted]]-B7)/B7</f>
        <v/>
      </c>
      <c r="D8" s="40">
        <f>((1+Table26[[#This Row],[Weekly change]])^52)-1</f>
        <v/>
      </c>
      <c r="E8" s="38" t="n"/>
    </row>
    <row r="9">
      <c r="A9" s="37" t="n">
        <v>29542</v>
      </c>
      <c r="B9" s="84" t="n">
        <v>1596.3</v>
      </c>
      <c r="C9" s="39">
        <f>(Table26[[#This Row],[M2 Money Stock, Billions of Dollars, Weekly, Seasonally Adjusted]]-B8)/B8</f>
        <v/>
      </c>
      <c r="D9" s="40">
        <f>((1+Table26[[#This Row],[Weekly change]])^52)-1</f>
        <v/>
      </c>
      <c r="E9" s="38" t="n"/>
    </row>
    <row r="10">
      <c r="A10" s="37" t="n">
        <v>29549</v>
      </c>
      <c r="B10" s="84" t="n">
        <v>1597.2</v>
      </c>
      <c r="C10" s="39">
        <f>(Table26[[#This Row],[M2 Money Stock, Billions of Dollars, Weekly, Seasonally Adjusted]]-B9)/B9</f>
        <v/>
      </c>
      <c r="D10" s="40">
        <f>((1+Table26[[#This Row],[Weekly change]])^52)-1</f>
        <v/>
      </c>
      <c r="E10" s="38" t="n"/>
    </row>
    <row r="11">
      <c r="A11" s="37" t="n">
        <v>29556</v>
      </c>
      <c r="B11" s="84" t="n">
        <v>1596.1</v>
      </c>
      <c r="C11" s="39">
        <f>(Table26[[#This Row],[M2 Money Stock, Billions of Dollars, Weekly, Seasonally Adjusted]]-B10)/B10</f>
        <v/>
      </c>
      <c r="D11" s="40">
        <f>((1+Table26[[#This Row],[Weekly change]])^52)-1</f>
        <v/>
      </c>
      <c r="E11" s="38" t="n"/>
    </row>
    <row r="12">
      <c r="A12" s="37" t="n">
        <v>29563</v>
      </c>
      <c r="B12" s="84" t="n">
        <v>1597</v>
      </c>
      <c r="C12" s="39">
        <f>(Table26[[#This Row],[M2 Money Stock, Billions of Dollars, Weekly, Seasonally Adjusted]]-B11)/B11</f>
        <v/>
      </c>
      <c r="D12" s="40">
        <f>((1+Table26[[#This Row],[Weekly change]])^52)-1</f>
        <v/>
      </c>
      <c r="E12" s="38" t="n"/>
    </row>
    <row r="13">
      <c r="A13" s="37" t="n">
        <v>29570</v>
      </c>
      <c r="B13" s="84" t="n">
        <v>1599.5</v>
      </c>
      <c r="C13" s="39">
        <f>(Table26[[#This Row],[M2 Money Stock, Billions of Dollars, Weekly, Seasonally Adjusted]]-B12)/B12</f>
        <v/>
      </c>
      <c r="D13" s="40">
        <f>((1+Table26[[#This Row],[Weekly change]])^52)-1</f>
        <v/>
      </c>
      <c r="E13" s="38" t="n"/>
    </row>
    <row r="14">
      <c r="A14" s="37" t="n">
        <v>29577</v>
      </c>
      <c r="B14" s="84" t="n">
        <v>1599.3</v>
      </c>
      <c r="C14" s="39">
        <f>(Table26[[#This Row],[M2 Money Stock, Billions of Dollars, Weekly, Seasonally Adjusted]]-B13)/B13</f>
        <v/>
      </c>
      <c r="D14" s="40">
        <f>((1+Table26[[#This Row],[Weekly change]])^52)-1</f>
        <v/>
      </c>
      <c r="E14" s="38" t="n"/>
    </row>
    <row r="15">
      <c r="A15" s="37" t="n">
        <v>29584</v>
      </c>
      <c r="B15" s="84" t="n">
        <v>1595.6</v>
      </c>
      <c r="C15" s="39">
        <f>(Table26[[#This Row],[M2 Money Stock, Billions of Dollars, Weekly, Seasonally Adjusted]]-B14)/B14</f>
        <v/>
      </c>
      <c r="D15" s="40">
        <f>((1+Table26[[#This Row],[Weekly change]])^52)-1</f>
        <v/>
      </c>
      <c r="E15" s="38" t="n"/>
    </row>
    <row r="16">
      <c r="A16" s="37" t="n">
        <v>29591</v>
      </c>
      <c r="B16" s="84" t="n">
        <v>1596.6</v>
      </c>
      <c r="C16" s="39">
        <f>(Table26[[#This Row],[M2 Money Stock, Billions of Dollars, Weekly, Seasonally Adjusted]]-B15)/B15</f>
        <v/>
      </c>
      <c r="D16" s="40">
        <f>((1+Table26[[#This Row],[Weekly change]])^52)-1</f>
        <v/>
      </c>
      <c r="E16" s="38" t="n"/>
    </row>
    <row r="17">
      <c r="A17" s="37" t="n">
        <v>29598</v>
      </c>
      <c r="B17" s="84" t="n">
        <v>1600.1</v>
      </c>
      <c r="C17" s="39">
        <f>(Table26[[#This Row],[M2 Money Stock, Billions of Dollars, Weekly, Seasonally Adjusted]]-B16)/B16</f>
        <v/>
      </c>
      <c r="D17" s="40">
        <f>((1+Table26[[#This Row],[Weekly change]])^52)-1</f>
        <v/>
      </c>
      <c r="E17" s="38" t="n"/>
    </row>
    <row r="18">
      <c r="A18" s="37" t="n">
        <v>29605</v>
      </c>
      <c r="B18" s="84" t="n">
        <v>1606.8</v>
      </c>
      <c r="C18" s="39">
        <f>(Table26[[#This Row],[M2 Money Stock, Billions of Dollars, Weekly, Seasonally Adjusted]]-B17)/B17</f>
        <v/>
      </c>
      <c r="D18" s="40">
        <f>((1+Table26[[#This Row],[Weekly change]])^52)-1</f>
        <v/>
      </c>
      <c r="E18" s="38" t="n"/>
    </row>
    <row r="19">
      <c r="A19" s="37" t="n">
        <v>29612</v>
      </c>
      <c r="B19" s="84" t="n">
        <v>1609.4</v>
      </c>
      <c r="C19" s="39">
        <f>(Table26[[#This Row],[M2 Money Stock, Billions of Dollars, Weekly, Seasonally Adjusted]]-B18)/B18</f>
        <v/>
      </c>
      <c r="D19" s="40">
        <f>((1+Table26[[#This Row],[Weekly change]])^52)-1</f>
        <v/>
      </c>
      <c r="E19" s="38" t="n"/>
    </row>
    <row r="20">
      <c r="A20" s="37" t="n">
        <v>29619</v>
      </c>
      <c r="B20" s="84" t="n">
        <v>1608.6</v>
      </c>
      <c r="C20" s="39">
        <f>(Table26[[#This Row],[M2 Money Stock, Billions of Dollars, Weekly, Seasonally Adjusted]]-B19)/B19</f>
        <v/>
      </c>
      <c r="D20" s="40">
        <f>((1+Table26[[#This Row],[Weekly change]])^52)-1</f>
        <v/>
      </c>
      <c r="E20" s="38" t="n"/>
    </row>
    <row r="21">
      <c r="A21" s="37" t="n">
        <v>29626</v>
      </c>
      <c r="B21" s="84" t="n">
        <v>1614</v>
      </c>
      <c r="C21" s="39">
        <f>(Table26[[#This Row],[M2 Money Stock, Billions of Dollars, Weekly, Seasonally Adjusted]]-B20)/B20</f>
        <v/>
      </c>
      <c r="D21" s="40">
        <f>((1+Table26[[#This Row],[Weekly change]])^52)-1</f>
        <v/>
      </c>
      <c r="E21" s="38" t="n"/>
    </row>
    <row r="22">
      <c r="A22" s="37" t="n">
        <v>29633</v>
      </c>
      <c r="B22" s="84" t="n">
        <v>1618.9</v>
      </c>
      <c r="C22" s="39">
        <f>(Table26[[#This Row],[M2 Money Stock, Billions of Dollars, Weekly, Seasonally Adjusted]]-B21)/B21</f>
        <v/>
      </c>
      <c r="D22" s="40">
        <f>((1+Table26[[#This Row],[Weekly change]])^52)-1</f>
        <v/>
      </c>
      <c r="E22" s="38" t="n"/>
    </row>
    <row r="23">
      <c r="A23" s="37" t="n">
        <v>29640</v>
      </c>
      <c r="B23" s="84" t="n">
        <v>1623.3</v>
      </c>
      <c r="C23" s="39">
        <f>(Table26[[#This Row],[M2 Money Stock, Billions of Dollars, Weekly, Seasonally Adjusted]]-B22)/B22</f>
        <v/>
      </c>
      <c r="D23" s="40">
        <f>((1+Table26[[#This Row],[Weekly change]])^52)-1</f>
        <v/>
      </c>
      <c r="E23" s="38" t="n"/>
    </row>
    <row r="24">
      <c r="A24" s="37" t="n">
        <v>29647</v>
      </c>
      <c r="B24" s="84" t="n">
        <v>1626.1</v>
      </c>
      <c r="C24" s="39">
        <f>(Table26[[#This Row],[M2 Money Stock, Billions of Dollars, Weekly, Seasonally Adjusted]]-B23)/B23</f>
        <v/>
      </c>
      <c r="D24" s="40">
        <f>((1+Table26[[#This Row],[Weekly change]])^52)-1</f>
        <v/>
      </c>
      <c r="E24" s="38" t="n"/>
    </row>
    <row r="25">
      <c r="A25" s="37" t="n">
        <v>29654</v>
      </c>
      <c r="B25" s="84" t="n">
        <v>1630.5</v>
      </c>
      <c r="C25" s="39">
        <f>(Table26[[#This Row],[M2 Money Stock, Billions of Dollars, Weekly, Seasonally Adjusted]]-B24)/B24</f>
        <v/>
      </c>
      <c r="D25" s="40">
        <f>((1+Table26[[#This Row],[Weekly change]])^52)-1</f>
        <v/>
      </c>
      <c r="E25" s="38" t="n"/>
    </row>
    <row r="26">
      <c r="A26" s="37" t="n">
        <v>29661</v>
      </c>
      <c r="B26" s="84" t="n">
        <v>1636.2</v>
      </c>
      <c r="C26" s="39">
        <f>(Table26[[#This Row],[M2 Money Stock, Billions of Dollars, Weekly, Seasonally Adjusted]]-B25)/B25</f>
        <v/>
      </c>
      <c r="D26" s="40">
        <f>((1+Table26[[#This Row],[Weekly change]])^52)-1</f>
        <v/>
      </c>
      <c r="E26" s="38" t="n"/>
    </row>
    <row r="27">
      <c r="A27" s="37" t="n">
        <v>29668</v>
      </c>
      <c r="B27" s="84" t="n">
        <v>1640.8</v>
      </c>
      <c r="C27" s="39">
        <f>(Table26[[#This Row],[M2 Money Stock, Billions of Dollars, Weekly, Seasonally Adjusted]]-B26)/B26</f>
        <v/>
      </c>
      <c r="D27" s="40">
        <f>((1+Table26[[#This Row],[Weekly change]])^52)-1</f>
        <v/>
      </c>
      <c r="E27" s="38" t="n"/>
    </row>
    <row r="28">
      <c r="A28" s="37" t="n">
        <v>29675</v>
      </c>
      <c r="B28" s="84" t="n">
        <v>1646.7</v>
      </c>
      <c r="C28" s="39">
        <f>(Table26[[#This Row],[M2 Money Stock, Billions of Dollars, Weekly, Seasonally Adjusted]]-B27)/B27</f>
        <v/>
      </c>
      <c r="D28" s="40">
        <f>((1+Table26[[#This Row],[Weekly change]])^52)-1</f>
        <v/>
      </c>
      <c r="E28" s="38" t="n"/>
    </row>
    <row r="29">
      <c r="A29" s="37" t="n">
        <v>29682</v>
      </c>
      <c r="B29" s="84" t="n">
        <v>1652.3</v>
      </c>
      <c r="C29" s="39">
        <f>(Table26[[#This Row],[M2 Money Stock, Billions of Dollars, Weekly, Seasonally Adjusted]]-B28)/B28</f>
        <v/>
      </c>
      <c r="D29" s="40">
        <f>((1+Table26[[#This Row],[Weekly change]])^52)-1</f>
        <v/>
      </c>
      <c r="E29" s="38" t="n"/>
    </row>
    <row r="30">
      <c r="A30" s="37" t="n">
        <v>29689</v>
      </c>
      <c r="B30" s="84" t="n">
        <v>1658.4</v>
      </c>
      <c r="C30" s="39">
        <f>(Table26[[#This Row],[M2 Money Stock, Billions of Dollars, Weekly, Seasonally Adjusted]]-B29)/B29</f>
        <v/>
      </c>
      <c r="D30" s="40">
        <f>((1+Table26[[#This Row],[Weekly change]])^52)-1</f>
        <v/>
      </c>
      <c r="E30" s="38" t="n"/>
    </row>
    <row r="31">
      <c r="A31" s="37" t="n">
        <v>29696</v>
      </c>
      <c r="B31" s="84" t="n">
        <v>1663.4</v>
      </c>
      <c r="C31" s="39">
        <f>(Table26[[#This Row],[M2 Money Stock, Billions of Dollars, Weekly, Seasonally Adjusted]]-B30)/B30</f>
        <v/>
      </c>
      <c r="D31" s="40">
        <f>((1+Table26[[#This Row],[Weekly change]])^52)-1</f>
        <v/>
      </c>
      <c r="E31" s="38" t="n"/>
    </row>
    <row r="32">
      <c r="A32" s="37" t="n">
        <v>29703</v>
      </c>
      <c r="B32" s="84" t="n">
        <v>1664.1</v>
      </c>
      <c r="C32" s="39">
        <f>(Table26[[#This Row],[M2 Money Stock, Billions of Dollars, Weekly, Seasonally Adjusted]]-B31)/B31</f>
        <v/>
      </c>
      <c r="D32" s="40">
        <f>((1+Table26[[#This Row],[Weekly change]])^52)-1</f>
        <v/>
      </c>
      <c r="E32" s="38" t="n"/>
    </row>
    <row r="33">
      <c r="A33" s="37" t="n">
        <v>29710</v>
      </c>
      <c r="B33" s="84" t="n">
        <v>1663.9</v>
      </c>
      <c r="C33" s="39">
        <f>(Table26[[#This Row],[M2 Money Stock, Billions of Dollars, Weekly, Seasonally Adjusted]]-B32)/B32</f>
        <v/>
      </c>
      <c r="D33" s="40">
        <f>((1+Table26[[#This Row],[Weekly change]])^52)-1</f>
        <v/>
      </c>
      <c r="E33" s="38" t="n"/>
    </row>
    <row r="34">
      <c r="A34" s="37" t="n">
        <v>29717</v>
      </c>
      <c r="B34" s="84" t="n">
        <v>1663.8</v>
      </c>
      <c r="C34" s="39">
        <f>(Table26[[#This Row],[M2 Money Stock, Billions of Dollars, Weekly, Seasonally Adjusted]]-B33)/B33</f>
        <v/>
      </c>
      <c r="D34" s="40">
        <f>((1+Table26[[#This Row],[Weekly change]])^52)-1</f>
        <v/>
      </c>
      <c r="E34" s="38" t="n"/>
    </row>
    <row r="35">
      <c r="A35" s="37" t="n">
        <v>29724</v>
      </c>
      <c r="B35" s="84" t="n">
        <v>1662.6</v>
      </c>
      <c r="C35" s="39">
        <f>(Table26[[#This Row],[M2 Money Stock, Billions of Dollars, Weekly, Seasonally Adjusted]]-B34)/B34</f>
        <v/>
      </c>
      <c r="D35" s="40">
        <f>((1+Table26[[#This Row],[Weekly change]])^52)-1</f>
        <v/>
      </c>
      <c r="E35" s="38" t="n"/>
    </row>
    <row r="36">
      <c r="A36" s="37" t="n">
        <v>29731</v>
      </c>
      <c r="B36" s="84" t="n">
        <v>1663.3</v>
      </c>
      <c r="C36" s="39">
        <f>(Table26[[#This Row],[M2 Money Stock, Billions of Dollars, Weekly, Seasonally Adjusted]]-B35)/B35</f>
        <v/>
      </c>
      <c r="D36" s="40">
        <f>((1+Table26[[#This Row],[Weekly change]])^52)-1</f>
        <v/>
      </c>
      <c r="E36" s="38" t="n"/>
    </row>
    <row r="37">
      <c r="A37" s="37" t="n">
        <v>29738</v>
      </c>
      <c r="B37" s="84" t="n">
        <v>1666.1</v>
      </c>
      <c r="C37" s="39">
        <f>(Table26[[#This Row],[M2 Money Stock, Billions of Dollars, Weekly, Seasonally Adjusted]]-B36)/B36</f>
        <v/>
      </c>
      <c r="D37" s="40">
        <f>((1+Table26[[#This Row],[Weekly change]])^52)-1</f>
        <v/>
      </c>
      <c r="E37" s="38" t="n"/>
    </row>
    <row r="38">
      <c r="A38" s="37" t="n">
        <v>29745</v>
      </c>
      <c r="B38" s="84" t="n">
        <v>1666.4</v>
      </c>
      <c r="C38" s="39">
        <f>(Table26[[#This Row],[M2 Money Stock, Billions of Dollars, Weekly, Seasonally Adjusted]]-B37)/B37</f>
        <v/>
      </c>
      <c r="D38" s="40">
        <f>((1+Table26[[#This Row],[Weekly change]])^52)-1</f>
        <v/>
      </c>
      <c r="E38" s="38" t="n"/>
    </row>
    <row r="39">
      <c r="A39" s="37" t="n">
        <v>29752</v>
      </c>
      <c r="B39" s="84" t="n">
        <v>1669.8</v>
      </c>
      <c r="C39" s="39">
        <f>(Table26[[#This Row],[M2 Money Stock, Billions of Dollars, Weekly, Seasonally Adjusted]]-B38)/B38</f>
        <v/>
      </c>
      <c r="D39" s="40">
        <f>((1+Table26[[#This Row],[Weekly change]])^52)-1</f>
        <v/>
      </c>
      <c r="E39" s="38" t="n"/>
    </row>
    <row r="40">
      <c r="A40" s="37" t="n">
        <v>29759</v>
      </c>
      <c r="B40" s="84" t="n">
        <v>1672.8</v>
      </c>
      <c r="C40" s="39">
        <f>(Table26[[#This Row],[M2 Money Stock, Billions of Dollars, Weekly, Seasonally Adjusted]]-B39)/B39</f>
        <v/>
      </c>
      <c r="D40" s="40">
        <f>((1+Table26[[#This Row],[Weekly change]])^52)-1</f>
        <v/>
      </c>
      <c r="E40" s="38" t="n"/>
    </row>
    <row r="41">
      <c r="A41" s="37" t="n">
        <v>29766</v>
      </c>
      <c r="B41" s="84" t="n">
        <v>1671.9</v>
      </c>
      <c r="C41" s="39">
        <f>(Table26[[#This Row],[M2 Money Stock, Billions of Dollars, Weekly, Seasonally Adjusted]]-B40)/B40</f>
        <v/>
      </c>
      <c r="D41" s="40">
        <f>((1+Table26[[#This Row],[Weekly change]])^52)-1</f>
        <v/>
      </c>
      <c r="E41" s="38" t="n"/>
    </row>
    <row r="42">
      <c r="A42" s="37" t="n">
        <v>29773</v>
      </c>
      <c r="B42" s="84" t="n">
        <v>1678.2</v>
      </c>
      <c r="C42" s="39">
        <f>(Table26[[#This Row],[M2 Money Stock, Billions of Dollars, Weekly, Seasonally Adjusted]]-B41)/B41</f>
        <v/>
      </c>
      <c r="D42" s="40">
        <f>((1+Table26[[#This Row],[Weekly change]])^52)-1</f>
        <v/>
      </c>
      <c r="E42" s="38" t="n"/>
    </row>
    <row r="43">
      <c r="A43" s="37" t="n">
        <v>29780</v>
      </c>
      <c r="B43" s="84" t="n">
        <v>1677.9</v>
      </c>
      <c r="C43" s="39">
        <f>(Table26[[#This Row],[M2 Money Stock, Billions of Dollars, Weekly, Seasonally Adjusted]]-B42)/B42</f>
        <v/>
      </c>
      <c r="D43" s="40">
        <f>((1+Table26[[#This Row],[Weekly change]])^52)-1</f>
        <v/>
      </c>
      <c r="E43" s="38" t="n"/>
    </row>
    <row r="44">
      <c r="A44" s="37" t="n">
        <v>29787</v>
      </c>
      <c r="B44" s="84" t="n">
        <v>1683.5</v>
      </c>
      <c r="C44" s="39">
        <f>(Table26[[#This Row],[M2 Money Stock, Billions of Dollars, Weekly, Seasonally Adjusted]]-B43)/B43</f>
        <v/>
      </c>
      <c r="D44" s="40">
        <f>((1+Table26[[#This Row],[Weekly change]])^52)-1</f>
        <v/>
      </c>
      <c r="E44" s="38" t="n"/>
    </row>
    <row r="45">
      <c r="A45" s="37" t="n">
        <v>29794</v>
      </c>
      <c r="B45" s="84" t="n">
        <v>1685.8</v>
      </c>
      <c r="C45" s="39">
        <f>(Table26[[#This Row],[M2 Money Stock, Billions of Dollars, Weekly, Seasonally Adjusted]]-B44)/B44</f>
        <v/>
      </c>
      <c r="D45" s="40">
        <f>((1+Table26[[#This Row],[Weekly change]])^52)-1</f>
        <v/>
      </c>
      <c r="E45" s="38" t="n"/>
    </row>
    <row r="46">
      <c r="A46" s="37" t="n">
        <v>29801</v>
      </c>
      <c r="B46" s="84" t="n">
        <v>1688.2</v>
      </c>
      <c r="C46" s="39">
        <f>(Table26[[#This Row],[M2 Money Stock, Billions of Dollars, Weekly, Seasonally Adjusted]]-B45)/B45</f>
        <v/>
      </c>
      <c r="D46" s="40">
        <f>((1+Table26[[#This Row],[Weekly change]])^52)-1</f>
        <v/>
      </c>
      <c r="E46" s="38" t="n"/>
    </row>
    <row r="47">
      <c r="A47" s="37" t="n">
        <v>29808</v>
      </c>
      <c r="B47" s="84" t="n">
        <v>1694</v>
      </c>
      <c r="C47" s="39">
        <f>(Table26[[#This Row],[M2 Money Stock, Billions of Dollars, Weekly, Seasonally Adjusted]]-B46)/B46</f>
        <v/>
      </c>
      <c r="D47" s="40">
        <f>((1+Table26[[#This Row],[Weekly change]])^52)-1</f>
        <v/>
      </c>
      <c r="E47" s="38" t="n"/>
    </row>
    <row r="48">
      <c r="A48" s="37" t="n">
        <v>29815</v>
      </c>
      <c r="B48" s="84" t="n">
        <v>1695.2</v>
      </c>
      <c r="C48" s="39">
        <f>(Table26[[#This Row],[M2 Money Stock, Billions of Dollars, Weekly, Seasonally Adjusted]]-B47)/B47</f>
        <v/>
      </c>
      <c r="D48" s="40">
        <f>((1+Table26[[#This Row],[Weekly change]])^52)-1</f>
        <v/>
      </c>
      <c r="E48" s="38" t="n"/>
    </row>
    <row r="49">
      <c r="A49" s="37" t="n">
        <v>29822</v>
      </c>
      <c r="B49" s="84" t="n">
        <v>1697.6</v>
      </c>
      <c r="C49" s="39">
        <f>(Table26[[#This Row],[M2 Money Stock, Billions of Dollars, Weekly, Seasonally Adjusted]]-B48)/B48</f>
        <v/>
      </c>
      <c r="D49" s="40">
        <f>((1+Table26[[#This Row],[Weekly change]])^52)-1</f>
        <v/>
      </c>
      <c r="E49" s="38" t="n"/>
    </row>
    <row r="50">
      <c r="A50" s="37" t="n">
        <v>29829</v>
      </c>
      <c r="B50" s="84" t="n">
        <v>1701.2</v>
      </c>
      <c r="C50" s="39">
        <f>(Table26[[#This Row],[M2 Money Stock, Billions of Dollars, Weekly, Seasonally Adjusted]]-B49)/B49</f>
        <v/>
      </c>
      <c r="D50" s="40">
        <f>((1+Table26[[#This Row],[Weekly change]])^52)-1</f>
        <v/>
      </c>
      <c r="E50" s="38" t="n"/>
    </row>
    <row r="51">
      <c r="A51" s="37" t="n">
        <v>29836</v>
      </c>
      <c r="B51" s="84" t="n">
        <v>1702.3</v>
      </c>
      <c r="C51" s="39">
        <f>(Table26[[#This Row],[M2 Money Stock, Billions of Dollars, Weekly, Seasonally Adjusted]]-B50)/B50</f>
        <v/>
      </c>
      <c r="D51" s="40">
        <f>((1+Table26[[#This Row],[Weekly change]])^52)-1</f>
        <v/>
      </c>
      <c r="E51" s="38" t="n"/>
    </row>
    <row r="52">
      <c r="A52" s="37" t="n">
        <v>29843</v>
      </c>
      <c r="B52" s="84" t="n">
        <v>1707.4</v>
      </c>
      <c r="C52" s="39">
        <f>(Table26[[#This Row],[M2 Money Stock, Billions of Dollars, Weekly, Seasonally Adjusted]]-B51)/B51</f>
        <v/>
      </c>
      <c r="D52" s="40">
        <f>((1+Table26[[#This Row],[Weekly change]])^52)-1</f>
        <v/>
      </c>
      <c r="E52" s="38" t="n"/>
    </row>
    <row r="53">
      <c r="A53" s="37" t="n">
        <v>29850</v>
      </c>
      <c r="B53" s="84" t="n">
        <v>1708.3</v>
      </c>
      <c r="C53" s="39">
        <f>(Table26[[#This Row],[M2 Money Stock, Billions of Dollars, Weekly, Seasonally Adjusted]]-B52)/B52</f>
        <v/>
      </c>
      <c r="D53" s="40">
        <f>((1+Table26[[#This Row],[Weekly change]])^52)-1</f>
        <v/>
      </c>
      <c r="E53" s="38" t="n"/>
    </row>
    <row r="54">
      <c r="A54" s="37" t="n">
        <v>29857</v>
      </c>
      <c r="B54" s="84" t="n">
        <v>1707.8</v>
      </c>
      <c r="C54" s="39">
        <f>(Table26[[#This Row],[M2 Money Stock, Billions of Dollars, Weekly, Seasonally Adjusted]]-B53)/B53</f>
        <v/>
      </c>
      <c r="D54" s="40">
        <f>((1+Table26[[#This Row],[Weekly change]])^52)-1</f>
        <v/>
      </c>
      <c r="E54" s="38" t="n"/>
    </row>
    <row r="55">
      <c r="A55" s="37" t="n">
        <v>29864</v>
      </c>
      <c r="B55" s="84" t="n">
        <v>1714</v>
      </c>
      <c r="C55" s="39">
        <f>(Table26[[#This Row],[M2 Money Stock, Billions of Dollars, Weekly, Seasonally Adjusted]]-B54)/B54</f>
        <v/>
      </c>
      <c r="D55" s="40">
        <f>((1+Table26[[#This Row],[Weekly change]])^52)-1</f>
        <v/>
      </c>
      <c r="E55" s="38" t="n"/>
    </row>
    <row r="56">
      <c r="A56" s="37" t="n">
        <v>29871</v>
      </c>
      <c r="B56" s="84" t="n">
        <v>1719.6</v>
      </c>
      <c r="C56" s="39">
        <f>(Table26[[#This Row],[M2 Money Stock, Billions of Dollars, Weekly, Seasonally Adjusted]]-B55)/B55</f>
        <v/>
      </c>
      <c r="D56" s="40">
        <f>((1+Table26[[#This Row],[Weekly change]])^52)-1</f>
        <v/>
      </c>
      <c r="E56" s="38" t="n"/>
    </row>
    <row r="57">
      <c r="A57" s="37" t="n">
        <v>29878</v>
      </c>
      <c r="B57" s="84" t="n">
        <v>1722.9</v>
      </c>
      <c r="C57" s="39">
        <f>(Table26[[#This Row],[M2 Money Stock, Billions of Dollars, Weekly, Seasonally Adjusted]]-B56)/B56</f>
        <v/>
      </c>
      <c r="D57" s="40">
        <f>((1+Table26[[#This Row],[Weekly change]])^52)-1</f>
        <v/>
      </c>
      <c r="E57" s="38" t="n"/>
    </row>
    <row r="58">
      <c r="A58" s="37" t="n">
        <v>29885</v>
      </c>
      <c r="B58" s="84" t="n">
        <v>1725.3</v>
      </c>
      <c r="C58" s="39">
        <f>(Table26[[#This Row],[M2 Money Stock, Billions of Dollars, Weekly, Seasonally Adjusted]]-B57)/B57</f>
        <v/>
      </c>
      <c r="D58" s="40">
        <f>((1+Table26[[#This Row],[Weekly change]])^52)-1</f>
        <v/>
      </c>
      <c r="E58" s="38" t="n"/>
    </row>
    <row r="59">
      <c r="A59" s="37" t="n">
        <v>29892</v>
      </c>
      <c r="B59" s="84" t="n">
        <v>1727.6</v>
      </c>
      <c r="C59" s="39">
        <f>(Table26[[#This Row],[M2 Money Stock, Billions of Dollars, Weekly, Seasonally Adjusted]]-B58)/B58</f>
        <v/>
      </c>
      <c r="D59" s="40">
        <f>((1+Table26[[#This Row],[Weekly change]])^52)-1</f>
        <v/>
      </c>
      <c r="E59" s="85">
        <f>(Table26[[#This Row],[M2 Money Stock, Billions of Dollars, Weekly, Seasonally Adjusted]]-B7)/B7</f>
        <v/>
      </c>
    </row>
    <row r="60">
      <c r="A60" s="37" t="n">
        <v>29899</v>
      </c>
      <c r="B60" s="84" t="n">
        <v>1732.2</v>
      </c>
      <c r="C60" s="39">
        <f>(Table26[[#This Row],[M2 Money Stock, Billions of Dollars, Weekly, Seasonally Adjusted]]-B59)/B59</f>
        <v/>
      </c>
      <c r="D60" s="40">
        <f>((1+Table26[[#This Row],[Weekly change]])^52)-1</f>
        <v/>
      </c>
      <c r="E60" s="85">
        <f>(Table26[[#This Row],[M2 Money Stock, Billions of Dollars, Weekly, Seasonally Adjusted]]-B8)/B8</f>
        <v/>
      </c>
    </row>
    <row r="61">
      <c r="A61" s="37" t="n">
        <v>29906</v>
      </c>
      <c r="B61" s="84" t="n">
        <v>1736.2</v>
      </c>
      <c r="C61" s="39">
        <f>(Table26[[#This Row],[M2 Money Stock, Billions of Dollars, Weekly, Seasonally Adjusted]]-B60)/B60</f>
        <v/>
      </c>
      <c r="D61" s="40">
        <f>((1+Table26[[#This Row],[Weekly change]])^52)-1</f>
        <v/>
      </c>
      <c r="E61" s="85">
        <f>(Table26[[#This Row],[M2 Money Stock, Billions of Dollars, Weekly, Seasonally Adjusted]]-B9)/B9</f>
        <v/>
      </c>
    </row>
    <row r="62">
      <c r="A62" s="37" t="n">
        <v>29913</v>
      </c>
      <c r="B62" s="84" t="n">
        <v>1736.6</v>
      </c>
      <c r="C62" s="39">
        <f>(Table26[[#This Row],[M2 Money Stock, Billions of Dollars, Weekly, Seasonally Adjusted]]-B61)/B61</f>
        <v/>
      </c>
      <c r="D62" s="40">
        <f>((1+Table26[[#This Row],[Weekly change]])^52)-1</f>
        <v/>
      </c>
      <c r="E62" s="85">
        <f>(Table26[[#This Row],[M2 Money Stock, Billions of Dollars, Weekly, Seasonally Adjusted]]-B10)/B10</f>
        <v/>
      </c>
    </row>
    <row r="63">
      <c r="A63" s="37" t="n">
        <v>29920</v>
      </c>
      <c r="B63" s="84" t="n">
        <v>1743.5</v>
      </c>
      <c r="C63" s="39">
        <f>(Table26[[#This Row],[M2 Money Stock, Billions of Dollars, Weekly, Seasonally Adjusted]]-B62)/B62</f>
        <v/>
      </c>
      <c r="D63" s="40">
        <f>((1+Table26[[#This Row],[Weekly change]])^52)-1</f>
        <v/>
      </c>
      <c r="E63" s="85">
        <f>(Table26[[#This Row],[M2 Money Stock, Billions of Dollars, Weekly, Seasonally Adjusted]]-B11)/B11</f>
        <v/>
      </c>
    </row>
    <row r="64">
      <c r="A64" s="37" t="n">
        <v>29927</v>
      </c>
      <c r="B64" s="84" t="n">
        <v>1749.2</v>
      </c>
      <c r="C64" s="39">
        <f>(Table26[[#This Row],[M2 Money Stock, Billions of Dollars, Weekly, Seasonally Adjusted]]-B63)/B63</f>
        <v/>
      </c>
      <c r="D64" s="40">
        <f>((1+Table26[[#This Row],[Weekly change]])^52)-1</f>
        <v/>
      </c>
      <c r="E64" s="85">
        <f>(Table26[[#This Row],[M2 Money Stock, Billions of Dollars, Weekly, Seasonally Adjusted]]-B12)/B12</f>
        <v/>
      </c>
    </row>
    <row r="65">
      <c r="A65" s="37" t="n">
        <v>29934</v>
      </c>
      <c r="B65" s="84" t="n">
        <v>1751.5</v>
      </c>
      <c r="C65" s="39">
        <f>(Table26[[#This Row],[M2 Money Stock, Billions of Dollars, Weekly, Seasonally Adjusted]]-B64)/B64</f>
        <v/>
      </c>
      <c r="D65" s="40">
        <f>((1+Table26[[#This Row],[Weekly change]])^52)-1</f>
        <v/>
      </c>
      <c r="E65" s="85">
        <f>(Table26[[#This Row],[M2 Money Stock, Billions of Dollars, Weekly, Seasonally Adjusted]]-B13)/B13</f>
        <v/>
      </c>
    </row>
    <row r="66">
      <c r="A66" s="37" t="n">
        <v>29941</v>
      </c>
      <c r="B66" s="84" t="n">
        <v>1755.1</v>
      </c>
      <c r="C66" s="39">
        <f>(Table26[[#This Row],[M2 Money Stock, Billions of Dollars, Weekly, Seasonally Adjusted]]-B65)/B65</f>
        <v/>
      </c>
      <c r="D66" s="40">
        <f>((1+Table26[[#This Row],[Weekly change]])^52)-1</f>
        <v/>
      </c>
      <c r="E66" s="85">
        <f>(Table26[[#This Row],[M2 Money Stock, Billions of Dollars, Weekly, Seasonally Adjusted]]-B14)/B14</f>
        <v/>
      </c>
    </row>
    <row r="67">
      <c r="A67" s="37" t="n">
        <v>29948</v>
      </c>
      <c r="B67" s="84" t="n">
        <v>1753.7</v>
      </c>
      <c r="C67" s="39">
        <f>(Table26[[#This Row],[M2 Money Stock, Billions of Dollars, Weekly, Seasonally Adjusted]]-B66)/B66</f>
        <v/>
      </c>
      <c r="D67" s="40">
        <f>((1+Table26[[#This Row],[Weekly change]])^52)-1</f>
        <v/>
      </c>
      <c r="E67" s="85">
        <f>(Table26[[#This Row],[M2 Money Stock, Billions of Dollars, Weekly, Seasonally Adjusted]]-B15)/B15</f>
        <v/>
      </c>
    </row>
    <row r="68">
      <c r="A68" s="37" t="n">
        <v>29955</v>
      </c>
      <c r="B68" s="84" t="n">
        <v>1756.5</v>
      </c>
      <c r="C68" s="39">
        <f>(Table26[[#This Row],[M2 Money Stock, Billions of Dollars, Weekly, Seasonally Adjusted]]-B67)/B67</f>
        <v/>
      </c>
      <c r="D68" s="40">
        <f>((1+Table26[[#This Row],[Weekly change]])^52)-1</f>
        <v/>
      </c>
      <c r="E68" s="85">
        <f>(Table26[[#This Row],[M2 Money Stock, Billions of Dollars, Weekly, Seasonally Adjusted]]-B16)/B16</f>
        <v/>
      </c>
    </row>
    <row r="69">
      <c r="A69" s="37" t="n">
        <v>29962</v>
      </c>
      <c r="B69" s="84" t="n">
        <v>1761.8</v>
      </c>
      <c r="C69" s="39">
        <f>(Table26[[#This Row],[M2 Money Stock, Billions of Dollars, Weekly, Seasonally Adjusted]]-B68)/B68</f>
        <v/>
      </c>
      <c r="D69" s="40">
        <f>((1+Table26[[#This Row],[Weekly change]])^52)-1</f>
        <v/>
      </c>
      <c r="E69" s="85">
        <f>(Table26[[#This Row],[M2 Money Stock, Billions of Dollars, Weekly, Seasonally Adjusted]]-B17)/B17</f>
        <v/>
      </c>
    </row>
    <row r="70">
      <c r="A70" s="37" t="n">
        <v>29969</v>
      </c>
      <c r="B70" s="84" t="n">
        <v>1766.6</v>
      </c>
      <c r="C70" s="39">
        <f>(Table26[[#This Row],[M2 Money Stock, Billions of Dollars, Weekly, Seasonally Adjusted]]-B69)/B69</f>
        <v/>
      </c>
      <c r="D70" s="40">
        <f>((1+Table26[[#This Row],[Weekly change]])^52)-1</f>
        <v/>
      </c>
      <c r="E70" s="85">
        <f>(Table26[[#This Row],[M2 Money Stock, Billions of Dollars, Weekly, Seasonally Adjusted]]-B18)/B18</f>
        <v/>
      </c>
    </row>
    <row r="71">
      <c r="A71" s="37" t="n">
        <v>29976</v>
      </c>
      <c r="B71" s="84" t="n">
        <v>1769.5</v>
      </c>
      <c r="C71" s="39">
        <f>(Table26[[#This Row],[M2 Money Stock, Billions of Dollars, Weekly, Seasonally Adjusted]]-B70)/B70</f>
        <v/>
      </c>
      <c r="D71" s="40">
        <f>((1+Table26[[#This Row],[Weekly change]])^52)-1</f>
        <v/>
      </c>
      <c r="E71" s="85">
        <f>(Table26[[#This Row],[M2 Money Stock, Billions of Dollars, Weekly, Seasonally Adjusted]]-B19)/B19</f>
        <v/>
      </c>
    </row>
    <row r="72">
      <c r="A72" s="37" t="n">
        <v>29983</v>
      </c>
      <c r="B72" s="84" t="n">
        <v>1773.1</v>
      </c>
      <c r="C72" s="39">
        <f>(Table26[[#This Row],[M2 Money Stock, Billions of Dollars, Weekly, Seasonally Adjusted]]-B71)/B71</f>
        <v/>
      </c>
      <c r="D72" s="40">
        <f>((1+Table26[[#This Row],[Weekly change]])^52)-1</f>
        <v/>
      </c>
      <c r="E72" s="85">
        <f>(Table26[[#This Row],[M2 Money Stock, Billions of Dollars, Weekly, Seasonally Adjusted]]-B20)/B20</f>
        <v/>
      </c>
    </row>
    <row r="73">
      <c r="A73" s="37" t="n">
        <v>29990</v>
      </c>
      <c r="B73" s="84" t="n">
        <v>1771.4</v>
      </c>
      <c r="C73" s="39">
        <f>(Table26[[#This Row],[M2 Money Stock, Billions of Dollars, Weekly, Seasonally Adjusted]]-B72)/B72</f>
        <v/>
      </c>
      <c r="D73" s="40">
        <f>((1+Table26[[#This Row],[Weekly change]])^52)-1</f>
        <v/>
      </c>
      <c r="E73" s="85">
        <f>(Table26[[#This Row],[M2 Money Stock, Billions of Dollars, Weekly, Seasonally Adjusted]]-B21)/B21</f>
        <v/>
      </c>
    </row>
    <row r="74">
      <c r="A74" s="37" t="n">
        <v>29997</v>
      </c>
      <c r="B74" s="84" t="n">
        <v>1774.3</v>
      </c>
      <c r="C74" s="39">
        <f>(Table26[[#This Row],[M2 Money Stock, Billions of Dollars, Weekly, Seasonally Adjusted]]-B73)/B73</f>
        <v/>
      </c>
      <c r="D74" s="40">
        <f>((1+Table26[[#This Row],[Weekly change]])^52)-1</f>
        <v/>
      </c>
      <c r="E74" s="85">
        <f>(Table26[[#This Row],[M2 Money Stock, Billions of Dollars, Weekly, Seasonally Adjusted]]-B22)/B22</f>
        <v/>
      </c>
    </row>
    <row r="75">
      <c r="A75" s="37" t="n">
        <v>30004</v>
      </c>
      <c r="B75" s="84" t="n">
        <v>1775.4</v>
      </c>
      <c r="C75" s="39">
        <f>(Table26[[#This Row],[M2 Money Stock, Billions of Dollars, Weekly, Seasonally Adjusted]]-B74)/B74</f>
        <v/>
      </c>
      <c r="D75" s="40">
        <f>((1+Table26[[#This Row],[Weekly change]])^52)-1</f>
        <v/>
      </c>
      <c r="E75" s="85">
        <f>(Table26[[#This Row],[M2 Money Stock, Billions of Dollars, Weekly, Seasonally Adjusted]]-B23)/B23</f>
        <v/>
      </c>
    </row>
    <row r="76">
      <c r="A76" s="37" t="n">
        <v>30011</v>
      </c>
      <c r="B76" s="84" t="n">
        <v>1778.4</v>
      </c>
      <c r="C76" s="39">
        <f>(Table26[[#This Row],[M2 Money Stock, Billions of Dollars, Weekly, Seasonally Adjusted]]-B75)/B75</f>
        <v/>
      </c>
      <c r="D76" s="40">
        <f>((1+Table26[[#This Row],[Weekly change]])^52)-1</f>
        <v/>
      </c>
      <c r="E76" s="85">
        <f>(Table26[[#This Row],[M2 Money Stock, Billions of Dollars, Weekly, Seasonally Adjusted]]-B24)/B24</f>
        <v/>
      </c>
    </row>
    <row r="77">
      <c r="A77" s="37" t="n">
        <v>30018</v>
      </c>
      <c r="B77" s="84" t="n">
        <v>1781.6</v>
      </c>
      <c r="C77" s="39">
        <f>(Table26[[#This Row],[M2 Money Stock, Billions of Dollars, Weekly, Seasonally Adjusted]]-B76)/B76</f>
        <v/>
      </c>
      <c r="D77" s="40">
        <f>((1+Table26[[#This Row],[Weekly change]])^52)-1</f>
        <v/>
      </c>
      <c r="E77" s="85">
        <f>(Table26[[#This Row],[M2 Money Stock, Billions of Dollars, Weekly, Seasonally Adjusted]]-B25)/B25</f>
        <v/>
      </c>
    </row>
    <row r="78">
      <c r="A78" s="37" t="n">
        <v>30025</v>
      </c>
      <c r="B78" s="84" t="n">
        <v>1786.2</v>
      </c>
      <c r="C78" s="39">
        <f>(Table26[[#This Row],[M2 Money Stock, Billions of Dollars, Weekly, Seasonally Adjusted]]-B77)/B77</f>
        <v/>
      </c>
      <c r="D78" s="40">
        <f>((1+Table26[[#This Row],[Weekly change]])^52)-1</f>
        <v/>
      </c>
      <c r="E78" s="85">
        <f>(Table26[[#This Row],[M2 Money Stock, Billions of Dollars, Weekly, Seasonally Adjusted]]-B26)/B26</f>
        <v/>
      </c>
    </row>
    <row r="79">
      <c r="A79" s="37" t="n">
        <v>30032</v>
      </c>
      <c r="B79" s="84" t="n">
        <v>1789.3</v>
      </c>
      <c r="C79" s="39">
        <f>(Table26[[#This Row],[M2 Money Stock, Billions of Dollars, Weekly, Seasonally Adjusted]]-B78)/B78</f>
        <v/>
      </c>
      <c r="D79" s="40">
        <f>((1+Table26[[#This Row],[Weekly change]])^52)-1</f>
        <v/>
      </c>
      <c r="E79" s="85">
        <f>(Table26[[#This Row],[M2 Money Stock, Billions of Dollars, Weekly, Seasonally Adjusted]]-B27)/B27</f>
        <v/>
      </c>
    </row>
    <row r="80">
      <c r="A80" s="37" t="n">
        <v>30039</v>
      </c>
      <c r="B80" s="84" t="n">
        <v>1793.7</v>
      </c>
      <c r="C80" s="39">
        <f>(Table26[[#This Row],[M2 Money Stock, Billions of Dollars, Weekly, Seasonally Adjusted]]-B79)/B79</f>
        <v/>
      </c>
      <c r="D80" s="40">
        <f>((1+Table26[[#This Row],[Weekly change]])^52)-1</f>
        <v/>
      </c>
      <c r="E80" s="85">
        <f>(Table26[[#This Row],[M2 Money Stock, Billions of Dollars, Weekly, Seasonally Adjusted]]-B28)/B28</f>
        <v/>
      </c>
    </row>
    <row r="81">
      <c r="A81" s="37" t="n">
        <v>30046</v>
      </c>
      <c r="B81" s="84" t="n">
        <v>1800</v>
      </c>
      <c r="C81" s="39">
        <f>(Table26[[#This Row],[M2 Money Stock, Billions of Dollars, Weekly, Seasonally Adjusted]]-B80)/B80</f>
        <v/>
      </c>
      <c r="D81" s="40">
        <f>((1+Table26[[#This Row],[Weekly change]])^52)-1</f>
        <v/>
      </c>
      <c r="E81" s="85">
        <f>(Table26[[#This Row],[M2 Money Stock, Billions of Dollars, Weekly, Seasonally Adjusted]]-B29)/B29</f>
        <v/>
      </c>
    </row>
    <row r="82">
      <c r="A82" s="37" t="n">
        <v>30053</v>
      </c>
      <c r="B82" s="84" t="n">
        <v>1805.2</v>
      </c>
      <c r="C82" s="39">
        <f>(Table26[[#This Row],[M2 Money Stock, Billions of Dollars, Weekly, Seasonally Adjusted]]-B81)/B81</f>
        <v/>
      </c>
      <c r="D82" s="40">
        <f>((1+Table26[[#This Row],[Weekly change]])^52)-1</f>
        <v/>
      </c>
      <c r="E82" s="85">
        <f>(Table26[[#This Row],[M2 Money Stock, Billions of Dollars, Weekly, Seasonally Adjusted]]-B30)/B30</f>
        <v/>
      </c>
    </row>
    <row r="83">
      <c r="A83" s="37" t="n">
        <v>30060</v>
      </c>
      <c r="B83" s="84" t="n">
        <v>1806.7</v>
      </c>
      <c r="C83" s="39">
        <f>(Table26[[#This Row],[M2 Money Stock, Billions of Dollars, Weekly, Seasonally Adjusted]]-B82)/B82</f>
        <v/>
      </c>
      <c r="D83" s="40">
        <f>((1+Table26[[#This Row],[Weekly change]])^52)-1</f>
        <v/>
      </c>
      <c r="E83" s="85">
        <f>(Table26[[#This Row],[M2 Money Stock, Billions of Dollars, Weekly, Seasonally Adjusted]]-B31)/B31</f>
        <v/>
      </c>
    </row>
    <row r="84">
      <c r="A84" s="37" t="n">
        <v>30067</v>
      </c>
      <c r="B84" s="84" t="n">
        <v>1806.7</v>
      </c>
      <c r="C84" s="39">
        <f>(Table26[[#This Row],[M2 Money Stock, Billions of Dollars, Weekly, Seasonally Adjusted]]-B83)/B83</f>
        <v/>
      </c>
      <c r="D84" s="40">
        <f>((1+Table26[[#This Row],[Weekly change]])^52)-1</f>
        <v/>
      </c>
      <c r="E84" s="85">
        <f>(Table26[[#This Row],[M2 Money Stock, Billions of Dollars, Weekly, Seasonally Adjusted]]-B32)/B32</f>
        <v/>
      </c>
    </row>
    <row r="85">
      <c r="A85" s="37" t="n">
        <v>30074</v>
      </c>
      <c r="B85" s="84" t="n">
        <v>1805.7</v>
      </c>
      <c r="C85" s="39">
        <f>(Table26[[#This Row],[M2 Money Stock, Billions of Dollars, Weekly, Seasonally Adjusted]]-B84)/B84</f>
        <v/>
      </c>
      <c r="D85" s="40">
        <f>((1+Table26[[#This Row],[Weekly change]])^52)-1</f>
        <v/>
      </c>
      <c r="E85" s="85">
        <f>(Table26[[#This Row],[M2 Money Stock, Billions of Dollars, Weekly, Seasonally Adjusted]]-B33)/B33</f>
        <v/>
      </c>
    </row>
    <row r="86">
      <c r="A86" s="37" t="n">
        <v>30081</v>
      </c>
      <c r="B86" s="84" t="n">
        <v>1809.7</v>
      </c>
      <c r="C86" s="39">
        <f>(Table26[[#This Row],[M2 Money Stock, Billions of Dollars, Weekly, Seasonally Adjusted]]-B85)/B85</f>
        <v/>
      </c>
      <c r="D86" s="40">
        <f>((1+Table26[[#This Row],[Weekly change]])^52)-1</f>
        <v/>
      </c>
      <c r="E86" s="85">
        <f>(Table26[[#This Row],[M2 Money Stock, Billions of Dollars, Weekly, Seasonally Adjusted]]-B34)/B34</f>
        <v/>
      </c>
    </row>
    <row r="87">
      <c r="A87" s="37" t="n">
        <v>30088</v>
      </c>
      <c r="B87" s="84" t="n">
        <v>1812.1</v>
      </c>
      <c r="C87" s="39">
        <f>(Table26[[#This Row],[M2 Money Stock, Billions of Dollars, Weekly, Seasonally Adjusted]]-B86)/B86</f>
        <v/>
      </c>
      <c r="D87" s="40">
        <f>((1+Table26[[#This Row],[Weekly change]])^52)-1</f>
        <v/>
      </c>
      <c r="E87" s="85">
        <f>(Table26[[#This Row],[M2 Money Stock, Billions of Dollars, Weekly, Seasonally Adjusted]]-B35)/B35</f>
        <v/>
      </c>
    </row>
    <row r="88">
      <c r="A88" s="37" t="n">
        <v>30095</v>
      </c>
      <c r="B88" s="84" t="n">
        <v>1816.5</v>
      </c>
      <c r="C88" s="39">
        <f>(Table26[[#This Row],[M2 Money Stock, Billions of Dollars, Weekly, Seasonally Adjusted]]-B87)/B87</f>
        <v/>
      </c>
      <c r="D88" s="40">
        <f>((1+Table26[[#This Row],[Weekly change]])^52)-1</f>
        <v/>
      </c>
      <c r="E88" s="85">
        <f>(Table26[[#This Row],[M2 Money Stock, Billions of Dollars, Weekly, Seasonally Adjusted]]-B36)/B36</f>
        <v/>
      </c>
    </row>
    <row r="89">
      <c r="A89" s="37" t="n">
        <v>30102</v>
      </c>
      <c r="B89" s="84" t="n">
        <v>1821</v>
      </c>
      <c r="C89" s="39">
        <f>(Table26[[#This Row],[M2 Money Stock, Billions of Dollars, Weekly, Seasonally Adjusted]]-B88)/B88</f>
        <v/>
      </c>
      <c r="D89" s="40">
        <f>((1+Table26[[#This Row],[Weekly change]])^52)-1</f>
        <v/>
      </c>
      <c r="E89" s="85">
        <f>(Table26[[#This Row],[M2 Money Stock, Billions of Dollars, Weekly, Seasonally Adjusted]]-B37)/B37</f>
        <v/>
      </c>
    </row>
    <row r="90">
      <c r="A90" s="37" t="n">
        <v>30109</v>
      </c>
      <c r="B90" s="84" t="n">
        <v>1823</v>
      </c>
      <c r="C90" s="39">
        <f>(Table26[[#This Row],[M2 Money Stock, Billions of Dollars, Weekly, Seasonally Adjusted]]-B89)/B89</f>
        <v/>
      </c>
      <c r="D90" s="40">
        <f>((1+Table26[[#This Row],[Weekly change]])^52)-1</f>
        <v/>
      </c>
      <c r="E90" s="85">
        <f>(Table26[[#This Row],[M2 Money Stock, Billions of Dollars, Weekly, Seasonally Adjusted]]-B38)/B38</f>
        <v/>
      </c>
    </row>
    <row r="91">
      <c r="A91" s="37" t="n">
        <v>30116</v>
      </c>
      <c r="B91" s="84" t="n">
        <v>1826</v>
      </c>
      <c r="C91" s="39">
        <f>(Table26[[#This Row],[M2 Money Stock, Billions of Dollars, Weekly, Seasonally Adjusted]]-B90)/B90</f>
        <v/>
      </c>
      <c r="D91" s="40">
        <f>((1+Table26[[#This Row],[Weekly change]])^52)-1</f>
        <v/>
      </c>
      <c r="E91" s="85">
        <f>(Table26[[#This Row],[M2 Money Stock, Billions of Dollars, Weekly, Seasonally Adjusted]]-B39)/B39</f>
        <v/>
      </c>
    </row>
    <row r="92">
      <c r="A92" s="37" t="n">
        <v>30123</v>
      </c>
      <c r="B92" s="84" t="n">
        <v>1826.5</v>
      </c>
      <c r="C92" s="39">
        <f>(Table26[[#This Row],[M2 Money Stock, Billions of Dollars, Weekly, Seasonally Adjusted]]-B91)/B91</f>
        <v/>
      </c>
      <c r="D92" s="40">
        <f>((1+Table26[[#This Row],[Weekly change]])^52)-1</f>
        <v/>
      </c>
      <c r="E92" s="85">
        <f>(Table26[[#This Row],[M2 Money Stock, Billions of Dollars, Weekly, Seasonally Adjusted]]-B40)/B40</f>
        <v/>
      </c>
    </row>
    <row r="93">
      <c r="A93" s="37" t="n">
        <v>30130</v>
      </c>
      <c r="B93" s="84" t="n">
        <v>1824.6</v>
      </c>
      <c r="C93" s="39">
        <f>(Table26[[#This Row],[M2 Money Stock, Billions of Dollars, Weekly, Seasonally Adjusted]]-B92)/B92</f>
        <v/>
      </c>
      <c r="D93" s="40">
        <f>((1+Table26[[#This Row],[Weekly change]])^52)-1</f>
        <v/>
      </c>
      <c r="E93" s="85">
        <f>(Table26[[#This Row],[M2 Money Stock, Billions of Dollars, Weekly, Seasonally Adjusted]]-B41)/B41</f>
        <v/>
      </c>
    </row>
    <row r="94">
      <c r="A94" s="37" t="n">
        <v>30137</v>
      </c>
      <c r="B94" s="84" t="n">
        <v>1827.5</v>
      </c>
      <c r="C94" s="39">
        <f>(Table26[[#This Row],[M2 Money Stock, Billions of Dollars, Weekly, Seasonally Adjusted]]-B93)/B93</f>
        <v/>
      </c>
      <c r="D94" s="40">
        <f>((1+Table26[[#This Row],[Weekly change]])^52)-1</f>
        <v/>
      </c>
      <c r="E94" s="85">
        <f>(Table26[[#This Row],[M2 Money Stock, Billions of Dollars, Weekly, Seasonally Adjusted]]-B42)/B42</f>
        <v/>
      </c>
    </row>
    <row r="95">
      <c r="A95" s="37" t="n">
        <v>30144</v>
      </c>
      <c r="B95" s="84" t="n">
        <v>1828.7</v>
      </c>
      <c r="C95" s="39">
        <f>(Table26[[#This Row],[M2 Money Stock, Billions of Dollars, Weekly, Seasonally Adjusted]]-B94)/B94</f>
        <v/>
      </c>
      <c r="D95" s="40">
        <f>((1+Table26[[#This Row],[Weekly change]])^52)-1</f>
        <v/>
      </c>
      <c r="E95" s="85">
        <f>(Table26[[#This Row],[M2 Money Stock, Billions of Dollars, Weekly, Seasonally Adjusted]]-B43)/B43</f>
        <v/>
      </c>
    </row>
    <row r="96">
      <c r="A96" s="37" t="n">
        <v>30151</v>
      </c>
      <c r="B96" s="84" t="n">
        <v>1830.4</v>
      </c>
      <c r="C96" s="39">
        <f>(Table26[[#This Row],[M2 Money Stock, Billions of Dollars, Weekly, Seasonally Adjusted]]-B95)/B95</f>
        <v/>
      </c>
      <c r="D96" s="40">
        <f>((1+Table26[[#This Row],[Weekly change]])^52)-1</f>
        <v/>
      </c>
      <c r="E96" s="85">
        <f>(Table26[[#This Row],[M2 Money Stock, Billions of Dollars, Weekly, Seasonally Adjusted]]-B44)/B44</f>
        <v/>
      </c>
    </row>
    <row r="97">
      <c r="A97" s="37" t="n">
        <v>30158</v>
      </c>
      <c r="B97" s="84" t="n">
        <v>1834.2</v>
      </c>
      <c r="C97" s="39">
        <f>(Table26[[#This Row],[M2 Money Stock, Billions of Dollars, Weekly, Seasonally Adjusted]]-B96)/B96</f>
        <v/>
      </c>
      <c r="D97" s="40">
        <f>((1+Table26[[#This Row],[Weekly change]])^52)-1</f>
        <v/>
      </c>
      <c r="E97" s="85">
        <f>(Table26[[#This Row],[M2 Money Stock, Billions of Dollars, Weekly, Seasonally Adjusted]]-B45)/B45</f>
        <v/>
      </c>
    </row>
    <row r="98">
      <c r="A98" s="37" t="n">
        <v>30165</v>
      </c>
      <c r="B98" s="84" t="n">
        <v>1837</v>
      </c>
      <c r="C98" s="39">
        <f>(Table26[[#This Row],[M2 Money Stock, Billions of Dollars, Weekly, Seasonally Adjusted]]-B97)/B97</f>
        <v/>
      </c>
      <c r="D98" s="40">
        <f>((1+Table26[[#This Row],[Weekly change]])^52)-1</f>
        <v/>
      </c>
      <c r="E98" s="85">
        <f>(Table26[[#This Row],[M2 Money Stock, Billions of Dollars, Weekly, Seasonally Adjusted]]-B46)/B46</f>
        <v/>
      </c>
    </row>
    <row r="99">
      <c r="A99" s="37" t="n">
        <v>30172</v>
      </c>
      <c r="B99" s="84" t="n">
        <v>1841.1</v>
      </c>
      <c r="C99" s="39">
        <f>(Table26[[#This Row],[M2 Money Stock, Billions of Dollars, Weekly, Seasonally Adjusted]]-B98)/B98</f>
        <v/>
      </c>
      <c r="D99" s="40">
        <f>((1+Table26[[#This Row],[Weekly change]])^52)-1</f>
        <v/>
      </c>
      <c r="E99" s="85">
        <f>(Table26[[#This Row],[M2 Money Stock, Billions of Dollars, Weekly, Seasonally Adjusted]]-B47)/B47</f>
        <v/>
      </c>
    </row>
    <row r="100">
      <c r="A100" s="37" t="n">
        <v>30179</v>
      </c>
      <c r="B100" s="84" t="n">
        <v>1846.1</v>
      </c>
      <c r="C100" s="39">
        <f>(Table26[[#This Row],[M2 Money Stock, Billions of Dollars, Weekly, Seasonally Adjusted]]-B99)/B99</f>
        <v/>
      </c>
      <c r="D100" s="40">
        <f>((1+Table26[[#This Row],[Weekly change]])^52)-1</f>
        <v/>
      </c>
      <c r="E100" s="85">
        <f>(Table26[[#This Row],[M2 Money Stock, Billions of Dollars, Weekly, Seasonally Adjusted]]-B48)/B48</f>
        <v/>
      </c>
    </row>
    <row r="101">
      <c r="A101" s="37" t="n">
        <v>30186</v>
      </c>
      <c r="B101" s="84" t="n">
        <v>1849.9</v>
      </c>
      <c r="C101" s="39">
        <f>(Table26[[#This Row],[M2 Money Stock, Billions of Dollars, Weekly, Seasonally Adjusted]]-B100)/B100</f>
        <v/>
      </c>
      <c r="D101" s="40">
        <f>((1+Table26[[#This Row],[Weekly change]])^52)-1</f>
        <v/>
      </c>
      <c r="E101" s="85">
        <f>(Table26[[#This Row],[M2 Money Stock, Billions of Dollars, Weekly, Seasonally Adjusted]]-B49)/B49</f>
        <v/>
      </c>
    </row>
    <row r="102">
      <c r="A102" s="37" t="n">
        <v>30193</v>
      </c>
      <c r="B102" s="84" t="n">
        <v>1853.4</v>
      </c>
      <c r="C102" s="39">
        <f>(Table26[[#This Row],[M2 Money Stock, Billions of Dollars, Weekly, Seasonally Adjusted]]-B101)/B101</f>
        <v/>
      </c>
      <c r="D102" s="40">
        <f>((1+Table26[[#This Row],[Weekly change]])^52)-1</f>
        <v/>
      </c>
      <c r="E102" s="85">
        <f>(Table26[[#This Row],[M2 Money Stock, Billions of Dollars, Weekly, Seasonally Adjusted]]-B50)/B50</f>
        <v/>
      </c>
    </row>
    <row r="103">
      <c r="A103" s="37" t="n">
        <v>30200</v>
      </c>
      <c r="B103" s="84" t="n">
        <v>1855.9</v>
      </c>
      <c r="C103" s="39">
        <f>(Table26[[#This Row],[M2 Money Stock, Billions of Dollars, Weekly, Seasonally Adjusted]]-B102)/B102</f>
        <v/>
      </c>
      <c r="D103" s="40">
        <f>((1+Table26[[#This Row],[Weekly change]])^52)-1</f>
        <v/>
      </c>
      <c r="E103" s="85">
        <f>(Table26[[#This Row],[M2 Money Stock, Billions of Dollars, Weekly, Seasonally Adjusted]]-B51)/B51</f>
        <v/>
      </c>
    </row>
    <row r="104">
      <c r="A104" s="37" t="n">
        <v>30207</v>
      </c>
      <c r="B104" s="84" t="n">
        <v>1859.2</v>
      </c>
      <c r="C104" s="39">
        <f>(Table26[[#This Row],[M2 Money Stock, Billions of Dollars, Weekly, Seasonally Adjusted]]-B103)/B103</f>
        <v/>
      </c>
      <c r="D104" s="40">
        <f>((1+Table26[[#This Row],[Weekly change]])^52)-1</f>
        <v/>
      </c>
      <c r="E104" s="85">
        <f>(Table26[[#This Row],[M2 Money Stock, Billions of Dollars, Weekly, Seasonally Adjusted]]-B52)/B52</f>
        <v/>
      </c>
    </row>
    <row r="105">
      <c r="A105" s="37" t="n">
        <v>30214</v>
      </c>
      <c r="B105" s="84" t="n">
        <v>1861.2</v>
      </c>
      <c r="C105" s="39">
        <f>(Table26[[#This Row],[M2 Money Stock, Billions of Dollars, Weekly, Seasonally Adjusted]]-B104)/B104</f>
        <v/>
      </c>
      <c r="D105" s="40">
        <f>((1+Table26[[#This Row],[Weekly change]])^52)-1</f>
        <v/>
      </c>
      <c r="E105" s="85">
        <f>(Table26[[#This Row],[M2 Money Stock, Billions of Dollars, Weekly, Seasonally Adjusted]]-B53)/B53</f>
        <v/>
      </c>
    </row>
    <row r="106">
      <c r="A106" s="37" t="n">
        <v>30221</v>
      </c>
      <c r="B106" s="84" t="n">
        <v>1860.1</v>
      </c>
      <c r="C106" s="39">
        <f>(Table26[[#This Row],[M2 Money Stock, Billions of Dollars, Weekly, Seasonally Adjusted]]-B105)/B105</f>
        <v/>
      </c>
      <c r="D106" s="40">
        <f>((1+Table26[[#This Row],[Weekly change]])^52)-1</f>
        <v/>
      </c>
      <c r="E106" s="85">
        <f>(Table26[[#This Row],[M2 Money Stock, Billions of Dollars, Weekly, Seasonally Adjusted]]-B54)/B54</f>
        <v/>
      </c>
    </row>
    <row r="107">
      <c r="A107" s="37" t="n">
        <v>30228</v>
      </c>
      <c r="B107" s="84" t="n">
        <v>1863.9</v>
      </c>
      <c r="C107" s="39">
        <f>(Table26[[#This Row],[M2 Money Stock, Billions of Dollars, Weekly, Seasonally Adjusted]]-B106)/B106</f>
        <v/>
      </c>
      <c r="D107" s="40">
        <f>((1+Table26[[#This Row],[Weekly change]])^52)-1</f>
        <v/>
      </c>
      <c r="E107" s="85">
        <f>(Table26[[#This Row],[M2 Money Stock, Billions of Dollars, Weekly, Seasonally Adjusted]]-B55)/B55</f>
        <v/>
      </c>
    </row>
    <row r="108">
      <c r="A108" s="37" t="n">
        <v>30235</v>
      </c>
      <c r="B108" s="84" t="n">
        <v>1865.5</v>
      </c>
      <c r="C108" s="39">
        <f>(Table26[[#This Row],[M2 Money Stock, Billions of Dollars, Weekly, Seasonally Adjusted]]-B107)/B107</f>
        <v/>
      </c>
      <c r="D108" s="40">
        <f>((1+Table26[[#This Row],[Weekly change]])^52)-1</f>
        <v/>
      </c>
      <c r="E108" s="85">
        <f>(Table26[[#This Row],[M2 Money Stock, Billions of Dollars, Weekly, Seasonally Adjusted]]-B56)/B56</f>
        <v/>
      </c>
    </row>
    <row r="109">
      <c r="A109" s="37" t="n">
        <v>30242</v>
      </c>
      <c r="B109" s="84" t="n">
        <v>1869.3</v>
      </c>
      <c r="C109" s="39">
        <f>(Table26[[#This Row],[M2 Money Stock, Billions of Dollars, Weekly, Seasonally Adjusted]]-B108)/B108</f>
        <v/>
      </c>
      <c r="D109" s="40">
        <f>((1+Table26[[#This Row],[Weekly change]])^52)-1</f>
        <v/>
      </c>
      <c r="E109" s="85">
        <f>(Table26[[#This Row],[M2 Money Stock, Billions of Dollars, Weekly, Seasonally Adjusted]]-B57)/B57</f>
        <v/>
      </c>
    </row>
    <row r="110">
      <c r="A110" s="37" t="n">
        <v>30249</v>
      </c>
      <c r="B110" s="84" t="n">
        <v>1873.4</v>
      </c>
      <c r="C110" s="39">
        <f>(Table26[[#This Row],[M2 Money Stock, Billions of Dollars, Weekly, Seasonally Adjusted]]-B109)/B109</f>
        <v/>
      </c>
      <c r="D110" s="40">
        <f>((1+Table26[[#This Row],[Weekly change]])^52)-1</f>
        <v/>
      </c>
      <c r="E110" s="85">
        <f>(Table26[[#This Row],[M2 Money Stock, Billions of Dollars, Weekly, Seasonally Adjusted]]-B58)/B58</f>
        <v/>
      </c>
    </row>
    <row r="111">
      <c r="A111" s="37" t="n">
        <v>30256</v>
      </c>
      <c r="B111" s="84" t="n">
        <v>1878.8</v>
      </c>
      <c r="C111" s="39">
        <f>(Table26[[#This Row],[M2 Money Stock, Billions of Dollars, Weekly, Seasonally Adjusted]]-B110)/B110</f>
        <v/>
      </c>
      <c r="D111" s="40">
        <f>((1+Table26[[#This Row],[Weekly change]])^52)-1</f>
        <v/>
      </c>
      <c r="E111" s="85">
        <f>(Table26[[#This Row],[M2 Money Stock, Billions of Dollars, Weekly, Seasonally Adjusted]]-B59)/B59</f>
        <v/>
      </c>
    </row>
    <row r="112">
      <c r="A112" s="37" t="n">
        <v>30263</v>
      </c>
      <c r="B112" s="84" t="n">
        <v>1881.4</v>
      </c>
      <c r="C112" s="39">
        <f>(Table26[[#This Row],[M2 Money Stock, Billions of Dollars, Weekly, Seasonally Adjusted]]-B111)/B111</f>
        <v/>
      </c>
      <c r="D112" s="40">
        <f>((1+Table26[[#This Row],[Weekly change]])^52)-1</f>
        <v/>
      </c>
      <c r="E112" s="85">
        <f>(Table26[[#This Row],[M2 Money Stock, Billions of Dollars, Weekly, Seasonally Adjusted]]-B60)/B60</f>
        <v/>
      </c>
    </row>
    <row r="113">
      <c r="A113" s="37" t="n">
        <v>30270</v>
      </c>
      <c r="B113" s="84" t="n">
        <v>1885</v>
      </c>
      <c r="C113" s="39">
        <f>(Table26[[#This Row],[M2 Money Stock, Billions of Dollars, Weekly, Seasonally Adjusted]]-B112)/B112</f>
        <v/>
      </c>
      <c r="D113" s="40">
        <f>((1+Table26[[#This Row],[Weekly change]])^52)-1</f>
        <v/>
      </c>
      <c r="E113" s="85">
        <f>(Table26[[#This Row],[M2 Money Stock, Billions of Dollars, Weekly, Seasonally Adjusted]]-B61)/B61</f>
        <v/>
      </c>
    </row>
    <row r="114">
      <c r="A114" s="37" t="n">
        <v>30277</v>
      </c>
      <c r="B114" s="84" t="n">
        <v>1887.6</v>
      </c>
      <c r="C114" s="39">
        <f>(Table26[[#This Row],[M2 Money Stock, Billions of Dollars, Weekly, Seasonally Adjusted]]-B113)/B113</f>
        <v/>
      </c>
      <c r="D114" s="40">
        <f>((1+Table26[[#This Row],[Weekly change]])^52)-1</f>
        <v/>
      </c>
      <c r="E114" s="85">
        <f>(Table26[[#This Row],[M2 Money Stock, Billions of Dollars, Weekly, Seasonally Adjusted]]-B62)/B62</f>
        <v/>
      </c>
    </row>
    <row r="115">
      <c r="A115" s="37" t="n">
        <v>30284</v>
      </c>
      <c r="B115" s="84" t="n">
        <v>1888.5</v>
      </c>
      <c r="C115" s="39">
        <f>(Table26[[#This Row],[M2 Money Stock, Billions of Dollars, Weekly, Seasonally Adjusted]]-B114)/B114</f>
        <v/>
      </c>
      <c r="D115" s="40">
        <f>((1+Table26[[#This Row],[Weekly change]])^52)-1</f>
        <v/>
      </c>
      <c r="E115" s="85">
        <f>(Table26[[#This Row],[M2 Money Stock, Billions of Dollars, Weekly, Seasonally Adjusted]]-B63)/B63</f>
        <v/>
      </c>
    </row>
    <row r="116">
      <c r="A116" s="37" t="n">
        <v>30291</v>
      </c>
      <c r="B116" s="84" t="n">
        <v>1891.7</v>
      </c>
      <c r="C116" s="39">
        <f>(Table26[[#This Row],[M2 Money Stock, Billions of Dollars, Weekly, Seasonally Adjusted]]-B115)/B115</f>
        <v/>
      </c>
      <c r="D116" s="40">
        <f>((1+Table26[[#This Row],[Weekly change]])^52)-1</f>
        <v/>
      </c>
      <c r="E116" s="85">
        <f>(Table26[[#This Row],[M2 Money Stock, Billions of Dollars, Weekly, Seasonally Adjusted]]-B64)/B64</f>
        <v/>
      </c>
    </row>
    <row r="117">
      <c r="A117" s="37" t="n">
        <v>30298</v>
      </c>
      <c r="B117" s="84" t="n">
        <v>1892.3</v>
      </c>
      <c r="C117" s="39">
        <f>(Table26[[#This Row],[M2 Money Stock, Billions of Dollars, Weekly, Seasonally Adjusted]]-B116)/B116</f>
        <v/>
      </c>
      <c r="D117" s="40">
        <f>((1+Table26[[#This Row],[Weekly change]])^52)-1</f>
        <v/>
      </c>
      <c r="E117" s="85">
        <f>(Table26[[#This Row],[M2 Money Stock, Billions of Dollars, Weekly, Seasonally Adjusted]]-B65)/B65</f>
        <v/>
      </c>
    </row>
    <row r="118">
      <c r="A118" s="37" t="n">
        <v>30305</v>
      </c>
      <c r="B118" s="84" t="n">
        <v>1909.9</v>
      </c>
      <c r="C118" s="39">
        <f>(Table26[[#This Row],[M2 Money Stock, Billions of Dollars, Weekly, Seasonally Adjusted]]-B117)/B117</f>
        <v/>
      </c>
      <c r="D118" s="40">
        <f>((1+Table26[[#This Row],[Weekly change]])^52)-1</f>
        <v/>
      </c>
      <c r="E118" s="85">
        <f>(Table26[[#This Row],[M2 Money Stock, Billions of Dollars, Weekly, Seasonally Adjusted]]-B66)/B66</f>
        <v/>
      </c>
    </row>
    <row r="119">
      <c r="A119" s="37" t="n">
        <v>30312</v>
      </c>
      <c r="B119" s="84" t="n">
        <v>1917.5</v>
      </c>
      <c r="C119" s="39">
        <f>(Table26[[#This Row],[M2 Money Stock, Billions of Dollars, Weekly, Seasonally Adjusted]]-B118)/B118</f>
        <v/>
      </c>
      <c r="D119" s="40">
        <f>((1+Table26[[#This Row],[Weekly change]])^52)-1</f>
        <v/>
      </c>
      <c r="E119" s="85">
        <f>(Table26[[#This Row],[M2 Money Stock, Billions of Dollars, Weekly, Seasonally Adjusted]]-B67)/B67</f>
        <v/>
      </c>
    </row>
    <row r="120">
      <c r="A120" s="37" t="n">
        <v>30319</v>
      </c>
      <c r="B120" s="84" t="n">
        <v>1927</v>
      </c>
      <c r="C120" s="39">
        <f>(Table26[[#This Row],[M2 Money Stock, Billions of Dollars, Weekly, Seasonally Adjusted]]-B119)/B119</f>
        <v/>
      </c>
      <c r="D120" s="40">
        <f>((1+Table26[[#This Row],[Weekly change]])^52)-1</f>
        <v/>
      </c>
      <c r="E120" s="85">
        <f>(Table26[[#This Row],[M2 Money Stock, Billions of Dollars, Weekly, Seasonally Adjusted]]-B68)/B68</f>
        <v/>
      </c>
    </row>
    <row r="121">
      <c r="A121" s="37" t="n">
        <v>30326</v>
      </c>
      <c r="B121" s="84" t="n">
        <v>1943.2</v>
      </c>
      <c r="C121" s="39">
        <f>(Table26[[#This Row],[M2 Money Stock, Billions of Dollars, Weekly, Seasonally Adjusted]]-B120)/B120</f>
        <v/>
      </c>
      <c r="D121" s="40">
        <f>((1+Table26[[#This Row],[Weekly change]])^52)-1</f>
        <v/>
      </c>
      <c r="E121" s="85">
        <f>(Table26[[#This Row],[M2 Money Stock, Billions of Dollars, Weekly, Seasonally Adjusted]]-B69)/B69</f>
        <v/>
      </c>
    </row>
    <row r="122">
      <c r="A122" s="37" t="n">
        <v>30333</v>
      </c>
      <c r="B122" s="84" t="n">
        <v>1955.6</v>
      </c>
      <c r="C122" s="39">
        <f>(Table26[[#This Row],[M2 Money Stock, Billions of Dollars, Weekly, Seasonally Adjusted]]-B121)/B121</f>
        <v/>
      </c>
      <c r="D122" s="40">
        <f>((1+Table26[[#This Row],[Weekly change]])^52)-1</f>
        <v/>
      </c>
      <c r="E122" s="85">
        <f>(Table26[[#This Row],[M2 Money Stock, Billions of Dollars, Weekly, Seasonally Adjusted]]-B70)/B70</f>
        <v/>
      </c>
    </row>
    <row r="123">
      <c r="A123" s="37" t="n">
        <v>30340</v>
      </c>
      <c r="B123" s="84" t="n">
        <v>1965.3</v>
      </c>
      <c r="C123" s="39">
        <f>(Table26[[#This Row],[M2 Money Stock, Billions of Dollars, Weekly, Seasonally Adjusted]]-B122)/B122</f>
        <v/>
      </c>
      <c r="D123" s="40">
        <f>((1+Table26[[#This Row],[Weekly change]])^52)-1</f>
        <v/>
      </c>
      <c r="E123" s="85">
        <f>(Table26[[#This Row],[M2 Money Stock, Billions of Dollars, Weekly, Seasonally Adjusted]]-B71)/B71</f>
        <v/>
      </c>
    </row>
    <row r="124">
      <c r="A124" s="37" t="n">
        <v>30347</v>
      </c>
      <c r="B124" s="84" t="n">
        <v>1976</v>
      </c>
      <c r="C124" s="39">
        <f>(Table26[[#This Row],[M2 Money Stock, Billions of Dollars, Weekly, Seasonally Adjusted]]-B123)/B123</f>
        <v/>
      </c>
      <c r="D124" s="40">
        <f>((1+Table26[[#This Row],[Weekly change]])^52)-1</f>
        <v/>
      </c>
      <c r="E124" s="85">
        <f>(Table26[[#This Row],[M2 Money Stock, Billions of Dollars, Weekly, Seasonally Adjusted]]-B72)/B72</f>
        <v/>
      </c>
    </row>
    <row r="125">
      <c r="A125" s="37" t="n">
        <v>30354</v>
      </c>
      <c r="B125" s="84" t="n">
        <v>1986.5</v>
      </c>
      <c r="C125" s="39">
        <f>(Table26[[#This Row],[M2 Money Stock, Billions of Dollars, Weekly, Seasonally Adjusted]]-B124)/B124</f>
        <v/>
      </c>
      <c r="D125" s="40">
        <f>((1+Table26[[#This Row],[Weekly change]])^52)-1</f>
        <v/>
      </c>
      <c r="E125" s="85">
        <f>(Table26[[#This Row],[M2 Money Stock, Billions of Dollars, Weekly, Seasonally Adjusted]]-B73)/B73</f>
        <v/>
      </c>
    </row>
    <row r="126">
      <c r="A126" s="37" t="n">
        <v>30361</v>
      </c>
      <c r="B126" s="84" t="n">
        <v>1993.1</v>
      </c>
      <c r="C126" s="39">
        <f>(Table26[[#This Row],[M2 Money Stock, Billions of Dollars, Weekly, Seasonally Adjusted]]-B125)/B125</f>
        <v/>
      </c>
      <c r="D126" s="40">
        <f>((1+Table26[[#This Row],[Weekly change]])^52)-1</f>
        <v/>
      </c>
      <c r="E126" s="85">
        <f>(Table26[[#This Row],[M2 Money Stock, Billions of Dollars, Weekly, Seasonally Adjusted]]-B74)/B74</f>
        <v/>
      </c>
    </row>
    <row r="127">
      <c r="A127" s="37" t="n">
        <v>30368</v>
      </c>
      <c r="B127" s="84" t="n">
        <v>1998.4</v>
      </c>
      <c r="C127" s="39">
        <f>(Table26[[#This Row],[M2 Money Stock, Billions of Dollars, Weekly, Seasonally Adjusted]]-B126)/B126</f>
        <v/>
      </c>
      <c r="D127" s="40">
        <f>((1+Table26[[#This Row],[Weekly change]])^52)-1</f>
        <v/>
      </c>
      <c r="E127" s="85">
        <f>(Table26[[#This Row],[M2 Money Stock, Billions of Dollars, Weekly, Seasonally Adjusted]]-B75)/B75</f>
        <v/>
      </c>
    </row>
    <row r="128">
      <c r="A128" s="37" t="n">
        <v>30375</v>
      </c>
      <c r="B128" s="84" t="n">
        <v>2005</v>
      </c>
      <c r="C128" s="39">
        <f>(Table26[[#This Row],[M2 Money Stock, Billions of Dollars, Weekly, Seasonally Adjusted]]-B127)/B127</f>
        <v/>
      </c>
      <c r="D128" s="40">
        <f>((1+Table26[[#This Row],[Weekly change]])^52)-1</f>
        <v/>
      </c>
      <c r="E128" s="85">
        <f>(Table26[[#This Row],[M2 Money Stock, Billions of Dollars, Weekly, Seasonally Adjusted]]-B76)/B76</f>
        <v/>
      </c>
    </row>
    <row r="129">
      <c r="A129" s="37" t="n">
        <v>30382</v>
      </c>
      <c r="B129" s="84" t="n">
        <v>2009.8</v>
      </c>
      <c r="C129" s="39">
        <f>(Table26[[#This Row],[M2 Money Stock, Billions of Dollars, Weekly, Seasonally Adjusted]]-B128)/B128</f>
        <v/>
      </c>
      <c r="D129" s="40">
        <f>((1+Table26[[#This Row],[Weekly change]])^52)-1</f>
        <v/>
      </c>
      <c r="E129" s="85">
        <f>(Table26[[#This Row],[M2 Money Stock, Billions of Dollars, Weekly, Seasonally Adjusted]]-B77)/B77</f>
        <v/>
      </c>
    </row>
    <row r="130">
      <c r="A130" s="37" t="n">
        <v>30389</v>
      </c>
      <c r="B130" s="84" t="n">
        <v>2010.7</v>
      </c>
      <c r="C130" s="39">
        <f>(Table26[[#This Row],[M2 Money Stock, Billions of Dollars, Weekly, Seasonally Adjusted]]-B129)/B129</f>
        <v/>
      </c>
      <c r="D130" s="40">
        <f>((1+Table26[[#This Row],[Weekly change]])^52)-1</f>
        <v/>
      </c>
      <c r="E130" s="85">
        <f>(Table26[[#This Row],[M2 Money Stock, Billions of Dollars, Weekly, Seasonally Adjusted]]-B78)/B78</f>
        <v/>
      </c>
    </row>
    <row r="131">
      <c r="A131" s="37" t="n">
        <v>30396</v>
      </c>
      <c r="B131" s="84" t="n">
        <v>2015.1</v>
      </c>
      <c r="C131" s="39">
        <f>(Table26[[#This Row],[M2 Money Stock, Billions of Dollars, Weekly, Seasonally Adjusted]]-B130)/B130</f>
        <v/>
      </c>
      <c r="D131" s="40">
        <f>((1+Table26[[#This Row],[Weekly change]])^52)-1</f>
        <v/>
      </c>
      <c r="E131" s="85">
        <f>(Table26[[#This Row],[M2 Money Stock, Billions of Dollars, Weekly, Seasonally Adjusted]]-B79)/B79</f>
        <v/>
      </c>
    </row>
    <row r="132">
      <c r="A132" s="37" t="n">
        <v>30403</v>
      </c>
      <c r="B132" s="84" t="n">
        <v>2018.2</v>
      </c>
      <c r="C132" s="39">
        <f>(Table26[[#This Row],[M2 Money Stock, Billions of Dollars, Weekly, Seasonally Adjusted]]-B131)/B131</f>
        <v/>
      </c>
      <c r="D132" s="40">
        <f>((1+Table26[[#This Row],[Weekly change]])^52)-1</f>
        <v/>
      </c>
      <c r="E132" s="85">
        <f>(Table26[[#This Row],[M2 Money Stock, Billions of Dollars, Weekly, Seasonally Adjusted]]-B80)/B80</f>
        <v/>
      </c>
    </row>
    <row r="133">
      <c r="A133" s="37" t="n">
        <v>30410</v>
      </c>
      <c r="B133" s="84" t="n">
        <v>2023.1</v>
      </c>
      <c r="C133" s="39">
        <f>(Table26[[#This Row],[M2 Money Stock, Billions of Dollars, Weekly, Seasonally Adjusted]]-B132)/B132</f>
        <v/>
      </c>
      <c r="D133" s="40">
        <f>((1+Table26[[#This Row],[Weekly change]])^52)-1</f>
        <v/>
      </c>
      <c r="E133" s="85">
        <f>(Table26[[#This Row],[M2 Money Stock, Billions of Dollars, Weekly, Seasonally Adjusted]]-B81)/B81</f>
        <v/>
      </c>
    </row>
    <row r="134">
      <c r="A134" s="37" t="n">
        <v>30417</v>
      </c>
      <c r="B134" s="84" t="n">
        <v>2025.1</v>
      </c>
      <c r="C134" s="39">
        <f>(Table26[[#This Row],[M2 Money Stock, Billions of Dollars, Weekly, Seasonally Adjusted]]-B133)/B133</f>
        <v/>
      </c>
      <c r="D134" s="40">
        <f>((1+Table26[[#This Row],[Weekly change]])^52)-1</f>
        <v/>
      </c>
      <c r="E134" s="85">
        <f>(Table26[[#This Row],[M2 Money Stock, Billions of Dollars, Weekly, Seasonally Adjusted]]-B82)/B82</f>
        <v/>
      </c>
    </row>
    <row r="135">
      <c r="A135" s="37" t="n">
        <v>30424</v>
      </c>
      <c r="B135" s="84" t="n">
        <v>2024.5</v>
      </c>
      <c r="C135" s="39">
        <f>(Table26[[#This Row],[M2 Money Stock, Billions of Dollars, Weekly, Seasonally Adjusted]]-B134)/B134</f>
        <v/>
      </c>
      <c r="D135" s="40">
        <f>((1+Table26[[#This Row],[Weekly change]])^52)-1</f>
        <v/>
      </c>
      <c r="E135" s="85">
        <f>(Table26[[#This Row],[M2 Money Stock, Billions of Dollars, Weekly, Seasonally Adjusted]]-B83)/B83</f>
        <v/>
      </c>
    </row>
    <row r="136">
      <c r="A136" s="37" t="n">
        <v>30431</v>
      </c>
      <c r="B136" s="84" t="n">
        <v>2028.1</v>
      </c>
      <c r="C136" s="39">
        <f>(Table26[[#This Row],[M2 Money Stock, Billions of Dollars, Weekly, Seasonally Adjusted]]-B135)/B135</f>
        <v/>
      </c>
      <c r="D136" s="40">
        <f>((1+Table26[[#This Row],[Weekly change]])^52)-1</f>
        <v/>
      </c>
      <c r="E136" s="85">
        <f>(Table26[[#This Row],[M2 Money Stock, Billions of Dollars, Weekly, Seasonally Adjusted]]-B84)/B84</f>
        <v/>
      </c>
    </row>
    <row r="137">
      <c r="A137" s="37" t="n">
        <v>30438</v>
      </c>
      <c r="B137" s="84" t="n">
        <v>2036.3</v>
      </c>
      <c r="C137" s="39">
        <f>(Table26[[#This Row],[M2 Money Stock, Billions of Dollars, Weekly, Seasonally Adjusted]]-B136)/B136</f>
        <v/>
      </c>
      <c r="D137" s="40">
        <f>((1+Table26[[#This Row],[Weekly change]])^52)-1</f>
        <v/>
      </c>
      <c r="E137" s="85">
        <f>(Table26[[#This Row],[M2 Money Stock, Billions of Dollars, Weekly, Seasonally Adjusted]]-B85)/B85</f>
        <v/>
      </c>
    </row>
    <row r="138">
      <c r="A138" s="37" t="n">
        <v>30445</v>
      </c>
      <c r="B138" s="84" t="n">
        <v>2037.4</v>
      </c>
      <c r="C138" s="39">
        <f>(Table26[[#This Row],[M2 Money Stock, Billions of Dollars, Weekly, Seasonally Adjusted]]-B137)/B137</f>
        <v/>
      </c>
      <c r="D138" s="40">
        <f>((1+Table26[[#This Row],[Weekly change]])^52)-1</f>
        <v/>
      </c>
      <c r="E138" s="85">
        <f>(Table26[[#This Row],[M2 Money Stock, Billions of Dollars, Weekly, Seasonally Adjusted]]-B86)/B86</f>
        <v/>
      </c>
    </row>
    <row r="139">
      <c r="A139" s="37" t="n">
        <v>30452</v>
      </c>
      <c r="B139" s="84" t="n">
        <v>2041.4</v>
      </c>
      <c r="C139" s="39">
        <f>(Table26[[#This Row],[M2 Money Stock, Billions of Dollars, Weekly, Seasonally Adjusted]]-B138)/B138</f>
        <v/>
      </c>
      <c r="D139" s="40">
        <f>((1+Table26[[#This Row],[Weekly change]])^52)-1</f>
        <v/>
      </c>
      <c r="E139" s="85">
        <f>(Table26[[#This Row],[M2 Money Stock, Billions of Dollars, Weekly, Seasonally Adjusted]]-B87)/B87</f>
        <v/>
      </c>
    </row>
    <row r="140">
      <c r="A140" s="37" t="n">
        <v>30459</v>
      </c>
      <c r="B140" s="84" t="n">
        <v>2042.5</v>
      </c>
      <c r="C140" s="39">
        <f>(Table26[[#This Row],[M2 Money Stock, Billions of Dollars, Weekly, Seasonally Adjusted]]-B139)/B139</f>
        <v/>
      </c>
      <c r="D140" s="40">
        <f>((1+Table26[[#This Row],[Weekly change]])^52)-1</f>
        <v/>
      </c>
      <c r="E140" s="85">
        <f>(Table26[[#This Row],[M2 Money Stock, Billions of Dollars, Weekly, Seasonally Adjusted]]-B88)/B88</f>
        <v/>
      </c>
    </row>
    <row r="141">
      <c r="A141" s="37" t="n">
        <v>30466</v>
      </c>
      <c r="B141" s="84" t="n">
        <v>2044.8</v>
      </c>
      <c r="C141" s="39">
        <f>(Table26[[#This Row],[M2 Money Stock, Billions of Dollars, Weekly, Seasonally Adjusted]]-B140)/B140</f>
        <v/>
      </c>
      <c r="D141" s="40">
        <f>((1+Table26[[#This Row],[Weekly change]])^52)-1</f>
        <v/>
      </c>
      <c r="E141" s="85">
        <f>(Table26[[#This Row],[M2 Money Stock, Billions of Dollars, Weekly, Seasonally Adjusted]]-B89)/B89</f>
        <v/>
      </c>
    </row>
    <row r="142">
      <c r="A142" s="37" t="n">
        <v>30473</v>
      </c>
      <c r="B142" s="84" t="n">
        <v>2049.1</v>
      </c>
      <c r="C142" s="39">
        <f>(Table26[[#This Row],[M2 Money Stock, Billions of Dollars, Weekly, Seasonally Adjusted]]-B141)/B141</f>
        <v/>
      </c>
      <c r="D142" s="40">
        <f>((1+Table26[[#This Row],[Weekly change]])^52)-1</f>
        <v/>
      </c>
      <c r="E142" s="85">
        <f>(Table26[[#This Row],[M2 Money Stock, Billions of Dollars, Weekly, Seasonally Adjusted]]-B90)/B90</f>
        <v/>
      </c>
    </row>
    <row r="143">
      <c r="A143" s="37" t="n">
        <v>30480</v>
      </c>
      <c r="B143" s="84" t="n">
        <v>2052.6</v>
      </c>
      <c r="C143" s="39">
        <f>(Table26[[#This Row],[M2 Money Stock, Billions of Dollars, Weekly, Seasonally Adjusted]]-B142)/B142</f>
        <v/>
      </c>
      <c r="D143" s="40">
        <f>((1+Table26[[#This Row],[Weekly change]])^52)-1</f>
        <v/>
      </c>
      <c r="E143" s="85">
        <f>(Table26[[#This Row],[M2 Money Stock, Billions of Dollars, Weekly, Seasonally Adjusted]]-B91)/B91</f>
        <v/>
      </c>
    </row>
    <row r="144">
      <c r="A144" s="37" t="n">
        <v>30487</v>
      </c>
      <c r="B144" s="84" t="n">
        <v>2052.6</v>
      </c>
      <c r="C144" s="39">
        <f>(Table26[[#This Row],[M2 Money Stock, Billions of Dollars, Weekly, Seasonally Adjusted]]-B143)/B143</f>
        <v/>
      </c>
      <c r="D144" s="40">
        <f>((1+Table26[[#This Row],[Weekly change]])^52)-1</f>
        <v/>
      </c>
      <c r="E144" s="85">
        <f>(Table26[[#This Row],[M2 Money Stock, Billions of Dollars, Weekly, Seasonally Adjusted]]-B92)/B92</f>
        <v/>
      </c>
    </row>
    <row r="145">
      <c r="A145" s="37" t="n">
        <v>30494</v>
      </c>
      <c r="B145" s="84" t="n">
        <v>2054.5</v>
      </c>
      <c r="C145" s="39">
        <f>(Table26[[#This Row],[M2 Money Stock, Billions of Dollars, Weekly, Seasonally Adjusted]]-B144)/B144</f>
        <v/>
      </c>
      <c r="D145" s="40">
        <f>((1+Table26[[#This Row],[Weekly change]])^52)-1</f>
        <v/>
      </c>
      <c r="E145" s="85">
        <f>(Table26[[#This Row],[M2 Money Stock, Billions of Dollars, Weekly, Seasonally Adjusted]]-B93)/B93</f>
        <v/>
      </c>
    </row>
    <row r="146">
      <c r="A146" s="37" t="n">
        <v>30501</v>
      </c>
      <c r="B146" s="84" t="n">
        <v>2060.3</v>
      </c>
      <c r="C146" s="39">
        <f>(Table26[[#This Row],[M2 Money Stock, Billions of Dollars, Weekly, Seasonally Adjusted]]-B145)/B145</f>
        <v/>
      </c>
      <c r="D146" s="40">
        <f>((1+Table26[[#This Row],[Weekly change]])^52)-1</f>
        <v/>
      </c>
      <c r="E146" s="85">
        <f>(Table26[[#This Row],[M2 Money Stock, Billions of Dollars, Weekly, Seasonally Adjusted]]-B94)/B94</f>
        <v/>
      </c>
    </row>
    <row r="147">
      <c r="A147" s="37" t="n">
        <v>30508</v>
      </c>
      <c r="B147" s="84" t="n">
        <v>2065.1</v>
      </c>
      <c r="C147" s="39">
        <f>(Table26[[#This Row],[M2 Money Stock, Billions of Dollars, Weekly, Seasonally Adjusted]]-B146)/B146</f>
        <v/>
      </c>
      <c r="D147" s="40">
        <f>((1+Table26[[#This Row],[Weekly change]])^52)-1</f>
        <v/>
      </c>
      <c r="E147" s="85">
        <f>(Table26[[#This Row],[M2 Money Stock, Billions of Dollars, Weekly, Seasonally Adjusted]]-B95)/B95</f>
        <v/>
      </c>
    </row>
    <row r="148">
      <c r="A148" s="37" t="n">
        <v>30515</v>
      </c>
      <c r="B148" s="84" t="n">
        <v>2065.3</v>
      </c>
      <c r="C148" s="39">
        <f>(Table26[[#This Row],[M2 Money Stock, Billions of Dollars, Weekly, Seasonally Adjusted]]-B147)/B147</f>
        <v/>
      </c>
      <c r="D148" s="40">
        <f>((1+Table26[[#This Row],[Weekly change]])^52)-1</f>
        <v/>
      </c>
      <c r="E148" s="85">
        <f>(Table26[[#This Row],[M2 Money Stock, Billions of Dollars, Weekly, Seasonally Adjusted]]-B96)/B96</f>
        <v/>
      </c>
    </row>
    <row r="149">
      <c r="A149" s="37" t="n">
        <v>30522</v>
      </c>
      <c r="B149" s="84" t="n">
        <v>2068.3</v>
      </c>
      <c r="C149" s="39">
        <f>(Table26[[#This Row],[M2 Money Stock, Billions of Dollars, Weekly, Seasonally Adjusted]]-B148)/B148</f>
        <v/>
      </c>
      <c r="D149" s="40">
        <f>((1+Table26[[#This Row],[Weekly change]])^52)-1</f>
        <v/>
      </c>
      <c r="E149" s="85">
        <f>(Table26[[#This Row],[M2 Money Stock, Billions of Dollars, Weekly, Seasonally Adjusted]]-B97)/B97</f>
        <v/>
      </c>
    </row>
    <row r="150">
      <c r="A150" s="37" t="n">
        <v>30529</v>
      </c>
      <c r="B150" s="84" t="n">
        <v>2070.8</v>
      </c>
      <c r="C150" s="39">
        <f>(Table26[[#This Row],[M2 Money Stock, Billions of Dollars, Weekly, Seasonally Adjusted]]-B149)/B149</f>
        <v/>
      </c>
      <c r="D150" s="40">
        <f>((1+Table26[[#This Row],[Weekly change]])^52)-1</f>
        <v/>
      </c>
      <c r="E150" s="85">
        <f>(Table26[[#This Row],[M2 Money Stock, Billions of Dollars, Weekly, Seasonally Adjusted]]-B98)/B98</f>
        <v/>
      </c>
    </row>
    <row r="151">
      <c r="A151" s="37" t="n">
        <v>30536</v>
      </c>
      <c r="B151" s="84" t="n">
        <v>2069.7</v>
      </c>
      <c r="C151" s="39">
        <f>(Table26[[#This Row],[M2 Money Stock, Billions of Dollars, Weekly, Seasonally Adjusted]]-B150)/B150</f>
        <v/>
      </c>
      <c r="D151" s="40">
        <f>((1+Table26[[#This Row],[Weekly change]])^52)-1</f>
        <v/>
      </c>
      <c r="E151" s="85">
        <f>(Table26[[#This Row],[M2 Money Stock, Billions of Dollars, Weekly, Seasonally Adjusted]]-B99)/B99</f>
        <v/>
      </c>
    </row>
    <row r="152">
      <c r="A152" s="37" t="n">
        <v>30543</v>
      </c>
      <c r="B152" s="84" t="n">
        <v>2072.1</v>
      </c>
      <c r="C152" s="39">
        <f>(Table26[[#This Row],[M2 Money Stock, Billions of Dollars, Weekly, Seasonally Adjusted]]-B151)/B151</f>
        <v/>
      </c>
      <c r="D152" s="40">
        <f>((1+Table26[[#This Row],[Weekly change]])^52)-1</f>
        <v/>
      </c>
      <c r="E152" s="85">
        <f>(Table26[[#This Row],[M2 Money Stock, Billions of Dollars, Weekly, Seasonally Adjusted]]-B100)/B100</f>
        <v/>
      </c>
    </row>
    <row r="153">
      <c r="A153" s="37" t="n">
        <v>30550</v>
      </c>
      <c r="B153" s="84" t="n">
        <v>2072.9</v>
      </c>
      <c r="C153" s="39">
        <f>(Table26[[#This Row],[M2 Money Stock, Billions of Dollars, Weekly, Seasonally Adjusted]]-B152)/B152</f>
        <v/>
      </c>
      <c r="D153" s="40">
        <f>((1+Table26[[#This Row],[Weekly change]])^52)-1</f>
        <v/>
      </c>
      <c r="E153" s="85">
        <f>(Table26[[#This Row],[M2 Money Stock, Billions of Dollars, Weekly, Seasonally Adjusted]]-B101)/B101</f>
        <v/>
      </c>
    </row>
    <row r="154">
      <c r="A154" s="37" t="n">
        <v>30557</v>
      </c>
      <c r="B154" s="84" t="n">
        <v>2073.5</v>
      </c>
      <c r="C154" s="39">
        <f>(Table26[[#This Row],[M2 Money Stock, Billions of Dollars, Weekly, Seasonally Adjusted]]-B153)/B153</f>
        <v/>
      </c>
      <c r="D154" s="40">
        <f>((1+Table26[[#This Row],[Weekly change]])^52)-1</f>
        <v/>
      </c>
      <c r="E154" s="85">
        <f>(Table26[[#This Row],[M2 Money Stock, Billions of Dollars, Weekly, Seasonally Adjusted]]-B102)/B102</f>
        <v/>
      </c>
    </row>
    <row r="155">
      <c r="A155" s="37" t="n">
        <v>30564</v>
      </c>
      <c r="B155" s="84" t="n">
        <v>2077.2</v>
      </c>
      <c r="C155" s="39">
        <f>(Table26[[#This Row],[M2 Money Stock, Billions of Dollars, Weekly, Seasonally Adjusted]]-B154)/B154</f>
        <v/>
      </c>
      <c r="D155" s="40">
        <f>((1+Table26[[#This Row],[Weekly change]])^52)-1</f>
        <v/>
      </c>
      <c r="E155" s="85">
        <f>(Table26[[#This Row],[M2 Money Stock, Billions of Dollars, Weekly, Seasonally Adjusted]]-B103)/B103</f>
        <v/>
      </c>
    </row>
    <row r="156">
      <c r="A156" s="37" t="n">
        <v>30571</v>
      </c>
      <c r="B156" s="84" t="n">
        <v>2077.3</v>
      </c>
      <c r="C156" s="39">
        <f>(Table26[[#This Row],[M2 Money Stock, Billions of Dollars, Weekly, Seasonally Adjusted]]-B155)/B155</f>
        <v/>
      </c>
      <c r="D156" s="40">
        <f>((1+Table26[[#This Row],[Weekly change]])^52)-1</f>
        <v/>
      </c>
      <c r="E156" s="85">
        <f>(Table26[[#This Row],[M2 Money Stock, Billions of Dollars, Weekly, Seasonally Adjusted]]-B104)/B104</f>
        <v/>
      </c>
    </row>
    <row r="157">
      <c r="A157" s="37" t="n">
        <v>30578</v>
      </c>
      <c r="B157" s="84" t="n">
        <v>2079.2</v>
      </c>
      <c r="C157" s="39">
        <f>(Table26[[#This Row],[M2 Money Stock, Billions of Dollars, Weekly, Seasonally Adjusted]]-B156)/B156</f>
        <v/>
      </c>
      <c r="D157" s="40">
        <f>((1+Table26[[#This Row],[Weekly change]])^52)-1</f>
        <v/>
      </c>
      <c r="E157" s="85">
        <f>(Table26[[#This Row],[M2 Money Stock, Billions of Dollars, Weekly, Seasonally Adjusted]]-B105)/B105</f>
        <v/>
      </c>
    </row>
    <row r="158">
      <c r="A158" s="37" t="n">
        <v>30585</v>
      </c>
      <c r="B158" s="84" t="n">
        <v>2084</v>
      </c>
      <c r="C158" s="39">
        <f>(Table26[[#This Row],[M2 Money Stock, Billions of Dollars, Weekly, Seasonally Adjusted]]-B157)/B157</f>
        <v/>
      </c>
      <c r="D158" s="40">
        <f>((1+Table26[[#This Row],[Weekly change]])^52)-1</f>
        <v/>
      </c>
      <c r="E158" s="85">
        <f>(Table26[[#This Row],[M2 Money Stock, Billions of Dollars, Weekly, Seasonally Adjusted]]-B106)/B106</f>
        <v/>
      </c>
    </row>
    <row r="159">
      <c r="A159" s="37" t="n">
        <v>30592</v>
      </c>
      <c r="B159" s="84" t="n">
        <v>2087</v>
      </c>
      <c r="C159" s="39">
        <f>(Table26[[#This Row],[M2 Money Stock, Billions of Dollars, Weekly, Seasonally Adjusted]]-B158)/B158</f>
        <v/>
      </c>
      <c r="D159" s="40">
        <f>((1+Table26[[#This Row],[Weekly change]])^52)-1</f>
        <v/>
      </c>
      <c r="E159" s="85">
        <f>(Table26[[#This Row],[M2 Money Stock, Billions of Dollars, Weekly, Seasonally Adjusted]]-B107)/B107</f>
        <v/>
      </c>
    </row>
    <row r="160">
      <c r="A160" s="37" t="n">
        <v>30599</v>
      </c>
      <c r="B160" s="84" t="n">
        <v>2093.1</v>
      </c>
      <c r="C160" s="39">
        <f>(Table26[[#This Row],[M2 Money Stock, Billions of Dollars, Weekly, Seasonally Adjusted]]-B159)/B159</f>
        <v/>
      </c>
      <c r="D160" s="40">
        <f>((1+Table26[[#This Row],[Weekly change]])^52)-1</f>
        <v/>
      </c>
      <c r="E160" s="85">
        <f>(Table26[[#This Row],[M2 Money Stock, Billions of Dollars, Weekly, Seasonally Adjusted]]-B108)/B108</f>
        <v/>
      </c>
    </row>
    <row r="161">
      <c r="A161" s="37" t="n">
        <v>30606</v>
      </c>
      <c r="B161" s="84" t="n">
        <v>2095.5</v>
      </c>
      <c r="C161" s="39">
        <f>(Table26[[#This Row],[M2 Money Stock, Billions of Dollars, Weekly, Seasonally Adjusted]]-B160)/B160</f>
        <v/>
      </c>
      <c r="D161" s="40">
        <f>((1+Table26[[#This Row],[Weekly change]])^52)-1</f>
        <v/>
      </c>
      <c r="E161" s="85">
        <f>(Table26[[#This Row],[M2 Money Stock, Billions of Dollars, Weekly, Seasonally Adjusted]]-B109)/B109</f>
        <v/>
      </c>
    </row>
    <row r="162">
      <c r="A162" s="37" t="n">
        <v>30613</v>
      </c>
      <c r="B162" s="84" t="n">
        <v>2099.6</v>
      </c>
      <c r="C162" s="39">
        <f>(Table26[[#This Row],[M2 Money Stock, Billions of Dollars, Weekly, Seasonally Adjusted]]-B161)/B161</f>
        <v/>
      </c>
      <c r="D162" s="40">
        <f>((1+Table26[[#This Row],[Weekly change]])^52)-1</f>
        <v/>
      </c>
      <c r="E162" s="85">
        <f>(Table26[[#This Row],[M2 Money Stock, Billions of Dollars, Weekly, Seasonally Adjusted]]-B110)/B110</f>
        <v/>
      </c>
    </row>
    <row r="163">
      <c r="A163" s="37" t="n">
        <v>30620</v>
      </c>
      <c r="B163" s="84" t="n">
        <v>2102.9</v>
      </c>
      <c r="C163" s="39">
        <f>(Table26[[#This Row],[M2 Money Stock, Billions of Dollars, Weekly, Seasonally Adjusted]]-B162)/B162</f>
        <v/>
      </c>
      <c r="D163" s="40">
        <f>((1+Table26[[#This Row],[Weekly change]])^52)-1</f>
        <v/>
      </c>
      <c r="E163" s="85">
        <f>(Table26[[#This Row],[M2 Money Stock, Billions of Dollars, Weekly, Seasonally Adjusted]]-B111)/B111</f>
        <v/>
      </c>
    </row>
    <row r="164">
      <c r="A164" s="37" t="n">
        <v>30627</v>
      </c>
      <c r="B164" s="84" t="n">
        <v>2102.8</v>
      </c>
      <c r="C164" s="39">
        <f>(Table26[[#This Row],[M2 Money Stock, Billions of Dollars, Weekly, Seasonally Adjusted]]-B163)/B163</f>
        <v/>
      </c>
      <c r="D164" s="40">
        <f>((1+Table26[[#This Row],[Weekly change]])^52)-1</f>
        <v/>
      </c>
      <c r="E164" s="85">
        <f>(Table26[[#This Row],[M2 Money Stock, Billions of Dollars, Weekly, Seasonally Adjusted]]-B112)/B112</f>
        <v/>
      </c>
    </row>
    <row r="165">
      <c r="A165" s="37" t="n">
        <v>30634</v>
      </c>
      <c r="B165" s="84" t="n">
        <v>2104.2</v>
      </c>
      <c r="C165" s="39">
        <f>(Table26[[#This Row],[M2 Money Stock, Billions of Dollars, Weekly, Seasonally Adjusted]]-B164)/B164</f>
        <v/>
      </c>
      <c r="D165" s="40">
        <f>((1+Table26[[#This Row],[Weekly change]])^52)-1</f>
        <v/>
      </c>
      <c r="E165" s="85">
        <f>(Table26[[#This Row],[M2 Money Stock, Billions of Dollars, Weekly, Seasonally Adjusted]]-B113)/B113</f>
        <v/>
      </c>
    </row>
    <row r="166">
      <c r="A166" s="37" t="n">
        <v>30641</v>
      </c>
      <c r="B166" s="84" t="n">
        <v>2105.1</v>
      </c>
      <c r="C166" s="39">
        <f>(Table26[[#This Row],[M2 Money Stock, Billions of Dollars, Weekly, Seasonally Adjusted]]-B165)/B165</f>
        <v/>
      </c>
      <c r="D166" s="40">
        <f>((1+Table26[[#This Row],[Weekly change]])^52)-1</f>
        <v/>
      </c>
      <c r="E166" s="85">
        <f>(Table26[[#This Row],[M2 Money Stock, Billions of Dollars, Weekly, Seasonally Adjusted]]-B114)/B114</f>
        <v/>
      </c>
    </row>
    <row r="167">
      <c r="A167" s="37" t="n">
        <v>30648</v>
      </c>
      <c r="B167" s="84" t="n">
        <v>2107.8</v>
      </c>
      <c r="C167" s="39">
        <f>(Table26[[#This Row],[M2 Money Stock, Billions of Dollars, Weekly, Seasonally Adjusted]]-B166)/B166</f>
        <v/>
      </c>
      <c r="D167" s="40">
        <f>((1+Table26[[#This Row],[Weekly change]])^52)-1</f>
        <v/>
      </c>
      <c r="E167" s="85">
        <f>(Table26[[#This Row],[M2 Money Stock, Billions of Dollars, Weekly, Seasonally Adjusted]]-B115)/B115</f>
        <v/>
      </c>
    </row>
    <row r="168">
      <c r="A168" s="37" t="n">
        <v>30655</v>
      </c>
      <c r="B168" s="84" t="n">
        <v>2112.9</v>
      </c>
      <c r="C168" s="39">
        <f>(Table26[[#This Row],[M2 Money Stock, Billions of Dollars, Weekly, Seasonally Adjusted]]-B167)/B167</f>
        <v/>
      </c>
      <c r="D168" s="40">
        <f>((1+Table26[[#This Row],[Weekly change]])^52)-1</f>
        <v/>
      </c>
      <c r="E168" s="85">
        <f>(Table26[[#This Row],[M2 Money Stock, Billions of Dollars, Weekly, Seasonally Adjusted]]-B116)/B116</f>
        <v/>
      </c>
    </row>
    <row r="169">
      <c r="A169" s="37" t="n">
        <v>30662</v>
      </c>
      <c r="B169" s="84" t="n">
        <v>2117.7</v>
      </c>
      <c r="C169" s="39">
        <f>(Table26[[#This Row],[M2 Money Stock, Billions of Dollars, Weekly, Seasonally Adjusted]]-B168)/B168</f>
        <v/>
      </c>
      <c r="D169" s="40">
        <f>((1+Table26[[#This Row],[Weekly change]])^52)-1</f>
        <v/>
      </c>
      <c r="E169" s="85">
        <f>(Table26[[#This Row],[M2 Money Stock, Billions of Dollars, Weekly, Seasonally Adjusted]]-B117)/B117</f>
        <v/>
      </c>
    </row>
    <row r="170">
      <c r="A170" s="37" t="n">
        <v>30669</v>
      </c>
      <c r="B170" s="84" t="n">
        <v>2121.1</v>
      </c>
      <c r="C170" s="39">
        <f>(Table26[[#This Row],[M2 Money Stock, Billions of Dollars, Weekly, Seasonally Adjusted]]-B169)/B169</f>
        <v/>
      </c>
      <c r="D170" s="40">
        <f>((1+Table26[[#This Row],[Weekly change]])^52)-1</f>
        <v/>
      </c>
      <c r="E170" s="85">
        <f>(Table26[[#This Row],[M2 Money Stock, Billions of Dollars, Weekly, Seasonally Adjusted]]-B118)/B118</f>
        <v/>
      </c>
    </row>
    <row r="171">
      <c r="A171" s="37" t="n">
        <v>30676</v>
      </c>
      <c r="B171" s="84" t="n">
        <v>2122.6</v>
      </c>
      <c r="C171" s="39">
        <f>(Table26[[#This Row],[M2 Money Stock, Billions of Dollars, Weekly, Seasonally Adjusted]]-B170)/B170</f>
        <v/>
      </c>
      <c r="D171" s="40">
        <f>((1+Table26[[#This Row],[Weekly change]])^52)-1</f>
        <v/>
      </c>
      <c r="E171" s="85">
        <f>(Table26[[#This Row],[M2 Money Stock, Billions of Dollars, Weekly, Seasonally Adjusted]]-B119)/B119</f>
        <v/>
      </c>
    </row>
    <row r="172">
      <c r="A172" s="37" t="n">
        <v>30683</v>
      </c>
      <c r="B172" s="84" t="n">
        <v>2127.6</v>
      </c>
      <c r="C172" s="39">
        <f>(Table26[[#This Row],[M2 Money Stock, Billions of Dollars, Weekly, Seasonally Adjusted]]-B171)/B171</f>
        <v/>
      </c>
      <c r="D172" s="40">
        <f>((1+Table26[[#This Row],[Weekly change]])^52)-1</f>
        <v/>
      </c>
      <c r="E172" s="85">
        <f>(Table26[[#This Row],[M2 Money Stock, Billions of Dollars, Weekly, Seasonally Adjusted]]-B120)/B120</f>
        <v/>
      </c>
    </row>
    <row r="173">
      <c r="A173" s="37" t="n">
        <v>30690</v>
      </c>
      <c r="B173" s="84" t="n">
        <v>2133.4</v>
      </c>
      <c r="C173" s="39">
        <f>(Table26[[#This Row],[M2 Money Stock, Billions of Dollars, Weekly, Seasonally Adjusted]]-B172)/B172</f>
        <v/>
      </c>
      <c r="D173" s="40">
        <f>((1+Table26[[#This Row],[Weekly change]])^52)-1</f>
        <v/>
      </c>
      <c r="E173" s="85">
        <f>(Table26[[#This Row],[M2 Money Stock, Billions of Dollars, Weekly, Seasonally Adjusted]]-B121)/B121</f>
        <v/>
      </c>
    </row>
    <row r="174">
      <c r="A174" s="37" t="n">
        <v>30697</v>
      </c>
      <c r="B174" s="84" t="n">
        <v>2137.7</v>
      </c>
      <c r="C174" s="39">
        <f>(Table26[[#This Row],[M2 Money Stock, Billions of Dollars, Weekly, Seasonally Adjusted]]-B173)/B173</f>
        <v/>
      </c>
      <c r="D174" s="40">
        <f>((1+Table26[[#This Row],[Weekly change]])^52)-1</f>
        <v/>
      </c>
      <c r="E174" s="85">
        <f>(Table26[[#This Row],[M2 Money Stock, Billions of Dollars, Weekly, Seasonally Adjusted]]-B122)/B122</f>
        <v/>
      </c>
    </row>
    <row r="175">
      <c r="A175" s="37" t="n">
        <v>30704</v>
      </c>
      <c r="B175" s="84" t="n">
        <v>2140</v>
      </c>
      <c r="C175" s="39">
        <f>(Table26[[#This Row],[M2 Money Stock, Billions of Dollars, Weekly, Seasonally Adjusted]]-B174)/B174</f>
        <v/>
      </c>
      <c r="D175" s="40">
        <f>((1+Table26[[#This Row],[Weekly change]])^52)-1</f>
        <v/>
      </c>
      <c r="E175" s="85">
        <f>(Table26[[#This Row],[M2 Money Stock, Billions of Dollars, Weekly, Seasonally Adjusted]]-B123)/B123</f>
        <v/>
      </c>
    </row>
    <row r="176">
      <c r="A176" s="37" t="n">
        <v>30711</v>
      </c>
      <c r="B176" s="84" t="n">
        <v>2140.7</v>
      </c>
      <c r="C176" s="39">
        <f>(Table26[[#This Row],[M2 Money Stock, Billions of Dollars, Weekly, Seasonally Adjusted]]-B175)/B175</f>
        <v/>
      </c>
      <c r="D176" s="40">
        <f>((1+Table26[[#This Row],[Weekly change]])^52)-1</f>
        <v/>
      </c>
      <c r="E176" s="85">
        <f>(Table26[[#This Row],[M2 Money Stock, Billions of Dollars, Weekly, Seasonally Adjusted]]-B124)/B124</f>
        <v/>
      </c>
    </row>
    <row r="177">
      <c r="A177" s="37" t="n">
        <v>30718</v>
      </c>
      <c r="B177" s="84" t="n">
        <v>2152.1</v>
      </c>
      <c r="C177" s="39">
        <f>(Table26[[#This Row],[M2 Money Stock, Billions of Dollars, Weekly, Seasonally Adjusted]]-B176)/B176</f>
        <v/>
      </c>
      <c r="D177" s="40">
        <f>((1+Table26[[#This Row],[Weekly change]])^52)-1</f>
        <v/>
      </c>
      <c r="E177" s="85">
        <f>(Table26[[#This Row],[M2 Money Stock, Billions of Dollars, Weekly, Seasonally Adjusted]]-B125)/B125</f>
        <v/>
      </c>
    </row>
    <row r="178">
      <c r="A178" s="37" t="n">
        <v>30725</v>
      </c>
      <c r="B178" s="84" t="n">
        <v>2164.5</v>
      </c>
      <c r="C178" s="39">
        <f>(Table26[[#This Row],[M2 Money Stock, Billions of Dollars, Weekly, Seasonally Adjusted]]-B177)/B177</f>
        <v/>
      </c>
      <c r="D178" s="40">
        <f>((1+Table26[[#This Row],[Weekly change]])^52)-1</f>
        <v/>
      </c>
      <c r="E178" s="85">
        <f>(Table26[[#This Row],[M2 Money Stock, Billions of Dollars, Weekly, Seasonally Adjusted]]-B126)/B126</f>
        <v/>
      </c>
    </row>
    <row r="179">
      <c r="A179" s="37" t="n">
        <v>30732</v>
      </c>
      <c r="B179" s="84" t="n">
        <v>2137.7</v>
      </c>
      <c r="C179" s="39">
        <f>(Table26[[#This Row],[M2 Money Stock, Billions of Dollars, Weekly, Seasonally Adjusted]]-B178)/B178</f>
        <v/>
      </c>
      <c r="D179" s="40">
        <f>((1+Table26[[#This Row],[Weekly change]])^52)-1</f>
        <v/>
      </c>
      <c r="E179" s="85">
        <f>(Table26[[#This Row],[M2 Money Stock, Billions of Dollars, Weekly, Seasonally Adjusted]]-B127)/B127</f>
        <v/>
      </c>
    </row>
    <row r="180">
      <c r="A180" s="37" t="n">
        <v>30739</v>
      </c>
      <c r="B180" s="84" t="n">
        <v>2129.2</v>
      </c>
      <c r="C180" s="39">
        <f>(Table26[[#This Row],[M2 Money Stock, Billions of Dollars, Weekly, Seasonally Adjusted]]-B179)/B179</f>
        <v/>
      </c>
      <c r="D180" s="40">
        <f>((1+Table26[[#This Row],[Weekly change]])^52)-1</f>
        <v/>
      </c>
      <c r="E180" s="85">
        <f>(Table26[[#This Row],[M2 Money Stock, Billions of Dollars, Weekly, Seasonally Adjusted]]-B128)/B128</f>
        <v/>
      </c>
    </row>
    <row r="181">
      <c r="A181" s="37" t="n">
        <v>30746</v>
      </c>
      <c r="B181" s="84" t="n">
        <v>2147.7</v>
      </c>
      <c r="C181" s="39">
        <f>(Table26[[#This Row],[M2 Money Stock, Billions of Dollars, Weekly, Seasonally Adjusted]]-B180)/B180</f>
        <v/>
      </c>
      <c r="D181" s="40">
        <f>((1+Table26[[#This Row],[Weekly change]])^52)-1</f>
        <v/>
      </c>
      <c r="E181" s="85">
        <f>(Table26[[#This Row],[M2 Money Stock, Billions of Dollars, Weekly, Seasonally Adjusted]]-B129)/B129</f>
        <v/>
      </c>
    </row>
    <row r="182">
      <c r="A182" s="37" t="n">
        <v>30753</v>
      </c>
      <c r="B182" s="84" t="n">
        <v>2166.7</v>
      </c>
      <c r="C182" s="39">
        <f>(Table26[[#This Row],[M2 Money Stock, Billions of Dollars, Weekly, Seasonally Adjusted]]-B181)/B181</f>
        <v/>
      </c>
      <c r="D182" s="40">
        <f>((1+Table26[[#This Row],[Weekly change]])^52)-1</f>
        <v/>
      </c>
      <c r="E182" s="85">
        <f>(Table26[[#This Row],[M2 Money Stock, Billions of Dollars, Weekly, Seasonally Adjusted]]-B130)/B130</f>
        <v/>
      </c>
    </row>
    <row r="183">
      <c r="A183" s="37" t="n">
        <v>30760</v>
      </c>
      <c r="B183" s="84" t="n">
        <v>2181.2</v>
      </c>
      <c r="C183" s="39">
        <f>(Table26[[#This Row],[M2 Money Stock, Billions of Dollars, Weekly, Seasonally Adjusted]]-B182)/B182</f>
        <v/>
      </c>
      <c r="D183" s="40">
        <f>((1+Table26[[#This Row],[Weekly change]])^52)-1</f>
        <v/>
      </c>
      <c r="E183" s="85">
        <f>(Table26[[#This Row],[M2 Money Stock, Billions of Dollars, Weekly, Seasonally Adjusted]]-B131)/B131</f>
        <v/>
      </c>
    </row>
    <row r="184">
      <c r="A184" s="37" t="n">
        <v>30767</v>
      </c>
      <c r="B184" s="84" t="n">
        <v>2190.8</v>
      </c>
      <c r="C184" s="39">
        <f>(Table26[[#This Row],[M2 Money Stock, Billions of Dollars, Weekly, Seasonally Adjusted]]-B183)/B183</f>
        <v/>
      </c>
      <c r="D184" s="40">
        <f>((1+Table26[[#This Row],[Weekly change]])^52)-1</f>
        <v/>
      </c>
      <c r="E184" s="85">
        <f>(Table26[[#This Row],[M2 Money Stock, Billions of Dollars, Weekly, Seasonally Adjusted]]-B132)/B132</f>
        <v/>
      </c>
    </row>
    <row r="185">
      <c r="A185" s="37" t="n">
        <v>30774</v>
      </c>
      <c r="B185" s="84" t="n">
        <v>2192.6</v>
      </c>
      <c r="C185" s="39">
        <f>(Table26[[#This Row],[M2 Money Stock, Billions of Dollars, Weekly, Seasonally Adjusted]]-B184)/B184</f>
        <v/>
      </c>
      <c r="D185" s="40">
        <f>((1+Table26[[#This Row],[Weekly change]])^52)-1</f>
        <v/>
      </c>
      <c r="E185" s="85">
        <f>(Table26[[#This Row],[M2 Money Stock, Billions of Dollars, Weekly, Seasonally Adjusted]]-B133)/B133</f>
        <v/>
      </c>
    </row>
    <row r="186">
      <c r="A186" s="37" t="n">
        <v>30781</v>
      </c>
      <c r="B186" s="84" t="n">
        <v>2191.8</v>
      </c>
      <c r="C186" s="39">
        <f>(Table26[[#This Row],[M2 Money Stock, Billions of Dollars, Weekly, Seasonally Adjusted]]-B185)/B185</f>
        <v/>
      </c>
      <c r="D186" s="40">
        <f>((1+Table26[[#This Row],[Weekly change]])^52)-1</f>
        <v/>
      </c>
      <c r="E186" s="85">
        <f>(Table26[[#This Row],[M2 Money Stock, Billions of Dollars, Weekly, Seasonally Adjusted]]-B134)/B134</f>
        <v/>
      </c>
    </row>
    <row r="187">
      <c r="A187" s="37" t="n">
        <v>30788</v>
      </c>
      <c r="B187" s="84" t="n">
        <v>2192.8</v>
      </c>
      <c r="C187" s="39">
        <f>(Table26[[#This Row],[M2 Money Stock, Billions of Dollars, Weekly, Seasonally Adjusted]]-B186)/B186</f>
        <v/>
      </c>
      <c r="D187" s="40">
        <f>((1+Table26[[#This Row],[Weekly change]])^52)-1</f>
        <v/>
      </c>
      <c r="E187" s="85">
        <f>(Table26[[#This Row],[M2 Money Stock, Billions of Dollars, Weekly, Seasonally Adjusted]]-B135)/B135</f>
        <v/>
      </c>
    </row>
    <row r="188">
      <c r="A188" s="37" t="n">
        <v>30795</v>
      </c>
      <c r="B188" s="84" t="n">
        <v>2194</v>
      </c>
      <c r="C188" s="39">
        <f>(Table26[[#This Row],[M2 Money Stock, Billions of Dollars, Weekly, Seasonally Adjusted]]-B187)/B187</f>
        <v/>
      </c>
      <c r="D188" s="40">
        <f>((1+Table26[[#This Row],[Weekly change]])^52)-1</f>
        <v/>
      </c>
      <c r="E188" s="85">
        <f>(Table26[[#This Row],[M2 Money Stock, Billions of Dollars, Weekly, Seasonally Adjusted]]-B136)/B136</f>
        <v/>
      </c>
    </row>
    <row r="189">
      <c r="A189" s="37" t="n">
        <v>30802</v>
      </c>
      <c r="B189" s="84" t="n">
        <v>2194.7</v>
      </c>
      <c r="C189" s="39">
        <f>(Table26[[#This Row],[M2 Money Stock, Billions of Dollars, Weekly, Seasonally Adjusted]]-B188)/B188</f>
        <v/>
      </c>
      <c r="D189" s="40">
        <f>((1+Table26[[#This Row],[Weekly change]])^52)-1</f>
        <v/>
      </c>
      <c r="E189" s="85">
        <f>(Table26[[#This Row],[M2 Money Stock, Billions of Dollars, Weekly, Seasonally Adjusted]]-B137)/B137</f>
        <v/>
      </c>
    </row>
    <row r="190">
      <c r="A190" s="37" t="n">
        <v>30809</v>
      </c>
      <c r="B190" s="84" t="n">
        <v>2199</v>
      </c>
      <c r="C190" s="39">
        <f>(Table26[[#This Row],[M2 Money Stock, Billions of Dollars, Weekly, Seasonally Adjusted]]-B189)/B189</f>
        <v/>
      </c>
      <c r="D190" s="40">
        <f>((1+Table26[[#This Row],[Weekly change]])^52)-1</f>
        <v/>
      </c>
      <c r="E190" s="85">
        <f>(Table26[[#This Row],[M2 Money Stock, Billions of Dollars, Weekly, Seasonally Adjusted]]-B138)/B138</f>
        <v/>
      </c>
    </row>
    <row r="191">
      <c r="A191" s="37" t="n">
        <v>30816</v>
      </c>
      <c r="B191" s="84" t="n">
        <v>2204.9</v>
      </c>
      <c r="C191" s="39">
        <f>(Table26[[#This Row],[M2 Money Stock, Billions of Dollars, Weekly, Seasonally Adjusted]]-B190)/B190</f>
        <v/>
      </c>
      <c r="D191" s="40">
        <f>((1+Table26[[#This Row],[Weekly change]])^52)-1</f>
        <v/>
      </c>
      <c r="E191" s="85">
        <f>(Table26[[#This Row],[M2 Money Stock, Billions of Dollars, Weekly, Seasonally Adjusted]]-B139)/B139</f>
        <v/>
      </c>
    </row>
    <row r="192">
      <c r="A192" s="37" t="n">
        <v>30823</v>
      </c>
      <c r="B192" s="84" t="n">
        <v>2207.9</v>
      </c>
      <c r="C192" s="39">
        <f>(Table26[[#This Row],[M2 Money Stock, Billions of Dollars, Weekly, Seasonally Adjusted]]-B191)/B191</f>
        <v/>
      </c>
      <c r="D192" s="40">
        <f>((1+Table26[[#This Row],[Weekly change]])^52)-1</f>
        <v/>
      </c>
      <c r="E192" s="85">
        <f>(Table26[[#This Row],[M2 Money Stock, Billions of Dollars, Weekly, Seasonally Adjusted]]-B140)/B140</f>
        <v/>
      </c>
    </row>
    <row r="193">
      <c r="A193" s="37" t="n">
        <v>30830</v>
      </c>
      <c r="B193" s="84" t="n">
        <v>2209.3</v>
      </c>
      <c r="C193" s="39">
        <f>(Table26[[#This Row],[M2 Money Stock, Billions of Dollars, Weekly, Seasonally Adjusted]]-B192)/B192</f>
        <v/>
      </c>
      <c r="D193" s="40">
        <f>((1+Table26[[#This Row],[Weekly change]])^52)-1</f>
        <v/>
      </c>
      <c r="E193" s="85">
        <f>(Table26[[#This Row],[M2 Money Stock, Billions of Dollars, Weekly, Seasonally Adjusted]]-B141)/B141</f>
        <v/>
      </c>
    </row>
    <row r="194">
      <c r="A194" s="37" t="n">
        <v>30837</v>
      </c>
      <c r="B194" s="84" t="n">
        <v>2214.2</v>
      </c>
      <c r="C194" s="39">
        <f>(Table26[[#This Row],[M2 Money Stock, Billions of Dollars, Weekly, Seasonally Adjusted]]-B193)/B193</f>
        <v/>
      </c>
      <c r="D194" s="40">
        <f>((1+Table26[[#This Row],[Weekly change]])^52)-1</f>
        <v/>
      </c>
      <c r="E194" s="85">
        <f>(Table26[[#This Row],[M2 Money Stock, Billions of Dollars, Weekly, Seasonally Adjusted]]-B142)/B142</f>
        <v/>
      </c>
    </row>
    <row r="195">
      <c r="A195" s="37" t="n">
        <v>30844</v>
      </c>
      <c r="B195" s="84" t="n">
        <v>2216.8</v>
      </c>
      <c r="C195" s="39">
        <f>(Table26[[#This Row],[M2 Money Stock, Billions of Dollars, Weekly, Seasonally Adjusted]]-B194)/B194</f>
        <v/>
      </c>
      <c r="D195" s="40">
        <f>((1+Table26[[#This Row],[Weekly change]])^52)-1</f>
        <v/>
      </c>
      <c r="E195" s="85">
        <f>(Table26[[#This Row],[M2 Money Stock, Billions of Dollars, Weekly, Seasonally Adjusted]]-B143)/B143</f>
        <v/>
      </c>
    </row>
    <row r="196">
      <c r="A196" s="37" t="n">
        <v>30851</v>
      </c>
      <c r="B196" s="84" t="n">
        <v>2218</v>
      </c>
      <c r="C196" s="39">
        <f>(Table26[[#This Row],[M2 Money Stock, Billions of Dollars, Weekly, Seasonally Adjusted]]-B195)/B195</f>
        <v/>
      </c>
      <c r="D196" s="40">
        <f>((1+Table26[[#This Row],[Weekly change]])^52)-1</f>
        <v/>
      </c>
      <c r="E196" s="85">
        <f>(Table26[[#This Row],[M2 Money Stock, Billions of Dollars, Weekly, Seasonally Adjusted]]-B144)/B144</f>
        <v/>
      </c>
    </row>
    <row r="197">
      <c r="A197" s="37" t="n">
        <v>30858</v>
      </c>
      <c r="B197" s="84" t="n">
        <v>2220.9</v>
      </c>
      <c r="C197" s="39">
        <f>(Table26[[#This Row],[M2 Money Stock, Billions of Dollars, Weekly, Seasonally Adjusted]]-B196)/B196</f>
        <v/>
      </c>
      <c r="D197" s="40">
        <f>((1+Table26[[#This Row],[Weekly change]])^52)-1</f>
        <v/>
      </c>
      <c r="E197" s="85">
        <f>(Table26[[#This Row],[M2 Money Stock, Billions of Dollars, Weekly, Seasonally Adjusted]]-B145)/B145</f>
        <v/>
      </c>
    </row>
    <row r="198">
      <c r="A198" s="37" t="n">
        <v>30865</v>
      </c>
      <c r="B198" s="84" t="n">
        <v>2224.6</v>
      </c>
      <c r="C198" s="39">
        <f>(Table26[[#This Row],[M2 Money Stock, Billions of Dollars, Weekly, Seasonally Adjusted]]-B197)/B197</f>
        <v/>
      </c>
      <c r="D198" s="40">
        <f>((1+Table26[[#This Row],[Weekly change]])^52)-1</f>
        <v/>
      </c>
      <c r="E198" s="85">
        <f>(Table26[[#This Row],[M2 Money Stock, Billions of Dollars, Weekly, Seasonally Adjusted]]-B146)/B146</f>
        <v/>
      </c>
    </row>
    <row r="199">
      <c r="A199" s="37" t="n">
        <v>30872</v>
      </c>
      <c r="B199" s="84" t="n">
        <v>2224.5</v>
      </c>
      <c r="C199" s="39">
        <f>(Table26[[#This Row],[M2 Money Stock, Billions of Dollars, Weekly, Seasonally Adjusted]]-B198)/B198</f>
        <v/>
      </c>
      <c r="D199" s="40">
        <f>((1+Table26[[#This Row],[Weekly change]])^52)-1</f>
        <v/>
      </c>
      <c r="E199" s="85">
        <f>(Table26[[#This Row],[M2 Money Stock, Billions of Dollars, Weekly, Seasonally Adjusted]]-B147)/B147</f>
        <v/>
      </c>
    </row>
    <row r="200">
      <c r="A200" s="37" t="n">
        <v>30879</v>
      </c>
      <c r="B200" s="84" t="n">
        <v>2228.8</v>
      </c>
      <c r="C200" s="39">
        <f>(Table26[[#This Row],[M2 Money Stock, Billions of Dollars, Weekly, Seasonally Adjusted]]-B199)/B199</f>
        <v/>
      </c>
      <c r="D200" s="40">
        <f>((1+Table26[[#This Row],[Weekly change]])^52)-1</f>
        <v/>
      </c>
      <c r="E200" s="85">
        <f>(Table26[[#This Row],[M2 Money Stock, Billions of Dollars, Weekly, Seasonally Adjusted]]-B148)/B148</f>
        <v/>
      </c>
    </row>
    <row r="201">
      <c r="A201" s="37" t="n">
        <v>30886</v>
      </c>
      <c r="B201" s="84" t="n">
        <v>2229.7</v>
      </c>
      <c r="C201" s="39">
        <f>(Table26[[#This Row],[M2 Money Stock, Billions of Dollars, Weekly, Seasonally Adjusted]]-B200)/B200</f>
        <v/>
      </c>
      <c r="D201" s="40">
        <f>((1+Table26[[#This Row],[Weekly change]])^52)-1</f>
        <v/>
      </c>
      <c r="E201" s="85">
        <f>(Table26[[#This Row],[M2 Money Stock, Billions of Dollars, Weekly, Seasonally Adjusted]]-B149)/B149</f>
        <v/>
      </c>
    </row>
    <row r="202">
      <c r="A202" s="37" t="n">
        <v>30893</v>
      </c>
      <c r="B202" s="84" t="n">
        <v>2229.3</v>
      </c>
      <c r="C202" s="39">
        <f>(Table26[[#This Row],[M2 Money Stock, Billions of Dollars, Weekly, Seasonally Adjusted]]-B201)/B201</f>
        <v/>
      </c>
      <c r="D202" s="40">
        <f>((1+Table26[[#This Row],[Weekly change]])^52)-1</f>
        <v/>
      </c>
      <c r="E202" s="85">
        <f>(Table26[[#This Row],[M2 Money Stock, Billions of Dollars, Weekly, Seasonally Adjusted]]-B150)/B150</f>
        <v/>
      </c>
    </row>
    <row r="203">
      <c r="A203" s="37" t="n">
        <v>30900</v>
      </c>
      <c r="B203" s="84" t="n">
        <v>2230.6</v>
      </c>
      <c r="C203" s="39">
        <f>(Table26[[#This Row],[M2 Money Stock, Billions of Dollars, Weekly, Seasonally Adjusted]]-B202)/B202</f>
        <v/>
      </c>
      <c r="D203" s="40">
        <f>((1+Table26[[#This Row],[Weekly change]])^52)-1</f>
        <v/>
      </c>
      <c r="E203" s="85">
        <f>(Table26[[#This Row],[M2 Money Stock, Billions of Dollars, Weekly, Seasonally Adjusted]]-B151)/B151</f>
        <v/>
      </c>
    </row>
    <row r="204">
      <c r="A204" s="37" t="n">
        <v>30907</v>
      </c>
      <c r="B204" s="84" t="n">
        <v>2230.6</v>
      </c>
      <c r="C204" s="39">
        <f>(Table26[[#This Row],[M2 Money Stock, Billions of Dollars, Weekly, Seasonally Adjusted]]-B203)/B203</f>
        <v/>
      </c>
      <c r="D204" s="40">
        <f>((1+Table26[[#This Row],[Weekly change]])^52)-1</f>
        <v/>
      </c>
      <c r="E204" s="85">
        <f>(Table26[[#This Row],[M2 Money Stock, Billions of Dollars, Weekly, Seasonally Adjusted]]-B152)/B152</f>
        <v/>
      </c>
    </row>
    <row r="205">
      <c r="A205" s="37" t="n">
        <v>30914</v>
      </c>
      <c r="B205" s="84" t="n">
        <v>2232.1</v>
      </c>
      <c r="C205" s="39">
        <f>(Table26[[#This Row],[M2 Money Stock, Billions of Dollars, Weekly, Seasonally Adjusted]]-B204)/B204</f>
        <v/>
      </c>
      <c r="D205" s="40">
        <f>((1+Table26[[#This Row],[Weekly change]])^52)-1</f>
        <v/>
      </c>
      <c r="E205" s="85">
        <f>(Table26[[#This Row],[M2 Money Stock, Billions of Dollars, Weekly, Seasonally Adjusted]]-B153)/B153</f>
        <v/>
      </c>
    </row>
    <row r="206">
      <c r="A206" s="37" t="n">
        <v>30921</v>
      </c>
      <c r="B206" s="84" t="n">
        <v>2233.5</v>
      </c>
      <c r="C206" s="39">
        <f>(Table26[[#This Row],[M2 Money Stock, Billions of Dollars, Weekly, Seasonally Adjusted]]-B205)/B205</f>
        <v/>
      </c>
      <c r="D206" s="40">
        <f>((1+Table26[[#This Row],[Weekly change]])^52)-1</f>
        <v/>
      </c>
      <c r="E206" s="85">
        <f>(Table26[[#This Row],[M2 Money Stock, Billions of Dollars, Weekly, Seasonally Adjusted]]-B154)/B154</f>
        <v/>
      </c>
    </row>
    <row r="207">
      <c r="A207" s="37" t="n">
        <v>30928</v>
      </c>
      <c r="B207" s="84" t="n">
        <v>2236.4</v>
      </c>
      <c r="C207" s="39">
        <f>(Table26[[#This Row],[M2 Money Stock, Billions of Dollars, Weekly, Seasonally Adjusted]]-B206)/B206</f>
        <v/>
      </c>
      <c r="D207" s="40">
        <f>((1+Table26[[#This Row],[Weekly change]])^52)-1</f>
        <v/>
      </c>
      <c r="E207" s="85">
        <f>(Table26[[#This Row],[M2 Money Stock, Billions of Dollars, Weekly, Seasonally Adjusted]]-B155)/B155</f>
        <v/>
      </c>
    </row>
    <row r="208">
      <c r="A208" s="37" t="n">
        <v>30935</v>
      </c>
      <c r="B208" s="84" t="n">
        <v>2241.1</v>
      </c>
      <c r="C208" s="39">
        <f>(Table26[[#This Row],[M2 Money Stock, Billions of Dollars, Weekly, Seasonally Adjusted]]-B207)/B207</f>
        <v/>
      </c>
      <c r="D208" s="40">
        <f>((1+Table26[[#This Row],[Weekly change]])^52)-1</f>
        <v/>
      </c>
      <c r="E208" s="85">
        <f>(Table26[[#This Row],[M2 Money Stock, Billions of Dollars, Weekly, Seasonally Adjusted]]-B156)/B156</f>
        <v/>
      </c>
    </row>
    <row r="209">
      <c r="A209" s="37" t="n">
        <v>30942</v>
      </c>
      <c r="B209" s="84" t="n">
        <v>2244</v>
      </c>
      <c r="C209" s="39">
        <f>(Table26[[#This Row],[M2 Money Stock, Billions of Dollars, Weekly, Seasonally Adjusted]]-B208)/B208</f>
        <v/>
      </c>
      <c r="D209" s="40">
        <f>((1+Table26[[#This Row],[Weekly change]])^52)-1</f>
        <v/>
      </c>
      <c r="E209" s="85">
        <f>(Table26[[#This Row],[M2 Money Stock, Billions of Dollars, Weekly, Seasonally Adjusted]]-B157)/B157</f>
        <v/>
      </c>
    </row>
    <row r="210">
      <c r="A210" s="37" t="n">
        <v>30949</v>
      </c>
      <c r="B210" s="84" t="n">
        <v>2246.8</v>
      </c>
      <c r="C210" s="39">
        <f>(Table26[[#This Row],[M2 Money Stock, Billions of Dollars, Weekly, Seasonally Adjusted]]-B209)/B209</f>
        <v/>
      </c>
      <c r="D210" s="40">
        <f>((1+Table26[[#This Row],[Weekly change]])^52)-1</f>
        <v/>
      </c>
      <c r="E210" s="85">
        <f>(Table26[[#This Row],[M2 Money Stock, Billions of Dollars, Weekly, Seasonally Adjusted]]-B158)/B158</f>
        <v/>
      </c>
    </row>
    <row r="211">
      <c r="A211" s="37" t="n">
        <v>30956</v>
      </c>
      <c r="B211" s="84" t="n">
        <v>2253.5</v>
      </c>
      <c r="C211" s="39">
        <f>(Table26[[#This Row],[M2 Money Stock, Billions of Dollars, Weekly, Seasonally Adjusted]]-B210)/B210</f>
        <v/>
      </c>
      <c r="D211" s="40">
        <f>((1+Table26[[#This Row],[Weekly change]])^52)-1</f>
        <v/>
      </c>
      <c r="E211" s="85">
        <f>(Table26[[#This Row],[M2 Money Stock, Billions of Dollars, Weekly, Seasonally Adjusted]]-B159)/B159</f>
        <v/>
      </c>
    </row>
    <row r="212">
      <c r="A212" s="37" t="n">
        <v>30963</v>
      </c>
      <c r="B212" s="84" t="n">
        <v>2253.1</v>
      </c>
      <c r="C212" s="39">
        <f>(Table26[[#This Row],[M2 Money Stock, Billions of Dollars, Weekly, Seasonally Adjusted]]-B211)/B211</f>
        <v/>
      </c>
      <c r="D212" s="40">
        <f>((1+Table26[[#This Row],[Weekly change]])^52)-1</f>
        <v/>
      </c>
      <c r="E212" s="85">
        <f>(Table26[[#This Row],[M2 Money Stock, Billions of Dollars, Weekly, Seasonally Adjusted]]-B160)/B160</f>
        <v/>
      </c>
    </row>
    <row r="213">
      <c r="A213" s="37" t="n">
        <v>30970</v>
      </c>
      <c r="B213" s="84" t="n">
        <v>2259.2</v>
      </c>
      <c r="C213" s="39">
        <f>(Table26[[#This Row],[M2 Money Stock, Billions of Dollars, Weekly, Seasonally Adjusted]]-B212)/B212</f>
        <v/>
      </c>
      <c r="D213" s="40">
        <f>((1+Table26[[#This Row],[Weekly change]])^52)-1</f>
        <v/>
      </c>
      <c r="E213" s="85">
        <f>(Table26[[#This Row],[M2 Money Stock, Billions of Dollars, Weekly, Seasonally Adjusted]]-B161)/B161</f>
        <v/>
      </c>
    </row>
    <row r="214">
      <c r="A214" s="37" t="n">
        <v>30977</v>
      </c>
      <c r="B214" s="84" t="n">
        <v>2258.8</v>
      </c>
      <c r="C214" s="39">
        <f>(Table26[[#This Row],[M2 Money Stock, Billions of Dollars, Weekly, Seasonally Adjusted]]-B213)/B213</f>
        <v/>
      </c>
      <c r="D214" s="40">
        <f>((1+Table26[[#This Row],[Weekly change]])^52)-1</f>
        <v/>
      </c>
      <c r="E214" s="85">
        <f>(Table26[[#This Row],[M2 Money Stock, Billions of Dollars, Weekly, Seasonally Adjusted]]-B162)/B162</f>
        <v/>
      </c>
    </row>
    <row r="215">
      <c r="A215" s="37" t="n">
        <v>30984</v>
      </c>
      <c r="B215" s="84" t="n">
        <v>2264.4</v>
      </c>
      <c r="C215" s="39">
        <f>(Table26[[#This Row],[M2 Money Stock, Billions of Dollars, Weekly, Seasonally Adjusted]]-B214)/B214</f>
        <v/>
      </c>
      <c r="D215" s="40">
        <f>((1+Table26[[#This Row],[Weekly change]])^52)-1</f>
        <v/>
      </c>
      <c r="E215" s="85">
        <f>(Table26[[#This Row],[M2 Money Stock, Billions of Dollars, Weekly, Seasonally Adjusted]]-B163)/B163</f>
        <v/>
      </c>
    </row>
    <row r="216">
      <c r="A216" s="37" t="n">
        <v>30991</v>
      </c>
      <c r="B216" s="84" t="n">
        <v>2270.8</v>
      </c>
      <c r="C216" s="39">
        <f>(Table26[[#This Row],[M2 Money Stock, Billions of Dollars, Weekly, Seasonally Adjusted]]-B215)/B215</f>
        <v/>
      </c>
      <c r="D216" s="40">
        <f>((1+Table26[[#This Row],[Weekly change]])^52)-1</f>
        <v/>
      </c>
      <c r="E216" s="85">
        <f>(Table26[[#This Row],[M2 Money Stock, Billions of Dollars, Weekly, Seasonally Adjusted]]-B164)/B164</f>
        <v/>
      </c>
    </row>
    <row r="217">
      <c r="A217" s="37" t="n">
        <v>30998</v>
      </c>
      <c r="B217" s="84" t="n">
        <v>2275.9</v>
      </c>
      <c r="C217" s="39">
        <f>(Table26[[#This Row],[M2 Money Stock, Billions of Dollars, Weekly, Seasonally Adjusted]]-B216)/B216</f>
        <v/>
      </c>
      <c r="D217" s="40">
        <f>((1+Table26[[#This Row],[Weekly change]])^52)-1</f>
        <v/>
      </c>
      <c r="E217" s="85">
        <f>(Table26[[#This Row],[M2 Money Stock, Billions of Dollars, Weekly, Seasonally Adjusted]]-B165)/B165</f>
        <v/>
      </c>
    </row>
    <row r="218">
      <c r="A218" s="37" t="n">
        <v>31005</v>
      </c>
      <c r="B218" s="84" t="n">
        <v>2283.2</v>
      </c>
      <c r="C218" s="39">
        <f>(Table26[[#This Row],[M2 Money Stock, Billions of Dollars, Weekly, Seasonally Adjusted]]-B217)/B217</f>
        <v/>
      </c>
      <c r="D218" s="40">
        <f>((1+Table26[[#This Row],[Weekly change]])^52)-1</f>
        <v/>
      </c>
      <c r="E218" s="85">
        <f>(Table26[[#This Row],[M2 Money Stock, Billions of Dollars, Weekly, Seasonally Adjusted]]-B166)/B166</f>
        <v/>
      </c>
    </row>
    <row r="219">
      <c r="A219" s="37" t="n">
        <v>31012</v>
      </c>
      <c r="B219" s="84" t="n">
        <v>2286.2</v>
      </c>
      <c r="C219" s="39">
        <f>(Table26[[#This Row],[M2 Money Stock, Billions of Dollars, Weekly, Seasonally Adjusted]]-B218)/B218</f>
        <v/>
      </c>
      <c r="D219" s="40">
        <f>((1+Table26[[#This Row],[Weekly change]])^52)-1</f>
        <v/>
      </c>
      <c r="E219" s="85">
        <f>(Table26[[#This Row],[M2 Money Stock, Billions of Dollars, Weekly, Seasonally Adjusted]]-B167)/B167</f>
        <v/>
      </c>
    </row>
    <row r="220">
      <c r="A220" s="37" t="n">
        <v>31019</v>
      </c>
      <c r="B220" s="84" t="n">
        <v>2287.6</v>
      </c>
      <c r="C220" s="39">
        <f>(Table26[[#This Row],[M2 Money Stock, Billions of Dollars, Weekly, Seasonally Adjusted]]-B219)/B219</f>
        <v/>
      </c>
      <c r="D220" s="40">
        <f>((1+Table26[[#This Row],[Weekly change]])^52)-1</f>
        <v/>
      </c>
      <c r="E220" s="85">
        <f>(Table26[[#This Row],[M2 Money Stock, Billions of Dollars, Weekly, Seasonally Adjusted]]-B168)/B168</f>
        <v/>
      </c>
    </row>
    <row r="221">
      <c r="A221" s="37" t="n">
        <v>31026</v>
      </c>
      <c r="B221" s="84" t="n">
        <v>2297.1</v>
      </c>
      <c r="C221" s="39">
        <f>(Table26[[#This Row],[M2 Money Stock, Billions of Dollars, Weekly, Seasonally Adjusted]]-B220)/B220</f>
        <v/>
      </c>
      <c r="D221" s="40">
        <f>((1+Table26[[#This Row],[Weekly change]])^52)-1</f>
        <v/>
      </c>
      <c r="E221" s="85">
        <f>(Table26[[#This Row],[M2 Money Stock, Billions of Dollars, Weekly, Seasonally Adjusted]]-B169)/B169</f>
        <v/>
      </c>
    </row>
    <row r="222">
      <c r="A222" s="37" t="n">
        <v>31033</v>
      </c>
      <c r="B222" s="84" t="n">
        <v>2303.4</v>
      </c>
      <c r="C222" s="39">
        <f>(Table26[[#This Row],[M2 Money Stock, Billions of Dollars, Weekly, Seasonally Adjusted]]-B221)/B221</f>
        <v/>
      </c>
      <c r="D222" s="40">
        <f>((1+Table26[[#This Row],[Weekly change]])^52)-1</f>
        <v/>
      </c>
      <c r="E222" s="85">
        <f>(Table26[[#This Row],[M2 Money Stock, Billions of Dollars, Weekly, Seasonally Adjusted]]-B170)/B170</f>
        <v/>
      </c>
    </row>
    <row r="223">
      <c r="A223" s="37" t="n">
        <v>31040</v>
      </c>
      <c r="B223" s="84" t="n">
        <v>2311.4</v>
      </c>
      <c r="C223" s="39">
        <f>(Table26[[#This Row],[M2 Money Stock, Billions of Dollars, Weekly, Seasonally Adjusted]]-B222)/B222</f>
        <v/>
      </c>
      <c r="D223" s="40">
        <f>((1+Table26[[#This Row],[Weekly change]])^52)-1</f>
        <v/>
      </c>
      <c r="E223" s="85">
        <f>(Table26[[#This Row],[M2 Money Stock, Billions of Dollars, Weekly, Seasonally Adjusted]]-B171)/B171</f>
        <v/>
      </c>
    </row>
    <row r="224">
      <c r="A224" s="37" t="n">
        <v>31047</v>
      </c>
      <c r="B224" s="84" t="n">
        <v>2316.8</v>
      </c>
      <c r="C224" s="39">
        <f>(Table26[[#This Row],[M2 Money Stock, Billions of Dollars, Weekly, Seasonally Adjusted]]-B223)/B223</f>
        <v/>
      </c>
      <c r="D224" s="40">
        <f>((1+Table26[[#This Row],[Weekly change]])^52)-1</f>
        <v/>
      </c>
      <c r="E224" s="85">
        <f>(Table26[[#This Row],[M2 Money Stock, Billions of Dollars, Weekly, Seasonally Adjusted]]-B172)/B172</f>
        <v/>
      </c>
    </row>
    <row r="225">
      <c r="A225" s="37" t="n">
        <v>31054</v>
      </c>
      <c r="B225" s="84" t="n">
        <v>2322.9</v>
      </c>
      <c r="C225" s="39">
        <f>(Table26[[#This Row],[M2 Money Stock, Billions of Dollars, Weekly, Seasonally Adjusted]]-B224)/B224</f>
        <v/>
      </c>
      <c r="D225" s="40">
        <f>((1+Table26[[#This Row],[Weekly change]])^52)-1</f>
        <v/>
      </c>
      <c r="E225" s="85">
        <f>(Table26[[#This Row],[M2 Money Stock, Billions of Dollars, Weekly, Seasonally Adjusted]]-B173)/B173</f>
        <v/>
      </c>
    </row>
    <row r="226">
      <c r="A226" s="37" t="n">
        <v>31061</v>
      </c>
      <c r="B226" s="84" t="n">
        <v>2331.8</v>
      </c>
      <c r="C226" s="39">
        <f>(Table26[[#This Row],[M2 Money Stock, Billions of Dollars, Weekly, Seasonally Adjusted]]-B225)/B225</f>
        <v/>
      </c>
      <c r="D226" s="40">
        <f>((1+Table26[[#This Row],[Weekly change]])^52)-1</f>
        <v/>
      </c>
      <c r="E226" s="85">
        <f>(Table26[[#This Row],[M2 Money Stock, Billions of Dollars, Weekly, Seasonally Adjusted]]-B174)/B174</f>
        <v/>
      </c>
    </row>
    <row r="227">
      <c r="A227" s="37" t="n">
        <v>31068</v>
      </c>
      <c r="B227" s="84" t="n">
        <v>2337.3</v>
      </c>
      <c r="C227" s="39">
        <f>(Table26[[#This Row],[M2 Money Stock, Billions of Dollars, Weekly, Seasonally Adjusted]]-B226)/B226</f>
        <v/>
      </c>
      <c r="D227" s="40">
        <f>((1+Table26[[#This Row],[Weekly change]])^52)-1</f>
        <v/>
      </c>
      <c r="E227" s="85">
        <f>(Table26[[#This Row],[M2 Money Stock, Billions of Dollars, Weekly, Seasonally Adjusted]]-B175)/B175</f>
        <v/>
      </c>
    </row>
    <row r="228">
      <c r="A228" s="37" t="n">
        <v>31075</v>
      </c>
      <c r="B228" s="84" t="n">
        <v>2341.3</v>
      </c>
      <c r="C228" s="39">
        <f>(Table26[[#This Row],[M2 Money Stock, Billions of Dollars, Weekly, Seasonally Adjusted]]-B227)/B227</f>
        <v/>
      </c>
      <c r="D228" s="40">
        <f>((1+Table26[[#This Row],[Weekly change]])^52)-1</f>
        <v/>
      </c>
      <c r="E228" s="85">
        <f>(Table26[[#This Row],[M2 Money Stock, Billions of Dollars, Weekly, Seasonally Adjusted]]-B176)/B176</f>
        <v/>
      </c>
    </row>
    <row r="229">
      <c r="A229" s="37" t="n">
        <v>31082</v>
      </c>
      <c r="B229" s="84" t="n">
        <v>2344</v>
      </c>
      <c r="C229" s="39">
        <f>(Table26[[#This Row],[M2 Money Stock, Billions of Dollars, Weekly, Seasonally Adjusted]]-B228)/B228</f>
        <v/>
      </c>
      <c r="D229" s="40">
        <f>((1+Table26[[#This Row],[Weekly change]])^52)-1</f>
        <v/>
      </c>
      <c r="E229" s="85">
        <f>(Table26[[#This Row],[M2 Money Stock, Billions of Dollars, Weekly, Seasonally Adjusted]]-B177)/B177</f>
        <v/>
      </c>
    </row>
    <row r="230">
      <c r="A230" s="37" t="n">
        <v>31089</v>
      </c>
      <c r="B230" s="84" t="n">
        <v>2345.8</v>
      </c>
      <c r="C230" s="39">
        <f>(Table26[[#This Row],[M2 Money Stock, Billions of Dollars, Weekly, Seasonally Adjusted]]-B229)/B229</f>
        <v/>
      </c>
      <c r="D230" s="40">
        <f>((1+Table26[[#This Row],[Weekly change]])^52)-1</f>
        <v/>
      </c>
      <c r="E230" s="85">
        <f>(Table26[[#This Row],[M2 Money Stock, Billions of Dollars, Weekly, Seasonally Adjusted]]-B178)/B178</f>
        <v/>
      </c>
    </row>
    <row r="231">
      <c r="A231" s="37" t="n">
        <v>31096</v>
      </c>
      <c r="B231" s="84" t="n">
        <v>2349.5</v>
      </c>
      <c r="C231" s="39">
        <f>(Table26[[#This Row],[M2 Money Stock, Billions of Dollars, Weekly, Seasonally Adjusted]]-B230)/B230</f>
        <v/>
      </c>
      <c r="D231" s="40">
        <f>((1+Table26[[#This Row],[Weekly change]])^52)-1</f>
        <v/>
      </c>
      <c r="E231" s="85">
        <f>(Table26[[#This Row],[M2 Money Stock, Billions of Dollars, Weekly, Seasonally Adjusted]]-B179)/B179</f>
        <v/>
      </c>
    </row>
    <row r="232">
      <c r="A232" s="37" t="n">
        <v>31103</v>
      </c>
      <c r="B232" s="84" t="n">
        <v>2352.2</v>
      </c>
      <c r="C232" s="39">
        <f>(Table26[[#This Row],[M2 Money Stock, Billions of Dollars, Weekly, Seasonally Adjusted]]-B231)/B231</f>
        <v/>
      </c>
      <c r="D232" s="40">
        <f>((1+Table26[[#This Row],[Weekly change]])^52)-1</f>
        <v/>
      </c>
      <c r="E232" s="85">
        <f>(Table26[[#This Row],[M2 Money Stock, Billions of Dollars, Weekly, Seasonally Adjusted]]-B180)/B180</f>
        <v/>
      </c>
    </row>
    <row r="233">
      <c r="A233" s="37" t="n">
        <v>31110</v>
      </c>
      <c r="B233" s="84" t="n">
        <v>2357.3</v>
      </c>
      <c r="C233" s="39">
        <f>(Table26[[#This Row],[M2 Money Stock, Billions of Dollars, Weekly, Seasonally Adjusted]]-B232)/B232</f>
        <v/>
      </c>
      <c r="D233" s="40">
        <f>((1+Table26[[#This Row],[Weekly change]])^52)-1</f>
        <v/>
      </c>
      <c r="E233" s="85">
        <f>(Table26[[#This Row],[M2 Money Stock, Billions of Dollars, Weekly, Seasonally Adjusted]]-B181)/B181</f>
        <v/>
      </c>
    </row>
    <row r="234">
      <c r="A234" s="37" t="n">
        <v>31117</v>
      </c>
      <c r="B234" s="84" t="n">
        <v>2359</v>
      </c>
      <c r="C234" s="39">
        <f>(Table26[[#This Row],[M2 Money Stock, Billions of Dollars, Weekly, Seasonally Adjusted]]-B233)/B233</f>
        <v/>
      </c>
      <c r="D234" s="40">
        <f>((1+Table26[[#This Row],[Weekly change]])^52)-1</f>
        <v/>
      </c>
      <c r="E234" s="85">
        <f>(Table26[[#This Row],[M2 Money Stock, Billions of Dollars, Weekly, Seasonally Adjusted]]-B182)/B182</f>
        <v/>
      </c>
    </row>
    <row r="235">
      <c r="A235" s="37" t="n">
        <v>31124</v>
      </c>
      <c r="B235" s="84" t="n">
        <v>2360.8</v>
      </c>
      <c r="C235" s="39">
        <f>(Table26[[#This Row],[M2 Money Stock, Billions of Dollars, Weekly, Seasonally Adjusted]]-B234)/B234</f>
        <v/>
      </c>
      <c r="D235" s="40">
        <f>((1+Table26[[#This Row],[Weekly change]])^52)-1</f>
        <v/>
      </c>
      <c r="E235" s="85">
        <f>(Table26[[#This Row],[M2 Money Stock, Billions of Dollars, Weekly, Seasonally Adjusted]]-B183)/B183</f>
        <v/>
      </c>
    </row>
    <row r="236">
      <c r="A236" s="37" t="n">
        <v>31131</v>
      </c>
      <c r="B236" s="84" t="n">
        <v>2366.3</v>
      </c>
      <c r="C236" s="39">
        <f>(Table26[[#This Row],[M2 Money Stock, Billions of Dollars, Weekly, Seasonally Adjusted]]-B235)/B235</f>
        <v/>
      </c>
      <c r="D236" s="40">
        <f>((1+Table26[[#This Row],[Weekly change]])^52)-1</f>
        <v/>
      </c>
      <c r="E236" s="85">
        <f>(Table26[[#This Row],[M2 Money Stock, Billions of Dollars, Weekly, Seasonally Adjusted]]-B184)/B184</f>
        <v/>
      </c>
    </row>
    <row r="237">
      <c r="A237" s="37" t="n">
        <v>31138</v>
      </c>
      <c r="B237" s="84" t="n">
        <v>2370.6</v>
      </c>
      <c r="C237" s="39">
        <f>(Table26[[#This Row],[M2 Money Stock, Billions of Dollars, Weekly, Seasonally Adjusted]]-B236)/B236</f>
        <v/>
      </c>
      <c r="D237" s="40">
        <f>((1+Table26[[#This Row],[Weekly change]])^52)-1</f>
        <v/>
      </c>
      <c r="E237" s="85">
        <f>(Table26[[#This Row],[M2 Money Stock, Billions of Dollars, Weekly, Seasonally Adjusted]]-B185)/B185</f>
        <v/>
      </c>
    </row>
    <row r="238">
      <c r="A238" s="37" t="n">
        <v>31145</v>
      </c>
      <c r="B238" s="84" t="n">
        <v>2368.5</v>
      </c>
      <c r="C238" s="39">
        <f>(Table26[[#This Row],[M2 Money Stock, Billions of Dollars, Weekly, Seasonally Adjusted]]-B237)/B237</f>
        <v/>
      </c>
      <c r="D238" s="40">
        <f>((1+Table26[[#This Row],[Weekly change]])^52)-1</f>
        <v/>
      </c>
      <c r="E238" s="85">
        <f>(Table26[[#This Row],[M2 Money Stock, Billions of Dollars, Weekly, Seasonally Adjusted]]-B186)/B186</f>
        <v/>
      </c>
    </row>
    <row r="239">
      <c r="A239" s="37" t="n">
        <v>31152</v>
      </c>
      <c r="B239" s="84" t="n">
        <v>2371.4</v>
      </c>
      <c r="C239" s="39">
        <f>(Table26[[#This Row],[M2 Money Stock, Billions of Dollars, Weekly, Seasonally Adjusted]]-B238)/B238</f>
        <v/>
      </c>
      <c r="D239" s="40">
        <f>((1+Table26[[#This Row],[Weekly change]])^52)-1</f>
        <v/>
      </c>
      <c r="E239" s="85">
        <f>(Table26[[#This Row],[M2 Money Stock, Billions of Dollars, Weekly, Seasonally Adjusted]]-B187)/B187</f>
        <v/>
      </c>
    </row>
    <row r="240">
      <c r="A240" s="37" t="n">
        <v>31159</v>
      </c>
      <c r="B240" s="84" t="n">
        <v>2375.5</v>
      </c>
      <c r="C240" s="39">
        <f>(Table26[[#This Row],[M2 Money Stock, Billions of Dollars, Weekly, Seasonally Adjusted]]-B239)/B239</f>
        <v/>
      </c>
      <c r="D240" s="40">
        <f>((1+Table26[[#This Row],[Weekly change]])^52)-1</f>
        <v/>
      </c>
      <c r="E240" s="85">
        <f>(Table26[[#This Row],[M2 Money Stock, Billions of Dollars, Weekly, Seasonally Adjusted]]-B188)/B188</f>
        <v/>
      </c>
    </row>
    <row r="241">
      <c r="A241" s="37" t="n">
        <v>31166</v>
      </c>
      <c r="B241" s="84" t="n">
        <v>2374.5</v>
      </c>
      <c r="C241" s="39">
        <f>(Table26[[#This Row],[M2 Money Stock, Billions of Dollars, Weekly, Seasonally Adjusted]]-B240)/B240</f>
        <v/>
      </c>
      <c r="D241" s="40">
        <f>((1+Table26[[#This Row],[Weekly change]])^52)-1</f>
        <v/>
      </c>
      <c r="E241" s="85">
        <f>(Table26[[#This Row],[M2 Money Stock, Billions of Dollars, Weekly, Seasonally Adjusted]]-B189)/B189</f>
        <v/>
      </c>
    </row>
    <row r="242">
      <c r="A242" s="37" t="n">
        <v>31173</v>
      </c>
      <c r="B242" s="84" t="n">
        <v>2377.6</v>
      </c>
      <c r="C242" s="39">
        <f>(Table26[[#This Row],[M2 Money Stock, Billions of Dollars, Weekly, Seasonally Adjusted]]-B241)/B241</f>
        <v/>
      </c>
      <c r="D242" s="40">
        <f>((1+Table26[[#This Row],[Weekly change]])^52)-1</f>
        <v/>
      </c>
      <c r="E242" s="85">
        <f>(Table26[[#This Row],[M2 Money Stock, Billions of Dollars, Weekly, Seasonally Adjusted]]-B190)/B190</f>
        <v/>
      </c>
    </row>
    <row r="243">
      <c r="A243" s="37" t="n">
        <v>31180</v>
      </c>
      <c r="B243" s="84" t="n">
        <v>2381.5</v>
      </c>
      <c r="C243" s="39">
        <f>(Table26[[#This Row],[M2 Money Stock, Billions of Dollars, Weekly, Seasonally Adjusted]]-B242)/B242</f>
        <v/>
      </c>
      <c r="D243" s="40">
        <f>((1+Table26[[#This Row],[Weekly change]])^52)-1</f>
        <v/>
      </c>
      <c r="E243" s="85">
        <f>(Table26[[#This Row],[M2 Money Stock, Billions of Dollars, Weekly, Seasonally Adjusted]]-B191)/B191</f>
        <v/>
      </c>
    </row>
    <row r="244">
      <c r="A244" s="37" t="n">
        <v>31187</v>
      </c>
      <c r="B244" s="84" t="n">
        <v>2386.8</v>
      </c>
      <c r="C244" s="39">
        <f>(Table26[[#This Row],[M2 Money Stock, Billions of Dollars, Weekly, Seasonally Adjusted]]-B243)/B243</f>
        <v/>
      </c>
      <c r="D244" s="40">
        <f>((1+Table26[[#This Row],[Weekly change]])^52)-1</f>
        <v/>
      </c>
      <c r="E244" s="85">
        <f>(Table26[[#This Row],[M2 Money Stock, Billions of Dollars, Weekly, Seasonally Adjusted]]-B192)/B192</f>
        <v/>
      </c>
    </row>
    <row r="245">
      <c r="A245" s="37" t="n">
        <v>31194</v>
      </c>
      <c r="B245" s="84" t="n">
        <v>2390.4</v>
      </c>
      <c r="C245" s="39">
        <f>(Table26[[#This Row],[M2 Money Stock, Billions of Dollars, Weekly, Seasonally Adjusted]]-B244)/B244</f>
        <v/>
      </c>
      <c r="D245" s="40">
        <f>((1+Table26[[#This Row],[Weekly change]])^52)-1</f>
        <v/>
      </c>
      <c r="E245" s="85">
        <f>(Table26[[#This Row],[M2 Money Stock, Billions of Dollars, Weekly, Seasonally Adjusted]]-B193)/B193</f>
        <v/>
      </c>
    </row>
    <row r="246">
      <c r="A246" s="37" t="n">
        <v>31201</v>
      </c>
      <c r="B246" s="84" t="n">
        <v>2393.2</v>
      </c>
      <c r="C246" s="39">
        <f>(Table26[[#This Row],[M2 Money Stock, Billions of Dollars, Weekly, Seasonally Adjusted]]-B245)/B245</f>
        <v/>
      </c>
      <c r="D246" s="40">
        <f>((1+Table26[[#This Row],[Weekly change]])^52)-1</f>
        <v/>
      </c>
      <c r="E246" s="85">
        <f>(Table26[[#This Row],[M2 Money Stock, Billions of Dollars, Weekly, Seasonally Adjusted]]-B194)/B194</f>
        <v/>
      </c>
    </row>
    <row r="247">
      <c r="A247" s="37" t="n">
        <v>31208</v>
      </c>
      <c r="B247" s="84" t="n">
        <v>2403.4</v>
      </c>
      <c r="C247" s="39">
        <f>(Table26[[#This Row],[M2 Money Stock, Billions of Dollars, Weekly, Seasonally Adjusted]]-B246)/B246</f>
        <v/>
      </c>
      <c r="D247" s="40">
        <f>((1+Table26[[#This Row],[Weekly change]])^52)-1</f>
        <v/>
      </c>
      <c r="E247" s="85">
        <f>(Table26[[#This Row],[M2 Money Stock, Billions of Dollars, Weekly, Seasonally Adjusted]]-B195)/B195</f>
        <v/>
      </c>
    </row>
    <row r="248">
      <c r="A248" s="37" t="n">
        <v>31215</v>
      </c>
      <c r="B248" s="84" t="n">
        <v>2409.3</v>
      </c>
      <c r="C248" s="39">
        <f>(Table26[[#This Row],[M2 Money Stock, Billions of Dollars, Weekly, Seasonally Adjusted]]-B247)/B247</f>
        <v/>
      </c>
      <c r="D248" s="40">
        <f>((1+Table26[[#This Row],[Weekly change]])^52)-1</f>
        <v/>
      </c>
      <c r="E248" s="85">
        <f>(Table26[[#This Row],[M2 Money Stock, Billions of Dollars, Weekly, Seasonally Adjusted]]-B196)/B196</f>
        <v/>
      </c>
    </row>
    <row r="249">
      <c r="A249" s="37" t="n">
        <v>31222</v>
      </c>
      <c r="B249" s="84" t="n">
        <v>2418</v>
      </c>
      <c r="C249" s="39">
        <f>(Table26[[#This Row],[M2 Money Stock, Billions of Dollars, Weekly, Seasonally Adjusted]]-B248)/B248</f>
        <v/>
      </c>
      <c r="D249" s="40">
        <f>((1+Table26[[#This Row],[Weekly change]])^52)-1</f>
        <v/>
      </c>
      <c r="E249" s="85">
        <f>(Table26[[#This Row],[M2 Money Stock, Billions of Dollars, Weekly, Seasonally Adjusted]]-B197)/B197</f>
        <v/>
      </c>
    </row>
    <row r="250">
      <c r="A250" s="37" t="n">
        <v>31229</v>
      </c>
      <c r="B250" s="84" t="n">
        <v>2425.3</v>
      </c>
      <c r="C250" s="39">
        <f>(Table26[[#This Row],[M2 Money Stock, Billions of Dollars, Weekly, Seasonally Adjusted]]-B249)/B249</f>
        <v/>
      </c>
      <c r="D250" s="40">
        <f>((1+Table26[[#This Row],[Weekly change]])^52)-1</f>
        <v/>
      </c>
      <c r="E250" s="85">
        <f>(Table26[[#This Row],[M2 Money Stock, Billions of Dollars, Weekly, Seasonally Adjusted]]-B198)/B198</f>
        <v/>
      </c>
    </row>
    <row r="251">
      <c r="A251" s="37" t="n">
        <v>31236</v>
      </c>
      <c r="B251" s="84" t="n">
        <v>2422.9</v>
      </c>
      <c r="C251" s="39">
        <f>(Table26[[#This Row],[M2 Money Stock, Billions of Dollars, Weekly, Seasonally Adjusted]]-B250)/B250</f>
        <v/>
      </c>
      <c r="D251" s="40">
        <f>((1+Table26[[#This Row],[Weekly change]])^52)-1</f>
        <v/>
      </c>
      <c r="E251" s="85">
        <f>(Table26[[#This Row],[M2 Money Stock, Billions of Dollars, Weekly, Seasonally Adjusted]]-B199)/B199</f>
        <v/>
      </c>
    </row>
    <row r="252">
      <c r="A252" s="37" t="n">
        <v>31243</v>
      </c>
      <c r="B252" s="84" t="n">
        <v>2427.3</v>
      </c>
      <c r="C252" s="39">
        <f>(Table26[[#This Row],[M2 Money Stock, Billions of Dollars, Weekly, Seasonally Adjusted]]-B251)/B251</f>
        <v/>
      </c>
      <c r="D252" s="40">
        <f>((1+Table26[[#This Row],[Weekly change]])^52)-1</f>
        <v/>
      </c>
      <c r="E252" s="85">
        <f>(Table26[[#This Row],[M2 Money Stock, Billions of Dollars, Weekly, Seasonally Adjusted]]-B200)/B200</f>
        <v/>
      </c>
    </row>
    <row r="253">
      <c r="A253" s="37" t="n">
        <v>31250</v>
      </c>
      <c r="B253" s="84" t="n">
        <v>2430.1</v>
      </c>
      <c r="C253" s="39">
        <f>(Table26[[#This Row],[M2 Money Stock, Billions of Dollars, Weekly, Seasonally Adjusted]]-B252)/B252</f>
        <v/>
      </c>
      <c r="D253" s="40">
        <f>((1+Table26[[#This Row],[Weekly change]])^52)-1</f>
        <v/>
      </c>
      <c r="E253" s="85">
        <f>(Table26[[#This Row],[M2 Money Stock, Billions of Dollars, Weekly, Seasonally Adjusted]]-B201)/B201</f>
        <v/>
      </c>
    </row>
    <row r="254">
      <c r="A254" s="37" t="n">
        <v>31257</v>
      </c>
      <c r="B254" s="84" t="n">
        <v>2432</v>
      </c>
      <c r="C254" s="39">
        <f>(Table26[[#This Row],[M2 Money Stock, Billions of Dollars, Weekly, Seasonally Adjusted]]-B253)/B253</f>
        <v/>
      </c>
      <c r="D254" s="40">
        <f>((1+Table26[[#This Row],[Weekly change]])^52)-1</f>
        <v/>
      </c>
      <c r="E254" s="85">
        <f>(Table26[[#This Row],[M2 Money Stock, Billions of Dollars, Weekly, Seasonally Adjusted]]-B202)/B202</f>
        <v/>
      </c>
    </row>
    <row r="255">
      <c r="A255" s="37" t="n">
        <v>31264</v>
      </c>
      <c r="B255" s="84" t="n">
        <v>2435.3</v>
      </c>
      <c r="C255" s="39">
        <f>(Table26[[#This Row],[M2 Money Stock, Billions of Dollars, Weekly, Seasonally Adjusted]]-B254)/B254</f>
        <v/>
      </c>
      <c r="D255" s="40">
        <f>((1+Table26[[#This Row],[Weekly change]])^52)-1</f>
        <v/>
      </c>
      <c r="E255" s="85">
        <f>(Table26[[#This Row],[M2 Money Stock, Billions of Dollars, Weekly, Seasonally Adjusted]]-B203)/B203</f>
        <v/>
      </c>
    </row>
    <row r="256">
      <c r="A256" s="37" t="n">
        <v>31271</v>
      </c>
      <c r="B256" s="84" t="n">
        <v>2437.4</v>
      </c>
      <c r="C256" s="39">
        <f>(Table26[[#This Row],[M2 Money Stock, Billions of Dollars, Weekly, Seasonally Adjusted]]-B255)/B255</f>
        <v/>
      </c>
      <c r="D256" s="40">
        <f>((1+Table26[[#This Row],[Weekly change]])^52)-1</f>
        <v/>
      </c>
      <c r="E256" s="85">
        <f>(Table26[[#This Row],[M2 Money Stock, Billions of Dollars, Weekly, Seasonally Adjusted]]-B204)/B204</f>
        <v/>
      </c>
    </row>
    <row r="257">
      <c r="A257" s="37" t="n">
        <v>31278</v>
      </c>
      <c r="B257" s="84" t="n">
        <v>2438.8</v>
      </c>
      <c r="C257" s="39">
        <f>(Table26[[#This Row],[M2 Money Stock, Billions of Dollars, Weekly, Seasonally Adjusted]]-B256)/B256</f>
        <v/>
      </c>
      <c r="D257" s="40">
        <f>((1+Table26[[#This Row],[Weekly change]])^52)-1</f>
        <v/>
      </c>
      <c r="E257" s="85">
        <f>(Table26[[#This Row],[M2 Money Stock, Billions of Dollars, Weekly, Seasonally Adjusted]]-B205)/B205</f>
        <v/>
      </c>
    </row>
    <row r="258">
      <c r="A258" s="37" t="n">
        <v>31285</v>
      </c>
      <c r="B258" s="84" t="n">
        <v>2442.3</v>
      </c>
      <c r="C258" s="39">
        <f>(Table26[[#This Row],[M2 Money Stock, Billions of Dollars, Weekly, Seasonally Adjusted]]-B257)/B257</f>
        <v/>
      </c>
      <c r="D258" s="40">
        <f>((1+Table26[[#This Row],[Weekly change]])^52)-1</f>
        <v/>
      </c>
      <c r="E258" s="85">
        <f>(Table26[[#This Row],[M2 Money Stock, Billions of Dollars, Weekly, Seasonally Adjusted]]-B206)/B206</f>
        <v/>
      </c>
    </row>
    <row r="259">
      <c r="A259" s="37" t="n">
        <v>31292</v>
      </c>
      <c r="B259" s="84" t="n">
        <v>2441.9</v>
      </c>
      <c r="C259" s="39">
        <f>(Table26[[#This Row],[M2 Money Stock, Billions of Dollars, Weekly, Seasonally Adjusted]]-B258)/B258</f>
        <v/>
      </c>
      <c r="D259" s="40">
        <f>((1+Table26[[#This Row],[Weekly change]])^52)-1</f>
        <v/>
      </c>
      <c r="E259" s="85">
        <f>(Table26[[#This Row],[M2 Money Stock, Billions of Dollars, Weekly, Seasonally Adjusted]]-B207)/B207</f>
        <v/>
      </c>
    </row>
    <row r="260">
      <c r="A260" s="37" t="n">
        <v>31299</v>
      </c>
      <c r="B260" s="84" t="n">
        <v>2444.6</v>
      </c>
      <c r="C260" s="39">
        <f>(Table26[[#This Row],[M2 Money Stock, Billions of Dollars, Weekly, Seasonally Adjusted]]-B259)/B259</f>
        <v/>
      </c>
      <c r="D260" s="40">
        <f>((1+Table26[[#This Row],[Weekly change]])^52)-1</f>
        <v/>
      </c>
      <c r="E260" s="85">
        <f>(Table26[[#This Row],[M2 Money Stock, Billions of Dollars, Weekly, Seasonally Adjusted]]-B208)/B208</f>
        <v/>
      </c>
    </row>
    <row r="261">
      <c r="A261" s="37" t="n">
        <v>31306</v>
      </c>
      <c r="B261" s="84" t="n">
        <v>2446.7</v>
      </c>
      <c r="C261" s="39">
        <f>(Table26[[#This Row],[M2 Money Stock, Billions of Dollars, Weekly, Seasonally Adjusted]]-B260)/B260</f>
        <v/>
      </c>
      <c r="D261" s="40">
        <f>((1+Table26[[#This Row],[Weekly change]])^52)-1</f>
        <v/>
      </c>
      <c r="E261" s="85">
        <f>(Table26[[#This Row],[M2 Money Stock, Billions of Dollars, Weekly, Seasonally Adjusted]]-B209)/B209</f>
        <v/>
      </c>
    </row>
    <row r="262">
      <c r="A262" s="37" t="n">
        <v>31313</v>
      </c>
      <c r="B262" s="84" t="n">
        <v>2450.2</v>
      </c>
      <c r="C262" s="39">
        <f>(Table26[[#This Row],[M2 Money Stock, Billions of Dollars, Weekly, Seasonally Adjusted]]-B261)/B261</f>
        <v/>
      </c>
      <c r="D262" s="40">
        <f>((1+Table26[[#This Row],[Weekly change]])^52)-1</f>
        <v/>
      </c>
      <c r="E262" s="85">
        <f>(Table26[[#This Row],[M2 Money Stock, Billions of Dollars, Weekly, Seasonally Adjusted]]-B210)/B210</f>
        <v/>
      </c>
    </row>
    <row r="263">
      <c r="A263" s="37" t="n">
        <v>31320</v>
      </c>
      <c r="B263" s="84" t="n">
        <v>2462.1</v>
      </c>
      <c r="C263" s="39">
        <f>(Table26[[#This Row],[M2 Money Stock, Billions of Dollars, Weekly, Seasonally Adjusted]]-B262)/B262</f>
        <v/>
      </c>
      <c r="D263" s="40">
        <f>((1+Table26[[#This Row],[Weekly change]])^52)-1</f>
        <v/>
      </c>
      <c r="E263" s="85">
        <f>(Table26[[#This Row],[M2 Money Stock, Billions of Dollars, Weekly, Seasonally Adjusted]]-B211)/B211</f>
        <v/>
      </c>
    </row>
    <row r="264">
      <c r="A264" s="37" t="n">
        <v>31327</v>
      </c>
      <c r="B264" s="84" t="n">
        <v>2460.8</v>
      </c>
      <c r="C264" s="39">
        <f>(Table26[[#This Row],[M2 Money Stock, Billions of Dollars, Weekly, Seasonally Adjusted]]-B263)/B263</f>
        <v/>
      </c>
      <c r="D264" s="40">
        <f>((1+Table26[[#This Row],[Weekly change]])^52)-1</f>
        <v/>
      </c>
      <c r="E264" s="85">
        <f>(Table26[[#This Row],[M2 Money Stock, Billions of Dollars, Weekly, Seasonally Adjusted]]-B212)/B212</f>
        <v/>
      </c>
    </row>
    <row r="265">
      <c r="A265" s="37" t="n">
        <v>31334</v>
      </c>
      <c r="B265" s="84" t="n">
        <v>2461.4</v>
      </c>
      <c r="C265" s="39">
        <f>(Table26[[#This Row],[M2 Money Stock, Billions of Dollars, Weekly, Seasonally Adjusted]]-B264)/B264</f>
        <v/>
      </c>
      <c r="D265" s="40">
        <f>((1+Table26[[#This Row],[Weekly change]])^52)-1</f>
        <v/>
      </c>
      <c r="E265" s="85">
        <f>(Table26[[#This Row],[M2 Money Stock, Billions of Dollars, Weekly, Seasonally Adjusted]]-B213)/B213</f>
        <v/>
      </c>
    </row>
    <row r="266">
      <c r="A266" s="37" t="n">
        <v>31341</v>
      </c>
      <c r="B266" s="84" t="n">
        <v>2467.1</v>
      </c>
      <c r="C266" s="39">
        <f>(Table26[[#This Row],[M2 Money Stock, Billions of Dollars, Weekly, Seasonally Adjusted]]-B265)/B265</f>
        <v/>
      </c>
      <c r="D266" s="40">
        <f>((1+Table26[[#This Row],[Weekly change]])^52)-1</f>
        <v/>
      </c>
      <c r="E266" s="85">
        <f>(Table26[[#This Row],[M2 Money Stock, Billions of Dollars, Weekly, Seasonally Adjusted]]-B214)/B214</f>
        <v/>
      </c>
    </row>
    <row r="267">
      <c r="A267" s="37" t="n">
        <v>31348</v>
      </c>
      <c r="B267" s="84" t="n">
        <v>2467.8</v>
      </c>
      <c r="C267" s="39">
        <f>(Table26[[#This Row],[M2 Money Stock, Billions of Dollars, Weekly, Seasonally Adjusted]]-B266)/B266</f>
        <v/>
      </c>
      <c r="D267" s="40">
        <f>((1+Table26[[#This Row],[Weekly change]])^52)-1</f>
        <v/>
      </c>
      <c r="E267" s="85">
        <f>(Table26[[#This Row],[M2 Money Stock, Billions of Dollars, Weekly, Seasonally Adjusted]]-B215)/B215</f>
        <v/>
      </c>
    </row>
    <row r="268">
      <c r="A268" s="37" t="n">
        <v>31355</v>
      </c>
      <c r="B268" s="84" t="n">
        <v>2469.8</v>
      </c>
      <c r="C268" s="39">
        <f>(Table26[[#This Row],[M2 Money Stock, Billions of Dollars, Weekly, Seasonally Adjusted]]-B267)/B267</f>
        <v/>
      </c>
      <c r="D268" s="40">
        <f>((1+Table26[[#This Row],[Weekly change]])^52)-1</f>
        <v/>
      </c>
      <c r="E268" s="85">
        <f>(Table26[[#This Row],[M2 Money Stock, Billions of Dollars, Weekly, Seasonally Adjusted]]-B216)/B216</f>
        <v/>
      </c>
    </row>
    <row r="269">
      <c r="A269" s="37" t="n">
        <v>31362</v>
      </c>
      <c r="B269" s="84" t="n">
        <v>2470.2</v>
      </c>
      <c r="C269" s="39">
        <f>(Table26[[#This Row],[M2 Money Stock, Billions of Dollars, Weekly, Seasonally Adjusted]]-B268)/B268</f>
        <v/>
      </c>
      <c r="D269" s="40">
        <f>((1+Table26[[#This Row],[Weekly change]])^52)-1</f>
        <v/>
      </c>
      <c r="E269" s="85">
        <f>(Table26[[#This Row],[M2 Money Stock, Billions of Dollars, Weekly, Seasonally Adjusted]]-B217)/B217</f>
        <v/>
      </c>
    </row>
    <row r="270">
      <c r="A270" s="37" t="n">
        <v>31369</v>
      </c>
      <c r="B270" s="84" t="n">
        <v>2473.6</v>
      </c>
      <c r="C270" s="39">
        <f>(Table26[[#This Row],[M2 Money Stock, Billions of Dollars, Weekly, Seasonally Adjusted]]-B269)/B269</f>
        <v/>
      </c>
      <c r="D270" s="40">
        <f>((1+Table26[[#This Row],[Weekly change]])^52)-1</f>
        <v/>
      </c>
      <c r="E270" s="85">
        <f>(Table26[[#This Row],[M2 Money Stock, Billions of Dollars, Weekly, Seasonally Adjusted]]-B218)/B218</f>
        <v/>
      </c>
    </row>
    <row r="271">
      <c r="A271" s="37" t="n">
        <v>31376</v>
      </c>
      <c r="B271" s="84" t="n">
        <v>2479.5</v>
      </c>
      <c r="C271" s="39">
        <f>(Table26[[#This Row],[M2 Money Stock, Billions of Dollars, Weekly, Seasonally Adjusted]]-B270)/B270</f>
        <v/>
      </c>
      <c r="D271" s="40">
        <f>((1+Table26[[#This Row],[Weekly change]])^52)-1</f>
        <v/>
      </c>
      <c r="E271" s="85">
        <f>(Table26[[#This Row],[M2 Money Stock, Billions of Dollars, Weekly, Seasonally Adjusted]]-B219)/B219</f>
        <v/>
      </c>
    </row>
    <row r="272">
      <c r="A272" s="37" t="n">
        <v>31383</v>
      </c>
      <c r="B272" s="84" t="n">
        <v>2482.6</v>
      </c>
      <c r="C272" s="39">
        <f>(Table26[[#This Row],[M2 Money Stock, Billions of Dollars, Weekly, Seasonally Adjusted]]-B271)/B271</f>
        <v/>
      </c>
      <c r="D272" s="40">
        <f>((1+Table26[[#This Row],[Weekly change]])^52)-1</f>
        <v/>
      </c>
      <c r="E272" s="85">
        <f>(Table26[[#This Row],[M2 Money Stock, Billions of Dollars, Weekly, Seasonally Adjusted]]-B220)/B220</f>
        <v/>
      </c>
    </row>
    <row r="273">
      <c r="A273" s="37" t="n">
        <v>31390</v>
      </c>
      <c r="B273" s="84" t="n">
        <v>2486.8</v>
      </c>
      <c r="C273" s="39">
        <f>(Table26[[#This Row],[M2 Money Stock, Billions of Dollars, Weekly, Seasonally Adjusted]]-B272)/B272</f>
        <v/>
      </c>
      <c r="D273" s="40">
        <f>((1+Table26[[#This Row],[Weekly change]])^52)-1</f>
        <v/>
      </c>
      <c r="E273" s="85">
        <f>(Table26[[#This Row],[M2 Money Stock, Billions of Dollars, Weekly, Seasonally Adjusted]]-B221)/B221</f>
        <v/>
      </c>
    </row>
    <row r="274">
      <c r="A274" s="37" t="n">
        <v>31397</v>
      </c>
      <c r="B274" s="84" t="n">
        <v>2489.6</v>
      </c>
      <c r="C274" s="39">
        <f>(Table26[[#This Row],[M2 Money Stock, Billions of Dollars, Weekly, Seasonally Adjusted]]-B273)/B273</f>
        <v/>
      </c>
      <c r="D274" s="40">
        <f>((1+Table26[[#This Row],[Weekly change]])^52)-1</f>
        <v/>
      </c>
      <c r="E274" s="85">
        <f>(Table26[[#This Row],[M2 Money Stock, Billions of Dollars, Weekly, Seasonally Adjusted]]-B222)/B222</f>
        <v/>
      </c>
    </row>
    <row r="275">
      <c r="A275" s="37" t="n">
        <v>31404</v>
      </c>
      <c r="B275" s="84" t="n">
        <v>2495.1</v>
      </c>
      <c r="C275" s="39">
        <f>(Table26[[#This Row],[M2 Money Stock, Billions of Dollars, Weekly, Seasonally Adjusted]]-B274)/B274</f>
        <v/>
      </c>
      <c r="D275" s="40">
        <f>((1+Table26[[#This Row],[Weekly change]])^52)-1</f>
        <v/>
      </c>
      <c r="E275" s="85">
        <f>(Table26[[#This Row],[M2 Money Stock, Billions of Dollars, Weekly, Seasonally Adjusted]]-B223)/B223</f>
        <v/>
      </c>
    </row>
    <row r="276">
      <c r="A276" s="37" t="n">
        <v>31411</v>
      </c>
      <c r="B276" s="84" t="n">
        <v>2494.3</v>
      </c>
      <c r="C276" s="39">
        <f>(Table26[[#This Row],[M2 Money Stock, Billions of Dollars, Weekly, Seasonally Adjusted]]-B275)/B275</f>
        <v/>
      </c>
      <c r="D276" s="40">
        <f>((1+Table26[[#This Row],[Weekly change]])^52)-1</f>
        <v/>
      </c>
      <c r="E276" s="85">
        <f>(Table26[[#This Row],[M2 Money Stock, Billions of Dollars, Weekly, Seasonally Adjusted]]-B224)/B224</f>
        <v/>
      </c>
    </row>
    <row r="277">
      <c r="A277" s="37" t="n">
        <v>31418</v>
      </c>
      <c r="B277" s="84" t="n">
        <v>2501.2</v>
      </c>
      <c r="C277" s="39">
        <f>(Table26[[#This Row],[M2 Money Stock, Billions of Dollars, Weekly, Seasonally Adjusted]]-B276)/B276</f>
        <v/>
      </c>
      <c r="D277" s="40">
        <f>((1+Table26[[#This Row],[Weekly change]])^52)-1</f>
        <v/>
      </c>
      <c r="E277" s="85">
        <f>(Table26[[#This Row],[M2 Money Stock, Billions of Dollars, Weekly, Seasonally Adjusted]]-B225)/B225</f>
        <v/>
      </c>
    </row>
    <row r="278">
      <c r="A278" s="37" t="n">
        <v>31425</v>
      </c>
      <c r="B278" s="84" t="n">
        <v>2499.6</v>
      </c>
      <c r="C278" s="39">
        <f>(Table26[[#This Row],[M2 Money Stock, Billions of Dollars, Weekly, Seasonally Adjusted]]-B277)/B277</f>
        <v/>
      </c>
      <c r="D278" s="40">
        <f>((1+Table26[[#This Row],[Weekly change]])^52)-1</f>
        <v/>
      </c>
      <c r="E278" s="85">
        <f>(Table26[[#This Row],[M2 Money Stock, Billions of Dollars, Weekly, Seasonally Adjusted]]-B226)/B226</f>
        <v/>
      </c>
    </row>
    <row r="279">
      <c r="A279" s="37" t="n">
        <v>31432</v>
      </c>
      <c r="B279" s="84" t="n">
        <v>2503.7</v>
      </c>
      <c r="C279" s="39">
        <f>(Table26[[#This Row],[M2 Money Stock, Billions of Dollars, Weekly, Seasonally Adjusted]]-B278)/B278</f>
        <v/>
      </c>
      <c r="D279" s="40">
        <f>((1+Table26[[#This Row],[Weekly change]])^52)-1</f>
        <v/>
      </c>
      <c r="E279" s="85">
        <f>(Table26[[#This Row],[M2 Money Stock, Billions of Dollars, Weekly, Seasonally Adjusted]]-B227)/B227</f>
        <v/>
      </c>
    </row>
    <row r="280">
      <c r="A280" s="37" t="n">
        <v>31439</v>
      </c>
      <c r="B280" s="84" t="n">
        <v>2509.1</v>
      </c>
      <c r="C280" s="39">
        <f>(Table26[[#This Row],[M2 Money Stock, Billions of Dollars, Weekly, Seasonally Adjusted]]-B279)/B279</f>
        <v/>
      </c>
      <c r="D280" s="40">
        <f>((1+Table26[[#This Row],[Weekly change]])^52)-1</f>
        <v/>
      </c>
      <c r="E280" s="85">
        <f>(Table26[[#This Row],[M2 Money Stock, Billions of Dollars, Weekly, Seasonally Adjusted]]-B228)/B228</f>
        <v/>
      </c>
    </row>
    <row r="281">
      <c r="A281" s="37" t="n">
        <v>31446</v>
      </c>
      <c r="B281" s="84" t="n">
        <v>2505.7</v>
      </c>
      <c r="C281" s="39">
        <f>(Table26[[#This Row],[M2 Money Stock, Billions of Dollars, Weekly, Seasonally Adjusted]]-B280)/B280</f>
        <v/>
      </c>
      <c r="D281" s="40">
        <f>((1+Table26[[#This Row],[Weekly change]])^52)-1</f>
        <v/>
      </c>
      <c r="E281" s="85">
        <f>(Table26[[#This Row],[M2 Money Stock, Billions of Dollars, Weekly, Seasonally Adjusted]]-B229)/B229</f>
        <v/>
      </c>
    </row>
    <row r="282">
      <c r="A282" s="37" t="n">
        <v>31453</v>
      </c>
      <c r="B282" s="84" t="n">
        <v>2510.6</v>
      </c>
      <c r="C282" s="39">
        <f>(Table26[[#This Row],[M2 Money Stock, Billions of Dollars, Weekly, Seasonally Adjusted]]-B281)/B281</f>
        <v/>
      </c>
      <c r="D282" s="40">
        <f>((1+Table26[[#This Row],[Weekly change]])^52)-1</f>
        <v/>
      </c>
      <c r="E282" s="85">
        <f>(Table26[[#This Row],[M2 Money Stock, Billions of Dollars, Weekly, Seasonally Adjusted]]-B230)/B230</f>
        <v/>
      </c>
    </row>
    <row r="283">
      <c r="A283" s="37" t="n">
        <v>31460</v>
      </c>
      <c r="B283" s="84" t="n">
        <v>2512.6</v>
      </c>
      <c r="C283" s="39">
        <f>(Table26[[#This Row],[M2 Money Stock, Billions of Dollars, Weekly, Seasonally Adjusted]]-B282)/B282</f>
        <v/>
      </c>
      <c r="D283" s="40">
        <f>((1+Table26[[#This Row],[Weekly change]])^52)-1</f>
        <v/>
      </c>
      <c r="E283" s="85">
        <f>(Table26[[#This Row],[M2 Money Stock, Billions of Dollars, Weekly, Seasonally Adjusted]]-B231)/B231</f>
        <v/>
      </c>
    </row>
    <row r="284">
      <c r="A284" s="37" t="n">
        <v>31467</v>
      </c>
      <c r="B284" s="84" t="n">
        <v>2517.8</v>
      </c>
      <c r="C284" s="39">
        <f>(Table26[[#This Row],[M2 Money Stock, Billions of Dollars, Weekly, Seasonally Adjusted]]-B283)/B283</f>
        <v/>
      </c>
      <c r="D284" s="40">
        <f>((1+Table26[[#This Row],[Weekly change]])^52)-1</f>
        <v/>
      </c>
      <c r="E284" s="85">
        <f>(Table26[[#This Row],[M2 Money Stock, Billions of Dollars, Weekly, Seasonally Adjusted]]-B232)/B232</f>
        <v/>
      </c>
    </row>
    <row r="285">
      <c r="A285" s="37" t="n">
        <v>31474</v>
      </c>
      <c r="B285" s="84" t="n">
        <v>2521</v>
      </c>
      <c r="C285" s="39">
        <f>(Table26[[#This Row],[M2 Money Stock, Billions of Dollars, Weekly, Seasonally Adjusted]]-B284)/B284</f>
        <v/>
      </c>
      <c r="D285" s="40">
        <f>((1+Table26[[#This Row],[Weekly change]])^52)-1</f>
        <v/>
      </c>
      <c r="E285" s="85">
        <f>(Table26[[#This Row],[M2 Money Stock, Billions of Dollars, Weekly, Seasonally Adjusted]]-B233)/B233</f>
        <v/>
      </c>
    </row>
    <row r="286">
      <c r="A286" s="37" t="n">
        <v>31481</v>
      </c>
      <c r="B286" s="84" t="n">
        <v>2528.8</v>
      </c>
      <c r="C286" s="39">
        <f>(Table26[[#This Row],[M2 Money Stock, Billions of Dollars, Weekly, Seasonally Adjusted]]-B285)/B285</f>
        <v/>
      </c>
      <c r="D286" s="40">
        <f>((1+Table26[[#This Row],[Weekly change]])^52)-1</f>
        <v/>
      </c>
      <c r="E286" s="85">
        <f>(Table26[[#This Row],[M2 Money Stock, Billions of Dollars, Weekly, Seasonally Adjusted]]-B234)/B234</f>
        <v/>
      </c>
    </row>
    <row r="287">
      <c r="A287" s="37" t="n">
        <v>31488</v>
      </c>
      <c r="B287" s="84" t="n">
        <v>2535.3</v>
      </c>
      <c r="C287" s="39">
        <f>(Table26[[#This Row],[M2 Money Stock, Billions of Dollars, Weekly, Seasonally Adjusted]]-B286)/B286</f>
        <v/>
      </c>
      <c r="D287" s="40">
        <f>((1+Table26[[#This Row],[Weekly change]])^52)-1</f>
        <v/>
      </c>
      <c r="E287" s="85">
        <f>(Table26[[#This Row],[M2 Money Stock, Billions of Dollars, Weekly, Seasonally Adjusted]]-B235)/B235</f>
        <v/>
      </c>
    </row>
    <row r="288">
      <c r="A288" s="37" t="n">
        <v>31495</v>
      </c>
      <c r="B288" s="84" t="n">
        <v>2541</v>
      </c>
      <c r="C288" s="39">
        <f>(Table26[[#This Row],[M2 Money Stock, Billions of Dollars, Weekly, Seasonally Adjusted]]-B287)/B287</f>
        <v/>
      </c>
      <c r="D288" s="40">
        <f>((1+Table26[[#This Row],[Weekly change]])^52)-1</f>
        <v/>
      </c>
      <c r="E288" s="85">
        <f>(Table26[[#This Row],[M2 Money Stock, Billions of Dollars, Weekly, Seasonally Adjusted]]-B236)/B236</f>
        <v/>
      </c>
    </row>
    <row r="289">
      <c r="A289" s="37" t="n">
        <v>31502</v>
      </c>
      <c r="B289" s="84" t="n">
        <v>2547.8</v>
      </c>
      <c r="C289" s="39">
        <f>(Table26[[#This Row],[M2 Money Stock, Billions of Dollars, Weekly, Seasonally Adjusted]]-B288)/B288</f>
        <v/>
      </c>
      <c r="D289" s="40">
        <f>((1+Table26[[#This Row],[Weekly change]])^52)-1</f>
        <v/>
      </c>
      <c r="E289" s="85">
        <f>(Table26[[#This Row],[M2 Money Stock, Billions of Dollars, Weekly, Seasonally Adjusted]]-B237)/B237</f>
        <v/>
      </c>
    </row>
    <row r="290">
      <c r="A290" s="37" t="n">
        <v>31509</v>
      </c>
      <c r="B290" s="84" t="n">
        <v>2553.7</v>
      </c>
      <c r="C290" s="39">
        <f>(Table26[[#This Row],[M2 Money Stock, Billions of Dollars, Weekly, Seasonally Adjusted]]-B289)/B289</f>
        <v/>
      </c>
      <c r="D290" s="40">
        <f>((1+Table26[[#This Row],[Weekly change]])^52)-1</f>
        <v/>
      </c>
      <c r="E290" s="85">
        <f>(Table26[[#This Row],[M2 Money Stock, Billions of Dollars, Weekly, Seasonally Adjusted]]-B238)/B238</f>
        <v/>
      </c>
    </row>
    <row r="291">
      <c r="A291" s="37" t="n">
        <v>31516</v>
      </c>
      <c r="B291" s="84" t="n">
        <v>2555.4</v>
      </c>
      <c r="C291" s="39">
        <f>(Table26[[#This Row],[M2 Money Stock, Billions of Dollars, Weekly, Seasonally Adjusted]]-B290)/B290</f>
        <v/>
      </c>
      <c r="D291" s="40">
        <f>((1+Table26[[#This Row],[Weekly change]])^52)-1</f>
        <v/>
      </c>
      <c r="E291" s="85">
        <f>(Table26[[#This Row],[M2 Money Stock, Billions of Dollars, Weekly, Seasonally Adjusted]]-B239)/B239</f>
        <v/>
      </c>
    </row>
    <row r="292">
      <c r="A292" s="37" t="n">
        <v>31523</v>
      </c>
      <c r="B292" s="84" t="n">
        <v>2562.4</v>
      </c>
      <c r="C292" s="39">
        <f>(Table26[[#This Row],[M2 Money Stock, Billions of Dollars, Weekly, Seasonally Adjusted]]-B291)/B291</f>
        <v/>
      </c>
      <c r="D292" s="40">
        <f>((1+Table26[[#This Row],[Weekly change]])^52)-1</f>
        <v/>
      </c>
      <c r="E292" s="85">
        <f>(Table26[[#This Row],[M2 Money Stock, Billions of Dollars, Weekly, Seasonally Adjusted]]-B240)/B240</f>
        <v/>
      </c>
    </row>
    <row r="293">
      <c r="A293" s="37" t="n">
        <v>31530</v>
      </c>
      <c r="B293" s="84" t="n">
        <v>2568.9</v>
      </c>
      <c r="C293" s="39">
        <f>(Table26[[#This Row],[M2 Money Stock, Billions of Dollars, Weekly, Seasonally Adjusted]]-B292)/B292</f>
        <v/>
      </c>
      <c r="D293" s="40">
        <f>((1+Table26[[#This Row],[Weekly change]])^52)-1</f>
        <v/>
      </c>
      <c r="E293" s="85">
        <f>(Table26[[#This Row],[M2 Money Stock, Billions of Dollars, Weekly, Seasonally Adjusted]]-B241)/B241</f>
        <v/>
      </c>
    </row>
    <row r="294">
      <c r="A294" s="37" t="n">
        <v>31537</v>
      </c>
      <c r="B294" s="84" t="n">
        <v>2575.8</v>
      </c>
      <c r="C294" s="39">
        <f>(Table26[[#This Row],[M2 Money Stock, Billions of Dollars, Weekly, Seasonally Adjusted]]-B293)/B293</f>
        <v/>
      </c>
      <c r="D294" s="40">
        <f>((1+Table26[[#This Row],[Weekly change]])^52)-1</f>
        <v/>
      </c>
      <c r="E294" s="85">
        <f>(Table26[[#This Row],[M2 Money Stock, Billions of Dollars, Weekly, Seasonally Adjusted]]-B242)/B242</f>
        <v/>
      </c>
    </row>
    <row r="295">
      <c r="A295" s="37" t="n">
        <v>31544</v>
      </c>
      <c r="B295" s="84" t="n">
        <v>2580.3</v>
      </c>
      <c r="C295" s="39">
        <f>(Table26[[#This Row],[M2 Money Stock, Billions of Dollars, Weekly, Seasonally Adjusted]]-B294)/B294</f>
        <v/>
      </c>
      <c r="D295" s="40">
        <f>((1+Table26[[#This Row],[Weekly change]])^52)-1</f>
        <v/>
      </c>
      <c r="E295" s="85">
        <f>(Table26[[#This Row],[M2 Money Stock, Billions of Dollars, Weekly, Seasonally Adjusted]]-B243)/B243</f>
        <v/>
      </c>
    </row>
    <row r="296">
      <c r="A296" s="37" t="n">
        <v>31551</v>
      </c>
      <c r="B296" s="84" t="n">
        <v>2585.2</v>
      </c>
      <c r="C296" s="39">
        <f>(Table26[[#This Row],[M2 Money Stock, Billions of Dollars, Weekly, Seasonally Adjusted]]-B295)/B295</f>
        <v/>
      </c>
      <c r="D296" s="40">
        <f>((1+Table26[[#This Row],[Weekly change]])^52)-1</f>
        <v/>
      </c>
      <c r="E296" s="85">
        <f>(Table26[[#This Row],[M2 Money Stock, Billions of Dollars, Weekly, Seasonally Adjusted]]-B244)/B244</f>
        <v/>
      </c>
    </row>
    <row r="297">
      <c r="A297" s="37" t="n">
        <v>31558</v>
      </c>
      <c r="B297" s="84" t="n">
        <v>2591.2</v>
      </c>
      <c r="C297" s="39">
        <f>(Table26[[#This Row],[M2 Money Stock, Billions of Dollars, Weekly, Seasonally Adjusted]]-B296)/B296</f>
        <v/>
      </c>
      <c r="D297" s="40">
        <f>((1+Table26[[#This Row],[Weekly change]])^52)-1</f>
        <v/>
      </c>
      <c r="E297" s="85">
        <f>(Table26[[#This Row],[M2 Money Stock, Billions of Dollars, Weekly, Seasonally Adjusted]]-B245)/B245</f>
        <v/>
      </c>
    </row>
    <row r="298">
      <c r="A298" s="37" t="n">
        <v>31565</v>
      </c>
      <c r="B298" s="84" t="n">
        <v>2594.2</v>
      </c>
      <c r="C298" s="39">
        <f>(Table26[[#This Row],[M2 Money Stock, Billions of Dollars, Weekly, Seasonally Adjusted]]-B297)/B297</f>
        <v/>
      </c>
      <c r="D298" s="40">
        <f>((1+Table26[[#This Row],[Weekly change]])^52)-1</f>
        <v/>
      </c>
      <c r="E298" s="85">
        <f>(Table26[[#This Row],[M2 Money Stock, Billions of Dollars, Weekly, Seasonally Adjusted]]-B246)/B246</f>
        <v/>
      </c>
    </row>
    <row r="299">
      <c r="A299" s="37" t="n">
        <v>31572</v>
      </c>
      <c r="B299" s="84" t="n">
        <v>2601.7</v>
      </c>
      <c r="C299" s="39">
        <f>(Table26[[#This Row],[M2 Money Stock, Billions of Dollars, Weekly, Seasonally Adjusted]]-B298)/B298</f>
        <v/>
      </c>
      <c r="D299" s="40">
        <f>((1+Table26[[#This Row],[Weekly change]])^52)-1</f>
        <v/>
      </c>
      <c r="E299" s="85">
        <f>(Table26[[#This Row],[M2 Money Stock, Billions of Dollars, Weekly, Seasonally Adjusted]]-B247)/B247</f>
        <v/>
      </c>
    </row>
    <row r="300">
      <c r="A300" s="37" t="n">
        <v>31579</v>
      </c>
      <c r="B300" s="84" t="n">
        <v>2609.6</v>
      </c>
      <c r="C300" s="39">
        <f>(Table26[[#This Row],[M2 Money Stock, Billions of Dollars, Weekly, Seasonally Adjusted]]-B299)/B299</f>
        <v/>
      </c>
      <c r="D300" s="40">
        <f>((1+Table26[[#This Row],[Weekly change]])^52)-1</f>
        <v/>
      </c>
      <c r="E300" s="85">
        <f>(Table26[[#This Row],[M2 Money Stock, Billions of Dollars, Weekly, Seasonally Adjusted]]-B248)/B248</f>
        <v/>
      </c>
    </row>
    <row r="301">
      <c r="A301" s="37" t="n">
        <v>31586</v>
      </c>
      <c r="B301" s="84" t="n">
        <v>2615.2</v>
      </c>
      <c r="C301" s="39">
        <f>(Table26[[#This Row],[M2 Money Stock, Billions of Dollars, Weekly, Seasonally Adjusted]]-B300)/B300</f>
        <v/>
      </c>
      <c r="D301" s="40">
        <f>((1+Table26[[#This Row],[Weekly change]])^52)-1</f>
        <v/>
      </c>
      <c r="E301" s="85">
        <f>(Table26[[#This Row],[M2 Money Stock, Billions of Dollars, Weekly, Seasonally Adjusted]]-B249)/B249</f>
        <v/>
      </c>
    </row>
    <row r="302">
      <c r="A302" s="37" t="n">
        <v>31593</v>
      </c>
      <c r="B302" s="84" t="n">
        <v>2620.2</v>
      </c>
      <c r="C302" s="39">
        <f>(Table26[[#This Row],[M2 Money Stock, Billions of Dollars, Weekly, Seasonally Adjusted]]-B301)/B301</f>
        <v/>
      </c>
      <c r="D302" s="40">
        <f>((1+Table26[[#This Row],[Weekly change]])^52)-1</f>
        <v/>
      </c>
      <c r="E302" s="85">
        <f>(Table26[[#This Row],[M2 Money Stock, Billions of Dollars, Weekly, Seasonally Adjusted]]-B250)/B250</f>
        <v/>
      </c>
    </row>
    <row r="303">
      <c r="A303" s="37" t="n">
        <v>31600</v>
      </c>
      <c r="B303" s="84" t="n">
        <v>2624</v>
      </c>
      <c r="C303" s="39">
        <f>(Table26[[#This Row],[M2 Money Stock, Billions of Dollars, Weekly, Seasonally Adjusted]]-B302)/B302</f>
        <v/>
      </c>
      <c r="D303" s="40">
        <f>((1+Table26[[#This Row],[Weekly change]])^52)-1</f>
        <v/>
      </c>
      <c r="E303" s="85">
        <f>(Table26[[#This Row],[M2 Money Stock, Billions of Dollars, Weekly, Seasonally Adjusted]]-B251)/B251</f>
        <v/>
      </c>
    </row>
    <row r="304">
      <c r="A304" s="37" t="n">
        <v>31607</v>
      </c>
      <c r="B304" s="84" t="n">
        <v>2629.4</v>
      </c>
      <c r="C304" s="39">
        <f>(Table26[[#This Row],[M2 Money Stock, Billions of Dollars, Weekly, Seasonally Adjusted]]-B303)/B303</f>
        <v/>
      </c>
      <c r="D304" s="40">
        <f>((1+Table26[[#This Row],[Weekly change]])^52)-1</f>
        <v/>
      </c>
      <c r="E304" s="85">
        <f>(Table26[[#This Row],[M2 Money Stock, Billions of Dollars, Weekly, Seasonally Adjusted]]-B252)/B252</f>
        <v/>
      </c>
    </row>
    <row r="305">
      <c r="A305" s="37" t="n">
        <v>31614</v>
      </c>
      <c r="B305" s="84" t="n">
        <v>2635.1</v>
      </c>
      <c r="C305" s="39">
        <f>(Table26[[#This Row],[M2 Money Stock, Billions of Dollars, Weekly, Seasonally Adjusted]]-B304)/B304</f>
        <v/>
      </c>
      <c r="D305" s="40">
        <f>((1+Table26[[#This Row],[Weekly change]])^52)-1</f>
        <v/>
      </c>
      <c r="E305" s="85">
        <f>(Table26[[#This Row],[M2 Money Stock, Billions of Dollars, Weekly, Seasonally Adjusted]]-B253)/B253</f>
        <v/>
      </c>
    </row>
    <row r="306">
      <c r="A306" s="37" t="n">
        <v>31621</v>
      </c>
      <c r="B306" s="84" t="n">
        <v>2638.9</v>
      </c>
      <c r="C306" s="39">
        <f>(Table26[[#This Row],[M2 Money Stock, Billions of Dollars, Weekly, Seasonally Adjusted]]-B305)/B305</f>
        <v/>
      </c>
      <c r="D306" s="40">
        <f>((1+Table26[[#This Row],[Weekly change]])^52)-1</f>
        <v/>
      </c>
      <c r="E306" s="85">
        <f>(Table26[[#This Row],[M2 Money Stock, Billions of Dollars, Weekly, Seasonally Adjusted]]-B254)/B254</f>
        <v/>
      </c>
    </row>
    <row r="307">
      <c r="A307" s="37" t="n">
        <v>31628</v>
      </c>
      <c r="B307" s="84" t="n">
        <v>2643.3</v>
      </c>
      <c r="C307" s="39">
        <f>(Table26[[#This Row],[M2 Money Stock, Billions of Dollars, Weekly, Seasonally Adjusted]]-B306)/B306</f>
        <v/>
      </c>
      <c r="D307" s="40">
        <f>((1+Table26[[#This Row],[Weekly change]])^52)-1</f>
        <v/>
      </c>
      <c r="E307" s="85">
        <f>(Table26[[#This Row],[M2 Money Stock, Billions of Dollars, Weekly, Seasonally Adjusted]]-B255)/B255</f>
        <v/>
      </c>
    </row>
    <row r="308">
      <c r="A308" s="37" t="n">
        <v>31635</v>
      </c>
      <c r="B308" s="84" t="n">
        <v>2647.8</v>
      </c>
      <c r="C308" s="39">
        <f>(Table26[[#This Row],[M2 Money Stock, Billions of Dollars, Weekly, Seasonally Adjusted]]-B307)/B307</f>
        <v/>
      </c>
      <c r="D308" s="40">
        <f>((1+Table26[[#This Row],[Weekly change]])^52)-1</f>
        <v/>
      </c>
      <c r="E308" s="85">
        <f>(Table26[[#This Row],[M2 Money Stock, Billions of Dollars, Weekly, Seasonally Adjusted]]-B256)/B256</f>
        <v/>
      </c>
    </row>
    <row r="309">
      <c r="A309" s="37" t="n">
        <v>31642</v>
      </c>
      <c r="B309" s="84" t="n">
        <v>2650.5</v>
      </c>
      <c r="C309" s="39">
        <f>(Table26[[#This Row],[M2 Money Stock, Billions of Dollars, Weekly, Seasonally Adjusted]]-B308)/B308</f>
        <v/>
      </c>
      <c r="D309" s="40">
        <f>((1+Table26[[#This Row],[Weekly change]])^52)-1</f>
        <v/>
      </c>
      <c r="E309" s="85">
        <f>(Table26[[#This Row],[M2 Money Stock, Billions of Dollars, Weekly, Seasonally Adjusted]]-B257)/B257</f>
        <v/>
      </c>
    </row>
    <row r="310">
      <c r="A310" s="37" t="n">
        <v>31649</v>
      </c>
      <c r="B310" s="84" t="n">
        <v>2653.5</v>
      </c>
      <c r="C310" s="39">
        <f>(Table26[[#This Row],[M2 Money Stock, Billions of Dollars, Weekly, Seasonally Adjusted]]-B309)/B309</f>
        <v/>
      </c>
      <c r="D310" s="40">
        <f>((1+Table26[[#This Row],[Weekly change]])^52)-1</f>
        <v/>
      </c>
      <c r="E310" s="85">
        <f>(Table26[[#This Row],[M2 Money Stock, Billions of Dollars, Weekly, Seasonally Adjusted]]-B258)/B258</f>
        <v/>
      </c>
    </row>
    <row r="311">
      <c r="A311" s="37" t="n">
        <v>31656</v>
      </c>
      <c r="B311" s="84" t="n">
        <v>2660.9</v>
      </c>
      <c r="C311" s="39">
        <f>(Table26[[#This Row],[M2 Money Stock, Billions of Dollars, Weekly, Seasonally Adjusted]]-B310)/B310</f>
        <v/>
      </c>
      <c r="D311" s="40">
        <f>((1+Table26[[#This Row],[Weekly change]])^52)-1</f>
        <v/>
      </c>
      <c r="E311" s="85">
        <f>(Table26[[#This Row],[M2 Money Stock, Billions of Dollars, Weekly, Seasonally Adjusted]]-B259)/B259</f>
        <v/>
      </c>
    </row>
    <row r="312">
      <c r="A312" s="37" t="n">
        <v>31663</v>
      </c>
      <c r="B312" s="84" t="n">
        <v>2663.4</v>
      </c>
      <c r="C312" s="39">
        <f>(Table26[[#This Row],[M2 Money Stock, Billions of Dollars, Weekly, Seasonally Adjusted]]-B311)/B311</f>
        <v/>
      </c>
      <c r="D312" s="40">
        <f>((1+Table26[[#This Row],[Weekly change]])^52)-1</f>
        <v/>
      </c>
      <c r="E312" s="85">
        <f>(Table26[[#This Row],[M2 Money Stock, Billions of Dollars, Weekly, Seasonally Adjusted]]-B260)/B260</f>
        <v/>
      </c>
    </row>
    <row r="313">
      <c r="A313" s="37" t="n">
        <v>31670</v>
      </c>
      <c r="B313" s="84" t="n">
        <v>2665.6</v>
      </c>
      <c r="C313" s="39">
        <f>(Table26[[#This Row],[M2 Money Stock, Billions of Dollars, Weekly, Seasonally Adjusted]]-B312)/B312</f>
        <v/>
      </c>
      <c r="D313" s="40">
        <f>((1+Table26[[#This Row],[Weekly change]])^52)-1</f>
        <v/>
      </c>
      <c r="E313" s="85">
        <f>(Table26[[#This Row],[M2 Money Stock, Billions of Dollars, Weekly, Seasonally Adjusted]]-B261)/B261</f>
        <v/>
      </c>
    </row>
    <row r="314">
      <c r="A314" s="37" t="n">
        <v>31677</v>
      </c>
      <c r="B314" s="84" t="n">
        <v>2674.8</v>
      </c>
      <c r="C314" s="39">
        <f>(Table26[[#This Row],[M2 Money Stock, Billions of Dollars, Weekly, Seasonally Adjusted]]-B313)/B313</f>
        <v/>
      </c>
      <c r="D314" s="40">
        <f>((1+Table26[[#This Row],[Weekly change]])^52)-1</f>
        <v/>
      </c>
      <c r="E314" s="85">
        <f>(Table26[[#This Row],[M2 Money Stock, Billions of Dollars, Weekly, Seasonally Adjusted]]-B262)/B262</f>
        <v/>
      </c>
    </row>
    <row r="315">
      <c r="A315" s="37" t="n">
        <v>31684</v>
      </c>
      <c r="B315" s="84" t="n">
        <v>2680.3</v>
      </c>
      <c r="C315" s="39">
        <f>(Table26[[#This Row],[M2 Money Stock, Billions of Dollars, Weekly, Seasonally Adjusted]]-B314)/B314</f>
        <v/>
      </c>
      <c r="D315" s="40">
        <f>((1+Table26[[#This Row],[Weekly change]])^52)-1</f>
        <v/>
      </c>
      <c r="E315" s="85">
        <f>(Table26[[#This Row],[M2 Money Stock, Billions of Dollars, Weekly, Seasonally Adjusted]]-B263)/B263</f>
        <v/>
      </c>
    </row>
    <row r="316">
      <c r="A316" s="37" t="n">
        <v>31691</v>
      </c>
      <c r="B316" s="84" t="n">
        <v>2683.1</v>
      </c>
      <c r="C316" s="39">
        <f>(Table26[[#This Row],[M2 Money Stock, Billions of Dollars, Weekly, Seasonally Adjusted]]-B315)/B315</f>
        <v/>
      </c>
      <c r="D316" s="40">
        <f>((1+Table26[[#This Row],[Weekly change]])^52)-1</f>
        <v/>
      </c>
      <c r="E316" s="85">
        <f>(Table26[[#This Row],[M2 Money Stock, Billions of Dollars, Weekly, Seasonally Adjusted]]-B264)/B264</f>
        <v/>
      </c>
    </row>
    <row r="317">
      <c r="A317" s="37" t="n">
        <v>31698</v>
      </c>
      <c r="B317" s="84" t="n">
        <v>2683.9</v>
      </c>
      <c r="C317" s="39">
        <f>(Table26[[#This Row],[M2 Money Stock, Billions of Dollars, Weekly, Seasonally Adjusted]]-B316)/B316</f>
        <v/>
      </c>
      <c r="D317" s="40">
        <f>((1+Table26[[#This Row],[Weekly change]])^52)-1</f>
        <v/>
      </c>
      <c r="E317" s="85">
        <f>(Table26[[#This Row],[M2 Money Stock, Billions of Dollars, Weekly, Seasonally Adjusted]]-B265)/B265</f>
        <v/>
      </c>
    </row>
    <row r="318">
      <c r="A318" s="37" t="n">
        <v>31705</v>
      </c>
      <c r="B318" s="84" t="n">
        <v>2689.6</v>
      </c>
      <c r="C318" s="39">
        <f>(Table26[[#This Row],[M2 Money Stock, Billions of Dollars, Weekly, Seasonally Adjusted]]-B317)/B317</f>
        <v/>
      </c>
      <c r="D318" s="40">
        <f>((1+Table26[[#This Row],[Weekly change]])^52)-1</f>
        <v/>
      </c>
      <c r="E318" s="85">
        <f>(Table26[[#This Row],[M2 Money Stock, Billions of Dollars, Weekly, Seasonally Adjusted]]-B266)/B266</f>
        <v/>
      </c>
    </row>
    <row r="319">
      <c r="A319" s="37" t="n">
        <v>31712</v>
      </c>
      <c r="B319" s="84" t="n">
        <v>2693.8</v>
      </c>
      <c r="C319" s="39">
        <f>(Table26[[#This Row],[M2 Money Stock, Billions of Dollars, Weekly, Seasonally Adjusted]]-B318)/B318</f>
        <v/>
      </c>
      <c r="D319" s="40">
        <f>((1+Table26[[#This Row],[Weekly change]])^52)-1</f>
        <v/>
      </c>
      <c r="E319" s="85">
        <f>(Table26[[#This Row],[M2 Money Stock, Billions of Dollars, Weekly, Seasonally Adjusted]]-B267)/B267</f>
        <v/>
      </c>
    </row>
    <row r="320">
      <c r="A320" s="37" t="n">
        <v>31719</v>
      </c>
      <c r="B320" s="84" t="n">
        <v>2694.9</v>
      </c>
      <c r="C320" s="39">
        <f>(Table26[[#This Row],[M2 Money Stock, Billions of Dollars, Weekly, Seasonally Adjusted]]-B319)/B319</f>
        <v/>
      </c>
      <c r="D320" s="40">
        <f>((1+Table26[[#This Row],[Weekly change]])^52)-1</f>
        <v/>
      </c>
      <c r="E320" s="85">
        <f>(Table26[[#This Row],[M2 Money Stock, Billions of Dollars, Weekly, Seasonally Adjusted]]-B268)/B268</f>
        <v/>
      </c>
    </row>
    <row r="321">
      <c r="A321" s="37" t="n">
        <v>31726</v>
      </c>
      <c r="B321" s="84" t="n">
        <v>2698.3</v>
      </c>
      <c r="C321" s="39">
        <f>(Table26[[#This Row],[M2 Money Stock, Billions of Dollars, Weekly, Seasonally Adjusted]]-B320)/B320</f>
        <v/>
      </c>
      <c r="D321" s="40">
        <f>((1+Table26[[#This Row],[Weekly change]])^52)-1</f>
        <v/>
      </c>
      <c r="E321" s="85">
        <f>(Table26[[#This Row],[M2 Money Stock, Billions of Dollars, Weekly, Seasonally Adjusted]]-B269)/B269</f>
        <v/>
      </c>
    </row>
    <row r="322">
      <c r="A322" s="37" t="n">
        <v>31733</v>
      </c>
      <c r="B322" s="84" t="n">
        <v>2702.4</v>
      </c>
      <c r="C322" s="39">
        <f>(Table26[[#This Row],[M2 Money Stock, Billions of Dollars, Weekly, Seasonally Adjusted]]-B321)/B321</f>
        <v/>
      </c>
      <c r="D322" s="40">
        <f>((1+Table26[[#This Row],[Weekly change]])^52)-1</f>
        <v/>
      </c>
      <c r="E322" s="85">
        <f>(Table26[[#This Row],[M2 Money Stock, Billions of Dollars, Weekly, Seasonally Adjusted]]-B270)/B270</f>
        <v/>
      </c>
    </row>
    <row r="323">
      <c r="A323" s="37" t="n">
        <v>31740</v>
      </c>
      <c r="B323" s="84" t="n">
        <v>2703.5</v>
      </c>
      <c r="C323" s="39">
        <f>(Table26[[#This Row],[M2 Money Stock, Billions of Dollars, Weekly, Seasonally Adjusted]]-B322)/B322</f>
        <v/>
      </c>
      <c r="D323" s="40">
        <f>((1+Table26[[#This Row],[Weekly change]])^52)-1</f>
        <v/>
      </c>
      <c r="E323" s="85">
        <f>(Table26[[#This Row],[M2 Money Stock, Billions of Dollars, Weekly, Seasonally Adjusted]]-B271)/B271</f>
        <v/>
      </c>
    </row>
    <row r="324">
      <c r="A324" s="37" t="n">
        <v>31747</v>
      </c>
      <c r="B324" s="84" t="n">
        <v>2714</v>
      </c>
      <c r="C324" s="39">
        <f>(Table26[[#This Row],[M2 Money Stock, Billions of Dollars, Weekly, Seasonally Adjusted]]-B323)/B323</f>
        <v/>
      </c>
      <c r="D324" s="40">
        <f>((1+Table26[[#This Row],[Weekly change]])^52)-1</f>
        <v/>
      </c>
      <c r="E324" s="85">
        <f>(Table26[[#This Row],[M2 Money Stock, Billions of Dollars, Weekly, Seasonally Adjusted]]-B272)/B272</f>
        <v/>
      </c>
    </row>
    <row r="325">
      <c r="A325" s="37" t="n">
        <v>31754</v>
      </c>
      <c r="B325" s="84" t="n">
        <v>2713.1</v>
      </c>
      <c r="C325" s="39">
        <f>(Table26[[#This Row],[M2 Money Stock, Billions of Dollars, Weekly, Seasonally Adjusted]]-B324)/B324</f>
        <v/>
      </c>
      <c r="D325" s="40">
        <f>((1+Table26[[#This Row],[Weekly change]])^52)-1</f>
        <v/>
      </c>
      <c r="E325" s="85">
        <f>(Table26[[#This Row],[M2 Money Stock, Billions of Dollars, Weekly, Seasonally Adjusted]]-B273)/B273</f>
        <v/>
      </c>
    </row>
    <row r="326">
      <c r="A326" s="37" t="n">
        <v>31761</v>
      </c>
      <c r="B326" s="84" t="n">
        <v>2719.1</v>
      </c>
      <c r="C326" s="39">
        <f>(Table26[[#This Row],[M2 Money Stock, Billions of Dollars, Weekly, Seasonally Adjusted]]-B325)/B325</f>
        <v/>
      </c>
      <c r="D326" s="40">
        <f>((1+Table26[[#This Row],[Weekly change]])^52)-1</f>
        <v/>
      </c>
      <c r="E326" s="85">
        <f>(Table26[[#This Row],[M2 Money Stock, Billions of Dollars, Weekly, Seasonally Adjusted]]-B274)/B274</f>
        <v/>
      </c>
    </row>
    <row r="327">
      <c r="A327" s="37" t="n">
        <v>31768</v>
      </c>
      <c r="B327" s="84" t="n">
        <v>2730.6</v>
      </c>
      <c r="C327" s="39">
        <f>(Table26[[#This Row],[M2 Money Stock, Billions of Dollars, Weekly, Seasonally Adjusted]]-B326)/B326</f>
        <v/>
      </c>
      <c r="D327" s="40">
        <f>((1+Table26[[#This Row],[Weekly change]])^52)-1</f>
        <v/>
      </c>
      <c r="E327" s="85">
        <f>(Table26[[#This Row],[M2 Money Stock, Billions of Dollars, Weekly, Seasonally Adjusted]]-B275)/B275</f>
        <v/>
      </c>
    </row>
    <row r="328">
      <c r="A328" s="37" t="n">
        <v>31775</v>
      </c>
      <c r="B328" s="84" t="n">
        <v>2744.1</v>
      </c>
      <c r="C328" s="39">
        <f>(Table26[[#This Row],[M2 Money Stock, Billions of Dollars, Weekly, Seasonally Adjusted]]-B327)/B327</f>
        <v/>
      </c>
      <c r="D328" s="40">
        <f>((1+Table26[[#This Row],[Weekly change]])^52)-1</f>
        <v/>
      </c>
      <c r="E328" s="85">
        <f>(Table26[[#This Row],[M2 Money Stock, Billions of Dollars, Weekly, Seasonally Adjusted]]-B276)/B276</f>
        <v/>
      </c>
    </row>
    <row r="329">
      <c r="A329" s="37" t="n">
        <v>31782</v>
      </c>
      <c r="B329" s="84" t="n">
        <v>2757.9</v>
      </c>
      <c r="C329" s="39">
        <f>(Table26[[#This Row],[M2 Money Stock, Billions of Dollars, Weekly, Seasonally Adjusted]]-B328)/B328</f>
        <v/>
      </c>
      <c r="D329" s="40">
        <f>((1+Table26[[#This Row],[Weekly change]])^52)-1</f>
        <v/>
      </c>
      <c r="E329" s="85">
        <f>(Table26[[#This Row],[M2 Money Stock, Billions of Dollars, Weekly, Seasonally Adjusted]]-B277)/B277</f>
        <v/>
      </c>
    </row>
    <row r="330">
      <c r="A330" s="37" t="n">
        <v>31789</v>
      </c>
      <c r="B330" s="84" t="n">
        <v>2745</v>
      </c>
      <c r="C330" s="39">
        <f>(Table26[[#This Row],[M2 Money Stock, Billions of Dollars, Weekly, Seasonally Adjusted]]-B329)/B329</f>
        <v/>
      </c>
      <c r="D330" s="40">
        <f>((1+Table26[[#This Row],[Weekly change]])^52)-1</f>
        <v/>
      </c>
      <c r="E330" s="85">
        <f>(Table26[[#This Row],[M2 Money Stock, Billions of Dollars, Weekly, Seasonally Adjusted]]-B278)/B278</f>
        <v/>
      </c>
    </row>
    <row r="331">
      <c r="A331" s="37" t="n">
        <v>31796</v>
      </c>
      <c r="B331" s="84" t="n">
        <v>2742</v>
      </c>
      <c r="C331" s="39">
        <f>(Table26[[#This Row],[M2 Money Stock, Billions of Dollars, Weekly, Seasonally Adjusted]]-B330)/B330</f>
        <v/>
      </c>
      <c r="D331" s="40">
        <f>((1+Table26[[#This Row],[Weekly change]])^52)-1</f>
        <v/>
      </c>
      <c r="E331" s="85">
        <f>(Table26[[#This Row],[M2 Money Stock, Billions of Dollars, Weekly, Seasonally Adjusted]]-B279)/B279</f>
        <v/>
      </c>
    </row>
    <row r="332">
      <c r="A332" s="37" t="n">
        <v>31803</v>
      </c>
      <c r="B332" s="84" t="n">
        <v>2745.2</v>
      </c>
      <c r="C332" s="39">
        <f>(Table26[[#This Row],[M2 Money Stock, Billions of Dollars, Weekly, Seasonally Adjusted]]-B331)/B331</f>
        <v/>
      </c>
      <c r="D332" s="40">
        <f>((1+Table26[[#This Row],[Weekly change]])^52)-1</f>
        <v/>
      </c>
      <c r="E332" s="85">
        <f>(Table26[[#This Row],[M2 Money Stock, Billions of Dollars, Weekly, Seasonally Adjusted]]-B280)/B280</f>
        <v/>
      </c>
    </row>
    <row r="333">
      <c r="A333" s="37" t="n">
        <v>31810</v>
      </c>
      <c r="B333" s="84" t="n">
        <v>2742.7</v>
      </c>
      <c r="C333" s="39">
        <f>(Table26[[#This Row],[M2 Money Stock, Billions of Dollars, Weekly, Seasonally Adjusted]]-B332)/B332</f>
        <v/>
      </c>
      <c r="D333" s="40">
        <f>((1+Table26[[#This Row],[Weekly change]])^52)-1</f>
        <v/>
      </c>
      <c r="E333" s="85">
        <f>(Table26[[#This Row],[M2 Money Stock, Billions of Dollars, Weekly, Seasonally Adjusted]]-B281)/B281</f>
        <v/>
      </c>
    </row>
    <row r="334">
      <c r="A334" s="37" t="n">
        <v>31817</v>
      </c>
      <c r="B334" s="84" t="n">
        <v>2741.2</v>
      </c>
      <c r="C334" s="39">
        <f>(Table26[[#This Row],[M2 Money Stock, Billions of Dollars, Weekly, Seasonally Adjusted]]-B333)/B333</f>
        <v/>
      </c>
      <c r="D334" s="40">
        <f>((1+Table26[[#This Row],[Weekly change]])^52)-1</f>
        <v/>
      </c>
      <c r="E334" s="85">
        <f>(Table26[[#This Row],[M2 Money Stock, Billions of Dollars, Weekly, Seasonally Adjusted]]-B282)/B282</f>
        <v/>
      </c>
    </row>
    <row r="335">
      <c r="A335" s="37" t="n">
        <v>31824</v>
      </c>
      <c r="B335" s="84" t="n">
        <v>2741.3</v>
      </c>
      <c r="C335" s="39">
        <f>(Table26[[#This Row],[M2 Money Stock, Billions of Dollars, Weekly, Seasonally Adjusted]]-B334)/B334</f>
        <v/>
      </c>
      <c r="D335" s="40">
        <f>((1+Table26[[#This Row],[Weekly change]])^52)-1</f>
        <v/>
      </c>
      <c r="E335" s="85">
        <f>(Table26[[#This Row],[M2 Money Stock, Billions of Dollars, Weekly, Seasonally Adjusted]]-B283)/B283</f>
        <v/>
      </c>
    </row>
    <row r="336">
      <c r="A336" s="37" t="n">
        <v>31831</v>
      </c>
      <c r="B336" s="84" t="n">
        <v>2742.6</v>
      </c>
      <c r="C336" s="39">
        <f>(Table26[[#This Row],[M2 Money Stock, Billions of Dollars, Weekly, Seasonally Adjusted]]-B335)/B335</f>
        <v/>
      </c>
      <c r="D336" s="40">
        <f>((1+Table26[[#This Row],[Weekly change]])^52)-1</f>
        <v/>
      </c>
      <c r="E336" s="85">
        <f>(Table26[[#This Row],[M2 Money Stock, Billions of Dollars, Weekly, Seasonally Adjusted]]-B284)/B284</f>
        <v/>
      </c>
    </row>
    <row r="337">
      <c r="A337" s="37" t="n">
        <v>31838</v>
      </c>
      <c r="B337" s="84" t="n">
        <v>2744.3</v>
      </c>
      <c r="C337" s="39">
        <f>(Table26[[#This Row],[M2 Money Stock, Billions of Dollars, Weekly, Seasonally Adjusted]]-B336)/B336</f>
        <v/>
      </c>
      <c r="D337" s="40">
        <f>((1+Table26[[#This Row],[Weekly change]])^52)-1</f>
        <v/>
      </c>
      <c r="E337" s="85">
        <f>(Table26[[#This Row],[M2 Money Stock, Billions of Dollars, Weekly, Seasonally Adjusted]]-B285)/B285</f>
        <v/>
      </c>
    </row>
    <row r="338">
      <c r="A338" s="37" t="n">
        <v>31845</v>
      </c>
      <c r="B338" s="84" t="n">
        <v>2748.2</v>
      </c>
      <c r="C338" s="39">
        <f>(Table26[[#This Row],[M2 Money Stock, Billions of Dollars, Weekly, Seasonally Adjusted]]-B337)/B337</f>
        <v/>
      </c>
      <c r="D338" s="40">
        <f>((1+Table26[[#This Row],[Weekly change]])^52)-1</f>
        <v/>
      </c>
      <c r="E338" s="85">
        <f>(Table26[[#This Row],[M2 Money Stock, Billions of Dollars, Weekly, Seasonally Adjusted]]-B286)/B286</f>
        <v/>
      </c>
    </row>
    <row r="339">
      <c r="A339" s="37" t="n">
        <v>31852</v>
      </c>
      <c r="B339" s="84" t="n">
        <v>2752</v>
      </c>
      <c r="C339" s="39">
        <f>(Table26[[#This Row],[M2 Money Stock, Billions of Dollars, Weekly, Seasonally Adjusted]]-B338)/B338</f>
        <v/>
      </c>
      <c r="D339" s="40">
        <f>((1+Table26[[#This Row],[Weekly change]])^52)-1</f>
        <v/>
      </c>
      <c r="E339" s="85">
        <f>(Table26[[#This Row],[M2 Money Stock, Billions of Dollars, Weekly, Seasonally Adjusted]]-B287)/B287</f>
        <v/>
      </c>
    </row>
    <row r="340">
      <c r="A340" s="37" t="n">
        <v>31859</v>
      </c>
      <c r="B340" s="84" t="n">
        <v>2752.1</v>
      </c>
      <c r="C340" s="39">
        <f>(Table26[[#This Row],[M2 Money Stock, Billions of Dollars, Weekly, Seasonally Adjusted]]-B339)/B339</f>
        <v/>
      </c>
      <c r="D340" s="40">
        <f>((1+Table26[[#This Row],[Weekly change]])^52)-1</f>
        <v/>
      </c>
      <c r="E340" s="85">
        <f>(Table26[[#This Row],[M2 Money Stock, Billions of Dollars, Weekly, Seasonally Adjusted]]-B288)/B288</f>
        <v/>
      </c>
    </row>
    <row r="341">
      <c r="A341" s="37" t="n">
        <v>31866</v>
      </c>
      <c r="B341" s="84" t="n">
        <v>2755.4</v>
      </c>
      <c r="C341" s="39">
        <f>(Table26[[#This Row],[M2 Money Stock, Billions of Dollars, Weekly, Seasonally Adjusted]]-B340)/B340</f>
        <v/>
      </c>
      <c r="D341" s="40">
        <f>((1+Table26[[#This Row],[Weekly change]])^52)-1</f>
        <v/>
      </c>
      <c r="E341" s="85">
        <f>(Table26[[#This Row],[M2 Money Stock, Billions of Dollars, Weekly, Seasonally Adjusted]]-B289)/B289</f>
        <v/>
      </c>
    </row>
    <row r="342">
      <c r="A342" s="37" t="n">
        <v>31873</v>
      </c>
      <c r="B342" s="84" t="n">
        <v>2757.6</v>
      </c>
      <c r="C342" s="39">
        <f>(Table26[[#This Row],[M2 Money Stock, Billions of Dollars, Weekly, Seasonally Adjusted]]-B341)/B341</f>
        <v/>
      </c>
      <c r="D342" s="40">
        <f>((1+Table26[[#This Row],[Weekly change]])^52)-1</f>
        <v/>
      </c>
      <c r="E342" s="85">
        <f>(Table26[[#This Row],[M2 Money Stock, Billions of Dollars, Weekly, Seasonally Adjusted]]-B290)/B290</f>
        <v/>
      </c>
    </row>
    <row r="343">
      <c r="A343" s="37" t="n">
        <v>31880</v>
      </c>
      <c r="B343" s="84" t="n">
        <v>2758.7</v>
      </c>
      <c r="C343" s="39">
        <f>(Table26[[#This Row],[M2 Money Stock, Billions of Dollars, Weekly, Seasonally Adjusted]]-B342)/B342</f>
        <v/>
      </c>
      <c r="D343" s="40">
        <f>((1+Table26[[#This Row],[Weekly change]])^52)-1</f>
        <v/>
      </c>
      <c r="E343" s="85">
        <f>(Table26[[#This Row],[M2 Money Stock, Billions of Dollars, Weekly, Seasonally Adjusted]]-B291)/B291</f>
        <v/>
      </c>
    </row>
    <row r="344">
      <c r="A344" s="37" t="n">
        <v>31887</v>
      </c>
      <c r="B344" s="84" t="n">
        <v>2771.5</v>
      </c>
      <c r="C344" s="39">
        <f>(Table26[[#This Row],[M2 Money Stock, Billions of Dollars, Weekly, Seasonally Adjusted]]-B343)/B343</f>
        <v/>
      </c>
      <c r="D344" s="40">
        <f>((1+Table26[[#This Row],[Weekly change]])^52)-1</f>
        <v/>
      </c>
      <c r="E344" s="85">
        <f>(Table26[[#This Row],[M2 Money Stock, Billions of Dollars, Weekly, Seasonally Adjusted]]-B292)/B292</f>
        <v/>
      </c>
    </row>
    <row r="345">
      <c r="A345" s="37" t="n">
        <v>31894</v>
      </c>
      <c r="B345" s="84" t="n">
        <v>2773.5</v>
      </c>
      <c r="C345" s="39">
        <f>(Table26[[#This Row],[M2 Money Stock, Billions of Dollars, Weekly, Seasonally Adjusted]]-B344)/B344</f>
        <v/>
      </c>
      <c r="D345" s="40">
        <f>((1+Table26[[#This Row],[Weekly change]])^52)-1</f>
        <v/>
      </c>
      <c r="E345" s="85">
        <f>(Table26[[#This Row],[M2 Money Stock, Billions of Dollars, Weekly, Seasonally Adjusted]]-B293)/B293</f>
        <v/>
      </c>
    </row>
    <row r="346">
      <c r="A346" s="37" t="n">
        <v>31901</v>
      </c>
      <c r="B346" s="84" t="n">
        <v>2768.4</v>
      </c>
      <c r="C346" s="39">
        <f>(Table26[[#This Row],[M2 Money Stock, Billions of Dollars, Weekly, Seasonally Adjusted]]-B345)/B345</f>
        <v/>
      </c>
      <c r="D346" s="40">
        <f>((1+Table26[[#This Row],[Weekly change]])^52)-1</f>
        <v/>
      </c>
      <c r="E346" s="85">
        <f>(Table26[[#This Row],[M2 Money Stock, Billions of Dollars, Weekly, Seasonally Adjusted]]-B294)/B294</f>
        <v/>
      </c>
    </row>
    <row r="347">
      <c r="A347" s="37" t="n">
        <v>31908</v>
      </c>
      <c r="B347" s="84" t="n">
        <v>2763</v>
      </c>
      <c r="C347" s="39">
        <f>(Table26[[#This Row],[M2 Money Stock, Billions of Dollars, Weekly, Seasonally Adjusted]]-B346)/B346</f>
        <v/>
      </c>
      <c r="D347" s="40">
        <f>((1+Table26[[#This Row],[Weekly change]])^52)-1</f>
        <v/>
      </c>
      <c r="E347" s="85">
        <f>(Table26[[#This Row],[M2 Money Stock, Billions of Dollars, Weekly, Seasonally Adjusted]]-B295)/B295</f>
        <v/>
      </c>
    </row>
    <row r="348">
      <c r="A348" s="37" t="n">
        <v>31915</v>
      </c>
      <c r="B348" s="84" t="n">
        <v>2764.6</v>
      </c>
      <c r="C348" s="39">
        <f>(Table26[[#This Row],[M2 Money Stock, Billions of Dollars, Weekly, Seasonally Adjusted]]-B347)/B347</f>
        <v/>
      </c>
      <c r="D348" s="40">
        <f>((1+Table26[[#This Row],[Weekly change]])^52)-1</f>
        <v/>
      </c>
      <c r="E348" s="85">
        <f>(Table26[[#This Row],[M2 Money Stock, Billions of Dollars, Weekly, Seasonally Adjusted]]-B296)/B296</f>
        <v/>
      </c>
    </row>
    <row r="349">
      <c r="A349" s="37" t="n">
        <v>31922</v>
      </c>
      <c r="B349" s="84" t="n">
        <v>2770</v>
      </c>
      <c r="C349" s="39">
        <f>(Table26[[#This Row],[M2 Money Stock, Billions of Dollars, Weekly, Seasonally Adjusted]]-B348)/B348</f>
        <v/>
      </c>
      <c r="D349" s="40">
        <f>((1+Table26[[#This Row],[Weekly change]])^52)-1</f>
        <v/>
      </c>
      <c r="E349" s="85">
        <f>(Table26[[#This Row],[M2 Money Stock, Billions of Dollars, Weekly, Seasonally Adjusted]]-B297)/B297</f>
        <v/>
      </c>
    </row>
    <row r="350">
      <c r="A350" s="37" t="n">
        <v>31929</v>
      </c>
      <c r="B350" s="84" t="n">
        <v>2773.2</v>
      </c>
      <c r="C350" s="39">
        <f>(Table26[[#This Row],[M2 Money Stock, Billions of Dollars, Weekly, Seasonally Adjusted]]-B349)/B349</f>
        <v/>
      </c>
      <c r="D350" s="40">
        <f>((1+Table26[[#This Row],[Weekly change]])^52)-1</f>
        <v/>
      </c>
      <c r="E350" s="85">
        <f>(Table26[[#This Row],[M2 Money Stock, Billions of Dollars, Weekly, Seasonally Adjusted]]-B298)/B298</f>
        <v/>
      </c>
    </row>
    <row r="351">
      <c r="A351" s="37" t="n">
        <v>31936</v>
      </c>
      <c r="B351" s="84" t="n">
        <v>2769.8</v>
      </c>
      <c r="C351" s="39">
        <f>(Table26[[#This Row],[M2 Money Stock, Billions of Dollars, Weekly, Seasonally Adjusted]]-B350)/B350</f>
        <v/>
      </c>
      <c r="D351" s="40">
        <f>((1+Table26[[#This Row],[Weekly change]])^52)-1</f>
        <v/>
      </c>
      <c r="E351" s="85">
        <f>(Table26[[#This Row],[M2 Money Stock, Billions of Dollars, Weekly, Seasonally Adjusted]]-B299)/B299</f>
        <v/>
      </c>
    </row>
    <row r="352">
      <c r="A352" s="37" t="n">
        <v>31943</v>
      </c>
      <c r="B352" s="84" t="n">
        <v>2771</v>
      </c>
      <c r="C352" s="39">
        <f>(Table26[[#This Row],[M2 Money Stock, Billions of Dollars, Weekly, Seasonally Adjusted]]-B351)/B351</f>
        <v/>
      </c>
      <c r="D352" s="40">
        <f>((1+Table26[[#This Row],[Weekly change]])^52)-1</f>
        <v/>
      </c>
      <c r="E352" s="85">
        <f>(Table26[[#This Row],[M2 Money Stock, Billions of Dollars, Weekly, Seasonally Adjusted]]-B300)/B300</f>
        <v/>
      </c>
    </row>
    <row r="353">
      <c r="A353" s="37" t="n">
        <v>31950</v>
      </c>
      <c r="B353" s="84" t="n">
        <v>2773</v>
      </c>
      <c r="C353" s="39">
        <f>(Table26[[#This Row],[M2 Money Stock, Billions of Dollars, Weekly, Seasonally Adjusted]]-B352)/B352</f>
        <v/>
      </c>
      <c r="D353" s="40">
        <f>((1+Table26[[#This Row],[Weekly change]])^52)-1</f>
        <v/>
      </c>
      <c r="E353" s="85">
        <f>(Table26[[#This Row],[M2 Money Stock, Billions of Dollars, Weekly, Seasonally Adjusted]]-B301)/B301</f>
        <v/>
      </c>
    </row>
    <row r="354">
      <c r="A354" s="37" t="n">
        <v>31957</v>
      </c>
      <c r="B354" s="84" t="n">
        <v>2772.8</v>
      </c>
      <c r="C354" s="39">
        <f>(Table26[[#This Row],[M2 Money Stock, Billions of Dollars, Weekly, Seasonally Adjusted]]-B353)/B353</f>
        <v/>
      </c>
      <c r="D354" s="40">
        <f>((1+Table26[[#This Row],[Weekly change]])^52)-1</f>
        <v/>
      </c>
      <c r="E354" s="85">
        <f>(Table26[[#This Row],[M2 Money Stock, Billions of Dollars, Weekly, Seasonally Adjusted]]-B302)/B302</f>
        <v/>
      </c>
    </row>
    <row r="355">
      <c r="A355" s="37" t="n">
        <v>31964</v>
      </c>
      <c r="B355" s="84" t="n">
        <v>2778.8</v>
      </c>
      <c r="C355" s="39">
        <f>(Table26[[#This Row],[M2 Money Stock, Billions of Dollars, Weekly, Seasonally Adjusted]]-B354)/B354</f>
        <v/>
      </c>
      <c r="D355" s="40">
        <f>((1+Table26[[#This Row],[Weekly change]])^52)-1</f>
        <v/>
      </c>
      <c r="E355" s="85">
        <f>(Table26[[#This Row],[M2 Money Stock, Billions of Dollars, Weekly, Seasonally Adjusted]]-B303)/B303</f>
        <v/>
      </c>
    </row>
    <row r="356">
      <c r="A356" s="37" t="n">
        <v>31971</v>
      </c>
      <c r="B356" s="84" t="n">
        <v>2773.3</v>
      </c>
      <c r="C356" s="39">
        <f>(Table26[[#This Row],[M2 Money Stock, Billions of Dollars, Weekly, Seasonally Adjusted]]-B355)/B355</f>
        <v/>
      </c>
      <c r="D356" s="40">
        <f>((1+Table26[[#This Row],[Weekly change]])^52)-1</f>
        <v/>
      </c>
      <c r="E356" s="85">
        <f>(Table26[[#This Row],[M2 Money Stock, Billions of Dollars, Weekly, Seasonally Adjusted]]-B304)/B304</f>
        <v/>
      </c>
    </row>
    <row r="357">
      <c r="A357" s="37" t="n">
        <v>31978</v>
      </c>
      <c r="B357" s="84" t="n">
        <v>2777.5</v>
      </c>
      <c r="C357" s="39">
        <f>(Table26[[#This Row],[M2 Money Stock, Billions of Dollars, Weekly, Seasonally Adjusted]]-B356)/B356</f>
        <v/>
      </c>
      <c r="D357" s="40">
        <f>((1+Table26[[#This Row],[Weekly change]])^52)-1</f>
        <v/>
      </c>
      <c r="E357" s="85">
        <f>(Table26[[#This Row],[M2 Money Stock, Billions of Dollars, Weekly, Seasonally Adjusted]]-B305)/B305</f>
        <v/>
      </c>
    </row>
    <row r="358">
      <c r="A358" s="37" t="n">
        <v>31985</v>
      </c>
      <c r="B358" s="84" t="n">
        <v>2781.1</v>
      </c>
      <c r="C358" s="39">
        <f>(Table26[[#This Row],[M2 Money Stock, Billions of Dollars, Weekly, Seasonally Adjusted]]-B357)/B357</f>
        <v/>
      </c>
      <c r="D358" s="40">
        <f>((1+Table26[[#This Row],[Weekly change]])^52)-1</f>
        <v/>
      </c>
      <c r="E358" s="85">
        <f>(Table26[[#This Row],[M2 Money Stock, Billions of Dollars, Weekly, Seasonally Adjusted]]-B306)/B306</f>
        <v/>
      </c>
    </row>
    <row r="359">
      <c r="A359" s="37" t="n">
        <v>31992</v>
      </c>
      <c r="B359" s="84" t="n">
        <v>2779.1</v>
      </c>
      <c r="C359" s="39">
        <f>(Table26[[#This Row],[M2 Money Stock, Billions of Dollars, Weekly, Seasonally Adjusted]]-B358)/B358</f>
        <v/>
      </c>
      <c r="D359" s="40">
        <f>((1+Table26[[#This Row],[Weekly change]])^52)-1</f>
        <v/>
      </c>
      <c r="E359" s="85">
        <f>(Table26[[#This Row],[M2 Money Stock, Billions of Dollars, Weekly, Seasonally Adjusted]]-B307)/B307</f>
        <v/>
      </c>
    </row>
    <row r="360">
      <c r="A360" s="37" t="n">
        <v>31999</v>
      </c>
      <c r="B360" s="84" t="n">
        <v>2782.8</v>
      </c>
      <c r="C360" s="39">
        <f>(Table26[[#This Row],[M2 Money Stock, Billions of Dollars, Weekly, Seasonally Adjusted]]-B359)/B359</f>
        <v/>
      </c>
      <c r="D360" s="40">
        <f>((1+Table26[[#This Row],[Weekly change]])^52)-1</f>
        <v/>
      </c>
      <c r="E360" s="85">
        <f>(Table26[[#This Row],[M2 Money Stock, Billions of Dollars, Weekly, Seasonally Adjusted]]-B308)/B308</f>
        <v/>
      </c>
    </row>
    <row r="361">
      <c r="A361" s="37" t="n">
        <v>32006</v>
      </c>
      <c r="B361" s="84" t="n">
        <v>2783.8</v>
      </c>
      <c r="C361" s="39">
        <f>(Table26[[#This Row],[M2 Money Stock, Billions of Dollars, Weekly, Seasonally Adjusted]]-B360)/B360</f>
        <v/>
      </c>
      <c r="D361" s="40">
        <f>((1+Table26[[#This Row],[Weekly change]])^52)-1</f>
        <v/>
      </c>
      <c r="E361" s="85">
        <f>(Table26[[#This Row],[M2 Money Stock, Billions of Dollars, Weekly, Seasonally Adjusted]]-B309)/B309</f>
        <v/>
      </c>
    </row>
    <row r="362">
      <c r="A362" s="37" t="n">
        <v>32013</v>
      </c>
      <c r="B362" s="84" t="n">
        <v>2785.2</v>
      </c>
      <c r="C362" s="39">
        <f>(Table26[[#This Row],[M2 Money Stock, Billions of Dollars, Weekly, Seasonally Adjusted]]-B361)/B361</f>
        <v/>
      </c>
      <c r="D362" s="40">
        <f>((1+Table26[[#This Row],[Weekly change]])^52)-1</f>
        <v/>
      </c>
      <c r="E362" s="85">
        <f>(Table26[[#This Row],[M2 Money Stock, Billions of Dollars, Weekly, Seasonally Adjusted]]-B310)/B310</f>
        <v/>
      </c>
    </row>
    <row r="363">
      <c r="A363" s="37" t="n">
        <v>32020</v>
      </c>
      <c r="B363" s="84" t="n">
        <v>2785.1</v>
      </c>
      <c r="C363" s="39">
        <f>(Table26[[#This Row],[M2 Money Stock, Billions of Dollars, Weekly, Seasonally Adjusted]]-B362)/B362</f>
        <v/>
      </c>
      <c r="D363" s="40">
        <f>((1+Table26[[#This Row],[Weekly change]])^52)-1</f>
        <v/>
      </c>
      <c r="E363" s="85">
        <f>(Table26[[#This Row],[M2 Money Stock, Billions of Dollars, Weekly, Seasonally Adjusted]]-B311)/B311</f>
        <v/>
      </c>
    </row>
    <row r="364">
      <c r="A364" s="37" t="n">
        <v>32027</v>
      </c>
      <c r="B364" s="84" t="n">
        <v>2784.5</v>
      </c>
      <c r="C364" s="39">
        <f>(Table26[[#This Row],[M2 Money Stock, Billions of Dollars, Weekly, Seasonally Adjusted]]-B363)/B363</f>
        <v/>
      </c>
      <c r="D364" s="40">
        <f>((1+Table26[[#This Row],[Weekly change]])^52)-1</f>
        <v/>
      </c>
      <c r="E364" s="85">
        <f>(Table26[[#This Row],[M2 Money Stock, Billions of Dollars, Weekly, Seasonally Adjusted]]-B312)/B312</f>
        <v/>
      </c>
    </row>
    <row r="365">
      <c r="A365" s="37" t="n">
        <v>32034</v>
      </c>
      <c r="B365" s="84" t="n">
        <v>2790.6</v>
      </c>
      <c r="C365" s="39">
        <f>(Table26[[#This Row],[M2 Money Stock, Billions of Dollars, Weekly, Seasonally Adjusted]]-B364)/B364</f>
        <v/>
      </c>
      <c r="D365" s="40">
        <f>((1+Table26[[#This Row],[Weekly change]])^52)-1</f>
        <v/>
      </c>
      <c r="E365" s="85">
        <f>(Table26[[#This Row],[M2 Money Stock, Billions of Dollars, Weekly, Seasonally Adjusted]]-B313)/B313</f>
        <v/>
      </c>
    </row>
    <row r="366">
      <c r="A366" s="37" t="n">
        <v>32041</v>
      </c>
      <c r="B366" s="84" t="n">
        <v>2795</v>
      </c>
      <c r="C366" s="39">
        <f>(Table26[[#This Row],[M2 Money Stock, Billions of Dollars, Weekly, Seasonally Adjusted]]-B365)/B365</f>
        <v/>
      </c>
      <c r="D366" s="40">
        <f>((1+Table26[[#This Row],[Weekly change]])^52)-1</f>
        <v/>
      </c>
      <c r="E366" s="85">
        <f>(Table26[[#This Row],[M2 Money Stock, Billions of Dollars, Weekly, Seasonally Adjusted]]-B314)/B314</f>
        <v/>
      </c>
    </row>
    <row r="367">
      <c r="A367" s="37" t="n">
        <v>32048</v>
      </c>
      <c r="B367" s="84" t="n">
        <v>2797.4</v>
      </c>
      <c r="C367" s="39">
        <f>(Table26[[#This Row],[M2 Money Stock, Billions of Dollars, Weekly, Seasonally Adjusted]]-B366)/B366</f>
        <v/>
      </c>
      <c r="D367" s="40">
        <f>((1+Table26[[#This Row],[Weekly change]])^52)-1</f>
        <v/>
      </c>
      <c r="E367" s="85">
        <f>(Table26[[#This Row],[M2 Money Stock, Billions of Dollars, Weekly, Seasonally Adjusted]]-B315)/B315</f>
        <v/>
      </c>
    </row>
    <row r="368">
      <c r="A368" s="37" t="n">
        <v>32055</v>
      </c>
      <c r="B368" s="84" t="n">
        <v>2804.3</v>
      </c>
      <c r="C368" s="39">
        <f>(Table26[[#This Row],[M2 Money Stock, Billions of Dollars, Weekly, Seasonally Adjusted]]-B367)/B367</f>
        <v/>
      </c>
      <c r="D368" s="40">
        <f>((1+Table26[[#This Row],[Weekly change]])^52)-1</f>
        <v/>
      </c>
      <c r="E368" s="85">
        <f>(Table26[[#This Row],[M2 Money Stock, Billions of Dollars, Weekly, Seasonally Adjusted]]-B316)/B316</f>
        <v/>
      </c>
    </row>
    <row r="369">
      <c r="A369" s="37" t="n">
        <v>32062</v>
      </c>
      <c r="B369" s="84" t="n">
        <v>2800.8</v>
      </c>
      <c r="C369" s="39">
        <f>(Table26[[#This Row],[M2 Money Stock, Billions of Dollars, Weekly, Seasonally Adjusted]]-B368)/B368</f>
        <v/>
      </c>
      <c r="D369" s="40">
        <f>((1+Table26[[#This Row],[Weekly change]])^52)-1</f>
        <v/>
      </c>
      <c r="E369" s="85">
        <f>(Table26[[#This Row],[M2 Money Stock, Billions of Dollars, Weekly, Seasonally Adjusted]]-B317)/B317</f>
        <v/>
      </c>
    </row>
    <row r="370">
      <c r="A370" s="37" t="n">
        <v>32069</v>
      </c>
      <c r="B370" s="84" t="n">
        <v>2809.3</v>
      </c>
      <c r="C370" s="39">
        <f>(Table26[[#This Row],[M2 Money Stock, Billions of Dollars, Weekly, Seasonally Adjusted]]-B369)/B369</f>
        <v/>
      </c>
      <c r="D370" s="40">
        <f>((1+Table26[[#This Row],[Weekly change]])^52)-1</f>
        <v/>
      </c>
      <c r="E370" s="85">
        <f>(Table26[[#This Row],[M2 Money Stock, Billions of Dollars, Weekly, Seasonally Adjusted]]-B318)/B318</f>
        <v/>
      </c>
    </row>
    <row r="371">
      <c r="A371" s="37" t="n">
        <v>32076</v>
      </c>
      <c r="B371" s="84" t="n">
        <v>2827.2</v>
      </c>
      <c r="C371" s="39">
        <f>(Table26[[#This Row],[M2 Money Stock, Billions of Dollars, Weekly, Seasonally Adjusted]]-B370)/B370</f>
        <v/>
      </c>
      <c r="D371" s="40">
        <f>((1+Table26[[#This Row],[Weekly change]])^52)-1</f>
        <v/>
      </c>
      <c r="E371" s="85">
        <f>(Table26[[#This Row],[M2 Money Stock, Billions of Dollars, Weekly, Seasonally Adjusted]]-B319)/B319</f>
        <v/>
      </c>
    </row>
    <row r="372">
      <c r="A372" s="37" t="n">
        <v>32083</v>
      </c>
      <c r="B372" s="84" t="n">
        <v>2819.3</v>
      </c>
      <c r="C372" s="39">
        <f>(Table26[[#This Row],[M2 Money Stock, Billions of Dollars, Weekly, Seasonally Adjusted]]-B371)/B371</f>
        <v/>
      </c>
      <c r="D372" s="40">
        <f>((1+Table26[[#This Row],[Weekly change]])^52)-1</f>
        <v/>
      </c>
      <c r="E372" s="85">
        <f>(Table26[[#This Row],[M2 Money Stock, Billions of Dollars, Weekly, Seasonally Adjusted]]-B320)/B320</f>
        <v/>
      </c>
    </row>
    <row r="373">
      <c r="A373" s="37" t="n">
        <v>32090</v>
      </c>
      <c r="B373" s="84" t="n">
        <v>2815.9</v>
      </c>
      <c r="C373" s="39">
        <f>(Table26[[#This Row],[M2 Money Stock, Billions of Dollars, Weekly, Seasonally Adjusted]]-B372)/B372</f>
        <v/>
      </c>
      <c r="D373" s="40">
        <f>((1+Table26[[#This Row],[Weekly change]])^52)-1</f>
        <v/>
      </c>
      <c r="E373" s="85">
        <f>(Table26[[#This Row],[M2 Money Stock, Billions of Dollars, Weekly, Seasonally Adjusted]]-B321)/B321</f>
        <v/>
      </c>
    </row>
    <row r="374">
      <c r="A374" s="37" t="n">
        <v>32097</v>
      </c>
      <c r="B374" s="84" t="n">
        <v>2816.2</v>
      </c>
      <c r="C374" s="39">
        <f>(Table26[[#This Row],[M2 Money Stock, Billions of Dollars, Weekly, Seasonally Adjusted]]-B373)/B373</f>
        <v/>
      </c>
      <c r="D374" s="40">
        <f>((1+Table26[[#This Row],[Weekly change]])^52)-1</f>
        <v/>
      </c>
      <c r="E374" s="85">
        <f>(Table26[[#This Row],[M2 Money Stock, Billions of Dollars, Weekly, Seasonally Adjusted]]-B322)/B322</f>
        <v/>
      </c>
    </row>
    <row r="375">
      <c r="A375" s="37" t="n">
        <v>32104</v>
      </c>
      <c r="B375" s="84" t="n">
        <v>2817.1</v>
      </c>
      <c r="C375" s="39">
        <f>(Table26[[#This Row],[M2 Money Stock, Billions of Dollars, Weekly, Seasonally Adjusted]]-B374)/B374</f>
        <v/>
      </c>
      <c r="D375" s="40">
        <f>((1+Table26[[#This Row],[Weekly change]])^52)-1</f>
        <v/>
      </c>
      <c r="E375" s="85">
        <f>(Table26[[#This Row],[M2 Money Stock, Billions of Dollars, Weekly, Seasonally Adjusted]]-B323)/B323</f>
        <v/>
      </c>
    </row>
    <row r="376">
      <c r="A376" s="37" t="n">
        <v>32111</v>
      </c>
      <c r="B376" s="84" t="n">
        <v>2817.8</v>
      </c>
      <c r="C376" s="39">
        <f>(Table26[[#This Row],[M2 Money Stock, Billions of Dollars, Weekly, Seasonally Adjusted]]-B375)/B375</f>
        <v/>
      </c>
      <c r="D376" s="40">
        <f>((1+Table26[[#This Row],[Weekly change]])^52)-1</f>
        <v/>
      </c>
      <c r="E376" s="85">
        <f>(Table26[[#This Row],[M2 Money Stock, Billions of Dollars, Weekly, Seasonally Adjusted]]-B324)/B324</f>
        <v/>
      </c>
    </row>
    <row r="377">
      <c r="A377" s="37" t="n">
        <v>32118</v>
      </c>
      <c r="B377" s="84" t="n">
        <v>2820.8</v>
      </c>
      <c r="C377" s="39">
        <f>(Table26[[#This Row],[M2 Money Stock, Billions of Dollars, Weekly, Seasonally Adjusted]]-B376)/B376</f>
        <v/>
      </c>
      <c r="D377" s="40">
        <f>((1+Table26[[#This Row],[Weekly change]])^52)-1</f>
        <v/>
      </c>
      <c r="E377" s="85">
        <f>(Table26[[#This Row],[M2 Money Stock, Billions of Dollars, Weekly, Seasonally Adjusted]]-B325)/B325</f>
        <v/>
      </c>
    </row>
    <row r="378">
      <c r="A378" s="37" t="n">
        <v>32125</v>
      </c>
      <c r="B378" s="84" t="n">
        <v>2823.5</v>
      </c>
      <c r="C378" s="39">
        <f>(Table26[[#This Row],[M2 Money Stock, Billions of Dollars, Weekly, Seasonally Adjusted]]-B377)/B377</f>
        <v/>
      </c>
      <c r="D378" s="40">
        <f>((1+Table26[[#This Row],[Weekly change]])^52)-1</f>
        <v/>
      </c>
      <c r="E378" s="85">
        <f>(Table26[[#This Row],[M2 Money Stock, Billions of Dollars, Weekly, Seasonally Adjusted]]-B326)/B326</f>
        <v/>
      </c>
    </row>
    <row r="379">
      <c r="A379" s="37" t="n">
        <v>32132</v>
      </c>
      <c r="B379" s="84" t="n">
        <v>2826.4</v>
      </c>
      <c r="C379" s="39">
        <f>(Table26[[#This Row],[M2 Money Stock, Billions of Dollars, Weekly, Seasonally Adjusted]]-B378)/B378</f>
        <v/>
      </c>
      <c r="D379" s="40">
        <f>((1+Table26[[#This Row],[Weekly change]])^52)-1</f>
        <v/>
      </c>
      <c r="E379" s="85">
        <f>(Table26[[#This Row],[M2 Money Stock, Billions of Dollars, Weekly, Seasonally Adjusted]]-B327)/B327</f>
        <v/>
      </c>
    </row>
    <row r="380">
      <c r="A380" s="37" t="n">
        <v>32139</v>
      </c>
      <c r="B380" s="84" t="n">
        <v>2828.6</v>
      </c>
      <c r="C380" s="39">
        <f>(Table26[[#This Row],[M2 Money Stock, Billions of Dollars, Weekly, Seasonally Adjusted]]-B379)/B379</f>
        <v/>
      </c>
      <c r="D380" s="40">
        <f>((1+Table26[[#This Row],[Weekly change]])^52)-1</f>
        <v/>
      </c>
      <c r="E380" s="85">
        <f>(Table26[[#This Row],[M2 Money Stock, Billions of Dollars, Weekly, Seasonally Adjusted]]-B328)/B328</f>
        <v/>
      </c>
    </row>
    <row r="381">
      <c r="A381" s="37" t="n">
        <v>32146</v>
      </c>
      <c r="B381" s="84" t="n">
        <v>2830</v>
      </c>
      <c r="C381" s="39">
        <f>(Table26[[#This Row],[M2 Money Stock, Billions of Dollars, Weekly, Seasonally Adjusted]]-B380)/B380</f>
        <v/>
      </c>
      <c r="D381" s="40">
        <f>((1+Table26[[#This Row],[Weekly change]])^52)-1</f>
        <v/>
      </c>
      <c r="E381" s="85">
        <f>(Table26[[#This Row],[M2 Money Stock, Billions of Dollars, Weekly, Seasonally Adjusted]]-B329)/B329</f>
        <v/>
      </c>
    </row>
    <row r="382">
      <c r="A382" s="37" t="n">
        <v>32153</v>
      </c>
      <c r="B382" s="84" t="n">
        <v>2836</v>
      </c>
      <c r="C382" s="39">
        <f>(Table26[[#This Row],[M2 Money Stock, Billions of Dollars, Weekly, Seasonally Adjusted]]-B381)/B381</f>
        <v/>
      </c>
      <c r="D382" s="40">
        <f>((1+Table26[[#This Row],[Weekly change]])^52)-1</f>
        <v/>
      </c>
      <c r="E382" s="85">
        <f>(Table26[[#This Row],[M2 Money Stock, Billions of Dollars, Weekly, Seasonally Adjusted]]-B330)/B330</f>
        <v/>
      </c>
    </row>
    <row r="383">
      <c r="A383" s="37" t="n">
        <v>32160</v>
      </c>
      <c r="B383" s="84" t="n">
        <v>2846.9</v>
      </c>
      <c r="C383" s="39">
        <f>(Table26[[#This Row],[M2 Money Stock, Billions of Dollars, Weekly, Seasonally Adjusted]]-B382)/B382</f>
        <v/>
      </c>
      <c r="D383" s="40">
        <f>((1+Table26[[#This Row],[Weekly change]])^52)-1</f>
        <v/>
      </c>
      <c r="E383" s="85">
        <f>(Table26[[#This Row],[M2 Money Stock, Billions of Dollars, Weekly, Seasonally Adjusted]]-B331)/B331</f>
        <v/>
      </c>
    </row>
    <row r="384">
      <c r="A384" s="37" t="n">
        <v>32167</v>
      </c>
      <c r="B384" s="84" t="n">
        <v>2854.8</v>
      </c>
      <c r="C384" s="39">
        <f>(Table26[[#This Row],[M2 Money Stock, Billions of Dollars, Weekly, Seasonally Adjusted]]-B383)/B383</f>
        <v/>
      </c>
      <c r="D384" s="40">
        <f>((1+Table26[[#This Row],[Weekly change]])^52)-1</f>
        <v/>
      </c>
      <c r="E384" s="85">
        <f>(Table26[[#This Row],[M2 Money Stock, Billions of Dollars, Weekly, Seasonally Adjusted]]-B332)/B332</f>
        <v/>
      </c>
    </row>
    <row r="385">
      <c r="A385" s="37" t="n">
        <v>32174</v>
      </c>
      <c r="B385" s="84" t="n">
        <v>2863.2</v>
      </c>
      <c r="C385" s="39">
        <f>(Table26[[#This Row],[M2 Money Stock, Billions of Dollars, Weekly, Seasonally Adjusted]]-B384)/B384</f>
        <v/>
      </c>
      <c r="D385" s="40">
        <f>((1+Table26[[#This Row],[Weekly change]])^52)-1</f>
        <v/>
      </c>
      <c r="E385" s="85">
        <f>(Table26[[#This Row],[M2 Money Stock, Billions of Dollars, Weekly, Seasonally Adjusted]]-B333)/B333</f>
        <v/>
      </c>
    </row>
    <row r="386">
      <c r="A386" s="37" t="n">
        <v>32181</v>
      </c>
      <c r="B386" s="84" t="n">
        <v>2862.3</v>
      </c>
      <c r="C386" s="39">
        <f>(Table26[[#This Row],[M2 Money Stock, Billions of Dollars, Weekly, Seasonally Adjusted]]-B385)/B385</f>
        <v/>
      </c>
      <c r="D386" s="40">
        <f>((1+Table26[[#This Row],[Weekly change]])^52)-1</f>
        <v/>
      </c>
      <c r="E386" s="85">
        <f>(Table26[[#This Row],[M2 Money Stock, Billions of Dollars, Weekly, Seasonally Adjusted]]-B334)/B334</f>
        <v/>
      </c>
    </row>
    <row r="387">
      <c r="A387" s="37" t="n">
        <v>32188</v>
      </c>
      <c r="B387" s="84" t="n">
        <v>2867.9</v>
      </c>
      <c r="C387" s="39">
        <f>(Table26[[#This Row],[M2 Money Stock, Billions of Dollars, Weekly, Seasonally Adjusted]]-B386)/B386</f>
        <v/>
      </c>
      <c r="D387" s="40">
        <f>((1+Table26[[#This Row],[Weekly change]])^52)-1</f>
        <v/>
      </c>
      <c r="E387" s="85">
        <f>(Table26[[#This Row],[M2 Money Stock, Billions of Dollars, Weekly, Seasonally Adjusted]]-B335)/B335</f>
        <v/>
      </c>
    </row>
    <row r="388">
      <c r="A388" s="37" t="n">
        <v>32195</v>
      </c>
      <c r="B388" s="84" t="n">
        <v>2875</v>
      </c>
      <c r="C388" s="39">
        <f>(Table26[[#This Row],[M2 Money Stock, Billions of Dollars, Weekly, Seasonally Adjusted]]-B387)/B387</f>
        <v/>
      </c>
      <c r="D388" s="40">
        <f>((1+Table26[[#This Row],[Weekly change]])^52)-1</f>
        <v/>
      </c>
      <c r="E388" s="85">
        <f>(Table26[[#This Row],[M2 Money Stock, Billions of Dollars, Weekly, Seasonally Adjusted]]-B336)/B336</f>
        <v/>
      </c>
    </row>
    <row r="389">
      <c r="A389" s="37" t="n">
        <v>32202</v>
      </c>
      <c r="B389" s="84" t="n">
        <v>2875.3</v>
      </c>
      <c r="C389" s="39">
        <f>(Table26[[#This Row],[M2 Money Stock, Billions of Dollars, Weekly, Seasonally Adjusted]]-B388)/B388</f>
        <v/>
      </c>
      <c r="D389" s="40">
        <f>((1+Table26[[#This Row],[Weekly change]])^52)-1</f>
        <v/>
      </c>
      <c r="E389" s="85">
        <f>(Table26[[#This Row],[M2 Money Stock, Billions of Dollars, Weekly, Seasonally Adjusted]]-B337)/B337</f>
        <v/>
      </c>
    </row>
    <row r="390">
      <c r="A390" s="37" t="n">
        <v>32209</v>
      </c>
      <c r="B390" s="84" t="n">
        <v>2882.4</v>
      </c>
      <c r="C390" s="39">
        <f>(Table26[[#This Row],[M2 Money Stock, Billions of Dollars, Weekly, Seasonally Adjusted]]-B389)/B389</f>
        <v/>
      </c>
      <c r="D390" s="40">
        <f>((1+Table26[[#This Row],[Weekly change]])^52)-1</f>
        <v/>
      </c>
      <c r="E390" s="85">
        <f>(Table26[[#This Row],[M2 Money Stock, Billions of Dollars, Weekly, Seasonally Adjusted]]-B338)/B338</f>
        <v/>
      </c>
    </row>
    <row r="391">
      <c r="A391" s="37" t="n">
        <v>32216</v>
      </c>
      <c r="B391" s="84" t="n">
        <v>2889.4</v>
      </c>
      <c r="C391" s="39">
        <f>(Table26[[#This Row],[M2 Money Stock, Billions of Dollars, Weekly, Seasonally Adjusted]]-B390)/B390</f>
        <v/>
      </c>
      <c r="D391" s="40">
        <f>((1+Table26[[#This Row],[Weekly change]])^52)-1</f>
        <v/>
      </c>
      <c r="E391" s="85">
        <f>(Table26[[#This Row],[M2 Money Stock, Billions of Dollars, Weekly, Seasonally Adjusted]]-B339)/B339</f>
        <v/>
      </c>
    </row>
    <row r="392">
      <c r="A392" s="37" t="n">
        <v>32223</v>
      </c>
      <c r="B392" s="84" t="n">
        <v>2897.4</v>
      </c>
      <c r="C392" s="39">
        <f>(Table26[[#This Row],[M2 Money Stock, Billions of Dollars, Weekly, Seasonally Adjusted]]-B391)/B391</f>
        <v/>
      </c>
      <c r="D392" s="40">
        <f>((1+Table26[[#This Row],[Weekly change]])^52)-1</f>
        <v/>
      </c>
      <c r="E392" s="85">
        <f>(Table26[[#This Row],[M2 Money Stock, Billions of Dollars, Weekly, Seasonally Adjusted]]-B340)/B340</f>
        <v/>
      </c>
    </row>
    <row r="393">
      <c r="A393" s="37" t="n">
        <v>32230</v>
      </c>
      <c r="B393" s="84" t="n">
        <v>2901.5</v>
      </c>
      <c r="C393" s="39">
        <f>(Table26[[#This Row],[M2 Money Stock, Billions of Dollars, Weekly, Seasonally Adjusted]]-B392)/B392</f>
        <v/>
      </c>
      <c r="D393" s="40">
        <f>((1+Table26[[#This Row],[Weekly change]])^52)-1</f>
        <v/>
      </c>
      <c r="E393" s="85">
        <f>(Table26[[#This Row],[M2 Money Stock, Billions of Dollars, Weekly, Seasonally Adjusted]]-B341)/B341</f>
        <v/>
      </c>
    </row>
    <row r="394">
      <c r="A394" s="37" t="n">
        <v>32237</v>
      </c>
      <c r="B394" s="84" t="n">
        <v>2905.1</v>
      </c>
      <c r="C394" s="39">
        <f>(Table26[[#This Row],[M2 Money Stock, Billions of Dollars, Weekly, Seasonally Adjusted]]-B393)/B393</f>
        <v/>
      </c>
      <c r="D394" s="40">
        <f>((1+Table26[[#This Row],[Weekly change]])^52)-1</f>
        <v/>
      </c>
      <c r="E394" s="85">
        <f>(Table26[[#This Row],[M2 Money Stock, Billions of Dollars, Weekly, Seasonally Adjusted]]-B342)/B342</f>
        <v/>
      </c>
    </row>
    <row r="395">
      <c r="A395" s="37" t="n">
        <v>32244</v>
      </c>
      <c r="B395" s="84" t="n">
        <v>2909.4</v>
      </c>
      <c r="C395" s="39">
        <f>(Table26[[#This Row],[M2 Money Stock, Billions of Dollars, Weekly, Seasonally Adjusted]]-B394)/B394</f>
        <v/>
      </c>
      <c r="D395" s="40">
        <f>((1+Table26[[#This Row],[Weekly change]])^52)-1</f>
        <v/>
      </c>
      <c r="E395" s="85">
        <f>(Table26[[#This Row],[M2 Money Stock, Billions of Dollars, Weekly, Seasonally Adjusted]]-B343)/B343</f>
        <v/>
      </c>
    </row>
    <row r="396">
      <c r="A396" s="37" t="n">
        <v>32251</v>
      </c>
      <c r="B396" s="84" t="n">
        <v>2912.1</v>
      </c>
      <c r="C396" s="39">
        <f>(Table26[[#This Row],[M2 Money Stock, Billions of Dollars, Weekly, Seasonally Adjusted]]-B395)/B395</f>
        <v/>
      </c>
      <c r="D396" s="40">
        <f>((1+Table26[[#This Row],[Weekly change]])^52)-1</f>
        <v/>
      </c>
      <c r="E396" s="85">
        <f>(Table26[[#This Row],[M2 Money Stock, Billions of Dollars, Weekly, Seasonally Adjusted]]-B344)/B344</f>
        <v/>
      </c>
    </row>
    <row r="397">
      <c r="A397" s="37" t="n">
        <v>32258</v>
      </c>
      <c r="B397" s="84" t="n">
        <v>2920</v>
      </c>
      <c r="C397" s="39">
        <f>(Table26[[#This Row],[M2 Money Stock, Billions of Dollars, Weekly, Seasonally Adjusted]]-B396)/B396</f>
        <v/>
      </c>
      <c r="D397" s="40">
        <f>((1+Table26[[#This Row],[Weekly change]])^52)-1</f>
        <v/>
      </c>
      <c r="E397" s="85">
        <f>(Table26[[#This Row],[M2 Money Stock, Billions of Dollars, Weekly, Seasonally Adjusted]]-B345)/B345</f>
        <v/>
      </c>
    </row>
    <row r="398">
      <c r="A398" s="37" t="n">
        <v>32265</v>
      </c>
      <c r="B398" s="84" t="n">
        <v>2917.4</v>
      </c>
      <c r="C398" s="39">
        <f>(Table26[[#This Row],[M2 Money Stock, Billions of Dollars, Weekly, Seasonally Adjusted]]-B397)/B397</f>
        <v/>
      </c>
      <c r="D398" s="40">
        <f>((1+Table26[[#This Row],[Weekly change]])^52)-1</f>
        <v/>
      </c>
      <c r="E398" s="85">
        <f>(Table26[[#This Row],[M2 Money Stock, Billions of Dollars, Weekly, Seasonally Adjusted]]-B346)/B346</f>
        <v/>
      </c>
    </row>
    <row r="399">
      <c r="A399" s="37" t="n">
        <v>32272</v>
      </c>
      <c r="B399" s="84" t="n">
        <v>2918.3</v>
      </c>
      <c r="C399" s="39">
        <f>(Table26[[#This Row],[M2 Money Stock, Billions of Dollars, Weekly, Seasonally Adjusted]]-B398)/B398</f>
        <v/>
      </c>
      <c r="D399" s="40">
        <f>((1+Table26[[#This Row],[Weekly change]])^52)-1</f>
        <v/>
      </c>
      <c r="E399" s="85">
        <f>(Table26[[#This Row],[M2 Money Stock, Billions of Dollars, Weekly, Seasonally Adjusted]]-B347)/B347</f>
        <v/>
      </c>
    </row>
    <row r="400">
      <c r="A400" s="37" t="n">
        <v>32279</v>
      </c>
      <c r="B400" s="84" t="n">
        <v>2922.7</v>
      </c>
      <c r="C400" s="39">
        <f>(Table26[[#This Row],[M2 Money Stock, Billions of Dollars, Weekly, Seasonally Adjusted]]-B399)/B399</f>
        <v/>
      </c>
      <c r="D400" s="40">
        <f>((1+Table26[[#This Row],[Weekly change]])^52)-1</f>
        <v/>
      </c>
      <c r="E400" s="85">
        <f>(Table26[[#This Row],[M2 Money Stock, Billions of Dollars, Weekly, Seasonally Adjusted]]-B348)/B348</f>
        <v/>
      </c>
    </row>
    <row r="401">
      <c r="A401" s="37" t="n">
        <v>32286</v>
      </c>
      <c r="B401" s="84" t="n">
        <v>2927</v>
      </c>
      <c r="C401" s="39">
        <f>(Table26[[#This Row],[M2 Money Stock, Billions of Dollars, Weekly, Seasonally Adjusted]]-B400)/B400</f>
        <v/>
      </c>
      <c r="D401" s="40">
        <f>((1+Table26[[#This Row],[Weekly change]])^52)-1</f>
        <v/>
      </c>
      <c r="E401" s="85">
        <f>(Table26[[#This Row],[M2 Money Stock, Billions of Dollars, Weekly, Seasonally Adjusted]]-B349)/B349</f>
        <v/>
      </c>
    </row>
    <row r="402">
      <c r="A402" s="37" t="n">
        <v>32293</v>
      </c>
      <c r="B402" s="84" t="n">
        <v>2929.5</v>
      </c>
      <c r="C402" s="39">
        <f>(Table26[[#This Row],[M2 Money Stock, Billions of Dollars, Weekly, Seasonally Adjusted]]-B401)/B401</f>
        <v/>
      </c>
      <c r="D402" s="40">
        <f>((1+Table26[[#This Row],[Weekly change]])^52)-1</f>
        <v/>
      </c>
      <c r="E402" s="85">
        <f>(Table26[[#This Row],[M2 Money Stock, Billions of Dollars, Weekly, Seasonally Adjusted]]-B350)/B350</f>
        <v/>
      </c>
    </row>
    <row r="403">
      <c r="A403" s="37" t="n">
        <v>32300</v>
      </c>
      <c r="B403" s="84" t="n">
        <v>2935.2</v>
      </c>
      <c r="C403" s="39">
        <f>(Table26[[#This Row],[M2 Money Stock, Billions of Dollars, Weekly, Seasonally Adjusted]]-B402)/B402</f>
        <v/>
      </c>
      <c r="D403" s="40">
        <f>((1+Table26[[#This Row],[Weekly change]])^52)-1</f>
        <v/>
      </c>
      <c r="E403" s="85">
        <f>(Table26[[#This Row],[M2 Money Stock, Billions of Dollars, Weekly, Seasonally Adjusted]]-B351)/B351</f>
        <v/>
      </c>
    </row>
    <row r="404">
      <c r="A404" s="37" t="n">
        <v>32307</v>
      </c>
      <c r="B404" s="84" t="n">
        <v>2937.5</v>
      </c>
      <c r="C404" s="39">
        <f>(Table26[[#This Row],[M2 Money Stock, Billions of Dollars, Weekly, Seasonally Adjusted]]-B403)/B403</f>
        <v/>
      </c>
      <c r="D404" s="40">
        <f>((1+Table26[[#This Row],[Weekly change]])^52)-1</f>
        <v/>
      </c>
      <c r="E404" s="85">
        <f>(Table26[[#This Row],[M2 Money Stock, Billions of Dollars, Weekly, Seasonally Adjusted]]-B352)/B352</f>
        <v/>
      </c>
    </row>
    <row r="405">
      <c r="A405" s="37" t="n">
        <v>32314</v>
      </c>
      <c r="B405" s="84" t="n">
        <v>2944.8</v>
      </c>
      <c r="C405" s="39">
        <f>(Table26[[#This Row],[M2 Money Stock, Billions of Dollars, Weekly, Seasonally Adjusted]]-B404)/B404</f>
        <v/>
      </c>
      <c r="D405" s="40">
        <f>((1+Table26[[#This Row],[Weekly change]])^52)-1</f>
        <v/>
      </c>
      <c r="E405" s="85">
        <f>(Table26[[#This Row],[M2 Money Stock, Billions of Dollars, Weekly, Seasonally Adjusted]]-B353)/B353</f>
        <v/>
      </c>
    </row>
    <row r="406">
      <c r="A406" s="37" t="n">
        <v>32321</v>
      </c>
      <c r="B406" s="84" t="n">
        <v>2949.1</v>
      </c>
      <c r="C406" s="39">
        <f>(Table26[[#This Row],[M2 Money Stock, Billions of Dollars, Weekly, Seasonally Adjusted]]-B405)/B405</f>
        <v/>
      </c>
      <c r="D406" s="40">
        <f>((1+Table26[[#This Row],[Weekly change]])^52)-1</f>
        <v/>
      </c>
      <c r="E406" s="85">
        <f>(Table26[[#This Row],[M2 Money Stock, Billions of Dollars, Weekly, Seasonally Adjusted]]-B354)/B354</f>
        <v/>
      </c>
    </row>
    <row r="407">
      <c r="A407" s="37" t="n">
        <v>32328</v>
      </c>
      <c r="B407" s="84" t="n">
        <v>2947.5</v>
      </c>
      <c r="C407" s="39">
        <f>(Table26[[#This Row],[M2 Money Stock, Billions of Dollars, Weekly, Seasonally Adjusted]]-B406)/B406</f>
        <v/>
      </c>
      <c r="D407" s="40">
        <f>((1+Table26[[#This Row],[Weekly change]])^52)-1</f>
        <v/>
      </c>
      <c r="E407" s="85">
        <f>(Table26[[#This Row],[M2 Money Stock, Billions of Dollars, Weekly, Seasonally Adjusted]]-B355)/B355</f>
        <v/>
      </c>
    </row>
    <row r="408">
      <c r="A408" s="37" t="n">
        <v>32335</v>
      </c>
      <c r="B408" s="84" t="n">
        <v>2950.1</v>
      </c>
      <c r="C408" s="39">
        <f>(Table26[[#This Row],[M2 Money Stock, Billions of Dollars, Weekly, Seasonally Adjusted]]-B407)/B407</f>
        <v/>
      </c>
      <c r="D408" s="40">
        <f>((1+Table26[[#This Row],[Weekly change]])^52)-1</f>
        <v/>
      </c>
      <c r="E408" s="85">
        <f>(Table26[[#This Row],[M2 Money Stock, Billions of Dollars, Weekly, Seasonally Adjusted]]-B356)/B356</f>
        <v/>
      </c>
    </row>
    <row r="409">
      <c r="A409" s="37" t="n">
        <v>32342</v>
      </c>
      <c r="B409" s="84" t="n">
        <v>2952.3</v>
      </c>
      <c r="C409" s="39">
        <f>(Table26[[#This Row],[M2 Money Stock, Billions of Dollars, Weekly, Seasonally Adjusted]]-B408)/B408</f>
        <v/>
      </c>
      <c r="D409" s="40">
        <f>((1+Table26[[#This Row],[Weekly change]])^52)-1</f>
        <v/>
      </c>
      <c r="E409" s="85">
        <f>(Table26[[#This Row],[M2 Money Stock, Billions of Dollars, Weekly, Seasonally Adjusted]]-B357)/B357</f>
        <v/>
      </c>
    </row>
    <row r="410">
      <c r="A410" s="37" t="n">
        <v>32349</v>
      </c>
      <c r="B410" s="84" t="n">
        <v>2955.4</v>
      </c>
      <c r="C410" s="39">
        <f>(Table26[[#This Row],[M2 Money Stock, Billions of Dollars, Weekly, Seasonally Adjusted]]-B409)/B409</f>
        <v/>
      </c>
      <c r="D410" s="40">
        <f>((1+Table26[[#This Row],[Weekly change]])^52)-1</f>
        <v/>
      </c>
      <c r="E410" s="85">
        <f>(Table26[[#This Row],[M2 Money Stock, Billions of Dollars, Weekly, Seasonally Adjusted]]-B358)/B358</f>
        <v/>
      </c>
    </row>
    <row r="411">
      <c r="A411" s="37" t="n">
        <v>32356</v>
      </c>
      <c r="B411" s="84" t="n">
        <v>2958.6</v>
      </c>
      <c r="C411" s="39">
        <f>(Table26[[#This Row],[M2 Money Stock, Billions of Dollars, Weekly, Seasonally Adjusted]]-B410)/B410</f>
        <v/>
      </c>
      <c r="D411" s="40">
        <f>((1+Table26[[#This Row],[Weekly change]])^52)-1</f>
        <v/>
      </c>
      <c r="E411" s="85">
        <f>(Table26[[#This Row],[M2 Money Stock, Billions of Dollars, Weekly, Seasonally Adjusted]]-B359)/B359</f>
        <v/>
      </c>
    </row>
    <row r="412">
      <c r="A412" s="37" t="n">
        <v>32363</v>
      </c>
      <c r="B412" s="84" t="n">
        <v>2956.2</v>
      </c>
      <c r="C412" s="39">
        <f>(Table26[[#This Row],[M2 Money Stock, Billions of Dollars, Weekly, Seasonally Adjusted]]-B411)/B411</f>
        <v/>
      </c>
      <c r="D412" s="40">
        <f>((1+Table26[[#This Row],[Weekly change]])^52)-1</f>
        <v/>
      </c>
      <c r="E412" s="85">
        <f>(Table26[[#This Row],[M2 Money Stock, Billions of Dollars, Weekly, Seasonally Adjusted]]-B360)/B360</f>
        <v/>
      </c>
    </row>
    <row r="413">
      <c r="A413" s="37" t="n">
        <v>32370</v>
      </c>
      <c r="B413" s="84" t="n">
        <v>2958.4</v>
      </c>
      <c r="C413" s="39">
        <f>(Table26[[#This Row],[M2 Money Stock, Billions of Dollars, Weekly, Seasonally Adjusted]]-B412)/B412</f>
        <v/>
      </c>
      <c r="D413" s="40">
        <f>((1+Table26[[#This Row],[Weekly change]])^52)-1</f>
        <v/>
      </c>
      <c r="E413" s="85">
        <f>(Table26[[#This Row],[M2 Money Stock, Billions of Dollars, Weekly, Seasonally Adjusted]]-B361)/B361</f>
        <v/>
      </c>
    </row>
    <row r="414">
      <c r="A414" s="37" t="n">
        <v>32377</v>
      </c>
      <c r="B414" s="84" t="n">
        <v>2959.7</v>
      </c>
      <c r="C414" s="39">
        <f>(Table26[[#This Row],[M2 Money Stock, Billions of Dollars, Weekly, Seasonally Adjusted]]-B413)/B413</f>
        <v/>
      </c>
      <c r="D414" s="40">
        <f>((1+Table26[[#This Row],[Weekly change]])^52)-1</f>
        <v/>
      </c>
      <c r="E414" s="85">
        <f>(Table26[[#This Row],[M2 Money Stock, Billions of Dollars, Weekly, Seasonally Adjusted]]-B362)/B362</f>
        <v/>
      </c>
    </row>
    <row r="415">
      <c r="A415" s="37" t="n">
        <v>32384</v>
      </c>
      <c r="B415" s="84" t="n">
        <v>2960.2</v>
      </c>
      <c r="C415" s="39">
        <f>(Table26[[#This Row],[M2 Money Stock, Billions of Dollars, Weekly, Seasonally Adjusted]]-B414)/B414</f>
        <v/>
      </c>
      <c r="D415" s="40">
        <f>((1+Table26[[#This Row],[Weekly change]])^52)-1</f>
        <v/>
      </c>
      <c r="E415" s="85">
        <f>(Table26[[#This Row],[M2 Money Stock, Billions of Dollars, Weekly, Seasonally Adjusted]]-B363)/B363</f>
        <v/>
      </c>
    </row>
    <row r="416">
      <c r="A416" s="37" t="n">
        <v>32391</v>
      </c>
      <c r="B416" s="84" t="n">
        <v>2959.5</v>
      </c>
      <c r="C416" s="39">
        <f>(Table26[[#This Row],[M2 Money Stock, Billions of Dollars, Weekly, Seasonally Adjusted]]-B415)/B415</f>
        <v/>
      </c>
      <c r="D416" s="40">
        <f>((1+Table26[[#This Row],[Weekly change]])^52)-1</f>
        <v/>
      </c>
      <c r="E416" s="85">
        <f>(Table26[[#This Row],[M2 Money Stock, Billions of Dollars, Weekly, Seasonally Adjusted]]-B364)/B364</f>
        <v/>
      </c>
    </row>
    <row r="417">
      <c r="A417" s="37" t="n">
        <v>32398</v>
      </c>
      <c r="B417" s="84" t="n">
        <v>2958.7</v>
      </c>
      <c r="C417" s="39">
        <f>(Table26[[#This Row],[M2 Money Stock, Billions of Dollars, Weekly, Seasonally Adjusted]]-B416)/B416</f>
        <v/>
      </c>
      <c r="D417" s="40">
        <f>((1+Table26[[#This Row],[Weekly change]])^52)-1</f>
        <v/>
      </c>
      <c r="E417" s="85">
        <f>(Table26[[#This Row],[M2 Money Stock, Billions of Dollars, Weekly, Seasonally Adjusted]]-B365)/B365</f>
        <v/>
      </c>
    </row>
    <row r="418">
      <c r="A418" s="37" t="n">
        <v>32405</v>
      </c>
      <c r="B418" s="84" t="n">
        <v>2962.5</v>
      </c>
      <c r="C418" s="39">
        <f>(Table26[[#This Row],[M2 Money Stock, Billions of Dollars, Weekly, Seasonally Adjusted]]-B417)/B417</f>
        <v/>
      </c>
      <c r="D418" s="40">
        <f>((1+Table26[[#This Row],[Weekly change]])^52)-1</f>
        <v/>
      </c>
      <c r="E418" s="85">
        <f>(Table26[[#This Row],[M2 Money Stock, Billions of Dollars, Weekly, Seasonally Adjusted]]-B366)/B366</f>
        <v/>
      </c>
    </row>
    <row r="419">
      <c r="A419" s="37" t="n">
        <v>32412</v>
      </c>
      <c r="B419" s="84" t="n">
        <v>2964.6</v>
      </c>
      <c r="C419" s="39">
        <f>(Table26[[#This Row],[M2 Money Stock, Billions of Dollars, Weekly, Seasonally Adjusted]]-B418)/B418</f>
        <v/>
      </c>
      <c r="D419" s="40">
        <f>((1+Table26[[#This Row],[Weekly change]])^52)-1</f>
        <v/>
      </c>
      <c r="E419" s="85">
        <f>(Table26[[#This Row],[M2 Money Stock, Billions of Dollars, Weekly, Seasonally Adjusted]]-B367)/B367</f>
        <v/>
      </c>
    </row>
    <row r="420">
      <c r="A420" s="37" t="n">
        <v>32419</v>
      </c>
      <c r="B420" s="84" t="n">
        <v>2961.9</v>
      </c>
      <c r="C420" s="39">
        <f>(Table26[[#This Row],[M2 Money Stock, Billions of Dollars, Weekly, Seasonally Adjusted]]-B419)/B419</f>
        <v/>
      </c>
      <c r="D420" s="40">
        <f>((1+Table26[[#This Row],[Weekly change]])^52)-1</f>
        <v/>
      </c>
      <c r="E420" s="85">
        <f>(Table26[[#This Row],[M2 Money Stock, Billions of Dollars, Weekly, Seasonally Adjusted]]-B368)/B368</f>
        <v/>
      </c>
    </row>
    <row r="421">
      <c r="A421" s="37" t="n">
        <v>32426</v>
      </c>
      <c r="B421" s="84" t="n">
        <v>2964.6</v>
      </c>
      <c r="C421" s="39">
        <f>(Table26[[#This Row],[M2 Money Stock, Billions of Dollars, Weekly, Seasonally Adjusted]]-B420)/B420</f>
        <v/>
      </c>
      <c r="D421" s="40">
        <f>((1+Table26[[#This Row],[Weekly change]])^52)-1</f>
        <v/>
      </c>
      <c r="E421" s="85">
        <f>(Table26[[#This Row],[M2 Money Stock, Billions of Dollars, Weekly, Seasonally Adjusted]]-B369)/B369</f>
        <v/>
      </c>
    </row>
    <row r="422">
      <c r="A422" s="37" t="n">
        <v>32433</v>
      </c>
      <c r="B422" s="84" t="n">
        <v>2969.4</v>
      </c>
      <c r="C422" s="39">
        <f>(Table26[[#This Row],[M2 Money Stock, Billions of Dollars, Weekly, Seasonally Adjusted]]-B421)/B421</f>
        <v/>
      </c>
      <c r="D422" s="40">
        <f>((1+Table26[[#This Row],[Weekly change]])^52)-1</f>
        <v/>
      </c>
      <c r="E422" s="85">
        <f>(Table26[[#This Row],[M2 Money Stock, Billions of Dollars, Weekly, Seasonally Adjusted]]-B370)/B370</f>
        <v/>
      </c>
    </row>
    <row r="423">
      <c r="A423" s="37" t="n">
        <v>32440</v>
      </c>
      <c r="B423" s="84" t="n">
        <v>2969.1</v>
      </c>
      <c r="C423" s="39">
        <f>(Table26[[#This Row],[M2 Money Stock, Billions of Dollars, Weekly, Seasonally Adjusted]]-B422)/B422</f>
        <v/>
      </c>
      <c r="D423" s="40">
        <f>((1+Table26[[#This Row],[Weekly change]])^52)-1</f>
        <v/>
      </c>
      <c r="E423" s="85">
        <f>(Table26[[#This Row],[M2 Money Stock, Billions of Dollars, Weekly, Seasonally Adjusted]]-B371)/B371</f>
        <v/>
      </c>
    </row>
    <row r="424">
      <c r="A424" s="37" t="n">
        <v>32447</v>
      </c>
      <c r="B424" s="84" t="n">
        <v>2972.3</v>
      </c>
      <c r="C424" s="39">
        <f>(Table26[[#This Row],[M2 Money Stock, Billions of Dollars, Weekly, Seasonally Adjusted]]-B423)/B423</f>
        <v/>
      </c>
      <c r="D424" s="40">
        <f>((1+Table26[[#This Row],[Weekly change]])^52)-1</f>
        <v/>
      </c>
      <c r="E424" s="85">
        <f>(Table26[[#This Row],[M2 Money Stock, Billions of Dollars, Weekly, Seasonally Adjusted]]-B372)/B372</f>
        <v/>
      </c>
    </row>
    <row r="425">
      <c r="A425" s="37" t="n">
        <v>32454</v>
      </c>
      <c r="B425" s="84" t="n">
        <v>2978.9</v>
      </c>
      <c r="C425" s="39">
        <f>(Table26[[#This Row],[M2 Money Stock, Billions of Dollars, Weekly, Seasonally Adjusted]]-B424)/B424</f>
        <v/>
      </c>
      <c r="D425" s="40">
        <f>((1+Table26[[#This Row],[Weekly change]])^52)-1</f>
        <v/>
      </c>
      <c r="E425" s="85">
        <f>(Table26[[#This Row],[M2 Money Stock, Billions of Dollars, Weekly, Seasonally Adjusted]]-B373)/B373</f>
        <v/>
      </c>
    </row>
    <row r="426">
      <c r="A426" s="37" t="n">
        <v>32461</v>
      </c>
      <c r="B426" s="84" t="n">
        <v>2982.1</v>
      </c>
      <c r="C426" s="39">
        <f>(Table26[[#This Row],[M2 Money Stock, Billions of Dollars, Weekly, Seasonally Adjusted]]-B425)/B425</f>
        <v/>
      </c>
      <c r="D426" s="40">
        <f>((1+Table26[[#This Row],[Weekly change]])^52)-1</f>
        <v/>
      </c>
      <c r="E426" s="85">
        <f>(Table26[[#This Row],[M2 Money Stock, Billions of Dollars, Weekly, Seasonally Adjusted]]-B374)/B374</f>
        <v/>
      </c>
    </row>
    <row r="427">
      <c r="A427" s="37" t="n">
        <v>32468</v>
      </c>
      <c r="B427" s="84" t="n">
        <v>2985.3</v>
      </c>
      <c r="C427" s="39">
        <f>(Table26[[#This Row],[M2 Money Stock, Billions of Dollars, Weekly, Seasonally Adjusted]]-B426)/B426</f>
        <v/>
      </c>
      <c r="D427" s="40">
        <f>((1+Table26[[#This Row],[Weekly change]])^52)-1</f>
        <v/>
      </c>
      <c r="E427" s="85">
        <f>(Table26[[#This Row],[M2 Money Stock, Billions of Dollars, Weekly, Seasonally Adjusted]]-B375)/B375</f>
        <v/>
      </c>
    </row>
    <row r="428">
      <c r="A428" s="37" t="n">
        <v>32475</v>
      </c>
      <c r="B428" s="84" t="n">
        <v>2988.4</v>
      </c>
      <c r="C428" s="39">
        <f>(Table26[[#This Row],[M2 Money Stock, Billions of Dollars, Weekly, Seasonally Adjusted]]-B427)/B427</f>
        <v/>
      </c>
      <c r="D428" s="40">
        <f>((1+Table26[[#This Row],[Weekly change]])^52)-1</f>
        <v/>
      </c>
      <c r="E428" s="85">
        <f>(Table26[[#This Row],[M2 Money Stock, Billions of Dollars, Weekly, Seasonally Adjusted]]-B376)/B376</f>
        <v/>
      </c>
    </row>
    <row r="429">
      <c r="A429" s="37" t="n">
        <v>32482</v>
      </c>
      <c r="B429" s="84" t="n">
        <v>2987</v>
      </c>
      <c r="C429" s="39">
        <f>(Table26[[#This Row],[M2 Money Stock, Billions of Dollars, Weekly, Seasonally Adjusted]]-B428)/B428</f>
        <v/>
      </c>
      <c r="D429" s="40">
        <f>((1+Table26[[#This Row],[Weekly change]])^52)-1</f>
        <v/>
      </c>
      <c r="E429" s="85">
        <f>(Table26[[#This Row],[M2 Money Stock, Billions of Dollars, Weekly, Seasonally Adjusted]]-B377)/B377</f>
        <v/>
      </c>
    </row>
    <row r="430">
      <c r="A430" s="37" t="n">
        <v>32489</v>
      </c>
      <c r="B430" s="84" t="n">
        <v>2989</v>
      </c>
      <c r="C430" s="39">
        <f>(Table26[[#This Row],[M2 Money Stock, Billions of Dollars, Weekly, Seasonally Adjusted]]-B429)/B429</f>
        <v/>
      </c>
      <c r="D430" s="40">
        <f>((1+Table26[[#This Row],[Weekly change]])^52)-1</f>
        <v/>
      </c>
      <c r="E430" s="85">
        <f>(Table26[[#This Row],[M2 Money Stock, Billions of Dollars, Weekly, Seasonally Adjusted]]-B378)/B378</f>
        <v/>
      </c>
    </row>
    <row r="431">
      <c r="A431" s="37" t="n">
        <v>32496</v>
      </c>
      <c r="B431" s="84" t="n">
        <v>2989.2</v>
      </c>
      <c r="C431" s="39">
        <f>(Table26[[#This Row],[M2 Money Stock, Billions of Dollars, Weekly, Seasonally Adjusted]]-B430)/B430</f>
        <v/>
      </c>
      <c r="D431" s="40">
        <f>((1+Table26[[#This Row],[Weekly change]])^52)-1</f>
        <v/>
      </c>
      <c r="E431" s="85">
        <f>(Table26[[#This Row],[M2 Money Stock, Billions of Dollars, Weekly, Seasonally Adjusted]]-B379)/B379</f>
        <v/>
      </c>
    </row>
    <row r="432">
      <c r="A432" s="37" t="n">
        <v>32503</v>
      </c>
      <c r="B432" s="84" t="n">
        <v>2989.5</v>
      </c>
      <c r="C432" s="39">
        <f>(Table26[[#This Row],[M2 Money Stock, Billions of Dollars, Weekly, Seasonally Adjusted]]-B431)/B431</f>
        <v/>
      </c>
      <c r="D432" s="40">
        <f>((1+Table26[[#This Row],[Weekly change]])^52)-1</f>
        <v/>
      </c>
      <c r="E432" s="85">
        <f>(Table26[[#This Row],[M2 Money Stock, Billions of Dollars, Weekly, Seasonally Adjusted]]-B380)/B380</f>
        <v/>
      </c>
    </row>
    <row r="433">
      <c r="A433" s="37" t="n">
        <v>32510</v>
      </c>
      <c r="B433" s="84" t="n">
        <v>2994.1</v>
      </c>
      <c r="C433" s="39">
        <f>(Table26[[#This Row],[M2 Money Stock, Billions of Dollars, Weekly, Seasonally Adjusted]]-B432)/B432</f>
        <v/>
      </c>
      <c r="D433" s="40">
        <f>((1+Table26[[#This Row],[Weekly change]])^52)-1</f>
        <v/>
      </c>
      <c r="E433" s="85">
        <f>(Table26[[#This Row],[M2 Money Stock, Billions of Dollars, Weekly, Seasonally Adjusted]]-B381)/B381</f>
        <v/>
      </c>
    </row>
    <row r="434">
      <c r="A434" s="37" t="n">
        <v>32517</v>
      </c>
      <c r="B434" s="84" t="n">
        <v>2993.8</v>
      </c>
      <c r="C434" s="39">
        <f>(Table26[[#This Row],[M2 Money Stock, Billions of Dollars, Weekly, Seasonally Adjusted]]-B433)/B433</f>
        <v/>
      </c>
      <c r="D434" s="40">
        <f>((1+Table26[[#This Row],[Weekly change]])^52)-1</f>
        <v/>
      </c>
      <c r="E434" s="85">
        <f>(Table26[[#This Row],[M2 Money Stock, Billions of Dollars, Weekly, Seasonally Adjusted]]-B382)/B382</f>
        <v/>
      </c>
    </row>
    <row r="435">
      <c r="A435" s="37" t="n">
        <v>32524</v>
      </c>
      <c r="B435" s="84" t="n">
        <v>2994.7</v>
      </c>
      <c r="C435" s="39">
        <f>(Table26[[#This Row],[M2 Money Stock, Billions of Dollars, Weekly, Seasonally Adjusted]]-B434)/B434</f>
        <v/>
      </c>
      <c r="D435" s="40">
        <f>((1+Table26[[#This Row],[Weekly change]])^52)-1</f>
        <v/>
      </c>
      <c r="E435" s="85">
        <f>(Table26[[#This Row],[M2 Money Stock, Billions of Dollars, Weekly, Seasonally Adjusted]]-B383)/B383</f>
        <v/>
      </c>
    </row>
    <row r="436">
      <c r="A436" s="37" t="n">
        <v>32531</v>
      </c>
      <c r="B436" s="84" t="n">
        <v>2994.6</v>
      </c>
      <c r="C436" s="39">
        <f>(Table26[[#This Row],[M2 Money Stock, Billions of Dollars, Weekly, Seasonally Adjusted]]-B435)/B435</f>
        <v/>
      </c>
      <c r="D436" s="40">
        <f>((1+Table26[[#This Row],[Weekly change]])^52)-1</f>
        <v/>
      </c>
      <c r="E436" s="85">
        <f>(Table26[[#This Row],[M2 Money Stock, Billions of Dollars, Weekly, Seasonally Adjusted]]-B384)/B384</f>
        <v/>
      </c>
    </row>
    <row r="437">
      <c r="A437" s="37" t="n">
        <v>32538</v>
      </c>
      <c r="B437" s="84" t="n">
        <v>2989.3</v>
      </c>
      <c r="C437" s="39">
        <f>(Table26[[#This Row],[M2 Money Stock, Billions of Dollars, Weekly, Seasonally Adjusted]]-B436)/B436</f>
        <v/>
      </c>
      <c r="D437" s="40">
        <f>((1+Table26[[#This Row],[Weekly change]])^52)-1</f>
        <v/>
      </c>
      <c r="E437" s="85">
        <f>(Table26[[#This Row],[M2 Money Stock, Billions of Dollars, Weekly, Seasonally Adjusted]]-B385)/B385</f>
        <v/>
      </c>
    </row>
    <row r="438">
      <c r="A438" s="37" t="n">
        <v>32545</v>
      </c>
      <c r="B438" s="84" t="n">
        <v>2987.5</v>
      </c>
      <c r="C438" s="39">
        <f>(Table26[[#This Row],[M2 Money Stock, Billions of Dollars, Weekly, Seasonally Adjusted]]-B437)/B437</f>
        <v/>
      </c>
      <c r="D438" s="40">
        <f>((1+Table26[[#This Row],[Weekly change]])^52)-1</f>
        <v/>
      </c>
      <c r="E438" s="85">
        <f>(Table26[[#This Row],[M2 Money Stock, Billions of Dollars, Weekly, Seasonally Adjusted]]-B386)/B386</f>
        <v/>
      </c>
    </row>
    <row r="439">
      <c r="A439" s="37" t="n">
        <v>32552</v>
      </c>
      <c r="B439" s="84" t="n">
        <v>2985.3</v>
      </c>
      <c r="C439" s="39">
        <f>(Table26[[#This Row],[M2 Money Stock, Billions of Dollars, Weekly, Seasonally Adjusted]]-B438)/B438</f>
        <v/>
      </c>
      <c r="D439" s="40">
        <f>((1+Table26[[#This Row],[Weekly change]])^52)-1</f>
        <v/>
      </c>
      <c r="E439" s="85">
        <f>(Table26[[#This Row],[M2 Money Stock, Billions of Dollars, Weekly, Seasonally Adjusted]]-B387)/B387</f>
        <v/>
      </c>
    </row>
    <row r="440">
      <c r="A440" s="37" t="n">
        <v>32559</v>
      </c>
      <c r="B440" s="84" t="n">
        <v>2987.1</v>
      </c>
      <c r="C440" s="39">
        <f>(Table26[[#This Row],[M2 Money Stock, Billions of Dollars, Weekly, Seasonally Adjusted]]-B439)/B439</f>
        <v/>
      </c>
      <c r="D440" s="40">
        <f>((1+Table26[[#This Row],[Weekly change]])^52)-1</f>
        <v/>
      </c>
      <c r="E440" s="85">
        <f>(Table26[[#This Row],[M2 Money Stock, Billions of Dollars, Weekly, Seasonally Adjusted]]-B388)/B388</f>
        <v/>
      </c>
    </row>
    <row r="441">
      <c r="A441" s="37" t="n">
        <v>32566</v>
      </c>
      <c r="B441" s="84" t="n">
        <v>2988.7</v>
      </c>
      <c r="C441" s="39">
        <f>(Table26[[#This Row],[M2 Money Stock, Billions of Dollars, Weekly, Seasonally Adjusted]]-B440)/B440</f>
        <v/>
      </c>
      <c r="D441" s="40">
        <f>((1+Table26[[#This Row],[Weekly change]])^52)-1</f>
        <v/>
      </c>
      <c r="E441" s="85">
        <f>(Table26[[#This Row],[M2 Money Stock, Billions of Dollars, Weekly, Seasonally Adjusted]]-B389)/B389</f>
        <v/>
      </c>
    </row>
    <row r="442">
      <c r="A442" s="37" t="n">
        <v>32573</v>
      </c>
      <c r="B442" s="84" t="n">
        <v>2997.3</v>
      </c>
      <c r="C442" s="39">
        <f>(Table26[[#This Row],[M2 Money Stock, Billions of Dollars, Weekly, Seasonally Adjusted]]-B441)/B441</f>
        <v/>
      </c>
      <c r="D442" s="40">
        <f>((1+Table26[[#This Row],[Weekly change]])^52)-1</f>
        <v/>
      </c>
      <c r="E442" s="85">
        <f>(Table26[[#This Row],[M2 Money Stock, Billions of Dollars, Weekly, Seasonally Adjusted]]-B390)/B390</f>
        <v/>
      </c>
    </row>
    <row r="443">
      <c r="A443" s="37" t="n">
        <v>32580</v>
      </c>
      <c r="B443" s="84" t="n">
        <v>2995.8</v>
      </c>
      <c r="C443" s="39">
        <f>(Table26[[#This Row],[M2 Money Stock, Billions of Dollars, Weekly, Seasonally Adjusted]]-B442)/B442</f>
        <v/>
      </c>
      <c r="D443" s="40">
        <f>((1+Table26[[#This Row],[Weekly change]])^52)-1</f>
        <v/>
      </c>
      <c r="E443" s="85">
        <f>(Table26[[#This Row],[M2 Money Stock, Billions of Dollars, Weekly, Seasonally Adjusted]]-B391)/B391</f>
        <v/>
      </c>
    </row>
    <row r="444">
      <c r="A444" s="37" t="n">
        <v>32587</v>
      </c>
      <c r="B444" s="84" t="n">
        <v>2999.5</v>
      </c>
      <c r="C444" s="39">
        <f>(Table26[[#This Row],[M2 Money Stock, Billions of Dollars, Weekly, Seasonally Adjusted]]-B443)/B443</f>
        <v/>
      </c>
      <c r="D444" s="40">
        <f>((1+Table26[[#This Row],[Weekly change]])^52)-1</f>
        <v/>
      </c>
      <c r="E444" s="85">
        <f>(Table26[[#This Row],[M2 Money Stock, Billions of Dollars, Weekly, Seasonally Adjusted]]-B392)/B392</f>
        <v/>
      </c>
    </row>
    <row r="445">
      <c r="A445" s="37" t="n">
        <v>32594</v>
      </c>
      <c r="B445" s="84" t="n">
        <v>3002.7</v>
      </c>
      <c r="C445" s="39">
        <f>(Table26[[#This Row],[M2 Money Stock, Billions of Dollars, Weekly, Seasonally Adjusted]]-B444)/B444</f>
        <v/>
      </c>
      <c r="D445" s="40">
        <f>((1+Table26[[#This Row],[Weekly change]])^52)-1</f>
        <v/>
      </c>
      <c r="E445" s="85">
        <f>(Table26[[#This Row],[M2 Money Stock, Billions of Dollars, Weekly, Seasonally Adjusted]]-B393)/B393</f>
        <v/>
      </c>
    </row>
    <row r="446">
      <c r="A446" s="37" t="n">
        <v>32601</v>
      </c>
      <c r="B446" s="84" t="n">
        <v>3000.6</v>
      </c>
      <c r="C446" s="39">
        <f>(Table26[[#This Row],[M2 Money Stock, Billions of Dollars, Weekly, Seasonally Adjusted]]-B445)/B445</f>
        <v/>
      </c>
      <c r="D446" s="40">
        <f>((1+Table26[[#This Row],[Weekly change]])^52)-1</f>
        <v/>
      </c>
      <c r="E446" s="85">
        <f>(Table26[[#This Row],[M2 Money Stock, Billions of Dollars, Weekly, Seasonally Adjusted]]-B394)/B394</f>
        <v/>
      </c>
    </row>
    <row r="447">
      <c r="A447" s="37" t="n">
        <v>32608</v>
      </c>
      <c r="B447" s="84" t="n">
        <v>3001.5</v>
      </c>
      <c r="C447" s="39">
        <f>(Table26[[#This Row],[M2 Money Stock, Billions of Dollars, Weekly, Seasonally Adjusted]]-B446)/B446</f>
        <v/>
      </c>
      <c r="D447" s="40">
        <f>((1+Table26[[#This Row],[Weekly change]])^52)-1</f>
        <v/>
      </c>
      <c r="E447" s="85">
        <f>(Table26[[#This Row],[M2 Money Stock, Billions of Dollars, Weekly, Seasonally Adjusted]]-B395)/B395</f>
        <v/>
      </c>
    </row>
    <row r="448">
      <c r="A448" s="37" t="n">
        <v>32615</v>
      </c>
      <c r="B448" s="84" t="n">
        <v>3004</v>
      </c>
      <c r="C448" s="39">
        <f>(Table26[[#This Row],[M2 Money Stock, Billions of Dollars, Weekly, Seasonally Adjusted]]-B447)/B447</f>
        <v/>
      </c>
      <c r="D448" s="40">
        <f>((1+Table26[[#This Row],[Weekly change]])^52)-1</f>
        <v/>
      </c>
      <c r="E448" s="85">
        <f>(Table26[[#This Row],[M2 Money Stock, Billions of Dollars, Weekly, Seasonally Adjusted]]-B396)/B396</f>
        <v/>
      </c>
    </row>
    <row r="449">
      <c r="A449" s="37" t="n">
        <v>32622</v>
      </c>
      <c r="B449" s="84" t="n">
        <v>3008.9</v>
      </c>
      <c r="C449" s="39">
        <f>(Table26[[#This Row],[M2 Money Stock, Billions of Dollars, Weekly, Seasonally Adjusted]]-B448)/B448</f>
        <v/>
      </c>
      <c r="D449" s="40">
        <f>((1+Table26[[#This Row],[Weekly change]])^52)-1</f>
        <v/>
      </c>
      <c r="E449" s="85">
        <f>(Table26[[#This Row],[M2 Money Stock, Billions of Dollars, Weekly, Seasonally Adjusted]]-B397)/B397</f>
        <v/>
      </c>
    </row>
    <row r="450">
      <c r="A450" s="37" t="n">
        <v>32629</v>
      </c>
      <c r="B450" s="84" t="n">
        <v>3009.1</v>
      </c>
      <c r="C450" s="39">
        <f>(Table26[[#This Row],[M2 Money Stock, Billions of Dollars, Weekly, Seasonally Adjusted]]-B449)/B449</f>
        <v/>
      </c>
      <c r="D450" s="40">
        <f>((1+Table26[[#This Row],[Weekly change]])^52)-1</f>
        <v/>
      </c>
      <c r="E450" s="85">
        <f>(Table26[[#This Row],[M2 Money Stock, Billions of Dollars, Weekly, Seasonally Adjusted]]-B398)/B398</f>
        <v/>
      </c>
    </row>
    <row r="451">
      <c r="A451" s="37" t="n">
        <v>32636</v>
      </c>
      <c r="B451" s="84" t="n">
        <v>3001.9</v>
      </c>
      <c r="C451" s="39">
        <f>(Table26[[#This Row],[M2 Money Stock, Billions of Dollars, Weekly, Seasonally Adjusted]]-B450)/B450</f>
        <v/>
      </c>
      <c r="D451" s="40">
        <f>((1+Table26[[#This Row],[Weekly change]])^52)-1</f>
        <v/>
      </c>
      <c r="E451" s="85">
        <f>(Table26[[#This Row],[M2 Money Stock, Billions of Dollars, Weekly, Seasonally Adjusted]]-B399)/B399</f>
        <v/>
      </c>
    </row>
    <row r="452">
      <c r="A452" s="37" t="n">
        <v>32643</v>
      </c>
      <c r="B452" s="84" t="n">
        <v>3004.2</v>
      </c>
      <c r="C452" s="39">
        <f>(Table26[[#This Row],[M2 Money Stock, Billions of Dollars, Weekly, Seasonally Adjusted]]-B451)/B451</f>
        <v/>
      </c>
      <c r="D452" s="40">
        <f>((1+Table26[[#This Row],[Weekly change]])^52)-1</f>
        <v/>
      </c>
      <c r="E452" s="85">
        <f>(Table26[[#This Row],[M2 Money Stock, Billions of Dollars, Weekly, Seasonally Adjusted]]-B400)/B400</f>
        <v/>
      </c>
    </row>
    <row r="453">
      <c r="A453" s="37" t="n">
        <v>32650</v>
      </c>
      <c r="B453" s="84" t="n">
        <v>3005.7</v>
      </c>
      <c r="C453" s="39">
        <f>(Table26[[#This Row],[M2 Money Stock, Billions of Dollars, Weekly, Seasonally Adjusted]]-B452)/B452</f>
        <v/>
      </c>
      <c r="D453" s="40">
        <f>((1+Table26[[#This Row],[Weekly change]])^52)-1</f>
        <v/>
      </c>
      <c r="E453" s="85">
        <f>(Table26[[#This Row],[M2 Money Stock, Billions of Dollars, Weekly, Seasonally Adjusted]]-B401)/B401</f>
        <v/>
      </c>
    </row>
    <row r="454">
      <c r="A454" s="37" t="n">
        <v>32657</v>
      </c>
      <c r="B454" s="84" t="n">
        <v>3009.7</v>
      </c>
      <c r="C454" s="39">
        <f>(Table26[[#This Row],[M2 Money Stock, Billions of Dollars, Weekly, Seasonally Adjusted]]-B453)/B453</f>
        <v/>
      </c>
      <c r="D454" s="40">
        <f>((1+Table26[[#This Row],[Weekly change]])^52)-1</f>
        <v/>
      </c>
      <c r="E454" s="85">
        <f>(Table26[[#This Row],[M2 Money Stock, Billions of Dollars, Weekly, Seasonally Adjusted]]-B402)/B402</f>
        <v/>
      </c>
    </row>
    <row r="455">
      <c r="A455" s="37" t="n">
        <v>32664</v>
      </c>
      <c r="B455" s="84" t="n">
        <v>3015.1</v>
      </c>
      <c r="C455" s="39">
        <f>(Table26[[#This Row],[M2 Money Stock, Billions of Dollars, Weekly, Seasonally Adjusted]]-B454)/B454</f>
        <v/>
      </c>
      <c r="D455" s="40">
        <f>((1+Table26[[#This Row],[Weekly change]])^52)-1</f>
        <v/>
      </c>
      <c r="E455" s="85">
        <f>(Table26[[#This Row],[M2 Money Stock, Billions of Dollars, Weekly, Seasonally Adjusted]]-B403)/B403</f>
        <v/>
      </c>
    </row>
    <row r="456">
      <c r="A456" s="37" t="n">
        <v>32671</v>
      </c>
      <c r="B456" s="84" t="n">
        <v>3018.8</v>
      </c>
      <c r="C456" s="39">
        <f>(Table26[[#This Row],[M2 Money Stock, Billions of Dollars, Weekly, Seasonally Adjusted]]-B455)/B455</f>
        <v/>
      </c>
      <c r="D456" s="40">
        <f>((1+Table26[[#This Row],[Weekly change]])^52)-1</f>
        <v/>
      </c>
      <c r="E456" s="85">
        <f>(Table26[[#This Row],[M2 Money Stock, Billions of Dollars, Weekly, Seasonally Adjusted]]-B404)/B404</f>
        <v/>
      </c>
    </row>
    <row r="457">
      <c r="A457" s="37" t="n">
        <v>32678</v>
      </c>
      <c r="B457" s="84" t="n">
        <v>3023.9</v>
      </c>
      <c r="C457" s="39">
        <f>(Table26[[#This Row],[M2 Money Stock, Billions of Dollars, Weekly, Seasonally Adjusted]]-B456)/B456</f>
        <v/>
      </c>
      <c r="D457" s="40">
        <f>((1+Table26[[#This Row],[Weekly change]])^52)-1</f>
        <v/>
      </c>
      <c r="E457" s="85">
        <f>(Table26[[#This Row],[M2 Money Stock, Billions of Dollars, Weekly, Seasonally Adjusted]]-B405)/B405</f>
        <v/>
      </c>
    </row>
    <row r="458">
      <c r="A458" s="37" t="n">
        <v>32685</v>
      </c>
      <c r="B458" s="84" t="n">
        <v>3030.6</v>
      </c>
      <c r="C458" s="39">
        <f>(Table26[[#This Row],[M2 Money Stock, Billions of Dollars, Weekly, Seasonally Adjusted]]-B457)/B457</f>
        <v/>
      </c>
      <c r="D458" s="40">
        <f>((1+Table26[[#This Row],[Weekly change]])^52)-1</f>
        <v/>
      </c>
      <c r="E458" s="85">
        <f>(Table26[[#This Row],[M2 Money Stock, Billions of Dollars, Weekly, Seasonally Adjusted]]-B406)/B406</f>
        <v/>
      </c>
    </row>
    <row r="459">
      <c r="A459" s="37" t="n">
        <v>32692</v>
      </c>
      <c r="B459" s="84" t="n">
        <v>3036.9</v>
      </c>
      <c r="C459" s="39">
        <f>(Table26[[#This Row],[M2 Money Stock, Billions of Dollars, Weekly, Seasonally Adjusted]]-B458)/B458</f>
        <v/>
      </c>
      <c r="D459" s="40">
        <f>((1+Table26[[#This Row],[Weekly change]])^52)-1</f>
        <v/>
      </c>
      <c r="E459" s="85">
        <f>(Table26[[#This Row],[M2 Money Stock, Billions of Dollars, Weekly, Seasonally Adjusted]]-B407)/B407</f>
        <v/>
      </c>
    </row>
    <row r="460">
      <c r="A460" s="37" t="n">
        <v>32699</v>
      </c>
      <c r="B460" s="84" t="n">
        <v>3048</v>
      </c>
      <c r="C460" s="39">
        <f>(Table26[[#This Row],[M2 Money Stock, Billions of Dollars, Weekly, Seasonally Adjusted]]-B459)/B459</f>
        <v/>
      </c>
      <c r="D460" s="40">
        <f>((1+Table26[[#This Row],[Weekly change]])^52)-1</f>
        <v/>
      </c>
      <c r="E460" s="85">
        <f>(Table26[[#This Row],[M2 Money Stock, Billions of Dollars, Weekly, Seasonally Adjusted]]-B408)/B408</f>
        <v/>
      </c>
    </row>
    <row r="461">
      <c r="A461" s="37" t="n">
        <v>32706</v>
      </c>
      <c r="B461" s="84" t="n">
        <v>3050.5</v>
      </c>
      <c r="C461" s="39">
        <f>(Table26[[#This Row],[M2 Money Stock, Billions of Dollars, Weekly, Seasonally Adjusted]]-B460)/B460</f>
        <v/>
      </c>
      <c r="D461" s="40">
        <f>((1+Table26[[#This Row],[Weekly change]])^52)-1</f>
        <v/>
      </c>
      <c r="E461" s="85">
        <f>(Table26[[#This Row],[M2 Money Stock, Billions of Dollars, Weekly, Seasonally Adjusted]]-B409)/B409</f>
        <v/>
      </c>
    </row>
    <row r="462">
      <c r="A462" s="37" t="n">
        <v>32713</v>
      </c>
      <c r="B462" s="84" t="n">
        <v>3053.8</v>
      </c>
      <c r="C462" s="39">
        <f>(Table26[[#This Row],[M2 Money Stock, Billions of Dollars, Weekly, Seasonally Adjusted]]-B461)/B461</f>
        <v/>
      </c>
      <c r="D462" s="40">
        <f>((1+Table26[[#This Row],[Weekly change]])^52)-1</f>
        <v/>
      </c>
      <c r="E462" s="85">
        <f>(Table26[[#This Row],[M2 Money Stock, Billions of Dollars, Weekly, Seasonally Adjusted]]-B410)/B410</f>
        <v/>
      </c>
    </row>
    <row r="463">
      <c r="A463" s="37" t="n">
        <v>32720</v>
      </c>
      <c r="B463" s="84" t="n">
        <v>3056.7</v>
      </c>
      <c r="C463" s="39">
        <f>(Table26[[#This Row],[M2 Money Stock, Billions of Dollars, Weekly, Seasonally Adjusted]]-B462)/B462</f>
        <v/>
      </c>
      <c r="D463" s="40">
        <f>((1+Table26[[#This Row],[Weekly change]])^52)-1</f>
        <v/>
      </c>
      <c r="E463" s="85">
        <f>(Table26[[#This Row],[M2 Money Stock, Billions of Dollars, Weekly, Seasonally Adjusted]]-B411)/B411</f>
        <v/>
      </c>
    </row>
    <row r="464">
      <c r="A464" s="37" t="n">
        <v>32727</v>
      </c>
      <c r="B464" s="84" t="n">
        <v>3064.4</v>
      </c>
      <c r="C464" s="39">
        <f>(Table26[[#This Row],[M2 Money Stock, Billions of Dollars, Weekly, Seasonally Adjusted]]-B463)/B463</f>
        <v/>
      </c>
      <c r="D464" s="40">
        <f>((1+Table26[[#This Row],[Weekly change]])^52)-1</f>
        <v/>
      </c>
      <c r="E464" s="85">
        <f>(Table26[[#This Row],[M2 Money Stock, Billions of Dollars, Weekly, Seasonally Adjusted]]-B412)/B412</f>
        <v/>
      </c>
    </row>
    <row r="465">
      <c r="A465" s="37" t="n">
        <v>32734</v>
      </c>
      <c r="B465" s="84" t="n">
        <v>3068.3</v>
      </c>
      <c r="C465" s="39">
        <f>(Table26[[#This Row],[M2 Money Stock, Billions of Dollars, Weekly, Seasonally Adjusted]]-B464)/B464</f>
        <v/>
      </c>
      <c r="D465" s="40">
        <f>((1+Table26[[#This Row],[Weekly change]])^52)-1</f>
        <v/>
      </c>
      <c r="E465" s="85">
        <f>(Table26[[#This Row],[M2 Money Stock, Billions of Dollars, Weekly, Seasonally Adjusted]]-B413)/B413</f>
        <v/>
      </c>
    </row>
    <row r="466">
      <c r="A466" s="37" t="n">
        <v>32741</v>
      </c>
      <c r="B466" s="84" t="n">
        <v>3072.6</v>
      </c>
      <c r="C466" s="39">
        <f>(Table26[[#This Row],[M2 Money Stock, Billions of Dollars, Weekly, Seasonally Adjusted]]-B465)/B465</f>
        <v/>
      </c>
      <c r="D466" s="40">
        <f>((1+Table26[[#This Row],[Weekly change]])^52)-1</f>
        <v/>
      </c>
      <c r="E466" s="85">
        <f>(Table26[[#This Row],[M2 Money Stock, Billions of Dollars, Weekly, Seasonally Adjusted]]-B414)/B414</f>
        <v/>
      </c>
    </row>
    <row r="467">
      <c r="A467" s="37" t="n">
        <v>32748</v>
      </c>
      <c r="B467" s="84" t="n">
        <v>3075.3</v>
      </c>
      <c r="C467" s="39">
        <f>(Table26[[#This Row],[M2 Money Stock, Billions of Dollars, Weekly, Seasonally Adjusted]]-B466)/B466</f>
        <v/>
      </c>
      <c r="D467" s="40">
        <f>((1+Table26[[#This Row],[Weekly change]])^52)-1</f>
        <v/>
      </c>
      <c r="E467" s="85">
        <f>(Table26[[#This Row],[M2 Money Stock, Billions of Dollars, Weekly, Seasonally Adjusted]]-B415)/B415</f>
        <v/>
      </c>
    </row>
    <row r="468">
      <c r="A468" s="37" t="n">
        <v>32755</v>
      </c>
      <c r="B468" s="84" t="n">
        <v>3076.1</v>
      </c>
      <c r="C468" s="39">
        <f>(Table26[[#This Row],[M2 Money Stock, Billions of Dollars, Weekly, Seasonally Adjusted]]-B467)/B467</f>
        <v/>
      </c>
      <c r="D468" s="40">
        <f>((1+Table26[[#This Row],[Weekly change]])^52)-1</f>
        <v/>
      </c>
      <c r="E468" s="85">
        <f>(Table26[[#This Row],[M2 Money Stock, Billions of Dollars, Weekly, Seasonally Adjusted]]-B416)/B416</f>
        <v/>
      </c>
    </row>
    <row r="469">
      <c r="A469" s="37" t="n">
        <v>32762</v>
      </c>
      <c r="B469" s="84" t="n">
        <v>3082.6</v>
      </c>
      <c r="C469" s="39">
        <f>(Table26[[#This Row],[M2 Money Stock, Billions of Dollars, Weekly, Seasonally Adjusted]]-B468)/B468</f>
        <v/>
      </c>
      <c r="D469" s="40">
        <f>((1+Table26[[#This Row],[Weekly change]])^52)-1</f>
        <v/>
      </c>
      <c r="E469" s="85">
        <f>(Table26[[#This Row],[M2 Money Stock, Billions of Dollars, Weekly, Seasonally Adjusted]]-B417)/B417</f>
        <v/>
      </c>
    </row>
    <row r="470">
      <c r="A470" s="37" t="n">
        <v>32769</v>
      </c>
      <c r="B470" s="84" t="n">
        <v>3086.4</v>
      </c>
      <c r="C470" s="39">
        <f>(Table26[[#This Row],[M2 Money Stock, Billions of Dollars, Weekly, Seasonally Adjusted]]-B469)/B469</f>
        <v/>
      </c>
      <c r="D470" s="40">
        <f>((1+Table26[[#This Row],[Weekly change]])^52)-1</f>
        <v/>
      </c>
      <c r="E470" s="85">
        <f>(Table26[[#This Row],[M2 Money Stock, Billions of Dollars, Weekly, Seasonally Adjusted]]-B418)/B418</f>
        <v/>
      </c>
    </row>
    <row r="471">
      <c r="A471" s="37" t="n">
        <v>32776</v>
      </c>
      <c r="B471" s="84" t="n">
        <v>3090.8</v>
      </c>
      <c r="C471" s="39">
        <f>(Table26[[#This Row],[M2 Money Stock, Billions of Dollars, Weekly, Seasonally Adjusted]]-B470)/B470</f>
        <v/>
      </c>
      <c r="D471" s="40">
        <f>((1+Table26[[#This Row],[Weekly change]])^52)-1</f>
        <v/>
      </c>
      <c r="E471" s="85">
        <f>(Table26[[#This Row],[M2 Money Stock, Billions of Dollars, Weekly, Seasonally Adjusted]]-B419)/B419</f>
        <v/>
      </c>
    </row>
    <row r="472">
      <c r="A472" s="37" t="n">
        <v>32783</v>
      </c>
      <c r="B472" s="84" t="n">
        <v>3098.9</v>
      </c>
      <c r="C472" s="39">
        <f>(Table26[[#This Row],[M2 Money Stock, Billions of Dollars, Weekly, Seasonally Adjusted]]-B471)/B471</f>
        <v/>
      </c>
      <c r="D472" s="40">
        <f>((1+Table26[[#This Row],[Weekly change]])^52)-1</f>
        <v/>
      </c>
      <c r="E472" s="85">
        <f>(Table26[[#This Row],[M2 Money Stock, Billions of Dollars, Weekly, Seasonally Adjusted]]-B420)/B420</f>
        <v/>
      </c>
    </row>
    <row r="473">
      <c r="A473" s="37" t="n">
        <v>32790</v>
      </c>
      <c r="B473" s="84" t="n">
        <v>3105.3</v>
      </c>
      <c r="C473" s="39">
        <f>(Table26[[#This Row],[M2 Money Stock, Billions of Dollars, Weekly, Seasonally Adjusted]]-B472)/B472</f>
        <v/>
      </c>
      <c r="D473" s="40">
        <f>((1+Table26[[#This Row],[Weekly change]])^52)-1</f>
        <v/>
      </c>
      <c r="E473" s="85">
        <f>(Table26[[#This Row],[M2 Money Stock, Billions of Dollars, Weekly, Seasonally Adjusted]]-B421)/B421</f>
        <v/>
      </c>
    </row>
    <row r="474">
      <c r="A474" s="37" t="n">
        <v>32797</v>
      </c>
      <c r="B474" s="84" t="n">
        <v>3111.5</v>
      </c>
      <c r="C474" s="39">
        <f>(Table26[[#This Row],[M2 Money Stock, Billions of Dollars, Weekly, Seasonally Adjusted]]-B473)/B473</f>
        <v/>
      </c>
      <c r="D474" s="40">
        <f>((1+Table26[[#This Row],[Weekly change]])^52)-1</f>
        <v/>
      </c>
      <c r="E474" s="85">
        <f>(Table26[[#This Row],[M2 Money Stock, Billions of Dollars, Weekly, Seasonally Adjusted]]-B422)/B422</f>
        <v/>
      </c>
    </row>
    <row r="475">
      <c r="A475" s="37" t="n">
        <v>32804</v>
      </c>
      <c r="B475" s="84" t="n">
        <v>3116.6</v>
      </c>
      <c r="C475" s="39">
        <f>(Table26[[#This Row],[M2 Money Stock, Billions of Dollars, Weekly, Seasonally Adjusted]]-B474)/B474</f>
        <v/>
      </c>
      <c r="D475" s="40">
        <f>((1+Table26[[#This Row],[Weekly change]])^52)-1</f>
        <v/>
      </c>
      <c r="E475" s="85">
        <f>(Table26[[#This Row],[M2 Money Stock, Billions of Dollars, Weekly, Seasonally Adjusted]]-B423)/B423</f>
        <v/>
      </c>
    </row>
    <row r="476">
      <c r="A476" s="37" t="n">
        <v>32811</v>
      </c>
      <c r="B476" s="84" t="n">
        <v>3118.6</v>
      </c>
      <c r="C476" s="39">
        <f>(Table26[[#This Row],[M2 Money Stock, Billions of Dollars, Weekly, Seasonally Adjusted]]-B475)/B475</f>
        <v/>
      </c>
      <c r="D476" s="40">
        <f>((1+Table26[[#This Row],[Weekly change]])^52)-1</f>
        <v/>
      </c>
      <c r="E476" s="85">
        <f>(Table26[[#This Row],[M2 Money Stock, Billions of Dollars, Weekly, Seasonally Adjusted]]-B424)/B424</f>
        <v/>
      </c>
    </row>
    <row r="477">
      <c r="A477" s="37" t="n">
        <v>32818</v>
      </c>
      <c r="B477" s="84" t="n">
        <v>3126.5</v>
      </c>
      <c r="C477" s="39">
        <f>(Table26[[#This Row],[M2 Money Stock, Billions of Dollars, Weekly, Seasonally Adjusted]]-B476)/B476</f>
        <v/>
      </c>
      <c r="D477" s="40">
        <f>((1+Table26[[#This Row],[Weekly change]])^52)-1</f>
        <v/>
      </c>
      <c r="E477" s="85">
        <f>(Table26[[#This Row],[M2 Money Stock, Billions of Dollars, Weekly, Seasonally Adjusted]]-B425)/B425</f>
        <v/>
      </c>
    </row>
    <row r="478">
      <c r="A478" s="37" t="n">
        <v>32825</v>
      </c>
      <c r="B478" s="84" t="n">
        <v>3129.5</v>
      </c>
      <c r="C478" s="39">
        <f>(Table26[[#This Row],[M2 Money Stock, Billions of Dollars, Weekly, Seasonally Adjusted]]-B477)/B477</f>
        <v/>
      </c>
      <c r="D478" s="40">
        <f>((1+Table26[[#This Row],[Weekly change]])^52)-1</f>
        <v/>
      </c>
      <c r="E478" s="85">
        <f>(Table26[[#This Row],[M2 Money Stock, Billions of Dollars, Weekly, Seasonally Adjusted]]-B426)/B426</f>
        <v/>
      </c>
    </row>
    <row r="479">
      <c r="A479" s="37" t="n">
        <v>32832</v>
      </c>
      <c r="B479" s="84" t="n">
        <v>3132.5</v>
      </c>
      <c r="C479" s="39">
        <f>(Table26[[#This Row],[M2 Money Stock, Billions of Dollars, Weekly, Seasonally Adjusted]]-B478)/B478</f>
        <v/>
      </c>
      <c r="D479" s="40">
        <f>((1+Table26[[#This Row],[Weekly change]])^52)-1</f>
        <v/>
      </c>
      <c r="E479" s="85">
        <f>(Table26[[#This Row],[M2 Money Stock, Billions of Dollars, Weekly, Seasonally Adjusted]]-B427)/B427</f>
        <v/>
      </c>
    </row>
    <row r="480">
      <c r="A480" s="37" t="n">
        <v>32839</v>
      </c>
      <c r="B480" s="84" t="n">
        <v>3138.9</v>
      </c>
      <c r="C480" s="39">
        <f>(Table26[[#This Row],[M2 Money Stock, Billions of Dollars, Weekly, Seasonally Adjusted]]-B479)/B479</f>
        <v/>
      </c>
      <c r="D480" s="40">
        <f>((1+Table26[[#This Row],[Weekly change]])^52)-1</f>
        <v/>
      </c>
      <c r="E480" s="85">
        <f>(Table26[[#This Row],[M2 Money Stock, Billions of Dollars, Weekly, Seasonally Adjusted]]-B428)/B428</f>
        <v/>
      </c>
    </row>
    <row r="481">
      <c r="A481" s="37" t="n">
        <v>32846</v>
      </c>
      <c r="B481" s="84" t="n">
        <v>3142.2</v>
      </c>
      <c r="C481" s="39">
        <f>(Table26[[#This Row],[M2 Money Stock, Billions of Dollars, Weekly, Seasonally Adjusted]]-B480)/B480</f>
        <v/>
      </c>
      <c r="D481" s="40">
        <f>((1+Table26[[#This Row],[Weekly change]])^52)-1</f>
        <v/>
      </c>
      <c r="E481" s="85">
        <f>(Table26[[#This Row],[M2 Money Stock, Billions of Dollars, Weekly, Seasonally Adjusted]]-B429)/B429</f>
        <v/>
      </c>
    </row>
    <row r="482">
      <c r="A482" s="37" t="n">
        <v>32853</v>
      </c>
      <c r="B482" s="84" t="n">
        <v>3146.2</v>
      </c>
      <c r="C482" s="39">
        <f>(Table26[[#This Row],[M2 Money Stock, Billions of Dollars, Weekly, Seasonally Adjusted]]-B481)/B481</f>
        <v/>
      </c>
      <c r="D482" s="40">
        <f>((1+Table26[[#This Row],[Weekly change]])^52)-1</f>
        <v/>
      </c>
      <c r="E482" s="85">
        <f>(Table26[[#This Row],[M2 Money Stock, Billions of Dollars, Weekly, Seasonally Adjusted]]-B430)/B430</f>
        <v/>
      </c>
    </row>
    <row r="483">
      <c r="A483" s="37" t="n">
        <v>32860</v>
      </c>
      <c r="B483" s="84" t="n">
        <v>3150.2</v>
      </c>
      <c r="C483" s="39">
        <f>(Table26[[#This Row],[M2 Money Stock, Billions of Dollars, Weekly, Seasonally Adjusted]]-B482)/B482</f>
        <v/>
      </c>
      <c r="D483" s="40">
        <f>((1+Table26[[#This Row],[Weekly change]])^52)-1</f>
        <v/>
      </c>
      <c r="E483" s="85">
        <f>(Table26[[#This Row],[M2 Money Stock, Billions of Dollars, Weekly, Seasonally Adjusted]]-B431)/B431</f>
        <v/>
      </c>
    </row>
    <row r="484">
      <c r="A484" s="37" t="n">
        <v>32867</v>
      </c>
      <c r="B484" s="84" t="n">
        <v>3157.3</v>
      </c>
      <c r="C484" s="39">
        <f>(Table26[[#This Row],[M2 Money Stock, Billions of Dollars, Weekly, Seasonally Adjusted]]-B483)/B483</f>
        <v/>
      </c>
      <c r="D484" s="40">
        <f>((1+Table26[[#This Row],[Weekly change]])^52)-1</f>
        <v/>
      </c>
      <c r="E484" s="85">
        <f>(Table26[[#This Row],[M2 Money Stock, Billions of Dollars, Weekly, Seasonally Adjusted]]-B432)/B432</f>
        <v/>
      </c>
    </row>
    <row r="485">
      <c r="A485" s="37" t="n">
        <v>32874</v>
      </c>
      <c r="B485" s="84" t="n">
        <v>3161.1</v>
      </c>
      <c r="C485" s="39">
        <f>(Table26[[#This Row],[M2 Money Stock, Billions of Dollars, Weekly, Seasonally Adjusted]]-B484)/B484</f>
        <v/>
      </c>
      <c r="D485" s="40">
        <f>((1+Table26[[#This Row],[Weekly change]])^52)-1</f>
        <v/>
      </c>
      <c r="E485" s="85">
        <f>(Table26[[#This Row],[M2 Money Stock, Billions of Dollars, Weekly, Seasonally Adjusted]]-B433)/B433</f>
        <v/>
      </c>
    </row>
    <row r="486">
      <c r="A486" s="37" t="n">
        <v>32881</v>
      </c>
      <c r="B486" s="84" t="n">
        <v>3164.1</v>
      </c>
      <c r="C486" s="39">
        <f>(Table26[[#This Row],[M2 Money Stock, Billions of Dollars, Weekly, Seasonally Adjusted]]-B485)/B485</f>
        <v/>
      </c>
      <c r="D486" s="40">
        <f>((1+Table26[[#This Row],[Weekly change]])^52)-1</f>
        <v/>
      </c>
      <c r="E486" s="85">
        <f>(Table26[[#This Row],[M2 Money Stock, Billions of Dollars, Weekly, Seasonally Adjusted]]-B434)/B434</f>
        <v/>
      </c>
    </row>
    <row r="487">
      <c r="A487" s="37" t="n">
        <v>32888</v>
      </c>
      <c r="B487" s="84" t="n">
        <v>3164.4</v>
      </c>
      <c r="C487" s="39">
        <f>(Table26[[#This Row],[M2 Money Stock, Billions of Dollars, Weekly, Seasonally Adjusted]]-B486)/B486</f>
        <v/>
      </c>
      <c r="D487" s="40">
        <f>((1+Table26[[#This Row],[Weekly change]])^52)-1</f>
        <v/>
      </c>
      <c r="E487" s="85">
        <f>(Table26[[#This Row],[M2 Money Stock, Billions of Dollars, Weekly, Seasonally Adjusted]]-B435)/B435</f>
        <v/>
      </c>
    </row>
    <row r="488">
      <c r="A488" s="37" t="n">
        <v>32895</v>
      </c>
      <c r="B488" s="84" t="n">
        <v>3166.4</v>
      </c>
      <c r="C488" s="39">
        <f>(Table26[[#This Row],[M2 Money Stock, Billions of Dollars, Weekly, Seasonally Adjusted]]-B487)/B487</f>
        <v/>
      </c>
      <c r="D488" s="40">
        <f>((1+Table26[[#This Row],[Weekly change]])^52)-1</f>
        <v/>
      </c>
      <c r="E488" s="85">
        <f>(Table26[[#This Row],[M2 Money Stock, Billions of Dollars, Weekly, Seasonally Adjusted]]-B436)/B436</f>
        <v/>
      </c>
    </row>
    <row r="489">
      <c r="A489" s="37" t="n">
        <v>32902</v>
      </c>
      <c r="B489" s="84" t="n">
        <v>3167.6</v>
      </c>
      <c r="C489" s="39">
        <f>(Table26[[#This Row],[M2 Money Stock, Billions of Dollars, Weekly, Seasonally Adjusted]]-B488)/B488</f>
        <v/>
      </c>
      <c r="D489" s="40">
        <f>((1+Table26[[#This Row],[Weekly change]])^52)-1</f>
        <v/>
      </c>
      <c r="E489" s="85">
        <f>(Table26[[#This Row],[M2 Money Stock, Billions of Dollars, Weekly, Seasonally Adjusted]]-B437)/B437</f>
        <v/>
      </c>
    </row>
    <row r="490">
      <c r="A490" s="37" t="n">
        <v>32909</v>
      </c>
      <c r="B490" s="84" t="n">
        <v>3175.4</v>
      </c>
      <c r="C490" s="39">
        <f>(Table26[[#This Row],[M2 Money Stock, Billions of Dollars, Weekly, Seasonally Adjusted]]-B489)/B489</f>
        <v/>
      </c>
      <c r="D490" s="40">
        <f>((1+Table26[[#This Row],[Weekly change]])^52)-1</f>
        <v/>
      </c>
      <c r="E490" s="85">
        <f>(Table26[[#This Row],[M2 Money Stock, Billions of Dollars, Weekly, Seasonally Adjusted]]-B438)/B438</f>
        <v/>
      </c>
    </row>
    <row r="491">
      <c r="A491" s="37" t="n">
        <v>32916</v>
      </c>
      <c r="B491" s="84" t="n">
        <v>3177.1</v>
      </c>
      <c r="C491" s="39">
        <f>(Table26[[#This Row],[M2 Money Stock, Billions of Dollars, Weekly, Seasonally Adjusted]]-B490)/B490</f>
        <v/>
      </c>
      <c r="D491" s="40">
        <f>((1+Table26[[#This Row],[Weekly change]])^52)-1</f>
        <v/>
      </c>
      <c r="E491" s="85">
        <f>(Table26[[#This Row],[M2 Money Stock, Billions of Dollars, Weekly, Seasonally Adjusted]]-B439)/B439</f>
        <v/>
      </c>
    </row>
    <row r="492">
      <c r="A492" s="37" t="n">
        <v>32923</v>
      </c>
      <c r="B492" s="84" t="n">
        <v>3179.9</v>
      </c>
      <c r="C492" s="39">
        <f>(Table26[[#This Row],[M2 Money Stock, Billions of Dollars, Weekly, Seasonally Adjusted]]-B491)/B491</f>
        <v/>
      </c>
      <c r="D492" s="40">
        <f>((1+Table26[[#This Row],[Weekly change]])^52)-1</f>
        <v/>
      </c>
      <c r="E492" s="85">
        <f>(Table26[[#This Row],[M2 Money Stock, Billions of Dollars, Weekly, Seasonally Adjusted]]-B440)/B440</f>
        <v/>
      </c>
    </row>
    <row r="493">
      <c r="A493" s="37" t="n">
        <v>32930</v>
      </c>
      <c r="B493" s="84" t="n">
        <v>3185.2</v>
      </c>
      <c r="C493" s="39">
        <f>(Table26[[#This Row],[M2 Money Stock, Billions of Dollars, Weekly, Seasonally Adjusted]]-B492)/B492</f>
        <v/>
      </c>
      <c r="D493" s="40">
        <f>((1+Table26[[#This Row],[Weekly change]])^52)-1</f>
        <v/>
      </c>
      <c r="E493" s="85">
        <f>(Table26[[#This Row],[M2 Money Stock, Billions of Dollars, Weekly, Seasonally Adjusted]]-B441)/B441</f>
        <v/>
      </c>
    </row>
    <row r="494">
      <c r="A494" s="37" t="n">
        <v>32937</v>
      </c>
      <c r="B494" s="84" t="n">
        <v>3186.6</v>
      </c>
      <c r="C494" s="39">
        <f>(Table26[[#This Row],[M2 Money Stock, Billions of Dollars, Weekly, Seasonally Adjusted]]-B493)/B493</f>
        <v/>
      </c>
      <c r="D494" s="40">
        <f>((1+Table26[[#This Row],[Weekly change]])^52)-1</f>
        <v/>
      </c>
      <c r="E494" s="85">
        <f>(Table26[[#This Row],[M2 Money Stock, Billions of Dollars, Weekly, Seasonally Adjusted]]-B442)/B442</f>
        <v/>
      </c>
    </row>
    <row r="495">
      <c r="A495" s="37" t="n">
        <v>32944</v>
      </c>
      <c r="B495" s="84" t="n">
        <v>3187.4</v>
      </c>
      <c r="C495" s="39">
        <f>(Table26[[#This Row],[M2 Money Stock, Billions of Dollars, Weekly, Seasonally Adjusted]]-B494)/B494</f>
        <v/>
      </c>
      <c r="D495" s="40">
        <f>((1+Table26[[#This Row],[Weekly change]])^52)-1</f>
        <v/>
      </c>
      <c r="E495" s="85">
        <f>(Table26[[#This Row],[M2 Money Stock, Billions of Dollars, Weekly, Seasonally Adjusted]]-B443)/B443</f>
        <v/>
      </c>
    </row>
    <row r="496">
      <c r="A496" s="37" t="n">
        <v>32951</v>
      </c>
      <c r="B496" s="84" t="n">
        <v>3188.7</v>
      </c>
      <c r="C496" s="39">
        <f>(Table26[[#This Row],[M2 Money Stock, Billions of Dollars, Weekly, Seasonally Adjusted]]-B495)/B495</f>
        <v/>
      </c>
      <c r="D496" s="40">
        <f>((1+Table26[[#This Row],[Weekly change]])^52)-1</f>
        <v/>
      </c>
      <c r="E496" s="85">
        <f>(Table26[[#This Row],[M2 Money Stock, Billions of Dollars, Weekly, Seasonally Adjusted]]-B444)/B444</f>
        <v/>
      </c>
    </row>
    <row r="497">
      <c r="A497" s="37" t="n">
        <v>32958</v>
      </c>
      <c r="B497" s="84" t="n">
        <v>3194.2</v>
      </c>
      <c r="C497" s="39">
        <f>(Table26[[#This Row],[M2 Money Stock, Billions of Dollars, Weekly, Seasonally Adjusted]]-B496)/B496</f>
        <v/>
      </c>
      <c r="D497" s="40">
        <f>((1+Table26[[#This Row],[Weekly change]])^52)-1</f>
        <v/>
      </c>
      <c r="E497" s="85">
        <f>(Table26[[#This Row],[M2 Money Stock, Billions of Dollars, Weekly, Seasonally Adjusted]]-B445)/B445</f>
        <v/>
      </c>
    </row>
    <row r="498">
      <c r="A498" s="37" t="n">
        <v>32965</v>
      </c>
      <c r="B498" s="84" t="n">
        <v>3196.5</v>
      </c>
      <c r="C498" s="39">
        <f>(Table26[[#This Row],[M2 Money Stock, Billions of Dollars, Weekly, Seasonally Adjusted]]-B497)/B497</f>
        <v/>
      </c>
      <c r="D498" s="40">
        <f>((1+Table26[[#This Row],[Weekly change]])^52)-1</f>
        <v/>
      </c>
      <c r="E498" s="85">
        <f>(Table26[[#This Row],[M2 Money Stock, Billions of Dollars, Weekly, Seasonally Adjusted]]-B446)/B446</f>
        <v/>
      </c>
    </row>
    <row r="499">
      <c r="A499" s="37" t="n">
        <v>32972</v>
      </c>
      <c r="B499" s="84" t="n">
        <v>3197.9</v>
      </c>
      <c r="C499" s="39">
        <f>(Table26[[#This Row],[M2 Money Stock, Billions of Dollars, Weekly, Seasonally Adjusted]]-B498)/B498</f>
        <v/>
      </c>
      <c r="D499" s="40">
        <f>((1+Table26[[#This Row],[Weekly change]])^52)-1</f>
        <v/>
      </c>
      <c r="E499" s="85">
        <f>(Table26[[#This Row],[M2 Money Stock, Billions of Dollars, Weekly, Seasonally Adjusted]]-B447)/B447</f>
        <v/>
      </c>
    </row>
    <row r="500">
      <c r="A500" s="37" t="n">
        <v>32979</v>
      </c>
      <c r="B500" s="84" t="n">
        <v>3200.6</v>
      </c>
      <c r="C500" s="39">
        <f>(Table26[[#This Row],[M2 Money Stock, Billions of Dollars, Weekly, Seasonally Adjusted]]-B499)/B499</f>
        <v/>
      </c>
      <c r="D500" s="40">
        <f>((1+Table26[[#This Row],[Weekly change]])^52)-1</f>
        <v/>
      </c>
      <c r="E500" s="85">
        <f>(Table26[[#This Row],[M2 Money Stock, Billions of Dollars, Weekly, Seasonally Adjusted]]-B448)/B448</f>
        <v/>
      </c>
    </row>
    <row r="501">
      <c r="A501" s="37" t="n">
        <v>32986</v>
      </c>
      <c r="B501" s="84" t="n">
        <v>3202.9</v>
      </c>
      <c r="C501" s="39">
        <f>(Table26[[#This Row],[M2 Money Stock, Billions of Dollars, Weekly, Seasonally Adjusted]]-B500)/B500</f>
        <v/>
      </c>
      <c r="D501" s="40">
        <f>((1+Table26[[#This Row],[Weekly change]])^52)-1</f>
        <v/>
      </c>
      <c r="E501" s="85">
        <f>(Table26[[#This Row],[M2 Money Stock, Billions of Dollars, Weekly, Seasonally Adjusted]]-B449)/B449</f>
        <v/>
      </c>
    </row>
    <row r="502">
      <c r="A502" s="37" t="n">
        <v>32993</v>
      </c>
      <c r="B502" s="84" t="n">
        <v>3205.9</v>
      </c>
      <c r="C502" s="39">
        <f>(Table26[[#This Row],[M2 Money Stock, Billions of Dollars, Weekly, Seasonally Adjusted]]-B501)/B501</f>
        <v/>
      </c>
      <c r="D502" s="40">
        <f>((1+Table26[[#This Row],[Weekly change]])^52)-1</f>
        <v/>
      </c>
      <c r="E502" s="85">
        <f>(Table26[[#This Row],[M2 Money Stock, Billions of Dollars, Weekly, Seasonally Adjusted]]-B450)/B450</f>
        <v/>
      </c>
    </row>
    <row r="503">
      <c r="A503" s="37" t="n">
        <v>33000</v>
      </c>
      <c r="B503" s="84" t="n">
        <v>3199.1</v>
      </c>
      <c r="C503" s="39">
        <f>(Table26[[#This Row],[M2 Money Stock, Billions of Dollars, Weekly, Seasonally Adjusted]]-B502)/B502</f>
        <v/>
      </c>
      <c r="D503" s="40">
        <f>((1+Table26[[#This Row],[Weekly change]])^52)-1</f>
        <v/>
      </c>
      <c r="E503" s="85">
        <f>(Table26[[#This Row],[M2 Money Stock, Billions of Dollars, Weekly, Seasonally Adjusted]]-B451)/B451</f>
        <v/>
      </c>
    </row>
    <row r="504">
      <c r="A504" s="37" t="n">
        <v>33007</v>
      </c>
      <c r="B504" s="84" t="n">
        <v>3199.9</v>
      </c>
      <c r="C504" s="39">
        <f>(Table26[[#This Row],[M2 Money Stock, Billions of Dollars, Weekly, Seasonally Adjusted]]-B503)/B503</f>
        <v/>
      </c>
      <c r="D504" s="40">
        <f>((1+Table26[[#This Row],[Weekly change]])^52)-1</f>
        <v/>
      </c>
      <c r="E504" s="85">
        <f>(Table26[[#This Row],[M2 Money Stock, Billions of Dollars, Weekly, Seasonally Adjusted]]-B452)/B452</f>
        <v/>
      </c>
    </row>
    <row r="505">
      <c r="A505" s="37" t="n">
        <v>33014</v>
      </c>
      <c r="B505" s="84" t="n">
        <v>3201.5</v>
      </c>
      <c r="C505" s="39">
        <f>(Table26[[#This Row],[M2 Money Stock, Billions of Dollars, Weekly, Seasonally Adjusted]]-B504)/B504</f>
        <v/>
      </c>
      <c r="D505" s="40">
        <f>((1+Table26[[#This Row],[Weekly change]])^52)-1</f>
        <v/>
      </c>
      <c r="E505" s="85">
        <f>(Table26[[#This Row],[M2 Money Stock, Billions of Dollars, Weekly, Seasonally Adjusted]]-B453)/B453</f>
        <v/>
      </c>
    </row>
    <row r="506">
      <c r="A506" s="37" t="n">
        <v>33021</v>
      </c>
      <c r="B506" s="84" t="n">
        <v>3201.1</v>
      </c>
      <c r="C506" s="39">
        <f>(Table26[[#This Row],[M2 Money Stock, Billions of Dollars, Weekly, Seasonally Adjusted]]-B505)/B505</f>
        <v/>
      </c>
      <c r="D506" s="40">
        <f>((1+Table26[[#This Row],[Weekly change]])^52)-1</f>
        <v/>
      </c>
      <c r="E506" s="85">
        <f>(Table26[[#This Row],[M2 Money Stock, Billions of Dollars, Weekly, Seasonally Adjusted]]-B454)/B454</f>
        <v/>
      </c>
    </row>
    <row r="507">
      <c r="A507" s="37" t="n">
        <v>33028</v>
      </c>
      <c r="B507" s="84" t="n">
        <v>3205.9</v>
      </c>
      <c r="C507" s="39">
        <f>(Table26[[#This Row],[M2 Money Stock, Billions of Dollars, Weekly, Seasonally Adjusted]]-B506)/B506</f>
        <v/>
      </c>
      <c r="D507" s="40">
        <f>((1+Table26[[#This Row],[Weekly change]])^52)-1</f>
        <v/>
      </c>
      <c r="E507" s="85">
        <f>(Table26[[#This Row],[M2 Money Stock, Billions of Dollars, Weekly, Seasonally Adjusted]]-B455)/B455</f>
        <v/>
      </c>
    </row>
    <row r="508">
      <c r="A508" s="37" t="n">
        <v>33035</v>
      </c>
      <c r="B508" s="84" t="n">
        <v>3208.7</v>
      </c>
      <c r="C508" s="39">
        <f>(Table26[[#This Row],[M2 Money Stock, Billions of Dollars, Weekly, Seasonally Adjusted]]-B507)/B507</f>
        <v/>
      </c>
      <c r="D508" s="40">
        <f>((1+Table26[[#This Row],[Weekly change]])^52)-1</f>
        <v/>
      </c>
      <c r="E508" s="85">
        <f>(Table26[[#This Row],[M2 Money Stock, Billions of Dollars, Weekly, Seasonally Adjusted]]-B456)/B456</f>
        <v/>
      </c>
    </row>
    <row r="509">
      <c r="A509" s="37" t="n">
        <v>33042</v>
      </c>
      <c r="B509" s="84" t="n">
        <v>3213.7</v>
      </c>
      <c r="C509" s="39">
        <f>(Table26[[#This Row],[M2 Money Stock, Billions of Dollars, Weekly, Seasonally Adjusted]]-B508)/B508</f>
        <v/>
      </c>
      <c r="D509" s="40">
        <f>((1+Table26[[#This Row],[Weekly change]])^52)-1</f>
        <v/>
      </c>
      <c r="E509" s="85">
        <f>(Table26[[#This Row],[M2 Money Stock, Billions of Dollars, Weekly, Seasonally Adjusted]]-B457)/B457</f>
        <v/>
      </c>
    </row>
    <row r="510">
      <c r="A510" s="37" t="n">
        <v>33049</v>
      </c>
      <c r="B510" s="84" t="n">
        <v>3217.1</v>
      </c>
      <c r="C510" s="39">
        <f>(Table26[[#This Row],[M2 Money Stock, Billions of Dollars, Weekly, Seasonally Adjusted]]-B509)/B509</f>
        <v/>
      </c>
      <c r="D510" s="40">
        <f>((1+Table26[[#This Row],[Weekly change]])^52)-1</f>
        <v/>
      </c>
      <c r="E510" s="85">
        <f>(Table26[[#This Row],[M2 Money Stock, Billions of Dollars, Weekly, Seasonally Adjusted]]-B458)/B458</f>
        <v/>
      </c>
    </row>
    <row r="511">
      <c r="A511" s="37" t="n">
        <v>33056</v>
      </c>
      <c r="B511" s="84" t="n">
        <v>3223.8</v>
      </c>
      <c r="C511" s="39">
        <f>(Table26[[#This Row],[M2 Money Stock, Billions of Dollars, Weekly, Seasonally Adjusted]]-B510)/B510</f>
        <v/>
      </c>
      <c r="D511" s="40">
        <f>((1+Table26[[#This Row],[Weekly change]])^52)-1</f>
        <v/>
      </c>
      <c r="E511" s="85">
        <f>(Table26[[#This Row],[M2 Money Stock, Billions of Dollars, Weekly, Seasonally Adjusted]]-B459)/B459</f>
        <v/>
      </c>
    </row>
    <row r="512">
      <c r="A512" s="37" t="n">
        <v>33063</v>
      </c>
      <c r="B512" s="84" t="n">
        <v>3219.3</v>
      </c>
      <c r="C512" s="39">
        <f>(Table26[[#This Row],[M2 Money Stock, Billions of Dollars, Weekly, Seasonally Adjusted]]-B511)/B511</f>
        <v/>
      </c>
      <c r="D512" s="40">
        <f>((1+Table26[[#This Row],[Weekly change]])^52)-1</f>
        <v/>
      </c>
      <c r="E512" s="85">
        <f>(Table26[[#This Row],[M2 Money Stock, Billions of Dollars, Weekly, Seasonally Adjusted]]-B460)/B460</f>
        <v/>
      </c>
    </row>
    <row r="513">
      <c r="A513" s="37" t="n">
        <v>33070</v>
      </c>
      <c r="B513" s="84" t="n">
        <v>3225.1</v>
      </c>
      <c r="C513" s="39">
        <f>(Table26[[#This Row],[M2 Money Stock, Billions of Dollars, Weekly, Seasonally Adjusted]]-B512)/B512</f>
        <v/>
      </c>
      <c r="D513" s="40">
        <f>((1+Table26[[#This Row],[Weekly change]])^52)-1</f>
        <v/>
      </c>
      <c r="E513" s="85">
        <f>(Table26[[#This Row],[M2 Money Stock, Billions of Dollars, Weekly, Seasonally Adjusted]]-B461)/B461</f>
        <v/>
      </c>
    </row>
    <row r="514">
      <c r="A514" s="37" t="n">
        <v>33077</v>
      </c>
      <c r="B514" s="84" t="n">
        <v>3224.8</v>
      </c>
      <c r="C514" s="39">
        <f>(Table26[[#This Row],[M2 Money Stock, Billions of Dollars, Weekly, Seasonally Adjusted]]-B513)/B513</f>
        <v/>
      </c>
      <c r="D514" s="40">
        <f>((1+Table26[[#This Row],[Weekly change]])^52)-1</f>
        <v/>
      </c>
      <c r="E514" s="85">
        <f>(Table26[[#This Row],[M2 Money Stock, Billions of Dollars, Weekly, Seasonally Adjusted]]-B462)/B462</f>
        <v/>
      </c>
    </row>
    <row r="515">
      <c r="A515" s="37" t="n">
        <v>33084</v>
      </c>
      <c r="B515" s="84" t="n">
        <v>3228.2</v>
      </c>
      <c r="C515" s="39">
        <f>(Table26[[#This Row],[M2 Money Stock, Billions of Dollars, Weekly, Seasonally Adjusted]]-B514)/B514</f>
        <v/>
      </c>
      <c r="D515" s="40">
        <f>((1+Table26[[#This Row],[Weekly change]])^52)-1</f>
        <v/>
      </c>
      <c r="E515" s="85">
        <f>(Table26[[#This Row],[M2 Money Stock, Billions of Dollars, Weekly, Seasonally Adjusted]]-B463)/B463</f>
        <v/>
      </c>
    </row>
    <row r="516">
      <c r="A516" s="37" t="n">
        <v>33091</v>
      </c>
      <c r="B516" s="84" t="n">
        <v>3231.3</v>
      </c>
      <c r="C516" s="39">
        <f>(Table26[[#This Row],[M2 Money Stock, Billions of Dollars, Weekly, Seasonally Adjusted]]-B515)/B515</f>
        <v/>
      </c>
      <c r="D516" s="40">
        <f>((1+Table26[[#This Row],[Weekly change]])^52)-1</f>
        <v/>
      </c>
      <c r="E516" s="85">
        <f>(Table26[[#This Row],[M2 Money Stock, Billions of Dollars, Weekly, Seasonally Adjusted]]-B464)/B464</f>
        <v/>
      </c>
    </row>
    <row r="517">
      <c r="A517" s="37" t="n">
        <v>33098</v>
      </c>
      <c r="B517" s="84" t="n">
        <v>3240.3</v>
      </c>
      <c r="C517" s="39">
        <f>(Table26[[#This Row],[M2 Money Stock, Billions of Dollars, Weekly, Seasonally Adjusted]]-B516)/B516</f>
        <v/>
      </c>
      <c r="D517" s="40">
        <f>((1+Table26[[#This Row],[Weekly change]])^52)-1</f>
        <v/>
      </c>
      <c r="E517" s="85">
        <f>(Table26[[#This Row],[M2 Money Stock, Billions of Dollars, Weekly, Seasonally Adjusted]]-B465)/B465</f>
        <v/>
      </c>
    </row>
    <row r="518">
      <c r="A518" s="37" t="n">
        <v>33105</v>
      </c>
      <c r="B518" s="84" t="n">
        <v>3244.6</v>
      </c>
      <c r="C518" s="39">
        <f>(Table26[[#This Row],[M2 Money Stock, Billions of Dollars, Weekly, Seasonally Adjusted]]-B517)/B517</f>
        <v/>
      </c>
      <c r="D518" s="40">
        <f>((1+Table26[[#This Row],[Weekly change]])^52)-1</f>
        <v/>
      </c>
      <c r="E518" s="85">
        <f>(Table26[[#This Row],[M2 Money Stock, Billions of Dollars, Weekly, Seasonally Adjusted]]-B466)/B466</f>
        <v/>
      </c>
    </row>
    <row r="519">
      <c r="A519" s="37" t="n">
        <v>33112</v>
      </c>
      <c r="B519" s="84" t="n">
        <v>3246.6</v>
      </c>
      <c r="C519" s="39">
        <f>(Table26[[#This Row],[M2 Money Stock, Billions of Dollars, Weekly, Seasonally Adjusted]]-B518)/B518</f>
        <v/>
      </c>
      <c r="D519" s="40">
        <f>((1+Table26[[#This Row],[Weekly change]])^52)-1</f>
        <v/>
      </c>
      <c r="E519" s="85">
        <f>(Table26[[#This Row],[M2 Money Stock, Billions of Dollars, Weekly, Seasonally Adjusted]]-B467)/B467</f>
        <v/>
      </c>
    </row>
    <row r="520">
      <c r="A520" s="37" t="n">
        <v>33119</v>
      </c>
      <c r="B520" s="84" t="n">
        <v>3250.7</v>
      </c>
      <c r="C520" s="39">
        <f>(Table26[[#This Row],[M2 Money Stock, Billions of Dollars, Weekly, Seasonally Adjusted]]-B519)/B519</f>
        <v/>
      </c>
      <c r="D520" s="40">
        <f>((1+Table26[[#This Row],[Weekly change]])^52)-1</f>
        <v/>
      </c>
      <c r="E520" s="85">
        <f>(Table26[[#This Row],[M2 Money Stock, Billions of Dollars, Weekly, Seasonally Adjusted]]-B468)/B468</f>
        <v/>
      </c>
    </row>
    <row r="521">
      <c r="A521" s="37" t="n">
        <v>33126</v>
      </c>
      <c r="B521" s="84" t="n">
        <v>3252.7</v>
      </c>
      <c r="C521" s="39">
        <f>(Table26[[#This Row],[M2 Money Stock, Billions of Dollars, Weekly, Seasonally Adjusted]]-B520)/B520</f>
        <v/>
      </c>
      <c r="D521" s="40">
        <f>((1+Table26[[#This Row],[Weekly change]])^52)-1</f>
        <v/>
      </c>
      <c r="E521" s="85">
        <f>(Table26[[#This Row],[M2 Money Stock, Billions of Dollars, Weekly, Seasonally Adjusted]]-B469)/B469</f>
        <v/>
      </c>
    </row>
    <row r="522">
      <c r="A522" s="37" t="n">
        <v>33133</v>
      </c>
      <c r="B522" s="84" t="n">
        <v>3252.6</v>
      </c>
      <c r="C522" s="39">
        <f>(Table26[[#This Row],[M2 Money Stock, Billions of Dollars, Weekly, Seasonally Adjusted]]-B521)/B521</f>
        <v/>
      </c>
      <c r="D522" s="40">
        <f>((1+Table26[[#This Row],[Weekly change]])^52)-1</f>
        <v/>
      </c>
      <c r="E522" s="85">
        <f>(Table26[[#This Row],[M2 Money Stock, Billions of Dollars, Weekly, Seasonally Adjusted]]-B470)/B470</f>
        <v/>
      </c>
    </row>
    <row r="523">
      <c r="A523" s="37" t="n">
        <v>33140</v>
      </c>
      <c r="B523" s="84" t="n">
        <v>3254.5</v>
      </c>
      <c r="C523" s="39">
        <f>(Table26[[#This Row],[M2 Money Stock, Billions of Dollars, Weekly, Seasonally Adjusted]]-B522)/B522</f>
        <v/>
      </c>
      <c r="D523" s="40">
        <f>((1+Table26[[#This Row],[Weekly change]])^52)-1</f>
        <v/>
      </c>
      <c r="E523" s="85">
        <f>(Table26[[#This Row],[M2 Money Stock, Billions of Dollars, Weekly, Seasonally Adjusted]]-B471)/B471</f>
        <v/>
      </c>
    </row>
    <row r="524">
      <c r="A524" s="37" t="n">
        <v>33147</v>
      </c>
      <c r="B524" s="84" t="n">
        <v>3262.4</v>
      </c>
      <c r="C524" s="39">
        <f>(Table26[[#This Row],[M2 Money Stock, Billions of Dollars, Weekly, Seasonally Adjusted]]-B523)/B523</f>
        <v/>
      </c>
      <c r="D524" s="40">
        <f>((1+Table26[[#This Row],[Weekly change]])^52)-1</f>
        <v/>
      </c>
      <c r="E524" s="85">
        <f>(Table26[[#This Row],[M2 Money Stock, Billions of Dollars, Weekly, Seasonally Adjusted]]-B472)/B472</f>
        <v/>
      </c>
    </row>
    <row r="525">
      <c r="A525" s="37" t="n">
        <v>33154</v>
      </c>
      <c r="B525" s="84" t="n">
        <v>3260.4</v>
      </c>
      <c r="C525" s="39">
        <f>(Table26[[#This Row],[M2 Money Stock, Billions of Dollars, Weekly, Seasonally Adjusted]]-B524)/B524</f>
        <v/>
      </c>
      <c r="D525" s="40">
        <f>((1+Table26[[#This Row],[Weekly change]])^52)-1</f>
        <v/>
      </c>
      <c r="E525" s="85">
        <f>(Table26[[#This Row],[M2 Money Stock, Billions of Dollars, Weekly, Seasonally Adjusted]]-B473)/B473</f>
        <v/>
      </c>
    </row>
    <row r="526">
      <c r="A526" s="37" t="n">
        <v>33161</v>
      </c>
      <c r="B526" s="84" t="n">
        <v>3259.4</v>
      </c>
      <c r="C526" s="39">
        <f>(Table26[[#This Row],[M2 Money Stock, Billions of Dollars, Weekly, Seasonally Adjusted]]-B525)/B525</f>
        <v/>
      </c>
      <c r="D526" s="40">
        <f>((1+Table26[[#This Row],[Weekly change]])^52)-1</f>
        <v/>
      </c>
      <c r="E526" s="85">
        <f>(Table26[[#This Row],[M2 Money Stock, Billions of Dollars, Weekly, Seasonally Adjusted]]-B474)/B474</f>
        <v/>
      </c>
    </row>
    <row r="527">
      <c r="A527" s="37" t="n">
        <v>33168</v>
      </c>
      <c r="B527" s="84" t="n">
        <v>3256.8</v>
      </c>
      <c r="C527" s="39">
        <f>(Table26[[#This Row],[M2 Money Stock, Billions of Dollars, Weekly, Seasonally Adjusted]]-B526)/B526</f>
        <v/>
      </c>
      <c r="D527" s="40">
        <f>((1+Table26[[#This Row],[Weekly change]])^52)-1</f>
        <v/>
      </c>
      <c r="E527" s="85">
        <f>(Table26[[#This Row],[M2 Money Stock, Billions of Dollars, Weekly, Seasonally Adjusted]]-B475)/B475</f>
        <v/>
      </c>
    </row>
    <row r="528">
      <c r="A528" s="37" t="n">
        <v>33175</v>
      </c>
      <c r="B528" s="84" t="n">
        <v>3259.8</v>
      </c>
      <c r="C528" s="39">
        <f>(Table26[[#This Row],[M2 Money Stock, Billions of Dollars, Weekly, Seasonally Adjusted]]-B527)/B527</f>
        <v/>
      </c>
      <c r="D528" s="40">
        <f>((1+Table26[[#This Row],[Weekly change]])^52)-1</f>
        <v/>
      </c>
      <c r="E528" s="85">
        <f>(Table26[[#This Row],[M2 Money Stock, Billions of Dollars, Weekly, Seasonally Adjusted]]-B476)/B476</f>
        <v/>
      </c>
    </row>
    <row r="529">
      <c r="A529" s="37" t="n">
        <v>33182</v>
      </c>
      <c r="B529" s="84" t="n">
        <v>3259.6</v>
      </c>
      <c r="C529" s="39">
        <f>(Table26[[#This Row],[M2 Money Stock, Billions of Dollars, Weekly, Seasonally Adjusted]]-B528)/B528</f>
        <v/>
      </c>
      <c r="D529" s="40">
        <f>((1+Table26[[#This Row],[Weekly change]])^52)-1</f>
        <v/>
      </c>
      <c r="E529" s="85">
        <f>(Table26[[#This Row],[M2 Money Stock, Billions of Dollars, Weekly, Seasonally Adjusted]]-B477)/B477</f>
        <v/>
      </c>
    </row>
    <row r="530">
      <c r="A530" s="37" t="n">
        <v>33189</v>
      </c>
      <c r="B530" s="84" t="n">
        <v>3261.4</v>
      </c>
      <c r="C530" s="39">
        <f>(Table26[[#This Row],[M2 Money Stock, Billions of Dollars, Weekly, Seasonally Adjusted]]-B529)/B529</f>
        <v/>
      </c>
      <c r="D530" s="40">
        <f>((1+Table26[[#This Row],[Weekly change]])^52)-1</f>
        <v/>
      </c>
      <c r="E530" s="85">
        <f>(Table26[[#This Row],[M2 Money Stock, Billions of Dollars, Weekly, Seasonally Adjusted]]-B478)/B478</f>
        <v/>
      </c>
    </row>
    <row r="531">
      <c r="A531" s="37" t="n">
        <v>33196</v>
      </c>
      <c r="B531" s="84" t="n">
        <v>3263.8</v>
      </c>
      <c r="C531" s="39">
        <f>(Table26[[#This Row],[M2 Money Stock, Billions of Dollars, Weekly, Seasonally Adjusted]]-B530)/B530</f>
        <v/>
      </c>
      <c r="D531" s="40">
        <f>((1+Table26[[#This Row],[Weekly change]])^52)-1</f>
        <v/>
      </c>
      <c r="E531" s="85">
        <f>(Table26[[#This Row],[M2 Money Stock, Billions of Dollars, Weekly, Seasonally Adjusted]]-B479)/B479</f>
        <v/>
      </c>
    </row>
    <row r="532">
      <c r="A532" s="37" t="n">
        <v>33203</v>
      </c>
      <c r="B532" s="84" t="n">
        <v>3267.2</v>
      </c>
      <c r="C532" s="39">
        <f>(Table26[[#This Row],[M2 Money Stock, Billions of Dollars, Weekly, Seasonally Adjusted]]-B531)/B531</f>
        <v/>
      </c>
      <c r="D532" s="40">
        <f>((1+Table26[[#This Row],[Weekly change]])^52)-1</f>
        <v/>
      </c>
      <c r="E532" s="85">
        <f>(Table26[[#This Row],[M2 Money Stock, Billions of Dollars, Weekly, Seasonally Adjusted]]-B480)/B480</f>
        <v/>
      </c>
    </row>
    <row r="533">
      <c r="A533" s="37" t="n">
        <v>33210</v>
      </c>
      <c r="B533" s="84" t="n">
        <v>3257.5</v>
      </c>
      <c r="C533" s="39">
        <f>(Table26[[#This Row],[M2 Money Stock, Billions of Dollars, Weekly, Seasonally Adjusted]]-B532)/B532</f>
        <v/>
      </c>
      <c r="D533" s="40">
        <f>((1+Table26[[#This Row],[Weekly change]])^52)-1</f>
        <v/>
      </c>
      <c r="E533" s="85">
        <f>(Table26[[#This Row],[M2 Money Stock, Billions of Dollars, Weekly, Seasonally Adjusted]]-B481)/B481</f>
        <v/>
      </c>
    </row>
    <row r="534">
      <c r="A534" s="37" t="n">
        <v>33217</v>
      </c>
      <c r="B534" s="84" t="n">
        <v>3266.1</v>
      </c>
      <c r="C534" s="39">
        <f>(Table26[[#This Row],[M2 Money Stock, Billions of Dollars, Weekly, Seasonally Adjusted]]-B533)/B533</f>
        <v/>
      </c>
      <c r="D534" s="40">
        <f>((1+Table26[[#This Row],[Weekly change]])^52)-1</f>
        <v/>
      </c>
      <c r="E534" s="85">
        <f>(Table26[[#This Row],[M2 Money Stock, Billions of Dollars, Weekly, Seasonally Adjusted]]-B482)/B482</f>
        <v/>
      </c>
    </row>
    <row r="535">
      <c r="A535" s="37" t="n">
        <v>33224</v>
      </c>
      <c r="B535" s="84" t="n">
        <v>3270.7</v>
      </c>
      <c r="C535" s="39">
        <f>(Table26[[#This Row],[M2 Money Stock, Billions of Dollars, Weekly, Seasonally Adjusted]]-B534)/B534</f>
        <v/>
      </c>
      <c r="D535" s="40">
        <f>((1+Table26[[#This Row],[Weekly change]])^52)-1</f>
        <v/>
      </c>
      <c r="E535" s="85">
        <f>(Table26[[#This Row],[M2 Money Stock, Billions of Dollars, Weekly, Seasonally Adjusted]]-B483)/B483</f>
        <v/>
      </c>
    </row>
    <row r="536">
      <c r="A536" s="37" t="n">
        <v>33231</v>
      </c>
      <c r="B536" s="84" t="n">
        <v>3276.1</v>
      </c>
      <c r="C536" s="39">
        <f>(Table26[[#This Row],[M2 Money Stock, Billions of Dollars, Weekly, Seasonally Adjusted]]-B535)/B535</f>
        <v/>
      </c>
      <c r="D536" s="40">
        <f>((1+Table26[[#This Row],[Weekly change]])^52)-1</f>
        <v/>
      </c>
      <c r="E536" s="85">
        <f>(Table26[[#This Row],[M2 Money Stock, Billions of Dollars, Weekly, Seasonally Adjusted]]-B484)/B484</f>
        <v/>
      </c>
    </row>
    <row r="537">
      <c r="A537" s="37" t="n">
        <v>33238</v>
      </c>
      <c r="B537" s="84" t="n">
        <v>3280.6</v>
      </c>
      <c r="C537" s="39">
        <f>(Table26[[#This Row],[M2 Money Stock, Billions of Dollars, Weekly, Seasonally Adjusted]]-B536)/B536</f>
        <v/>
      </c>
      <c r="D537" s="40">
        <f>((1+Table26[[#This Row],[Weekly change]])^52)-1</f>
        <v/>
      </c>
      <c r="E537" s="85">
        <f>(Table26[[#This Row],[M2 Money Stock, Billions of Dollars, Weekly, Seasonally Adjusted]]-B485)/B485</f>
        <v/>
      </c>
    </row>
    <row r="538">
      <c r="A538" s="37" t="n">
        <v>33245</v>
      </c>
      <c r="B538" s="84" t="n">
        <v>3280.1</v>
      </c>
      <c r="C538" s="39">
        <f>(Table26[[#This Row],[M2 Money Stock, Billions of Dollars, Weekly, Seasonally Adjusted]]-B537)/B537</f>
        <v/>
      </c>
      <c r="D538" s="40">
        <f>((1+Table26[[#This Row],[Weekly change]])^52)-1</f>
        <v/>
      </c>
      <c r="E538" s="85">
        <f>(Table26[[#This Row],[M2 Money Stock, Billions of Dollars, Weekly, Seasonally Adjusted]]-B486)/B486</f>
        <v/>
      </c>
    </row>
    <row r="539">
      <c r="A539" s="37" t="n">
        <v>33252</v>
      </c>
      <c r="B539" s="84" t="n">
        <v>3282.6</v>
      </c>
      <c r="C539" s="39">
        <f>(Table26[[#This Row],[M2 Money Stock, Billions of Dollars, Weekly, Seasonally Adjusted]]-B538)/B538</f>
        <v/>
      </c>
      <c r="D539" s="40">
        <f>((1+Table26[[#This Row],[Weekly change]])^52)-1</f>
        <v/>
      </c>
      <c r="E539" s="85">
        <f>(Table26[[#This Row],[M2 Money Stock, Billions of Dollars, Weekly, Seasonally Adjusted]]-B487)/B487</f>
        <v/>
      </c>
    </row>
    <row r="540">
      <c r="A540" s="37" t="n">
        <v>33259</v>
      </c>
      <c r="B540" s="84" t="n">
        <v>3289.1</v>
      </c>
      <c r="C540" s="39">
        <f>(Table26[[#This Row],[M2 Money Stock, Billions of Dollars, Weekly, Seasonally Adjusted]]-B539)/B539</f>
        <v/>
      </c>
      <c r="D540" s="40">
        <f>((1+Table26[[#This Row],[Weekly change]])^52)-1</f>
        <v/>
      </c>
      <c r="E540" s="85">
        <f>(Table26[[#This Row],[M2 Money Stock, Billions of Dollars, Weekly, Seasonally Adjusted]]-B488)/B488</f>
        <v/>
      </c>
    </row>
    <row r="541">
      <c r="A541" s="37" t="n">
        <v>33266</v>
      </c>
      <c r="B541" s="84" t="n">
        <v>3294.4</v>
      </c>
      <c r="C541" s="39">
        <f>(Table26[[#This Row],[M2 Money Stock, Billions of Dollars, Weekly, Seasonally Adjusted]]-B540)/B540</f>
        <v/>
      </c>
      <c r="D541" s="40">
        <f>((1+Table26[[#This Row],[Weekly change]])^52)-1</f>
        <v/>
      </c>
      <c r="E541" s="85">
        <f>(Table26[[#This Row],[M2 Money Stock, Billions of Dollars, Weekly, Seasonally Adjusted]]-B489)/B489</f>
        <v/>
      </c>
    </row>
    <row r="542">
      <c r="A542" s="37" t="n">
        <v>33273</v>
      </c>
      <c r="B542" s="84" t="n">
        <v>3298.8</v>
      </c>
      <c r="C542" s="39">
        <f>(Table26[[#This Row],[M2 Money Stock, Billions of Dollars, Weekly, Seasonally Adjusted]]-B541)/B541</f>
        <v/>
      </c>
      <c r="D542" s="40">
        <f>((1+Table26[[#This Row],[Weekly change]])^52)-1</f>
        <v/>
      </c>
      <c r="E542" s="85">
        <f>(Table26[[#This Row],[M2 Money Stock, Billions of Dollars, Weekly, Seasonally Adjusted]]-B490)/B490</f>
        <v/>
      </c>
    </row>
    <row r="543">
      <c r="A543" s="37" t="n">
        <v>33280</v>
      </c>
      <c r="B543" s="84" t="n">
        <v>3303.7</v>
      </c>
      <c r="C543" s="39">
        <f>(Table26[[#This Row],[M2 Money Stock, Billions of Dollars, Weekly, Seasonally Adjusted]]-B542)/B542</f>
        <v/>
      </c>
      <c r="D543" s="40">
        <f>((1+Table26[[#This Row],[Weekly change]])^52)-1</f>
        <v/>
      </c>
      <c r="E543" s="85">
        <f>(Table26[[#This Row],[M2 Money Stock, Billions of Dollars, Weekly, Seasonally Adjusted]]-B491)/B491</f>
        <v/>
      </c>
    </row>
    <row r="544">
      <c r="A544" s="37" t="n">
        <v>33287</v>
      </c>
      <c r="B544" s="84" t="n">
        <v>3303</v>
      </c>
      <c r="C544" s="39">
        <f>(Table26[[#This Row],[M2 Money Stock, Billions of Dollars, Weekly, Seasonally Adjusted]]-B543)/B543</f>
        <v/>
      </c>
      <c r="D544" s="40">
        <f>((1+Table26[[#This Row],[Weekly change]])^52)-1</f>
        <v/>
      </c>
      <c r="E544" s="85">
        <f>(Table26[[#This Row],[M2 Money Stock, Billions of Dollars, Weekly, Seasonally Adjusted]]-B492)/B492</f>
        <v/>
      </c>
    </row>
    <row r="545">
      <c r="A545" s="37" t="n">
        <v>33294</v>
      </c>
      <c r="B545" s="84" t="n">
        <v>3306.7</v>
      </c>
      <c r="C545" s="39">
        <f>(Table26[[#This Row],[M2 Money Stock, Billions of Dollars, Weekly, Seasonally Adjusted]]-B544)/B544</f>
        <v/>
      </c>
      <c r="D545" s="40">
        <f>((1+Table26[[#This Row],[Weekly change]])^52)-1</f>
        <v/>
      </c>
      <c r="E545" s="85">
        <f>(Table26[[#This Row],[M2 Money Stock, Billions of Dollars, Weekly, Seasonally Adjusted]]-B493)/B493</f>
        <v/>
      </c>
    </row>
    <row r="546">
      <c r="A546" s="37" t="n">
        <v>33301</v>
      </c>
      <c r="B546" s="84" t="n">
        <v>3312.2</v>
      </c>
      <c r="C546" s="39">
        <f>(Table26[[#This Row],[M2 Money Stock, Billions of Dollars, Weekly, Seasonally Adjusted]]-B545)/B545</f>
        <v/>
      </c>
      <c r="D546" s="40">
        <f>((1+Table26[[#This Row],[Weekly change]])^52)-1</f>
        <v/>
      </c>
      <c r="E546" s="85">
        <f>(Table26[[#This Row],[M2 Money Stock, Billions of Dollars, Weekly, Seasonally Adjusted]]-B494)/B494</f>
        <v/>
      </c>
    </row>
    <row r="547">
      <c r="A547" s="37" t="n">
        <v>33308</v>
      </c>
      <c r="B547" s="84" t="n">
        <v>3316.1</v>
      </c>
      <c r="C547" s="39">
        <f>(Table26[[#This Row],[M2 Money Stock, Billions of Dollars, Weekly, Seasonally Adjusted]]-B546)/B546</f>
        <v/>
      </c>
      <c r="D547" s="40">
        <f>((1+Table26[[#This Row],[Weekly change]])^52)-1</f>
        <v/>
      </c>
      <c r="E547" s="85">
        <f>(Table26[[#This Row],[M2 Money Stock, Billions of Dollars, Weekly, Seasonally Adjusted]]-B495)/B495</f>
        <v/>
      </c>
    </row>
    <row r="548">
      <c r="A548" s="37" t="n">
        <v>33315</v>
      </c>
      <c r="B548" s="84" t="n">
        <v>3319.3</v>
      </c>
      <c r="C548" s="39">
        <f>(Table26[[#This Row],[M2 Money Stock, Billions of Dollars, Weekly, Seasonally Adjusted]]-B547)/B547</f>
        <v/>
      </c>
      <c r="D548" s="40">
        <f>((1+Table26[[#This Row],[Weekly change]])^52)-1</f>
        <v/>
      </c>
      <c r="E548" s="85">
        <f>(Table26[[#This Row],[M2 Money Stock, Billions of Dollars, Weekly, Seasonally Adjusted]]-B496)/B496</f>
        <v/>
      </c>
    </row>
    <row r="549">
      <c r="A549" s="37" t="n">
        <v>33322</v>
      </c>
      <c r="B549" s="84" t="n">
        <v>3327.1</v>
      </c>
      <c r="C549" s="39">
        <f>(Table26[[#This Row],[M2 Money Stock, Billions of Dollars, Weekly, Seasonally Adjusted]]-B548)/B548</f>
        <v/>
      </c>
      <c r="D549" s="40">
        <f>((1+Table26[[#This Row],[Weekly change]])^52)-1</f>
        <v/>
      </c>
      <c r="E549" s="85">
        <f>(Table26[[#This Row],[M2 Money Stock, Billions of Dollars, Weekly, Seasonally Adjusted]]-B497)/B497</f>
        <v/>
      </c>
    </row>
    <row r="550">
      <c r="A550" s="37" t="n">
        <v>33329</v>
      </c>
      <c r="B550" s="84" t="n">
        <v>3332.1</v>
      </c>
      <c r="C550" s="39">
        <f>(Table26[[#This Row],[M2 Money Stock, Billions of Dollars, Weekly, Seasonally Adjusted]]-B549)/B549</f>
        <v/>
      </c>
      <c r="D550" s="40">
        <f>((1+Table26[[#This Row],[Weekly change]])^52)-1</f>
        <v/>
      </c>
      <c r="E550" s="85">
        <f>(Table26[[#This Row],[M2 Money Stock, Billions of Dollars, Weekly, Seasonally Adjusted]]-B498)/B498</f>
        <v/>
      </c>
    </row>
    <row r="551">
      <c r="A551" s="37" t="n">
        <v>33336</v>
      </c>
      <c r="B551" s="84" t="n">
        <v>3330.7</v>
      </c>
      <c r="C551" s="39">
        <f>(Table26[[#This Row],[M2 Money Stock, Billions of Dollars, Weekly, Seasonally Adjusted]]-B550)/B550</f>
        <v/>
      </c>
      <c r="D551" s="40">
        <f>((1+Table26[[#This Row],[Weekly change]])^52)-1</f>
        <v/>
      </c>
      <c r="E551" s="85">
        <f>(Table26[[#This Row],[M2 Money Stock, Billions of Dollars, Weekly, Seasonally Adjusted]]-B499)/B499</f>
        <v/>
      </c>
    </row>
    <row r="552">
      <c r="A552" s="37" t="n">
        <v>33343</v>
      </c>
      <c r="B552" s="84" t="n">
        <v>3334.6</v>
      </c>
      <c r="C552" s="39">
        <f>(Table26[[#This Row],[M2 Money Stock, Billions of Dollars, Weekly, Seasonally Adjusted]]-B551)/B551</f>
        <v/>
      </c>
      <c r="D552" s="40">
        <f>((1+Table26[[#This Row],[Weekly change]])^52)-1</f>
        <v/>
      </c>
      <c r="E552" s="85">
        <f>(Table26[[#This Row],[M2 Money Stock, Billions of Dollars, Weekly, Seasonally Adjusted]]-B500)/B500</f>
        <v/>
      </c>
    </row>
    <row r="553">
      <c r="A553" s="37" t="n">
        <v>33350</v>
      </c>
      <c r="B553" s="84" t="n">
        <v>3331.9</v>
      </c>
      <c r="C553" s="39">
        <f>(Table26[[#This Row],[M2 Money Stock, Billions of Dollars, Weekly, Seasonally Adjusted]]-B552)/B552</f>
        <v/>
      </c>
      <c r="D553" s="40">
        <f>((1+Table26[[#This Row],[Weekly change]])^52)-1</f>
        <v/>
      </c>
      <c r="E553" s="85">
        <f>(Table26[[#This Row],[M2 Money Stock, Billions of Dollars, Weekly, Seasonally Adjusted]]-B501)/B501</f>
        <v/>
      </c>
    </row>
    <row r="554">
      <c r="A554" s="37" t="n">
        <v>33357</v>
      </c>
      <c r="B554" s="84" t="n">
        <v>3331.7</v>
      </c>
      <c r="C554" s="39">
        <f>(Table26[[#This Row],[M2 Money Stock, Billions of Dollars, Weekly, Seasonally Adjusted]]-B553)/B553</f>
        <v/>
      </c>
      <c r="D554" s="40">
        <f>((1+Table26[[#This Row],[Weekly change]])^52)-1</f>
        <v/>
      </c>
      <c r="E554" s="85">
        <f>(Table26[[#This Row],[M2 Money Stock, Billions of Dollars, Weekly, Seasonally Adjusted]]-B502)/B502</f>
        <v/>
      </c>
    </row>
    <row r="555">
      <c r="A555" s="37" t="n">
        <v>33364</v>
      </c>
      <c r="B555" s="84" t="n">
        <v>3337.6</v>
      </c>
      <c r="C555" s="39">
        <f>(Table26[[#This Row],[M2 Money Stock, Billions of Dollars, Weekly, Seasonally Adjusted]]-B554)/B554</f>
        <v/>
      </c>
      <c r="D555" s="40">
        <f>((1+Table26[[#This Row],[Weekly change]])^52)-1</f>
        <v/>
      </c>
      <c r="E555" s="85">
        <f>(Table26[[#This Row],[M2 Money Stock, Billions of Dollars, Weekly, Seasonally Adjusted]]-B503)/B503</f>
        <v/>
      </c>
    </row>
    <row r="556">
      <c r="A556" s="37" t="n">
        <v>33371</v>
      </c>
      <c r="B556" s="84" t="n">
        <v>3342.9</v>
      </c>
      <c r="C556" s="39">
        <f>(Table26[[#This Row],[M2 Money Stock, Billions of Dollars, Weekly, Seasonally Adjusted]]-B555)/B555</f>
        <v/>
      </c>
      <c r="D556" s="40">
        <f>((1+Table26[[#This Row],[Weekly change]])^52)-1</f>
        <v/>
      </c>
      <c r="E556" s="85">
        <f>(Table26[[#This Row],[M2 Money Stock, Billions of Dollars, Weekly, Seasonally Adjusted]]-B504)/B504</f>
        <v/>
      </c>
    </row>
    <row r="557">
      <c r="A557" s="37" t="n">
        <v>33378</v>
      </c>
      <c r="B557" s="84" t="n">
        <v>3345.7</v>
      </c>
      <c r="C557" s="39">
        <f>(Table26[[#This Row],[M2 Money Stock, Billions of Dollars, Weekly, Seasonally Adjusted]]-B556)/B556</f>
        <v/>
      </c>
      <c r="D557" s="40">
        <f>((1+Table26[[#This Row],[Weekly change]])^52)-1</f>
        <v/>
      </c>
      <c r="E557" s="85">
        <f>(Table26[[#This Row],[M2 Money Stock, Billions of Dollars, Weekly, Seasonally Adjusted]]-B505)/B505</f>
        <v/>
      </c>
    </row>
    <row r="558">
      <c r="A558" s="37" t="n">
        <v>33385</v>
      </c>
      <c r="B558" s="84" t="n">
        <v>3345.6</v>
      </c>
      <c r="C558" s="39">
        <f>(Table26[[#This Row],[M2 Money Stock, Billions of Dollars, Weekly, Seasonally Adjusted]]-B557)/B557</f>
        <v/>
      </c>
      <c r="D558" s="40">
        <f>((1+Table26[[#This Row],[Weekly change]])^52)-1</f>
        <v/>
      </c>
      <c r="E558" s="85">
        <f>(Table26[[#This Row],[M2 Money Stock, Billions of Dollars, Weekly, Seasonally Adjusted]]-B506)/B506</f>
        <v/>
      </c>
    </row>
    <row r="559">
      <c r="A559" s="37" t="n">
        <v>33392</v>
      </c>
      <c r="B559" s="84" t="n">
        <v>3342.1</v>
      </c>
      <c r="C559" s="39">
        <f>(Table26[[#This Row],[M2 Money Stock, Billions of Dollars, Weekly, Seasonally Adjusted]]-B558)/B558</f>
        <v/>
      </c>
      <c r="D559" s="40">
        <f>((1+Table26[[#This Row],[Weekly change]])^52)-1</f>
        <v/>
      </c>
      <c r="E559" s="85">
        <f>(Table26[[#This Row],[M2 Money Stock, Billions of Dollars, Weekly, Seasonally Adjusted]]-B507)/B507</f>
        <v/>
      </c>
    </row>
    <row r="560">
      <c r="A560" s="37" t="n">
        <v>33399</v>
      </c>
      <c r="B560" s="84" t="n">
        <v>3351</v>
      </c>
      <c r="C560" s="39">
        <f>(Table26[[#This Row],[M2 Money Stock, Billions of Dollars, Weekly, Seasonally Adjusted]]-B559)/B559</f>
        <v/>
      </c>
      <c r="D560" s="40">
        <f>((1+Table26[[#This Row],[Weekly change]])^52)-1</f>
        <v/>
      </c>
      <c r="E560" s="85">
        <f>(Table26[[#This Row],[M2 Money Stock, Billions of Dollars, Weekly, Seasonally Adjusted]]-B508)/B508</f>
        <v/>
      </c>
    </row>
    <row r="561">
      <c r="A561" s="37" t="n">
        <v>33406</v>
      </c>
      <c r="B561" s="84" t="n">
        <v>3351.8</v>
      </c>
      <c r="C561" s="39">
        <f>(Table26[[#This Row],[M2 Money Stock, Billions of Dollars, Weekly, Seasonally Adjusted]]-B560)/B560</f>
        <v/>
      </c>
      <c r="D561" s="40">
        <f>((1+Table26[[#This Row],[Weekly change]])^52)-1</f>
        <v/>
      </c>
      <c r="E561" s="85">
        <f>(Table26[[#This Row],[M2 Money Stock, Billions of Dollars, Weekly, Seasonally Adjusted]]-B509)/B509</f>
        <v/>
      </c>
    </row>
    <row r="562">
      <c r="A562" s="37" t="n">
        <v>33413</v>
      </c>
      <c r="B562" s="84" t="n">
        <v>3351.1</v>
      </c>
      <c r="C562" s="39">
        <f>(Table26[[#This Row],[M2 Money Stock, Billions of Dollars, Weekly, Seasonally Adjusted]]-B561)/B561</f>
        <v/>
      </c>
      <c r="D562" s="40">
        <f>((1+Table26[[#This Row],[Weekly change]])^52)-1</f>
        <v/>
      </c>
      <c r="E562" s="85">
        <f>(Table26[[#This Row],[M2 Money Stock, Billions of Dollars, Weekly, Seasonally Adjusted]]-B510)/B510</f>
        <v/>
      </c>
    </row>
    <row r="563">
      <c r="A563" s="37" t="n">
        <v>33420</v>
      </c>
      <c r="B563" s="84" t="n">
        <v>3359.1</v>
      </c>
      <c r="C563" s="39">
        <f>(Table26[[#This Row],[M2 Money Stock, Billions of Dollars, Weekly, Seasonally Adjusted]]-B562)/B562</f>
        <v/>
      </c>
      <c r="D563" s="40">
        <f>((1+Table26[[#This Row],[Weekly change]])^52)-1</f>
        <v/>
      </c>
      <c r="E563" s="85">
        <f>(Table26[[#This Row],[M2 Money Stock, Billions of Dollars, Weekly, Seasonally Adjusted]]-B511)/B511</f>
        <v/>
      </c>
    </row>
    <row r="564">
      <c r="A564" s="37" t="n">
        <v>33427</v>
      </c>
      <c r="B564" s="84" t="n">
        <v>3355.2</v>
      </c>
      <c r="C564" s="39">
        <f>(Table26[[#This Row],[M2 Money Stock, Billions of Dollars, Weekly, Seasonally Adjusted]]-B563)/B563</f>
        <v/>
      </c>
      <c r="D564" s="40">
        <f>((1+Table26[[#This Row],[Weekly change]])^52)-1</f>
        <v/>
      </c>
      <c r="E564" s="85">
        <f>(Table26[[#This Row],[M2 Money Stock, Billions of Dollars, Weekly, Seasonally Adjusted]]-B512)/B512</f>
        <v/>
      </c>
    </row>
    <row r="565">
      <c r="A565" s="37" t="n">
        <v>33434</v>
      </c>
      <c r="B565" s="84" t="n">
        <v>3357</v>
      </c>
      <c r="C565" s="39">
        <f>(Table26[[#This Row],[M2 Money Stock, Billions of Dollars, Weekly, Seasonally Adjusted]]-B564)/B564</f>
        <v/>
      </c>
      <c r="D565" s="40">
        <f>((1+Table26[[#This Row],[Weekly change]])^52)-1</f>
        <v/>
      </c>
      <c r="E565" s="85">
        <f>(Table26[[#This Row],[M2 Money Stock, Billions of Dollars, Weekly, Seasonally Adjusted]]-B513)/B513</f>
        <v/>
      </c>
    </row>
    <row r="566">
      <c r="A566" s="37" t="n">
        <v>33441</v>
      </c>
      <c r="B566" s="84" t="n">
        <v>3356.8</v>
      </c>
      <c r="C566" s="39">
        <f>(Table26[[#This Row],[M2 Money Stock, Billions of Dollars, Weekly, Seasonally Adjusted]]-B565)/B565</f>
        <v/>
      </c>
      <c r="D566" s="40">
        <f>((1+Table26[[#This Row],[Weekly change]])^52)-1</f>
        <v/>
      </c>
      <c r="E566" s="85">
        <f>(Table26[[#This Row],[M2 Money Stock, Billions of Dollars, Weekly, Seasonally Adjusted]]-B514)/B514</f>
        <v/>
      </c>
    </row>
    <row r="567">
      <c r="A567" s="37" t="n">
        <v>33448</v>
      </c>
      <c r="B567" s="84" t="n">
        <v>3355.4</v>
      </c>
      <c r="C567" s="39">
        <f>(Table26[[#This Row],[M2 Money Stock, Billions of Dollars, Weekly, Seasonally Adjusted]]-B566)/B566</f>
        <v/>
      </c>
      <c r="D567" s="40">
        <f>((1+Table26[[#This Row],[Weekly change]])^52)-1</f>
        <v/>
      </c>
      <c r="E567" s="85">
        <f>(Table26[[#This Row],[M2 Money Stock, Billions of Dollars, Weekly, Seasonally Adjusted]]-B515)/B515</f>
        <v/>
      </c>
    </row>
    <row r="568">
      <c r="A568" s="37" t="n">
        <v>33455</v>
      </c>
      <c r="B568" s="84" t="n">
        <v>3354.5</v>
      </c>
      <c r="C568" s="39">
        <f>(Table26[[#This Row],[M2 Money Stock, Billions of Dollars, Weekly, Seasonally Adjusted]]-B567)/B567</f>
        <v/>
      </c>
      <c r="D568" s="40">
        <f>((1+Table26[[#This Row],[Weekly change]])^52)-1</f>
        <v/>
      </c>
      <c r="E568" s="85">
        <f>(Table26[[#This Row],[M2 Money Stock, Billions of Dollars, Weekly, Seasonally Adjusted]]-B516)/B516</f>
        <v/>
      </c>
    </row>
    <row r="569">
      <c r="A569" s="37" t="n">
        <v>33462</v>
      </c>
      <c r="B569" s="84" t="n">
        <v>3354.6</v>
      </c>
      <c r="C569" s="39">
        <f>(Table26[[#This Row],[M2 Money Stock, Billions of Dollars, Weekly, Seasonally Adjusted]]-B568)/B568</f>
        <v/>
      </c>
      <c r="D569" s="40">
        <f>((1+Table26[[#This Row],[Weekly change]])^52)-1</f>
        <v/>
      </c>
      <c r="E569" s="85">
        <f>(Table26[[#This Row],[M2 Money Stock, Billions of Dollars, Weekly, Seasonally Adjusted]]-B517)/B517</f>
        <v/>
      </c>
    </row>
    <row r="570">
      <c r="A570" s="37" t="n">
        <v>33469</v>
      </c>
      <c r="B570" s="84" t="n">
        <v>3353.4</v>
      </c>
      <c r="C570" s="39">
        <f>(Table26[[#This Row],[M2 Money Stock, Billions of Dollars, Weekly, Seasonally Adjusted]]-B569)/B569</f>
        <v/>
      </c>
      <c r="D570" s="40">
        <f>((1+Table26[[#This Row],[Weekly change]])^52)-1</f>
        <v/>
      </c>
      <c r="E570" s="85">
        <f>(Table26[[#This Row],[M2 Money Stock, Billions of Dollars, Weekly, Seasonally Adjusted]]-B518)/B518</f>
        <v/>
      </c>
    </row>
    <row r="571">
      <c r="A571" s="37" t="n">
        <v>33476</v>
      </c>
      <c r="B571" s="84" t="n">
        <v>3358.5</v>
      </c>
      <c r="C571" s="39">
        <f>(Table26[[#This Row],[M2 Money Stock, Billions of Dollars, Weekly, Seasonally Adjusted]]-B570)/B570</f>
        <v/>
      </c>
      <c r="D571" s="40">
        <f>((1+Table26[[#This Row],[Weekly change]])^52)-1</f>
        <v/>
      </c>
      <c r="E571" s="85">
        <f>(Table26[[#This Row],[M2 Money Stock, Billions of Dollars, Weekly, Seasonally Adjusted]]-B519)/B519</f>
        <v/>
      </c>
    </row>
    <row r="572">
      <c r="A572" s="37" t="n">
        <v>33483</v>
      </c>
      <c r="B572" s="84" t="n">
        <v>3353.5</v>
      </c>
      <c r="C572" s="39">
        <f>(Table26[[#This Row],[M2 Money Stock, Billions of Dollars, Weekly, Seasonally Adjusted]]-B571)/B571</f>
        <v/>
      </c>
      <c r="D572" s="40">
        <f>((1+Table26[[#This Row],[Weekly change]])^52)-1</f>
        <v/>
      </c>
      <c r="E572" s="85">
        <f>(Table26[[#This Row],[M2 Money Stock, Billions of Dollars, Weekly, Seasonally Adjusted]]-B520)/B520</f>
        <v/>
      </c>
    </row>
    <row r="573">
      <c r="A573" s="37" t="n">
        <v>33490</v>
      </c>
      <c r="B573" s="84" t="n">
        <v>3356.5</v>
      </c>
      <c r="C573" s="39">
        <f>(Table26[[#This Row],[M2 Money Stock, Billions of Dollars, Weekly, Seasonally Adjusted]]-B572)/B572</f>
        <v/>
      </c>
      <c r="D573" s="40">
        <f>((1+Table26[[#This Row],[Weekly change]])^52)-1</f>
        <v/>
      </c>
      <c r="E573" s="85">
        <f>(Table26[[#This Row],[M2 Money Stock, Billions of Dollars, Weekly, Seasonally Adjusted]]-B521)/B521</f>
        <v/>
      </c>
    </row>
    <row r="574">
      <c r="A574" s="37" t="n">
        <v>33497</v>
      </c>
      <c r="B574" s="84" t="n">
        <v>3355.4</v>
      </c>
      <c r="C574" s="39">
        <f>(Table26[[#This Row],[M2 Money Stock, Billions of Dollars, Weekly, Seasonally Adjusted]]-B573)/B573</f>
        <v/>
      </c>
      <c r="D574" s="40">
        <f>((1+Table26[[#This Row],[Weekly change]])^52)-1</f>
        <v/>
      </c>
      <c r="E574" s="85">
        <f>(Table26[[#This Row],[M2 Money Stock, Billions of Dollars, Weekly, Seasonally Adjusted]]-B522)/B522</f>
        <v/>
      </c>
    </row>
    <row r="575">
      <c r="A575" s="37" t="n">
        <v>33504</v>
      </c>
      <c r="B575" s="84" t="n">
        <v>3354.5</v>
      </c>
      <c r="C575" s="39">
        <f>(Table26[[#This Row],[M2 Money Stock, Billions of Dollars, Weekly, Seasonally Adjusted]]-B574)/B574</f>
        <v/>
      </c>
      <c r="D575" s="40">
        <f>((1+Table26[[#This Row],[Weekly change]])^52)-1</f>
        <v/>
      </c>
      <c r="E575" s="85">
        <f>(Table26[[#This Row],[M2 Money Stock, Billions of Dollars, Weekly, Seasonally Adjusted]]-B523)/B523</f>
        <v/>
      </c>
    </row>
    <row r="576">
      <c r="A576" s="37" t="n">
        <v>33511</v>
      </c>
      <c r="B576" s="84" t="n">
        <v>3353.8</v>
      </c>
      <c r="C576" s="39">
        <f>(Table26[[#This Row],[M2 Money Stock, Billions of Dollars, Weekly, Seasonally Adjusted]]-B575)/B575</f>
        <v/>
      </c>
      <c r="D576" s="40">
        <f>((1+Table26[[#This Row],[Weekly change]])^52)-1</f>
        <v/>
      </c>
      <c r="E576" s="85">
        <f>(Table26[[#This Row],[M2 Money Stock, Billions of Dollars, Weekly, Seasonally Adjusted]]-B524)/B524</f>
        <v/>
      </c>
    </row>
    <row r="577">
      <c r="A577" s="37" t="n">
        <v>33518</v>
      </c>
      <c r="B577" s="84" t="n">
        <v>3356.8</v>
      </c>
      <c r="C577" s="39">
        <f>(Table26[[#This Row],[M2 Money Stock, Billions of Dollars, Weekly, Seasonally Adjusted]]-B576)/B576</f>
        <v/>
      </c>
      <c r="D577" s="40">
        <f>((1+Table26[[#This Row],[Weekly change]])^52)-1</f>
        <v/>
      </c>
      <c r="E577" s="85">
        <f>(Table26[[#This Row],[M2 Money Stock, Billions of Dollars, Weekly, Seasonally Adjusted]]-B525)/B525</f>
        <v/>
      </c>
    </row>
    <row r="578">
      <c r="A578" s="37" t="n">
        <v>33525</v>
      </c>
      <c r="B578" s="84" t="n">
        <v>3358.1</v>
      </c>
      <c r="C578" s="39">
        <f>(Table26[[#This Row],[M2 Money Stock, Billions of Dollars, Weekly, Seasonally Adjusted]]-B577)/B577</f>
        <v/>
      </c>
      <c r="D578" s="40">
        <f>((1+Table26[[#This Row],[Weekly change]])^52)-1</f>
        <v/>
      </c>
      <c r="E578" s="85">
        <f>(Table26[[#This Row],[M2 Money Stock, Billions of Dollars, Weekly, Seasonally Adjusted]]-B526)/B526</f>
        <v/>
      </c>
    </row>
    <row r="579">
      <c r="A579" s="37" t="n">
        <v>33532</v>
      </c>
      <c r="B579" s="84" t="n">
        <v>3362.4</v>
      </c>
      <c r="C579" s="39">
        <f>(Table26[[#This Row],[M2 Money Stock, Billions of Dollars, Weekly, Seasonally Adjusted]]-B578)/B578</f>
        <v/>
      </c>
      <c r="D579" s="40">
        <f>((1+Table26[[#This Row],[Weekly change]])^52)-1</f>
        <v/>
      </c>
      <c r="E579" s="85">
        <f>(Table26[[#This Row],[M2 Money Stock, Billions of Dollars, Weekly, Seasonally Adjusted]]-B527)/B527</f>
        <v/>
      </c>
    </row>
    <row r="580">
      <c r="A580" s="37" t="n">
        <v>33539</v>
      </c>
      <c r="B580" s="84" t="n">
        <v>3363.2</v>
      </c>
      <c r="C580" s="39">
        <f>(Table26[[#This Row],[M2 Money Stock, Billions of Dollars, Weekly, Seasonally Adjusted]]-B579)/B579</f>
        <v/>
      </c>
      <c r="D580" s="40">
        <f>((1+Table26[[#This Row],[Weekly change]])^52)-1</f>
        <v/>
      </c>
      <c r="E580" s="85">
        <f>(Table26[[#This Row],[M2 Money Stock, Billions of Dollars, Weekly, Seasonally Adjusted]]-B528)/B528</f>
        <v/>
      </c>
    </row>
    <row r="581">
      <c r="A581" s="37" t="n">
        <v>33546</v>
      </c>
      <c r="B581" s="84" t="n">
        <v>3360.3</v>
      </c>
      <c r="C581" s="39">
        <f>(Table26[[#This Row],[M2 Money Stock, Billions of Dollars, Weekly, Seasonally Adjusted]]-B580)/B580</f>
        <v/>
      </c>
      <c r="D581" s="40">
        <f>((1+Table26[[#This Row],[Weekly change]])^52)-1</f>
        <v/>
      </c>
      <c r="E581" s="85">
        <f>(Table26[[#This Row],[M2 Money Stock, Billions of Dollars, Weekly, Seasonally Adjusted]]-B529)/B529</f>
        <v/>
      </c>
    </row>
    <row r="582">
      <c r="A582" s="37" t="n">
        <v>33553</v>
      </c>
      <c r="B582" s="84" t="n">
        <v>3365.2</v>
      </c>
      <c r="C582" s="39">
        <f>(Table26[[#This Row],[M2 Money Stock, Billions of Dollars, Weekly, Seasonally Adjusted]]-B581)/B581</f>
        <v/>
      </c>
      <c r="D582" s="40">
        <f>((1+Table26[[#This Row],[Weekly change]])^52)-1</f>
        <v/>
      </c>
      <c r="E582" s="85">
        <f>(Table26[[#This Row],[M2 Money Stock, Billions of Dollars, Weekly, Seasonally Adjusted]]-B530)/B530</f>
        <v/>
      </c>
    </row>
    <row r="583">
      <c r="A583" s="37" t="n">
        <v>33560</v>
      </c>
      <c r="B583" s="84" t="n">
        <v>3365</v>
      </c>
      <c r="C583" s="39">
        <f>(Table26[[#This Row],[M2 Money Stock, Billions of Dollars, Weekly, Seasonally Adjusted]]-B582)/B582</f>
        <v/>
      </c>
      <c r="D583" s="40">
        <f>((1+Table26[[#This Row],[Weekly change]])^52)-1</f>
        <v/>
      </c>
      <c r="E583" s="85">
        <f>(Table26[[#This Row],[M2 Money Stock, Billions of Dollars, Weekly, Seasonally Adjusted]]-B531)/B531</f>
        <v/>
      </c>
    </row>
    <row r="584">
      <c r="A584" s="37" t="n">
        <v>33567</v>
      </c>
      <c r="B584" s="84" t="n">
        <v>3366.5</v>
      </c>
      <c r="C584" s="39">
        <f>(Table26[[#This Row],[M2 Money Stock, Billions of Dollars, Weekly, Seasonally Adjusted]]-B583)/B583</f>
        <v/>
      </c>
      <c r="D584" s="40">
        <f>((1+Table26[[#This Row],[Weekly change]])^52)-1</f>
        <v/>
      </c>
      <c r="E584" s="85">
        <f>(Table26[[#This Row],[M2 Money Stock, Billions of Dollars, Weekly, Seasonally Adjusted]]-B532)/B532</f>
        <v/>
      </c>
    </row>
    <row r="585">
      <c r="A585" s="37" t="n">
        <v>33574</v>
      </c>
      <c r="B585" s="84" t="n">
        <v>3369.4</v>
      </c>
      <c r="C585" s="39">
        <f>(Table26[[#This Row],[M2 Money Stock, Billions of Dollars, Weekly, Seasonally Adjusted]]-B584)/B584</f>
        <v/>
      </c>
      <c r="D585" s="40">
        <f>((1+Table26[[#This Row],[Weekly change]])^52)-1</f>
        <v/>
      </c>
      <c r="E585" s="85">
        <f>(Table26[[#This Row],[M2 Money Stock, Billions of Dollars, Weekly, Seasonally Adjusted]]-B533)/B533</f>
        <v/>
      </c>
    </row>
    <row r="586">
      <c r="A586" s="37" t="n">
        <v>33581</v>
      </c>
      <c r="B586" s="84" t="n">
        <v>3372.4</v>
      </c>
      <c r="C586" s="39">
        <f>(Table26[[#This Row],[M2 Money Stock, Billions of Dollars, Weekly, Seasonally Adjusted]]-B585)/B585</f>
        <v/>
      </c>
      <c r="D586" s="40">
        <f>((1+Table26[[#This Row],[Weekly change]])^52)-1</f>
        <v/>
      </c>
      <c r="E586" s="85">
        <f>(Table26[[#This Row],[M2 Money Stock, Billions of Dollars, Weekly, Seasonally Adjusted]]-B534)/B534</f>
        <v/>
      </c>
    </row>
    <row r="587">
      <c r="A587" s="37" t="n">
        <v>33588</v>
      </c>
      <c r="B587" s="84" t="n">
        <v>3379.5</v>
      </c>
      <c r="C587" s="39">
        <f>(Table26[[#This Row],[M2 Money Stock, Billions of Dollars, Weekly, Seasonally Adjusted]]-B586)/B586</f>
        <v/>
      </c>
      <c r="D587" s="40">
        <f>((1+Table26[[#This Row],[Weekly change]])^52)-1</f>
        <v/>
      </c>
      <c r="E587" s="85">
        <f>(Table26[[#This Row],[M2 Money Stock, Billions of Dollars, Weekly, Seasonally Adjusted]]-B535)/B535</f>
        <v/>
      </c>
    </row>
    <row r="588">
      <c r="A588" s="37" t="n">
        <v>33595</v>
      </c>
      <c r="B588" s="84" t="n">
        <v>3371.1</v>
      </c>
      <c r="C588" s="39">
        <f>(Table26[[#This Row],[M2 Money Stock, Billions of Dollars, Weekly, Seasonally Adjusted]]-B587)/B587</f>
        <v/>
      </c>
      <c r="D588" s="40">
        <f>((1+Table26[[#This Row],[Weekly change]])^52)-1</f>
        <v/>
      </c>
      <c r="E588" s="85">
        <f>(Table26[[#This Row],[M2 Money Stock, Billions of Dollars, Weekly, Seasonally Adjusted]]-B536)/B536</f>
        <v/>
      </c>
    </row>
    <row r="589">
      <c r="A589" s="37" t="n">
        <v>33602</v>
      </c>
      <c r="B589" s="84" t="n">
        <v>3367.7</v>
      </c>
      <c r="C589" s="39">
        <f>(Table26[[#This Row],[M2 Money Stock, Billions of Dollars, Weekly, Seasonally Adjusted]]-B588)/B588</f>
        <v/>
      </c>
      <c r="D589" s="40">
        <f>((1+Table26[[#This Row],[Weekly change]])^52)-1</f>
        <v/>
      </c>
      <c r="E589" s="85">
        <f>(Table26[[#This Row],[M2 Money Stock, Billions of Dollars, Weekly, Seasonally Adjusted]]-B537)/B537</f>
        <v/>
      </c>
    </row>
    <row r="590">
      <c r="A590" s="37" t="n">
        <v>33609</v>
      </c>
      <c r="B590" s="84" t="n">
        <v>3365.7</v>
      </c>
      <c r="C590" s="39">
        <f>(Table26[[#This Row],[M2 Money Stock, Billions of Dollars, Weekly, Seasonally Adjusted]]-B589)/B589</f>
        <v/>
      </c>
      <c r="D590" s="40">
        <f>((1+Table26[[#This Row],[Weekly change]])^52)-1</f>
        <v/>
      </c>
      <c r="E590" s="85">
        <f>(Table26[[#This Row],[M2 Money Stock, Billions of Dollars, Weekly, Seasonally Adjusted]]-B538)/B538</f>
        <v/>
      </c>
    </row>
    <row r="591">
      <c r="A591" s="37" t="n">
        <v>33616</v>
      </c>
      <c r="B591" s="84" t="n">
        <v>3374.9</v>
      </c>
      <c r="C591" s="39">
        <f>(Table26[[#This Row],[M2 Money Stock, Billions of Dollars, Weekly, Seasonally Adjusted]]-B590)/B590</f>
        <v/>
      </c>
      <c r="D591" s="40">
        <f>((1+Table26[[#This Row],[Weekly change]])^52)-1</f>
        <v/>
      </c>
      <c r="E591" s="85">
        <f>(Table26[[#This Row],[M2 Money Stock, Billions of Dollars, Weekly, Seasonally Adjusted]]-B539)/B539</f>
        <v/>
      </c>
    </row>
    <row r="592">
      <c r="A592" s="37" t="n">
        <v>33623</v>
      </c>
      <c r="B592" s="84" t="n">
        <v>3381.7</v>
      </c>
      <c r="C592" s="39">
        <f>(Table26[[#This Row],[M2 Money Stock, Billions of Dollars, Weekly, Seasonally Adjusted]]-B591)/B591</f>
        <v/>
      </c>
      <c r="D592" s="40">
        <f>((1+Table26[[#This Row],[Weekly change]])^52)-1</f>
        <v/>
      </c>
      <c r="E592" s="85">
        <f>(Table26[[#This Row],[M2 Money Stock, Billions of Dollars, Weekly, Seasonally Adjusted]]-B540)/B540</f>
        <v/>
      </c>
    </row>
    <row r="593">
      <c r="A593" s="37" t="n">
        <v>33630</v>
      </c>
      <c r="B593" s="84" t="n">
        <v>3393.5</v>
      </c>
      <c r="C593" s="39">
        <f>(Table26[[#This Row],[M2 Money Stock, Billions of Dollars, Weekly, Seasonally Adjusted]]-B592)/B592</f>
        <v/>
      </c>
      <c r="D593" s="40">
        <f>((1+Table26[[#This Row],[Weekly change]])^52)-1</f>
        <v/>
      </c>
      <c r="E593" s="85">
        <f>(Table26[[#This Row],[M2 Money Stock, Billions of Dollars, Weekly, Seasonally Adjusted]]-B541)/B541</f>
        <v/>
      </c>
    </row>
    <row r="594">
      <c r="A594" s="37" t="n">
        <v>33637</v>
      </c>
      <c r="B594" s="84" t="n">
        <v>3392.9</v>
      </c>
      <c r="C594" s="39">
        <f>(Table26[[#This Row],[M2 Money Stock, Billions of Dollars, Weekly, Seasonally Adjusted]]-B593)/B593</f>
        <v/>
      </c>
      <c r="D594" s="40">
        <f>((1+Table26[[#This Row],[Weekly change]])^52)-1</f>
        <v/>
      </c>
      <c r="E594" s="85">
        <f>(Table26[[#This Row],[M2 Money Stock, Billions of Dollars, Weekly, Seasonally Adjusted]]-B542)/B542</f>
        <v/>
      </c>
    </row>
    <row r="595">
      <c r="A595" s="37" t="n">
        <v>33644</v>
      </c>
      <c r="B595" s="84" t="n">
        <v>3398.9</v>
      </c>
      <c r="C595" s="39">
        <f>(Table26[[#This Row],[M2 Money Stock, Billions of Dollars, Weekly, Seasonally Adjusted]]-B594)/B594</f>
        <v/>
      </c>
      <c r="D595" s="40">
        <f>((1+Table26[[#This Row],[Weekly change]])^52)-1</f>
        <v/>
      </c>
      <c r="E595" s="85">
        <f>(Table26[[#This Row],[M2 Money Stock, Billions of Dollars, Weekly, Seasonally Adjusted]]-B543)/B543</f>
        <v/>
      </c>
    </row>
    <row r="596">
      <c r="A596" s="37" t="n">
        <v>33651</v>
      </c>
      <c r="B596" s="84" t="n">
        <v>3400.8</v>
      </c>
      <c r="C596" s="39">
        <f>(Table26[[#This Row],[M2 Money Stock, Billions of Dollars, Weekly, Seasonally Adjusted]]-B595)/B595</f>
        <v/>
      </c>
      <c r="D596" s="40">
        <f>((1+Table26[[#This Row],[Weekly change]])^52)-1</f>
        <v/>
      </c>
      <c r="E596" s="85">
        <f>(Table26[[#This Row],[M2 Money Stock, Billions of Dollars, Weekly, Seasonally Adjusted]]-B544)/B544</f>
        <v/>
      </c>
    </row>
    <row r="597">
      <c r="A597" s="37" t="n">
        <v>33658</v>
      </c>
      <c r="B597" s="84" t="n">
        <v>3402.5</v>
      </c>
      <c r="C597" s="39">
        <f>(Table26[[#This Row],[M2 Money Stock, Billions of Dollars, Weekly, Seasonally Adjusted]]-B596)/B596</f>
        <v/>
      </c>
      <c r="D597" s="40">
        <f>((1+Table26[[#This Row],[Weekly change]])^52)-1</f>
        <v/>
      </c>
      <c r="E597" s="85">
        <f>(Table26[[#This Row],[M2 Money Stock, Billions of Dollars, Weekly, Seasonally Adjusted]]-B545)/B545</f>
        <v/>
      </c>
    </row>
    <row r="598">
      <c r="A598" s="37" t="n">
        <v>33665</v>
      </c>
      <c r="B598" s="84" t="n">
        <v>3401.1</v>
      </c>
      <c r="C598" s="39">
        <f>(Table26[[#This Row],[M2 Money Stock, Billions of Dollars, Weekly, Seasonally Adjusted]]-B597)/B597</f>
        <v/>
      </c>
      <c r="D598" s="40">
        <f>((1+Table26[[#This Row],[Weekly change]])^52)-1</f>
        <v/>
      </c>
      <c r="E598" s="85">
        <f>(Table26[[#This Row],[M2 Money Stock, Billions of Dollars, Weekly, Seasonally Adjusted]]-B546)/B546</f>
        <v/>
      </c>
    </row>
    <row r="599">
      <c r="A599" s="37" t="n">
        <v>33672</v>
      </c>
      <c r="B599" s="84" t="n">
        <v>3404.6</v>
      </c>
      <c r="C599" s="39">
        <f>(Table26[[#This Row],[M2 Money Stock, Billions of Dollars, Weekly, Seasonally Adjusted]]-B598)/B598</f>
        <v/>
      </c>
      <c r="D599" s="40">
        <f>((1+Table26[[#This Row],[Weekly change]])^52)-1</f>
        <v/>
      </c>
      <c r="E599" s="85">
        <f>(Table26[[#This Row],[M2 Money Stock, Billions of Dollars, Weekly, Seasonally Adjusted]]-B547)/B547</f>
        <v/>
      </c>
    </row>
    <row r="600">
      <c r="A600" s="37" t="n">
        <v>33679</v>
      </c>
      <c r="B600" s="84" t="n">
        <v>3407.2</v>
      </c>
      <c r="C600" s="39">
        <f>(Table26[[#This Row],[M2 Money Stock, Billions of Dollars, Weekly, Seasonally Adjusted]]-B599)/B599</f>
        <v/>
      </c>
      <c r="D600" s="40">
        <f>((1+Table26[[#This Row],[Weekly change]])^52)-1</f>
        <v/>
      </c>
      <c r="E600" s="85">
        <f>(Table26[[#This Row],[M2 Money Stock, Billions of Dollars, Weekly, Seasonally Adjusted]]-B548)/B548</f>
        <v/>
      </c>
    </row>
    <row r="601">
      <c r="A601" s="37" t="n">
        <v>33686</v>
      </c>
      <c r="B601" s="84" t="n">
        <v>3404</v>
      </c>
      <c r="C601" s="39">
        <f>(Table26[[#This Row],[M2 Money Stock, Billions of Dollars, Weekly, Seasonally Adjusted]]-B600)/B600</f>
        <v/>
      </c>
      <c r="D601" s="40">
        <f>((1+Table26[[#This Row],[Weekly change]])^52)-1</f>
        <v/>
      </c>
      <c r="E601" s="85">
        <f>(Table26[[#This Row],[M2 Money Stock, Billions of Dollars, Weekly, Seasonally Adjusted]]-B549)/B549</f>
        <v/>
      </c>
    </row>
    <row r="602">
      <c r="A602" s="37" t="n">
        <v>33693</v>
      </c>
      <c r="B602" s="84" t="n">
        <v>3401.1</v>
      </c>
      <c r="C602" s="39">
        <f>(Table26[[#This Row],[M2 Money Stock, Billions of Dollars, Weekly, Seasonally Adjusted]]-B601)/B601</f>
        <v/>
      </c>
      <c r="D602" s="40">
        <f>((1+Table26[[#This Row],[Weekly change]])^52)-1</f>
        <v/>
      </c>
      <c r="E602" s="85">
        <f>(Table26[[#This Row],[M2 Money Stock, Billions of Dollars, Weekly, Seasonally Adjusted]]-B550)/B550</f>
        <v/>
      </c>
    </row>
    <row r="603">
      <c r="A603" s="37" t="n">
        <v>33700</v>
      </c>
      <c r="B603" s="84" t="n">
        <v>3400.2</v>
      </c>
      <c r="C603" s="39">
        <f>(Table26[[#This Row],[M2 Money Stock, Billions of Dollars, Weekly, Seasonally Adjusted]]-B602)/B602</f>
        <v/>
      </c>
      <c r="D603" s="40">
        <f>((1+Table26[[#This Row],[Weekly change]])^52)-1</f>
        <v/>
      </c>
      <c r="E603" s="85">
        <f>(Table26[[#This Row],[M2 Money Stock, Billions of Dollars, Weekly, Seasonally Adjusted]]-B551)/B551</f>
        <v/>
      </c>
    </row>
    <row r="604">
      <c r="A604" s="37" t="n">
        <v>33707</v>
      </c>
      <c r="B604" s="84" t="n">
        <v>3401.6</v>
      </c>
      <c r="C604" s="39">
        <f>(Table26[[#This Row],[M2 Money Stock, Billions of Dollars, Weekly, Seasonally Adjusted]]-B603)/B603</f>
        <v/>
      </c>
      <c r="D604" s="40">
        <f>((1+Table26[[#This Row],[Weekly change]])^52)-1</f>
        <v/>
      </c>
      <c r="E604" s="85">
        <f>(Table26[[#This Row],[M2 Money Stock, Billions of Dollars, Weekly, Seasonally Adjusted]]-B552)/B552</f>
        <v/>
      </c>
    </row>
    <row r="605">
      <c r="A605" s="37" t="n">
        <v>33714</v>
      </c>
      <c r="B605" s="84" t="n">
        <v>3397.8</v>
      </c>
      <c r="C605" s="39">
        <f>(Table26[[#This Row],[M2 Money Stock, Billions of Dollars, Weekly, Seasonally Adjusted]]-B604)/B604</f>
        <v/>
      </c>
      <c r="D605" s="40">
        <f>((1+Table26[[#This Row],[Weekly change]])^52)-1</f>
        <v/>
      </c>
      <c r="E605" s="85">
        <f>(Table26[[#This Row],[M2 Money Stock, Billions of Dollars, Weekly, Seasonally Adjusted]]-B553)/B553</f>
        <v/>
      </c>
    </row>
    <row r="606">
      <c r="A606" s="37" t="n">
        <v>33721</v>
      </c>
      <c r="B606" s="84" t="n">
        <v>3399.4</v>
      </c>
      <c r="C606" s="39">
        <f>(Table26[[#This Row],[M2 Money Stock, Billions of Dollars, Weekly, Seasonally Adjusted]]-B605)/B605</f>
        <v/>
      </c>
      <c r="D606" s="40">
        <f>((1+Table26[[#This Row],[Weekly change]])^52)-1</f>
        <v/>
      </c>
      <c r="E606" s="85">
        <f>(Table26[[#This Row],[M2 Money Stock, Billions of Dollars, Weekly, Seasonally Adjusted]]-B554)/B554</f>
        <v/>
      </c>
    </row>
    <row r="607">
      <c r="A607" s="37" t="n">
        <v>33728</v>
      </c>
      <c r="B607" s="84" t="n">
        <v>3399.3</v>
      </c>
      <c r="C607" s="39">
        <f>(Table26[[#This Row],[M2 Money Stock, Billions of Dollars, Weekly, Seasonally Adjusted]]-B606)/B606</f>
        <v/>
      </c>
      <c r="D607" s="40">
        <f>((1+Table26[[#This Row],[Weekly change]])^52)-1</f>
        <v/>
      </c>
      <c r="E607" s="85">
        <f>(Table26[[#This Row],[M2 Money Stock, Billions of Dollars, Weekly, Seasonally Adjusted]]-B555)/B555</f>
        <v/>
      </c>
    </row>
    <row r="608">
      <c r="A608" s="37" t="n">
        <v>33735</v>
      </c>
      <c r="B608" s="84" t="n">
        <v>3401</v>
      </c>
      <c r="C608" s="39">
        <f>(Table26[[#This Row],[M2 Money Stock, Billions of Dollars, Weekly, Seasonally Adjusted]]-B607)/B607</f>
        <v/>
      </c>
      <c r="D608" s="40">
        <f>((1+Table26[[#This Row],[Weekly change]])^52)-1</f>
        <v/>
      </c>
      <c r="E608" s="85">
        <f>(Table26[[#This Row],[M2 Money Stock, Billions of Dollars, Weekly, Seasonally Adjusted]]-B556)/B556</f>
        <v/>
      </c>
    </row>
    <row r="609">
      <c r="A609" s="37" t="n">
        <v>33742</v>
      </c>
      <c r="B609" s="84" t="n">
        <v>3398.3</v>
      </c>
      <c r="C609" s="39">
        <f>(Table26[[#This Row],[M2 Money Stock, Billions of Dollars, Weekly, Seasonally Adjusted]]-B608)/B608</f>
        <v/>
      </c>
      <c r="D609" s="40">
        <f>((1+Table26[[#This Row],[Weekly change]])^52)-1</f>
        <v/>
      </c>
      <c r="E609" s="85">
        <f>(Table26[[#This Row],[M2 Money Stock, Billions of Dollars, Weekly, Seasonally Adjusted]]-B557)/B557</f>
        <v/>
      </c>
    </row>
    <row r="610">
      <c r="A610" s="37" t="n">
        <v>33749</v>
      </c>
      <c r="B610" s="84" t="n">
        <v>3397</v>
      </c>
      <c r="C610" s="39">
        <f>(Table26[[#This Row],[M2 Money Stock, Billions of Dollars, Weekly, Seasonally Adjusted]]-B609)/B609</f>
        <v/>
      </c>
      <c r="D610" s="40">
        <f>((1+Table26[[#This Row],[Weekly change]])^52)-1</f>
        <v/>
      </c>
      <c r="E610" s="85">
        <f>(Table26[[#This Row],[M2 Money Stock, Billions of Dollars, Weekly, Seasonally Adjusted]]-B558)/B558</f>
        <v/>
      </c>
    </row>
    <row r="611">
      <c r="A611" s="37" t="n">
        <v>33756</v>
      </c>
      <c r="B611" s="84" t="n">
        <v>3397.5</v>
      </c>
      <c r="C611" s="39">
        <f>(Table26[[#This Row],[M2 Money Stock, Billions of Dollars, Weekly, Seasonally Adjusted]]-B610)/B610</f>
        <v/>
      </c>
      <c r="D611" s="40">
        <f>((1+Table26[[#This Row],[Weekly change]])^52)-1</f>
        <v/>
      </c>
      <c r="E611" s="85">
        <f>(Table26[[#This Row],[M2 Money Stock, Billions of Dollars, Weekly, Seasonally Adjusted]]-B559)/B559</f>
        <v/>
      </c>
    </row>
    <row r="612">
      <c r="A612" s="37" t="n">
        <v>33763</v>
      </c>
      <c r="B612" s="84" t="n">
        <v>3393.7</v>
      </c>
      <c r="C612" s="39">
        <f>(Table26[[#This Row],[M2 Money Stock, Billions of Dollars, Weekly, Seasonally Adjusted]]-B611)/B611</f>
        <v/>
      </c>
      <c r="D612" s="40">
        <f>((1+Table26[[#This Row],[Weekly change]])^52)-1</f>
        <v/>
      </c>
      <c r="E612" s="85">
        <f>(Table26[[#This Row],[M2 Money Stock, Billions of Dollars, Weekly, Seasonally Adjusted]]-B560)/B560</f>
        <v/>
      </c>
    </row>
    <row r="613">
      <c r="A613" s="37" t="n">
        <v>33770</v>
      </c>
      <c r="B613" s="84" t="n">
        <v>3396.5</v>
      </c>
      <c r="C613" s="39">
        <f>(Table26[[#This Row],[M2 Money Stock, Billions of Dollars, Weekly, Seasonally Adjusted]]-B612)/B612</f>
        <v/>
      </c>
      <c r="D613" s="40">
        <f>((1+Table26[[#This Row],[Weekly change]])^52)-1</f>
        <v/>
      </c>
      <c r="E613" s="85">
        <f>(Table26[[#This Row],[M2 Money Stock, Billions of Dollars, Weekly, Seasonally Adjusted]]-B561)/B561</f>
        <v/>
      </c>
    </row>
    <row r="614">
      <c r="A614" s="37" t="n">
        <v>33777</v>
      </c>
      <c r="B614" s="84" t="n">
        <v>3394.3</v>
      </c>
      <c r="C614" s="39">
        <f>(Table26[[#This Row],[M2 Money Stock, Billions of Dollars, Weekly, Seasonally Adjusted]]-B613)/B613</f>
        <v/>
      </c>
      <c r="D614" s="40">
        <f>((1+Table26[[#This Row],[Weekly change]])^52)-1</f>
        <v/>
      </c>
      <c r="E614" s="85">
        <f>(Table26[[#This Row],[M2 Money Stock, Billions of Dollars, Weekly, Seasonally Adjusted]]-B562)/B562</f>
        <v/>
      </c>
    </row>
    <row r="615">
      <c r="A615" s="37" t="n">
        <v>33784</v>
      </c>
      <c r="B615" s="84" t="n">
        <v>3389.1</v>
      </c>
      <c r="C615" s="39">
        <f>(Table26[[#This Row],[M2 Money Stock, Billions of Dollars, Weekly, Seasonally Adjusted]]-B614)/B614</f>
        <v/>
      </c>
      <c r="D615" s="40">
        <f>((1+Table26[[#This Row],[Weekly change]])^52)-1</f>
        <v/>
      </c>
      <c r="E615" s="85">
        <f>(Table26[[#This Row],[M2 Money Stock, Billions of Dollars, Weekly, Seasonally Adjusted]]-B563)/B563</f>
        <v/>
      </c>
    </row>
    <row r="616">
      <c r="A616" s="37" t="n">
        <v>33791</v>
      </c>
      <c r="B616" s="84" t="n">
        <v>3390.9</v>
      </c>
      <c r="C616" s="39">
        <f>(Table26[[#This Row],[M2 Money Stock, Billions of Dollars, Weekly, Seasonally Adjusted]]-B615)/B615</f>
        <v/>
      </c>
      <c r="D616" s="40">
        <f>((1+Table26[[#This Row],[Weekly change]])^52)-1</f>
        <v/>
      </c>
      <c r="E616" s="85">
        <f>(Table26[[#This Row],[M2 Money Stock, Billions of Dollars, Weekly, Seasonally Adjusted]]-B564)/B564</f>
        <v/>
      </c>
    </row>
    <row r="617">
      <c r="A617" s="37" t="n">
        <v>33798</v>
      </c>
      <c r="B617" s="84" t="n">
        <v>3393.6</v>
      </c>
      <c r="C617" s="39">
        <f>(Table26[[#This Row],[M2 Money Stock, Billions of Dollars, Weekly, Seasonally Adjusted]]-B616)/B616</f>
        <v/>
      </c>
      <c r="D617" s="40">
        <f>((1+Table26[[#This Row],[Weekly change]])^52)-1</f>
        <v/>
      </c>
      <c r="E617" s="85">
        <f>(Table26[[#This Row],[M2 Money Stock, Billions of Dollars, Weekly, Seasonally Adjusted]]-B565)/B565</f>
        <v/>
      </c>
    </row>
    <row r="618">
      <c r="A618" s="37" t="n">
        <v>33805</v>
      </c>
      <c r="B618" s="84" t="n">
        <v>3395</v>
      </c>
      <c r="C618" s="39">
        <f>(Table26[[#This Row],[M2 Money Stock, Billions of Dollars, Weekly, Seasonally Adjusted]]-B617)/B617</f>
        <v/>
      </c>
      <c r="D618" s="40">
        <f>((1+Table26[[#This Row],[Weekly change]])^52)-1</f>
        <v/>
      </c>
      <c r="E618" s="85">
        <f>(Table26[[#This Row],[M2 Money Stock, Billions of Dollars, Weekly, Seasonally Adjusted]]-B566)/B566</f>
        <v/>
      </c>
    </row>
    <row r="619">
      <c r="A619" s="37" t="n">
        <v>33812</v>
      </c>
      <c r="B619" s="84" t="n">
        <v>3396.5</v>
      </c>
      <c r="C619" s="39">
        <f>(Table26[[#This Row],[M2 Money Stock, Billions of Dollars, Weekly, Seasonally Adjusted]]-B618)/B618</f>
        <v/>
      </c>
      <c r="D619" s="40">
        <f>((1+Table26[[#This Row],[Weekly change]])^52)-1</f>
        <v/>
      </c>
      <c r="E619" s="85">
        <f>(Table26[[#This Row],[M2 Money Stock, Billions of Dollars, Weekly, Seasonally Adjusted]]-B567)/B567</f>
        <v/>
      </c>
    </row>
    <row r="620">
      <c r="A620" s="37" t="n">
        <v>33819</v>
      </c>
      <c r="B620" s="84" t="n">
        <v>3392.2</v>
      </c>
      <c r="C620" s="39">
        <f>(Table26[[#This Row],[M2 Money Stock, Billions of Dollars, Weekly, Seasonally Adjusted]]-B619)/B619</f>
        <v/>
      </c>
      <c r="D620" s="40">
        <f>((1+Table26[[#This Row],[Weekly change]])^52)-1</f>
        <v/>
      </c>
      <c r="E620" s="85">
        <f>(Table26[[#This Row],[M2 Money Stock, Billions of Dollars, Weekly, Seasonally Adjusted]]-B568)/B568</f>
        <v/>
      </c>
    </row>
    <row r="621">
      <c r="A621" s="37" t="n">
        <v>33826</v>
      </c>
      <c r="B621" s="84" t="n">
        <v>3396.8</v>
      </c>
      <c r="C621" s="39">
        <f>(Table26[[#This Row],[M2 Money Stock, Billions of Dollars, Weekly, Seasonally Adjusted]]-B620)/B620</f>
        <v/>
      </c>
      <c r="D621" s="40">
        <f>((1+Table26[[#This Row],[Weekly change]])^52)-1</f>
        <v/>
      </c>
      <c r="E621" s="85">
        <f>(Table26[[#This Row],[M2 Money Stock, Billions of Dollars, Weekly, Seasonally Adjusted]]-B569)/B569</f>
        <v/>
      </c>
    </row>
    <row r="622">
      <c r="A622" s="37" t="n">
        <v>33833</v>
      </c>
      <c r="B622" s="84" t="n">
        <v>3397.1</v>
      </c>
      <c r="C622" s="39">
        <f>(Table26[[#This Row],[M2 Money Stock, Billions of Dollars, Weekly, Seasonally Adjusted]]-B621)/B621</f>
        <v/>
      </c>
      <c r="D622" s="40">
        <f>((1+Table26[[#This Row],[Weekly change]])^52)-1</f>
        <v/>
      </c>
      <c r="E622" s="85">
        <f>(Table26[[#This Row],[M2 Money Stock, Billions of Dollars, Weekly, Seasonally Adjusted]]-B570)/B570</f>
        <v/>
      </c>
    </row>
    <row r="623">
      <c r="A623" s="37" t="n">
        <v>33840</v>
      </c>
      <c r="B623" s="84" t="n">
        <v>3398.7</v>
      </c>
      <c r="C623" s="39">
        <f>(Table26[[#This Row],[M2 Money Stock, Billions of Dollars, Weekly, Seasonally Adjusted]]-B622)/B622</f>
        <v/>
      </c>
      <c r="D623" s="40">
        <f>((1+Table26[[#This Row],[Weekly change]])^52)-1</f>
        <v/>
      </c>
      <c r="E623" s="85">
        <f>(Table26[[#This Row],[M2 Money Stock, Billions of Dollars, Weekly, Seasonally Adjusted]]-B571)/B571</f>
        <v/>
      </c>
    </row>
    <row r="624">
      <c r="A624" s="37" t="n">
        <v>33847</v>
      </c>
      <c r="B624" s="84" t="n">
        <v>3405.3</v>
      </c>
      <c r="C624" s="39">
        <f>(Table26[[#This Row],[M2 Money Stock, Billions of Dollars, Weekly, Seasonally Adjusted]]-B623)/B623</f>
        <v/>
      </c>
      <c r="D624" s="40">
        <f>((1+Table26[[#This Row],[Weekly change]])^52)-1</f>
        <v/>
      </c>
      <c r="E624" s="85">
        <f>(Table26[[#This Row],[M2 Money Stock, Billions of Dollars, Weekly, Seasonally Adjusted]]-B572)/B572</f>
        <v/>
      </c>
    </row>
    <row r="625">
      <c r="A625" s="37" t="n">
        <v>33854</v>
      </c>
      <c r="B625" s="84" t="n">
        <v>3403.1</v>
      </c>
      <c r="C625" s="39">
        <f>(Table26[[#This Row],[M2 Money Stock, Billions of Dollars, Weekly, Seasonally Adjusted]]-B624)/B624</f>
        <v/>
      </c>
      <c r="D625" s="40">
        <f>((1+Table26[[#This Row],[Weekly change]])^52)-1</f>
        <v/>
      </c>
      <c r="E625" s="85">
        <f>(Table26[[#This Row],[M2 Money Stock, Billions of Dollars, Weekly, Seasonally Adjusted]]-B573)/B573</f>
        <v/>
      </c>
    </row>
    <row r="626">
      <c r="A626" s="37" t="n">
        <v>33861</v>
      </c>
      <c r="B626" s="84" t="n">
        <v>3408.7</v>
      </c>
      <c r="C626" s="39">
        <f>(Table26[[#This Row],[M2 Money Stock, Billions of Dollars, Weekly, Seasonally Adjusted]]-B625)/B625</f>
        <v/>
      </c>
      <c r="D626" s="40">
        <f>((1+Table26[[#This Row],[Weekly change]])^52)-1</f>
        <v/>
      </c>
      <c r="E626" s="85">
        <f>(Table26[[#This Row],[M2 Money Stock, Billions of Dollars, Weekly, Seasonally Adjusted]]-B574)/B574</f>
        <v/>
      </c>
    </row>
    <row r="627">
      <c r="A627" s="37" t="n">
        <v>33868</v>
      </c>
      <c r="B627" s="84" t="n">
        <v>3412.4</v>
      </c>
      <c r="C627" s="39">
        <f>(Table26[[#This Row],[M2 Money Stock, Billions of Dollars, Weekly, Seasonally Adjusted]]-B626)/B626</f>
        <v/>
      </c>
      <c r="D627" s="40">
        <f>((1+Table26[[#This Row],[Weekly change]])^52)-1</f>
        <v/>
      </c>
      <c r="E627" s="85">
        <f>(Table26[[#This Row],[M2 Money Stock, Billions of Dollars, Weekly, Seasonally Adjusted]]-B575)/B575</f>
        <v/>
      </c>
    </row>
    <row r="628">
      <c r="A628" s="37" t="n">
        <v>33875</v>
      </c>
      <c r="B628" s="84" t="n">
        <v>3416.3</v>
      </c>
      <c r="C628" s="39">
        <f>(Table26[[#This Row],[M2 Money Stock, Billions of Dollars, Weekly, Seasonally Adjusted]]-B627)/B627</f>
        <v/>
      </c>
      <c r="D628" s="40">
        <f>((1+Table26[[#This Row],[Weekly change]])^52)-1</f>
        <v/>
      </c>
      <c r="E628" s="85">
        <f>(Table26[[#This Row],[M2 Money Stock, Billions of Dollars, Weekly, Seasonally Adjusted]]-B576)/B576</f>
        <v/>
      </c>
    </row>
    <row r="629">
      <c r="A629" s="37" t="n">
        <v>33882</v>
      </c>
      <c r="B629" s="84" t="n">
        <v>3413.6</v>
      </c>
      <c r="C629" s="39">
        <f>(Table26[[#This Row],[M2 Money Stock, Billions of Dollars, Weekly, Seasonally Adjusted]]-B628)/B628</f>
        <v/>
      </c>
      <c r="D629" s="40">
        <f>((1+Table26[[#This Row],[Weekly change]])^52)-1</f>
        <v/>
      </c>
      <c r="E629" s="85">
        <f>(Table26[[#This Row],[M2 Money Stock, Billions of Dollars, Weekly, Seasonally Adjusted]]-B577)/B577</f>
        <v/>
      </c>
    </row>
    <row r="630">
      <c r="A630" s="37" t="n">
        <v>33889</v>
      </c>
      <c r="B630" s="84" t="n">
        <v>3423</v>
      </c>
      <c r="C630" s="39">
        <f>(Table26[[#This Row],[M2 Money Stock, Billions of Dollars, Weekly, Seasonally Adjusted]]-B629)/B629</f>
        <v/>
      </c>
      <c r="D630" s="40">
        <f>((1+Table26[[#This Row],[Weekly change]])^52)-1</f>
        <v/>
      </c>
      <c r="E630" s="85">
        <f>(Table26[[#This Row],[M2 Money Stock, Billions of Dollars, Weekly, Seasonally Adjusted]]-B578)/B578</f>
        <v/>
      </c>
    </row>
    <row r="631">
      <c r="A631" s="37" t="n">
        <v>33896</v>
      </c>
      <c r="B631" s="84" t="n">
        <v>3421.5</v>
      </c>
      <c r="C631" s="39">
        <f>(Table26[[#This Row],[M2 Money Stock, Billions of Dollars, Weekly, Seasonally Adjusted]]-B630)/B630</f>
        <v/>
      </c>
      <c r="D631" s="40">
        <f>((1+Table26[[#This Row],[Weekly change]])^52)-1</f>
        <v/>
      </c>
      <c r="E631" s="85">
        <f>(Table26[[#This Row],[M2 Money Stock, Billions of Dollars, Weekly, Seasonally Adjusted]]-B579)/B579</f>
        <v/>
      </c>
    </row>
    <row r="632">
      <c r="A632" s="37" t="n">
        <v>33903</v>
      </c>
      <c r="B632" s="84" t="n">
        <v>3429.2</v>
      </c>
      <c r="C632" s="39">
        <f>(Table26[[#This Row],[M2 Money Stock, Billions of Dollars, Weekly, Seasonally Adjusted]]-B631)/B631</f>
        <v/>
      </c>
      <c r="D632" s="40">
        <f>((1+Table26[[#This Row],[Weekly change]])^52)-1</f>
        <v/>
      </c>
      <c r="E632" s="85">
        <f>(Table26[[#This Row],[M2 Money Stock, Billions of Dollars, Weekly, Seasonally Adjusted]]-B580)/B580</f>
        <v/>
      </c>
    </row>
    <row r="633">
      <c r="A633" s="37" t="n">
        <v>33910</v>
      </c>
      <c r="B633" s="84" t="n">
        <v>3430.9</v>
      </c>
      <c r="C633" s="39">
        <f>(Table26[[#This Row],[M2 Money Stock, Billions of Dollars, Weekly, Seasonally Adjusted]]-B632)/B632</f>
        <v/>
      </c>
      <c r="D633" s="40">
        <f>((1+Table26[[#This Row],[Weekly change]])^52)-1</f>
        <v/>
      </c>
      <c r="E633" s="85">
        <f>(Table26[[#This Row],[M2 Money Stock, Billions of Dollars, Weekly, Seasonally Adjusted]]-B581)/B581</f>
        <v/>
      </c>
    </row>
    <row r="634">
      <c r="A634" s="37" t="n">
        <v>33917</v>
      </c>
      <c r="B634" s="84" t="n">
        <v>3430.5</v>
      </c>
      <c r="C634" s="39">
        <f>(Table26[[#This Row],[M2 Money Stock, Billions of Dollars, Weekly, Seasonally Adjusted]]-B633)/B633</f>
        <v/>
      </c>
      <c r="D634" s="40">
        <f>((1+Table26[[#This Row],[Weekly change]])^52)-1</f>
        <v/>
      </c>
      <c r="E634" s="85">
        <f>(Table26[[#This Row],[M2 Money Stock, Billions of Dollars, Weekly, Seasonally Adjusted]]-B582)/B582</f>
        <v/>
      </c>
    </row>
    <row r="635">
      <c r="A635" s="37" t="n">
        <v>33924</v>
      </c>
      <c r="B635" s="84" t="n">
        <v>3428.3</v>
      </c>
      <c r="C635" s="39">
        <f>(Table26[[#This Row],[M2 Money Stock, Billions of Dollars, Weekly, Seasonally Adjusted]]-B634)/B634</f>
        <v/>
      </c>
      <c r="D635" s="40">
        <f>((1+Table26[[#This Row],[Weekly change]])^52)-1</f>
        <v/>
      </c>
      <c r="E635" s="85">
        <f>(Table26[[#This Row],[M2 Money Stock, Billions of Dollars, Weekly, Seasonally Adjusted]]-B583)/B583</f>
        <v/>
      </c>
    </row>
    <row r="636">
      <c r="A636" s="37" t="n">
        <v>33931</v>
      </c>
      <c r="B636" s="84" t="n">
        <v>3421.5</v>
      </c>
      <c r="C636" s="39">
        <f>(Table26[[#This Row],[M2 Money Stock, Billions of Dollars, Weekly, Seasonally Adjusted]]-B635)/B635</f>
        <v/>
      </c>
      <c r="D636" s="40">
        <f>((1+Table26[[#This Row],[Weekly change]])^52)-1</f>
        <v/>
      </c>
      <c r="E636" s="85">
        <f>(Table26[[#This Row],[M2 Money Stock, Billions of Dollars, Weekly, Seasonally Adjusted]]-B584)/B584</f>
        <v/>
      </c>
    </row>
    <row r="637">
      <c r="A637" s="37" t="n">
        <v>33938</v>
      </c>
      <c r="B637" s="84" t="n">
        <v>3424.3</v>
      </c>
      <c r="C637" s="39">
        <f>(Table26[[#This Row],[M2 Money Stock, Billions of Dollars, Weekly, Seasonally Adjusted]]-B636)/B636</f>
        <v/>
      </c>
      <c r="D637" s="40">
        <f>((1+Table26[[#This Row],[Weekly change]])^52)-1</f>
        <v/>
      </c>
      <c r="E637" s="85">
        <f>(Table26[[#This Row],[M2 Money Stock, Billions of Dollars, Weekly, Seasonally Adjusted]]-B585)/B585</f>
        <v/>
      </c>
    </row>
    <row r="638">
      <c r="A638" s="37" t="n">
        <v>33945</v>
      </c>
      <c r="B638" s="84" t="n">
        <v>3427.7</v>
      </c>
      <c r="C638" s="39">
        <f>(Table26[[#This Row],[M2 Money Stock, Billions of Dollars, Weekly, Seasonally Adjusted]]-B637)/B637</f>
        <v/>
      </c>
      <c r="D638" s="40">
        <f>((1+Table26[[#This Row],[Weekly change]])^52)-1</f>
        <v/>
      </c>
      <c r="E638" s="85">
        <f>(Table26[[#This Row],[M2 Money Stock, Billions of Dollars, Weekly, Seasonally Adjusted]]-B586)/B586</f>
        <v/>
      </c>
    </row>
    <row r="639">
      <c r="A639" s="37" t="n">
        <v>33952</v>
      </c>
      <c r="B639" s="84" t="n">
        <v>3428.4</v>
      </c>
      <c r="C639" s="39">
        <f>(Table26[[#This Row],[M2 Money Stock, Billions of Dollars, Weekly, Seasonally Adjusted]]-B638)/B638</f>
        <v/>
      </c>
      <c r="D639" s="40">
        <f>((1+Table26[[#This Row],[Weekly change]])^52)-1</f>
        <v/>
      </c>
      <c r="E639" s="85">
        <f>(Table26[[#This Row],[M2 Money Stock, Billions of Dollars, Weekly, Seasonally Adjusted]]-B587)/B587</f>
        <v/>
      </c>
    </row>
    <row r="640">
      <c r="A640" s="37" t="n">
        <v>33959</v>
      </c>
      <c r="B640" s="84" t="n">
        <v>3421.6</v>
      </c>
      <c r="C640" s="39">
        <f>(Table26[[#This Row],[M2 Money Stock, Billions of Dollars, Weekly, Seasonally Adjusted]]-B639)/B639</f>
        <v/>
      </c>
      <c r="D640" s="40">
        <f>((1+Table26[[#This Row],[Weekly change]])^52)-1</f>
        <v/>
      </c>
      <c r="E640" s="85">
        <f>(Table26[[#This Row],[M2 Money Stock, Billions of Dollars, Weekly, Seasonally Adjusted]]-B588)/B588</f>
        <v/>
      </c>
    </row>
    <row r="641">
      <c r="A641" s="37" t="n">
        <v>33966</v>
      </c>
      <c r="B641" s="84" t="n">
        <v>3423.1</v>
      </c>
      <c r="C641" s="39">
        <f>(Table26[[#This Row],[M2 Money Stock, Billions of Dollars, Weekly, Seasonally Adjusted]]-B640)/B640</f>
        <v/>
      </c>
      <c r="D641" s="40">
        <f>((1+Table26[[#This Row],[Weekly change]])^52)-1</f>
        <v/>
      </c>
      <c r="E641" s="85">
        <f>(Table26[[#This Row],[M2 Money Stock, Billions of Dollars, Weekly, Seasonally Adjusted]]-B589)/B589</f>
        <v/>
      </c>
    </row>
    <row r="642">
      <c r="A642" s="37" t="n">
        <v>33973</v>
      </c>
      <c r="B642" s="84" t="n">
        <v>3418.7</v>
      </c>
      <c r="C642" s="39">
        <f>(Table26[[#This Row],[M2 Money Stock, Billions of Dollars, Weekly, Seasonally Adjusted]]-B641)/B641</f>
        <v/>
      </c>
      <c r="D642" s="40">
        <f>((1+Table26[[#This Row],[Weekly change]])^52)-1</f>
        <v/>
      </c>
      <c r="E642" s="85">
        <f>(Table26[[#This Row],[M2 Money Stock, Billions of Dollars, Weekly, Seasonally Adjusted]]-B590)/B590</f>
        <v/>
      </c>
    </row>
    <row r="643">
      <c r="A643" s="37" t="n">
        <v>33980</v>
      </c>
      <c r="B643" s="84" t="n">
        <v>3422.2</v>
      </c>
      <c r="C643" s="39">
        <f>(Table26[[#This Row],[M2 Money Stock, Billions of Dollars, Weekly, Seasonally Adjusted]]-B642)/B642</f>
        <v/>
      </c>
      <c r="D643" s="40">
        <f>((1+Table26[[#This Row],[Weekly change]])^52)-1</f>
        <v/>
      </c>
      <c r="E643" s="85">
        <f>(Table26[[#This Row],[M2 Money Stock, Billions of Dollars, Weekly, Seasonally Adjusted]]-B591)/B591</f>
        <v/>
      </c>
    </row>
    <row r="644">
      <c r="A644" s="37" t="n">
        <v>33987</v>
      </c>
      <c r="B644" s="84" t="n">
        <v>3416.8</v>
      </c>
      <c r="C644" s="39">
        <f>(Table26[[#This Row],[M2 Money Stock, Billions of Dollars, Weekly, Seasonally Adjusted]]-B643)/B643</f>
        <v/>
      </c>
      <c r="D644" s="40">
        <f>((1+Table26[[#This Row],[Weekly change]])^52)-1</f>
        <v/>
      </c>
      <c r="E644" s="85">
        <f>(Table26[[#This Row],[M2 Money Stock, Billions of Dollars, Weekly, Seasonally Adjusted]]-B592)/B592</f>
        <v/>
      </c>
    </row>
    <row r="645">
      <c r="A645" s="37" t="n">
        <v>33994</v>
      </c>
      <c r="B645" s="84" t="n">
        <v>3415.5</v>
      </c>
      <c r="C645" s="39">
        <f>(Table26[[#This Row],[M2 Money Stock, Billions of Dollars, Weekly, Seasonally Adjusted]]-B644)/B644</f>
        <v/>
      </c>
      <c r="D645" s="40">
        <f>((1+Table26[[#This Row],[Weekly change]])^52)-1</f>
        <v/>
      </c>
      <c r="E645" s="85">
        <f>(Table26[[#This Row],[M2 Money Stock, Billions of Dollars, Weekly, Seasonally Adjusted]]-B593)/B593</f>
        <v/>
      </c>
    </row>
    <row r="646">
      <c r="A646" s="37" t="n">
        <v>34001</v>
      </c>
      <c r="B646" s="84" t="n">
        <v>3414.9</v>
      </c>
      <c r="C646" s="39">
        <f>(Table26[[#This Row],[M2 Money Stock, Billions of Dollars, Weekly, Seasonally Adjusted]]-B645)/B645</f>
        <v/>
      </c>
      <c r="D646" s="40">
        <f>((1+Table26[[#This Row],[Weekly change]])^52)-1</f>
        <v/>
      </c>
      <c r="E646" s="85">
        <f>(Table26[[#This Row],[M2 Money Stock, Billions of Dollars, Weekly, Seasonally Adjusted]]-B594)/B594</f>
        <v/>
      </c>
    </row>
    <row r="647">
      <c r="A647" s="37" t="n">
        <v>34008</v>
      </c>
      <c r="B647" s="84" t="n">
        <v>3410.1</v>
      </c>
      <c r="C647" s="39">
        <f>(Table26[[#This Row],[M2 Money Stock, Billions of Dollars, Weekly, Seasonally Adjusted]]-B646)/B646</f>
        <v/>
      </c>
      <c r="D647" s="40">
        <f>((1+Table26[[#This Row],[Weekly change]])^52)-1</f>
        <v/>
      </c>
      <c r="E647" s="85">
        <f>(Table26[[#This Row],[M2 Money Stock, Billions of Dollars, Weekly, Seasonally Adjusted]]-B595)/B595</f>
        <v/>
      </c>
    </row>
    <row r="648">
      <c r="A648" s="37" t="n">
        <v>34015</v>
      </c>
      <c r="B648" s="84" t="n">
        <v>3414.6</v>
      </c>
      <c r="C648" s="39">
        <f>(Table26[[#This Row],[M2 Money Stock, Billions of Dollars, Weekly, Seasonally Adjusted]]-B647)/B647</f>
        <v/>
      </c>
      <c r="D648" s="40">
        <f>((1+Table26[[#This Row],[Weekly change]])^52)-1</f>
        <v/>
      </c>
      <c r="E648" s="85">
        <f>(Table26[[#This Row],[M2 Money Stock, Billions of Dollars, Weekly, Seasonally Adjusted]]-B596)/B596</f>
        <v/>
      </c>
    </row>
    <row r="649">
      <c r="A649" s="37" t="n">
        <v>34022</v>
      </c>
      <c r="B649" s="84" t="n">
        <v>3415.7</v>
      </c>
      <c r="C649" s="39">
        <f>(Table26[[#This Row],[M2 Money Stock, Billions of Dollars, Weekly, Seasonally Adjusted]]-B648)/B648</f>
        <v/>
      </c>
      <c r="D649" s="40">
        <f>((1+Table26[[#This Row],[Weekly change]])^52)-1</f>
        <v/>
      </c>
      <c r="E649" s="85">
        <f>(Table26[[#This Row],[M2 Money Stock, Billions of Dollars, Weekly, Seasonally Adjusted]]-B597)/B597</f>
        <v/>
      </c>
    </row>
    <row r="650">
      <c r="A650" s="37" t="n">
        <v>34029</v>
      </c>
      <c r="B650" s="84" t="n">
        <v>3414.7</v>
      </c>
      <c r="C650" s="39">
        <f>(Table26[[#This Row],[M2 Money Stock, Billions of Dollars, Weekly, Seasonally Adjusted]]-B649)/B649</f>
        <v/>
      </c>
      <c r="D650" s="40">
        <f>((1+Table26[[#This Row],[Weekly change]])^52)-1</f>
        <v/>
      </c>
      <c r="E650" s="85">
        <f>(Table26[[#This Row],[M2 Money Stock, Billions of Dollars, Weekly, Seasonally Adjusted]]-B598)/B598</f>
        <v/>
      </c>
    </row>
    <row r="651">
      <c r="A651" s="37" t="n">
        <v>34036</v>
      </c>
      <c r="B651" s="84" t="n">
        <v>3411.5</v>
      </c>
      <c r="C651" s="39">
        <f>(Table26[[#This Row],[M2 Money Stock, Billions of Dollars, Weekly, Seasonally Adjusted]]-B650)/B650</f>
        <v/>
      </c>
      <c r="D651" s="40">
        <f>((1+Table26[[#This Row],[Weekly change]])^52)-1</f>
        <v/>
      </c>
      <c r="E651" s="85">
        <f>(Table26[[#This Row],[M2 Money Stock, Billions of Dollars, Weekly, Seasonally Adjusted]]-B599)/B599</f>
        <v/>
      </c>
    </row>
    <row r="652">
      <c r="A652" s="37" t="n">
        <v>34043</v>
      </c>
      <c r="B652" s="84" t="n">
        <v>3411.1</v>
      </c>
      <c r="C652" s="39">
        <f>(Table26[[#This Row],[M2 Money Stock, Billions of Dollars, Weekly, Seasonally Adjusted]]-B651)/B651</f>
        <v/>
      </c>
      <c r="D652" s="40">
        <f>((1+Table26[[#This Row],[Weekly change]])^52)-1</f>
        <v/>
      </c>
      <c r="E652" s="85">
        <f>(Table26[[#This Row],[M2 Money Stock, Billions of Dollars, Weekly, Seasonally Adjusted]]-B600)/B600</f>
        <v/>
      </c>
    </row>
    <row r="653">
      <c r="A653" s="37" t="n">
        <v>34050</v>
      </c>
      <c r="B653" s="84" t="n">
        <v>3409.6</v>
      </c>
      <c r="C653" s="39">
        <f>(Table26[[#This Row],[M2 Money Stock, Billions of Dollars, Weekly, Seasonally Adjusted]]-B652)/B652</f>
        <v/>
      </c>
      <c r="D653" s="40">
        <f>((1+Table26[[#This Row],[Weekly change]])^52)-1</f>
        <v/>
      </c>
      <c r="E653" s="85">
        <f>(Table26[[#This Row],[M2 Money Stock, Billions of Dollars, Weekly, Seasonally Adjusted]]-B601)/B601</f>
        <v/>
      </c>
    </row>
    <row r="654">
      <c r="A654" s="37" t="n">
        <v>34057</v>
      </c>
      <c r="B654" s="84" t="n">
        <v>3409.7</v>
      </c>
      <c r="C654" s="39">
        <f>(Table26[[#This Row],[M2 Money Stock, Billions of Dollars, Weekly, Seasonally Adjusted]]-B653)/B653</f>
        <v/>
      </c>
      <c r="D654" s="40">
        <f>((1+Table26[[#This Row],[Weekly change]])^52)-1</f>
        <v/>
      </c>
      <c r="E654" s="85">
        <f>(Table26[[#This Row],[M2 Money Stock, Billions of Dollars, Weekly, Seasonally Adjusted]]-B602)/B602</f>
        <v/>
      </c>
    </row>
    <row r="655">
      <c r="A655" s="37" t="n">
        <v>34064</v>
      </c>
      <c r="B655" s="84" t="n">
        <v>3409.1</v>
      </c>
      <c r="C655" s="39">
        <f>(Table26[[#This Row],[M2 Money Stock, Billions of Dollars, Weekly, Seasonally Adjusted]]-B654)/B654</f>
        <v/>
      </c>
      <c r="D655" s="40">
        <f>((1+Table26[[#This Row],[Weekly change]])^52)-1</f>
        <v/>
      </c>
      <c r="E655" s="85">
        <f>(Table26[[#This Row],[M2 Money Stock, Billions of Dollars, Weekly, Seasonally Adjusted]]-B603)/B603</f>
        <v/>
      </c>
    </row>
    <row r="656">
      <c r="A656" s="37" t="n">
        <v>34071</v>
      </c>
      <c r="B656" s="84" t="n">
        <v>3410.1</v>
      </c>
      <c r="C656" s="39">
        <f>(Table26[[#This Row],[M2 Money Stock, Billions of Dollars, Weekly, Seasonally Adjusted]]-B655)/B655</f>
        <v/>
      </c>
      <c r="D656" s="40">
        <f>((1+Table26[[#This Row],[Weekly change]])^52)-1</f>
        <v/>
      </c>
      <c r="E656" s="85">
        <f>(Table26[[#This Row],[M2 Money Stock, Billions of Dollars, Weekly, Seasonally Adjusted]]-B604)/B604</f>
        <v/>
      </c>
    </row>
    <row r="657">
      <c r="A657" s="37" t="n">
        <v>34078</v>
      </c>
      <c r="B657" s="84" t="n">
        <v>3405.1</v>
      </c>
      <c r="C657" s="39">
        <f>(Table26[[#This Row],[M2 Money Stock, Billions of Dollars, Weekly, Seasonally Adjusted]]-B656)/B656</f>
        <v/>
      </c>
      <c r="D657" s="40">
        <f>((1+Table26[[#This Row],[Weekly change]])^52)-1</f>
        <v/>
      </c>
      <c r="E657" s="85">
        <f>(Table26[[#This Row],[M2 Money Stock, Billions of Dollars, Weekly, Seasonally Adjusted]]-B605)/B605</f>
        <v/>
      </c>
    </row>
    <row r="658">
      <c r="A658" s="37" t="n">
        <v>34085</v>
      </c>
      <c r="B658" s="84" t="n">
        <v>3411.1</v>
      </c>
      <c r="C658" s="39">
        <f>(Table26[[#This Row],[M2 Money Stock, Billions of Dollars, Weekly, Seasonally Adjusted]]-B657)/B657</f>
        <v/>
      </c>
      <c r="D658" s="40">
        <f>((1+Table26[[#This Row],[Weekly change]])^52)-1</f>
        <v/>
      </c>
      <c r="E658" s="85">
        <f>(Table26[[#This Row],[M2 Money Stock, Billions of Dollars, Weekly, Seasonally Adjusted]]-B606)/B606</f>
        <v/>
      </c>
    </row>
    <row r="659">
      <c r="A659" s="37" t="n">
        <v>34092</v>
      </c>
      <c r="B659" s="84" t="n">
        <v>3425.5</v>
      </c>
      <c r="C659" s="39">
        <f>(Table26[[#This Row],[M2 Money Stock, Billions of Dollars, Weekly, Seasonally Adjusted]]-B658)/B658</f>
        <v/>
      </c>
      <c r="D659" s="40">
        <f>((1+Table26[[#This Row],[Weekly change]])^52)-1</f>
        <v/>
      </c>
      <c r="E659" s="85">
        <f>(Table26[[#This Row],[M2 Money Stock, Billions of Dollars, Weekly, Seasonally Adjusted]]-B607)/B607</f>
        <v/>
      </c>
    </row>
    <row r="660">
      <c r="A660" s="37" t="n">
        <v>34099</v>
      </c>
      <c r="B660" s="84" t="n">
        <v>3437.4</v>
      </c>
      <c r="C660" s="39">
        <f>(Table26[[#This Row],[M2 Money Stock, Billions of Dollars, Weekly, Seasonally Adjusted]]-B659)/B659</f>
        <v/>
      </c>
      <c r="D660" s="40">
        <f>((1+Table26[[#This Row],[Weekly change]])^52)-1</f>
        <v/>
      </c>
      <c r="E660" s="85">
        <f>(Table26[[#This Row],[M2 Money Stock, Billions of Dollars, Weekly, Seasonally Adjusted]]-B608)/B608</f>
        <v/>
      </c>
    </row>
    <row r="661">
      <c r="A661" s="37" t="n">
        <v>34106</v>
      </c>
      <c r="B661" s="84" t="n">
        <v>3437.2</v>
      </c>
      <c r="C661" s="39">
        <f>(Table26[[#This Row],[M2 Money Stock, Billions of Dollars, Weekly, Seasonally Adjusted]]-B660)/B660</f>
        <v/>
      </c>
      <c r="D661" s="40">
        <f>((1+Table26[[#This Row],[Weekly change]])^52)-1</f>
        <v/>
      </c>
      <c r="E661" s="85">
        <f>(Table26[[#This Row],[M2 Money Stock, Billions of Dollars, Weekly, Seasonally Adjusted]]-B609)/B609</f>
        <v/>
      </c>
    </row>
    <row r="662">
      <c r="A662" s="37" t="n">
        <v>34113</v>
      </c>
      <c r="B662" s="84" t="n">
        <v>3434.3</v>
      </c>
      <c r="C662" s="39">
        <f>(Table26[[#This Row],[M2 Money Stock, Billions of Dollars, Weekly, Seasonally Adjusted]]-B661)/B661</f>
        <v/>
      </c>
      <c r="D662" s="40">
        <f>((1+Table26[[#This Row],[Weekly change]])^52)-1</f>
        <v/>
      </c>
      <c r="E662" s="85">
        <f>(Table26[[#This Row],[M2 Money Stock, Billions of Dollars, Weekly, Seasonally Adjusted]]-B610)/B610</f>
        <v/>
      </c>
    </row>
    <row r="663">
      <c r="A663" s="37" t="n">
        <v>34120</v>
      </c>
      <c r="B663" s="84" t="n">
        <v>3445.5</v>
      </c>
      <c r="C663" s="39">
        <f>(Table26[[#This Row],[M2 Money Stock, Billions of Dollars, Weekly, Seasonally Adjusted]]-B662)/B662</f>
        <v/>
      </c>
      <c r="D663" s="40">
        <f>((1+Table26[[#This Row],[Weekly change]])^52)-1</f>
        <v/>
      </c>
      <c r="E663" s="85">
        <f>(Table26[[#This Row],[M2 Money Stock, Billions of Dollars, Weekly, Seasonally Adjusted]]-B611)/B611</f>
        <v/>
      </c>
    </row>
    <row r="664">
      <c r="A664" s="37" t="n">
        <v>34127</v>
      </c>
      <c r="B664" s="84" t="n">
        <v>3444.6</v>
      </c>
      <c r="C664" s="39">
        <f>(Table26[[#This Row],[M2 Money Stock, Billions of Dollars, Weekly, Seasonally Adjusted]]-B663)/B663</f>
        <v/>
      </c>
      <c r="D664" s="40">
        <f>((1+Table26[[#This Row],[Weekly change]])^52)-1</f>
        <v/>
      </c>
      <c r="E664" s="85">
        <f>(Table26[[#This Row],[M2 Money Stock, Billions of Dollars, Weekly, Seasonally Adjusted]]-B612)/B612</f>
        <v/>
      </c>
    </row>
    <row r="665">
      <c r="A665" s="37" t="n">
        <v>34134</v>
      </c>
      <c r="B665" s="84" t="n">
        <v>3446.2</v>
      </c>
      <c r="C665" s="39">
        <f>(Table26[[#This Row],[M2 Money Stock, Billions of Dollars, Weekly, Seasonally Adjusted]]-B664)/B664</f>
        <v/>
      </c>
      <c r="D665" s="40">
        <f>((1+Table26[[#This Row],[Weekly change]])^52)-1</f>
        <v/>
      </c>
      <c r="E665" s="85">
        <f>(Table26[[#This Row],[M2 Money Stock, Billions of Dollars, Weekly, Seasonally Adjusted]]-B613)/B613</f>
        <v/>
      </c>
    </row>
    <row r="666">
      <c r="A666" s="37" t="n">
        <v>34141</v>
      </c>
      <c r="B666" s="84" t="n">
        <v>3442.2</v>
      </c>
      <c r="C666" s="39">
        <f>(Table26[[#This Row],[M2 Money Stock, Billions of Dollars, Weekly, Seasonally Adjusted]]-B665)/B665</f>
        <v/>
      </c>
      <c r="D666" s="40">
        <f>((1+Table26[[#This Row],[Weekly change]])^52)-1</f>
        <v/>
      </c>
      <c r="E666" s="85">
        <f>(Table26[[#This Row],[M2 Money Stock, Billions of Dollars, Weekly, Seasonally Adjusted]]-B614)/B614</f>
        <v/>
      </c>
    </row>
    <row r="667">
      <c r="A667" s="37" t="n">
        <v>34148</v>
      </c>
      <c r="B667" s="84" t="n">
        <v>3438.2</v>
      </c>
      <c r="C667" s="39">
        <f>(Table26[[#This Row],[M2 Money Stock, Billions of Dollars, Weekly, Seasonally Adjusted]]-B666)/B666</f>
        <v/>
      </c>
      <c r="D667" s="40">
        <f>((1+Table26[[#This Row],[Weekly change]])^52)-1</f>
        <v/>
      </c>
      <c r="E667" s="85">
        <f>(Table26[[#This Row],[M2 Money Stock, Billions of Dollars, Weekly, Seasonally Adjusted]]-B615)/B615</f>
        <v/>
      </c>
    </row>
    <row r="668">
      <c r="A668" s="37" t="n">
        <v>34155</v>
      </c>
      <c r="B668" s="84" t="n">
        <v>3436.1</v>
      </c>
      <c r="C668" s="39">
        <f>(Table26[[#This Row],[M2 Money Stock, Billions of Dollars, Weekly, Seasonally Adjusted]]-B667)/B667</f>
        <v/>
      </c>
      <c r="D668" s="40">
        <f>((1+Table26[[#This Row],[Weekly change]])^52)-1</f>
        <v/>
      </c>
      <c r="E668" s="85">
        <f>(Table26[[#This Row],[M2 Money Stock, Billions of Dollars, Weekly, Seasonally Adjusted]]-B616)/B616</f>
        <v/>
      </c>
    </row>
    <row r="669">
      <c r="A669" s="37" t="n">
        <v>34162</v>
      </c>
      <c r="B669" s="84" t="n">
        <v>3443.7</v>
      </c>
      <c r="C669" s="39">
        <f>(Table26[[#This Row],[M2 Money Stock, Billions of Dollars, Weekly, Seasonally Adjusted]]-B668)/B668</f>
        <v/>
      </c>
      <c r="D669" s="40">
        <f>((1+Table26[[#This Row],[Weekly change]])^52)-1</f>
        <v/>
      </c>
      <c r="E669" s="85">
        <f>(Table26[[#This Row],[M2 Money Stock, Billions of Dollars, Weekly, Seasonally Adjusted]]-B617)/B617</f>
        <v/>
      </c>
    </row>
    <row r="670">
      <c r="A670" s="37" t="n">
        <v>34169</v>
      </c>
      <c r="B670" s="84" t="n">
        <v>3443.2</v>
      </c>
      <c r="C670" s="39">
        <f>(Table26[[#This Row],[M2 Money Stock, Billions of Dollars, Weekly, Seasonally Adjusted]]-B669)/B669</f>
        <v/>
      </c>
      <c r="D670" s="40">
        <f>((1+Table26[[#This Row],[Weekly change]])^52)-1</f>
        <v/>
      </c>
      <c r="E670" s="85">
        <f>(Table26[[#This Row],[M2 Money Stock, Billions of Dollars, Weekly, Seasonally Adjusted]]-B618)/B618</f>
        <v/>
      </c>
    </row>
    <row r="671">
      <c r="A671" s="37" t="n">
        <v>34176</v>
      </c>
      <c r="B671" s="84" t="n">
        <v>3442.3</v>
      </c>
      <c r="C671" s="39">
        <f>(Table26[[#This Row],[M2 Money Stock, Billions of Dollars, Weekly, Seasonally Adjusted]]-B670)/B670</f>
        <v/>
      </c>
      <c r="D671" s="40">
        <f>((1+Table26[[#This Row],[Weekly change]])^52)-1</f>
        <v/>
      </c>
      <c r="E671" s="85">
        <f>(Table26[[#This Row],[M2 Money Stock, Billions of Dollars, Weekly, Seasonally Adjusted]]-B619)/B619</f>
        <v/>
      </c>
    </row>
    <row r="672">
      <c r="A672" s="37" t="n">
        <v>34183</v>
      </c>
      <c r="B672" s="84" t="n">
        <v>3443.6</v>
      </c>
      <c r="C672" s="39">
        <f>(Table26[[#This Row],[M2 Money Stock, Billions of Dollars, Weekly, Seasonally Adjusted]]-B671)/B671</f>
        <v/>
      </c>
      <c r="D672" s="40">
        <f>((1+Table26[[#This Row],[Weekly change]])^52)-1</f>
        <v/>
      </c>
      <c r="E672" s="85">
        <f>(Table26[[#This Row],[M2 Money Stock, Billions of Dollars, Weekly, Seasonally Adjusted]]-B620)/B620</f>
        <v/>
      </c>
    </row>
    <row r="673">
      <c r="A673" s="37" t="n">
        <v>34190</v>
      </c>
      <c r="B673" s="84" t="n">
        <v>3446.8</v>
      </c>
      <c r="C673" s="39">
        <f>(Table26[[#This Row],[M2 Money Stock, Billions of Dollars, Weekly, Seasonally Adjusted]]-B672)/B672</f>
        <v/>
      </c>
      <c r="D673" s="40">
        <f>((1+Table26[[#This Row],[Weekly change]])^52)-1</f>
        <v/>
      </c>
      <c r="E673" s="85">
        <f>(Table26[[#This Row],[M2 Money Stock, Billions of Dollars, Weekly, Seasonally Adjusted]]-B621)/B621</f>
        <v/>
      </c>
    </row>
    <row r="674">
      <c r="A674" s="37" t="n">
        <v>34197</v>
      </c>
      <c r="B674" s="84" t="n">
        <v>3447.5</v>
      </c>
      <c r="C674" s="39">
        <f>(Table26[[#This Row],[M2 Money Stock, Billions of Dollars, Weekly, Seasonally Adjusted]]-B673)/B673</f>
        <v/>
      </c>
      <c r="D674" s="40">
        <f>((1+Table26[[#This Row],[Weekly change]])^52)-1</f>
        <v/>
      </c>
      <c r="E674" s="85">
        <f>(Table26[[#This Row],[M2 Money Stock, Billions of Dollars, Weekly, Seasonally Adjusted]]-B622)/B622</f>
        <v/>
      </c>
    </row>
    <row r="675">
      <c r="A675" s="37" t="n">
        <v>34204</v>
      </c>
      <c r="B675" s="84" t="n">
        <v>3443.9</v>
      </c>
      <c r="C675" s="39">
        <f>(Table26[[#This Row],[M2 Money Stock, Billions of Dollars, Weekly, Seasonally Adjusted]]-B674)/B674</f>
        <v/>
      </c>
      <c r="D675" s="40">
        <f>((1+Table26[[#This Row],[Weekly change]])^52)-1</f>
        <v/>
      </c>
      <c r="E675" s="85">
        <f>(Table26[[#This Row],[M2 Money Stock, Billions of Dollars, Weekly, Seasonally Adjusted]]-B623)/B623</f>
        <v/>
      </c>
    </row>
    <row r="676">
      <c r="A676" s="37" t="n">
        <v>34211</v>
      </c>
      <c r="B676" s="84" t="n">
        <v>3444.7</v>
      </c>
      <c r="C676" s="39">
        <f>(Table26[[#This Row],[M2 Money Stock, Billions of Dollars, Weekly, Seasonally Adjusted]]-B675)/B675</f>
        <v/>
      </c>
      <c r="D676" s="40">
        <f>((1+Table26[[#This Row],[Weekly change]])^52)-1</f>
        <v/>
      </c>
      <c r="E676" s="85">
        <f>(Table26[[#This Row],[M2 Money Stock, Billions of Dollars, Weekly, Seasonally Adjusted]]-B624)/B624</f>
        <v/>
      </c>
    </row>
    <row r="677">
      <c r="A677" s="37" t="n">
        <v>34218</v>
      </c>
      <c r="B677" s="84" t="n">
        <v>3447.6</v>
      </c>
      <c r="C677" s="39">
        <f>(Table26[[#This Row],[M2 Money Stock, Billions of Dollars, Weekly, Seasonally Adjusted]]-B676)/B676</f>
        <v/>
      </c>
      <c r="D677" s="40">
        <f>((1+Table26[[#This Row],[Weekly change]])^52)-1</f>
        <v/>
      </c>
      <c r="E677" s="85">
        <f>(Table26[[#This Row],[M2 Money Stock, Billions of Dollars, Weekly, Seasonally Adjusted]]-B625)/B625</f>
        <v/>
      </c>
    </row>
    <row r="678">
      <c r="A678" s="37" t="n">
        <v>34225</v>
      </c>
      <c r="B678" s="84" t="n">
        <v>3453.1</v>
      </c>
      <c r="C678" s="39">
        <f>(Table26[[#This Row],[M2 Money Stock, Billions of Dollars, Weekly, Seasonally Adjusted]]-B677)/B677</f>
        <v/>
      </c>
      <c r="D678" s="40">
        <f>((1+Table26[[#This Row],[Weekly change]])^52)-1</f>
        <v/>
      </c>
      <c r="E678" s="85">
        <f>(Table26[[#This Row],[M2 Money Stock, Billions of Dollars, Weekly, Seasonally Adjusted]]-B626)/B626</f>
        <v/>
      </c>
    </row>
    <row r="679">
      <c r="A679" s="37" t="n">
        <v>34232</v>
      </c>
      <c r="B679" s="84" t="n">
        <v>3453.7</v>
      </c>
      <c r="C679" s="39">
        <f>(Table26[[#This Row],[M2 Money Stock, Billions of Dollars, Weekly, Seasonally Adjusted]]-B678)/B678</f>
        <v/>
      </c>
      <c r="D679" s="40">
        <f>((1+Table26[[#This Row],[Weekly change]])^52)-1</f>
        <v/>
      </c>
      <c r="E679" s="85">
        <f>(Table26[[#This Row],[M2 Money Stock, Billions of Dollars, Weekly, Seasonally Adjusted]]-B627)/B627</f>
        <v/>
      </c>
    </row>
    <row r="680">
      <c r="A680" s="37" t="n">
        <v>34239</v>
      </c>
      <c r="B680" s="84" t="n">
        <v>3453.4</v>
      </c>
      <c r="C680" s="39">
        <f>(Table26[[#This Row],[M2 Money Stock, Billions of Dollars, Weekly, Seasonally Adjusted]]-B679)/B679</f>
        <v/>
      </c>
      <c r="D680" s="40">
        <f>((1+Table26[[#This Row],[Weekly change]])^52)-1</f>
        <v/>
      </c>
      <c r="E680" s="85">
        <f>(Table26[[#This Row],[M2 Money Stock, Billions of Dollars, Weekly, Seasonally Adjusted]]-B628)/B628</f>
        <v/>
      </c>
    </row>
    <row r="681">
      <c r="A681" s="37" t="n">
        <v>34246</v>
      </c>
      <c r="B681" s="84" t="n">
        <v>3453.3</v>
      </c>
      <c r="C681" s="39">
        <f>(Table26[[#This Row],[M2 Money Stock, Billions of Dollars, Weekly, Seasonally Adjusted]]-B680)/B680</f>
        <v/>
      </c>
      <c r="D681" s="40">
        <f>((1+Table26[[#This Row],[Weekly change]])^52)-1</f>
        <v/>
      </c>
      <c r="E681" s="85">
        <f>(Table26[[#This Row],[M2 Money Stock, Billions of Dollars, Weekly, Seasonally Adjusted]]-B629)/B629</f>
        <v/>
      </c>
    </row>
    <row r="682">
      <c r="A682" s="37" t="n">
        <v>34253</v>
      </c>
      <c r="B682" s="84" t="n">
        <v>3457.8</v>
      </c>
      <c r="C682" s="39">
        <f>(Table26[[#This Row],[M2 Money Stock, Billions of Dollars, Weekly, Seasonally Adjusted]]-B681)/B681</f>
        <v/>
      </c>
      <c r="D682" s="40">
        <f>((1+Table26[[#This Row],[Weekly change]])^52)-1</f>
        <v/>
      </c>
      <c r="E682" s="85">
        <f>(Table26[[#This Row],[M2 Money Stock, Billions of Dollars, Weekly, Seasonally Adjusted]]-B630)/B630</f>
        <v/>
      </c>
    </row>
    <row r="683">
      <c r="A683" s="37" t="n">
        <v>34260</v>
      </c>
      <c r="B683" s="84" t="n">
        <v>3453.6</v>
      </c>
      <c r="C683" s="39">
        <f>(Table26[[#This Row],[M2 Money Stock, Billions of Dollars, Weekly, Seasonally Adjusted]]-B682)/B682</f>
        <v/>
      </c>
      <c r="D683" s="40">
        <f>((1+Table26[[#This Row],[Weekly change]])^52)-1</f>
        <v/>
      </c>
      <c r="E683" s="85">
        <f>(Table26[[#This Row],[M2 Money Stock, Billions of Dollars, Weekly, Seasonally Adjusted]]-B631)/B631</f>
        <v/>
      </c>
    </row>
    <row r="684">
      <c r="A684" s="37" t="n">
        <v>34267</v>
      </c>
      <c r="B684" s="84" t="n">
        <v>3453.7</v>
      </c>
      <c r="C684" s="39">
        <f>(Table26[[#This Row],[M2 Money Stock, Billions of Dollars, Weekly, Seasonally Adjusted]]-B683)/B683</f>
        <v/>
      </c>
      <c r="D684" s="40">
        <f>((1+Table26[[#This Row],[Weekly change]])^52)-1</f>
        <v/>
      </c>
      <c r="E684" s="85">
        <f>(Table26[[#This Row],[M2 Money Stock, Billions of Dollars, Weekly, Seasonally Adjusted]]-B632)/B632</f>
        <v/>
      </c>
    </row>
    <row r="685">
      <c r="A685" s="37" t="n">
        <v>34274</v>
      </c>
      <c r="B685" s="84" t="n">
        <v>3464.7</v>
      </c>
      <c r="C685" s="39">
        <f>(Table26[[#This Row],[M2 Money Stock, Billions of Dollars, Weekly, Seasonally Adjusted]]-B684)/B684</f>
        <v/>
      </c>
      <c r="D685" s="40">
        <f>((1+Table26[[#This Row],[Weekly change]])^52)-1</f>
        <v/>
      </c>
      <c r="E685" s="85">
        <f>(Table26[[#This Row],[M2 Money Stock, Billions of Dollars, Weekly, Seasonally Adjusted]]-B633)/B633</f>
        <v/>
      </c>
    </row>
    <row r="686">
      <c r="A686" s="37" t="n">
        <v>34281</v>
      </c>
      <c r="B686" s="84" t="n">
        <v>3466.7</v>
      </c>
      <c r="C686" s="39">
        <f>(Table26[[#This Row],[M2 Money Stock, Billions of Dollars, Weekly, Seasonally Adjusted]]-B685)/B685</f>
        <v/>
      </c>
      <c r="D686" s="40">
        <f>((1+Table26[[#This Row],[Weekly change]])^52)-1</f>
        <v/>
      </c>
      <c r="E686" s="85">
        <f>(Table26[[#This Row],[M2 Money Stock, Billions of Dollars, Weekly, Seasonally Adjusted]]-B634)/B634</f>
        <v/>
      </c>
    </row>
    <row r="687">
      <c r="A687" s="37" t="n">
        <v>34288</v>
      </c>
      <c r="B687" s="84" t="n">
        <v>3473.2</v>
      </c>
      <c r="C687" s="39">
        <f>(Table26[[#This Row],[M2 Money Stock, Billions of Dollars, Weekly, Seasonally Adjusted]]-B686)/B686</f>
        <v/>
      </c>
      <c r="D687" s="40">
        <f>((1+Table26[[#This Row],[Weekly change]])^52)-1</f>
        <v/>
      </c>
      <c r="E687" s="85">
        <f>(Table26[[#This Row],[M2 Money Stock, Billions of Dollars, Weekly, Seasonally Adjusted]]-B635)/B635</f>
        <v/>
      </c>
    </row>
    <row r="688">
      <c r="A688" s="37" t="n">
        <v>34295</v>
      </c>
      <c r="B688" s="84" t="n">
        <v>3470.8</v>
      </c>
      <c r="C688" s="39">
        <f>(Table26[[#This Row],[M2 Money Stock, Billions of Dollars, Weekly, Seasonally Adjusted]]-B687)/B687</f>
        <v/>
      </c>
      <c r="D688" s="40">
        <f>((1+Table26[[#This Row],[Weekly change]])^52)-1</f>
        <v/>
      </c>
      <c r="E688" s="85">
        <f>(Table26[[#This Row],[M2 Money Stock, Billions of Dollars, Weekly, Seasonally Adjusted]]-B636)/B636</f>
        <v/>
      </c>
    </row>
    <row r="689">
      <c r="A689" s="37" t="n">
        <v>34302</v>
      </c>
      <c r="B689" s="84" t="n">
        <v>3469.6</v>
      </c>
      <c r="C689" s="39">
        <f>(Table26[[#This Row],[M2 Money Stock, Billions of Dollars, Weekly, Seasonally Adjusted]]-B688)/B688</f>
        <v/>
      </c>
      <c r="D689" s="40">
        <f>((1+Table26[[#This Row],[Weekly change]])^52)-1</f>
        <v/>
      </c>
      <c r="E689" s="85">
        <f>(Table26[[#This Row],[M2 Money Stock, Billions of Dollars, Weekly, Seasonally Adjusted]]-B637)/B637</f>
        <v/>
      </c>
    </row>
    <row r="690">
      <c r="A690" s="37" t="n">
        <v>34309</v>
      </c>
      <c r="B690" s="84" t="n">
        <v>3476.2</v>
      </c>
      <c r="C690" s="39">
        <f>(Table26[[#This Row],[M2 Money Stock, Billions of Dollars, Weekly, Seasonally Adjusted]]-B689)/B689</f>
        <v/>
      </c>
      <c r="D690" s="40">
        <f>((1+Table26[[#This Row],[Weekly change]])^52)-1</f>
        <v/>
      </c>
      <c r="E690" s="85">
        <f>(Table26[[#This Row],[M2 Money Stock, Billions of Dollars, Weekly, Seasonally Adjusted]]-B638)/B638</f>
        <v/>
      </c>
    </row>
    <row r="691">
      <c r="A691" s="37" t="n">
        <v>34316</v>
      </c>
      <c r="B691" s="84" t="n">
        <v>3477.8</v>
      </c>
      <c r="C691" s="39">
        <f>(Table26[[#This Row],[M2 Money Stock, Billions of Dollars, Weekly, Seasonally Adjusted]]-B690)/B690</f>
        <v/>
      </c>
      <c r="D691" s="40">
        <f>((1+Table26[[#This Row],[Weekly change]])^52)-1</f>
        <v/>
      </c>
      <c r="E691" s="85">
        <f>(Table26[[#This Row],[M2 Money Stock, Billions of Dollars, Weekly, Seasonally Adjusted]]-B639)/B639</f>
        <v/>
      </c>
    </row>
    <row r="692">
      <c r="A692" s="37" t="n">
        <v>34323</v>
      </c>
      <c r="B692" s="84" t="n">
        <v>3473.6</v>
      </c>
      <c r="C692" s="39">
        <f>(Table26[[#This Row],[M2 Money Stock, Billions of Dollars, Weekly, Seasonally Adjusted]]-B691)/B691</f>
        <v/>
      </c>
      <c r="D692" s="40">
        <f>((1+Table26[[#This Row],[Weekly change]])^52)-1</f>
        <v/>
      </c>
      <c r="E692" s="85">
        <f>(Table26[[#This Row],[M2 Money Stock, Billions of Dollars, Weekly, Seasonally Adjusted]]-B640)/B640</f>
        <v/>
      </c>
    </row>
    <row r="693">
      <c r="A693" s="37" t="n">
        <v>34330</v>
      </c>
      <c r="B693" s="84" t="n">
        <v>3474.6</v>
      </c>
      <c r="C693" s="39">
        <f>(Table26[[#This Row],[M2 Money Stock, Billions of Dollars, Weekly, Seasonally Adjusted]]-B692)/B692</f>
        <v/>
      </c>
      <c r="D693" s="40">
        <f>((1+Table26[[#This Row],[Weekly change]])^52)-1</f>
        <v/>
      </c>
      <c r="E693" s="85">
        <f>(Table26[[#This Row],[M2 Money Stock, Billions of Dollars, Weekly, Seasonally Adjusted]]-B641)/B641</f>
        <v/>
      </c>
    </row>
    <row r="694">
      <c r="A694" s="37" t="n">
        <v>34337</v>
      </c>
      <c r="B694" s="84" t="n">
        <v>3467.3</v>
      </c>
      <c r="C694" s="39">
        <f>(Table26[[#This Row],[M2 Money Stock, Billions of Dollars, Weekly, Seasonally Adjusted]]-B693)/B693</f>
        <v/>
      </c>
      <c r="D694" s="40">
        <f>((1+Table26[[#This Row],[Weekly change]])^52)-1</f>
        <v/>
      </c>
      <c r="E694" s="85">
        <f>(Table26[[#This Row],[M2 Money Stock, Billions of Dollars, Weekly, Seasonally Adjusted]]-B642)/B642</f>
        <v/>
      </c>
    </row>
    <row r="695">
      <c r="A695" s="37" t="n">
        <v>34344</v>
      </c>
      <c r="B695" s="84" t="n">
        <v>3473.8</v>
      </c>
      <c r="C695" s="39">
        <f>(Table26[[#This Row],[M2 Money Stock, Billions of Dollars, Weekly, Seasonally Adjusted]]-B694)/B694</f>
        <v/>
      </c>
      <c r="D695" s="40">
        <f>((1+Table26[[#This Row],[Weekly change]])^52)-1</f>
        <v/>
      </c>
      <c r="E695" s="85">
        <f>(Table26[[#This Row],[M2 Money Stock, Billions of Dollars, Weekly, Seasonally Adjusted]]-B643)/B643</f>
        <v/>
      </c>
    </row>
    <row r="696">
      <c r="A696" s="37" t="n">
        <v>34351</v>
      </c>
      <c r="B696" s="84" t="n">
        <v>3478.1</v>
      </c>
      <c r="C696" s="39">
        <f>(Table26[[#This Row],[M2 Money Stock, Billions of Dollars, Weekly, Seasonally Adjusted]]-B695)/B695</f>
        <v/>
      </c>
      <c r="D696" s="40">
        <f>((1+Table26[[#This Row],[Weekly change]])^52)-1</f>
        <v/>
      </c>
      <c r="E696" s="85">
        <f>(Table26[[#This Row],[M2 Money Stock, Billions of Dollars, Weekly, Seasonally Adjusted]]-B644)/B644</f>
        <v/>
      </c>
    </row>
    <row r="697">
      <c r="A697" s="37" t="n">
        <v>34358</v>
      </c>
      <c r="B697" s="84" t="n">
        <v>3477.1</v>
      </c>
      <c r="C697" s="39">
        <f>(Table26[[#This Row],[M2 Money Stock, Billions of Dollars, Weekly, Seasonally Adjusted]]-B696)/B696</f>
        <v/>
      </c>
      <c r="D697" s="40">
        <f>((1+Table26[[#This Row],[Weekly change]])^52)-1</f>
        <v/>
      </c>
      <c r="E697" s="85">
        <f>(Table26[[#This Row],[M2 Money Stock, Billions of Dollars, Weekly, Seasonally Adjusted]]-B645)/B645</f>
        <v/>
      </c>
    </row>
    <row r="698">
      <c r="A698" s="37" t="n">
        <v>34365</v>
      </c>
      <c r="B698" s="84" t="n">
        <v>3473.9</v>
      </c>
      <c r="C698" s="39">
        <f>(Table26[[#This Row],[M2 Money Stock, Billions of Dollars, Weekly, Seasonally Adjusted]]-B697)/B697</f>
        <v/>
      </c>
      <c r="D698" s="40">
        <f>((1+Table26[[#This Row],[Weekly change]])^52)-1</f>
        <v/>
      </c>
      <c r="E698" s="85">
        <f>(Table26[[#This Row],[M2 Money Stock, Billions of Dollars, Weekly, Seasonally Adjusted]]-B646)/B646</f>
        <v/>
      </c>
    </row>
    <row r="699">
      <c r="A699" s="37" t="n">
        <v>34372</v>
      </c>
      <c r="B699" s="84" t="n">
        <v>3474.6</v>
      </c>
      <c r="C699" s="39">
        <f>(Table26[[#This Row],[M2 Money Stock, Billions of Dollars, Weekly, Seasonally Adjusted]]-B698)/B698</f>
        <v/>
      </c>
      <c r="D699" s="40">
        <f>((1+Table26[[#This Row],[Weekly change]])^52)-1</f>
        <v/>
      </c>
      <c r="E699" s="85">
        <f>(Table26[[#This Row],[M2 Money Stock, Billions of Dollars, Weekly, Seasonally Adjusted]]-B647)/B647</f>
        <v/>
      </c>
    </row>
    <row r="700">
      <c r="A700" s="37" t="n">
        <v>34379</v>
      </c>
      <c r="B700" s="84" t="n">
        <v>3478.7</v>
      </c>
      <c r="C700" s="39">
        <f>(Table26[[#This Row],[M2 Money Stock, Billions of Dollars, Weekly, Seasonally Adjusted]]-B699)/B699</f>
        <v/>
      </c>
      <c r="D700" s="40">
        <f>((1+Table26[[#This Row],[Weekly change]])^52)-1</f>
        <v/>
      </c>
      <c r="E700" s="85">
        <f>(Table26[[#This Row],[M2 Money Stock, Billions of Dollars, Weekly, Seasonally Adjusted]]-B648)/B648</f>
        <v/>
      </c>
    </row>
    <row r="701">
      <c r="A701" s="37" t="n">
        <v>34386</v>
      </c>
      <c r="B701" s="84" t="n">
        <v>3475.4</v>
      </c>
      <c r="C701" s="39">
        <f>(Table26[[#This Row],[M2 Money Stock, Billions of Dollars, Weekly, Seasonally Adjusted]]-B700)/B700</f>
        <v/>
      </c>
      <c r="D701" s="40">
        <f>((1+Table26[[#This Row],[Weekly change]])^52)-1</f>
        <v/>
      </c>
      <c r="E701" s="85">
        <f>(Table26[[#This Row],[M2 Money Stock, Billions of Dollars, Weekly, Seasonally Adjusted]]-B649)/B649</f>
        <v/>
      </c>
    </row>
    <row r="702">
      <c r="A702" s="37" t="n">
        <v>34393</v>
      </c>
      <c r="B702" s="84" t="n">
        <v>3474.2</v>
      </c>
      <c r="C702" s="39">
        <f>(Table26[[#This Row],[M2 Money Stock, Billions of Dollars, Weekly, Seasonally Adjusted]]-B701)/B701</f>
        <v/>
      </c>
      <c r="D702" s="40">
        <f>((1+Table26[[#This Row],[Weekly change]])^52)-1</f>
        <v/>
      </c>
      <c r="E702" s="85">
        <f>(Table26[[#This Row],[M2 Money Stock, Billions of Dollars, Weekly, Seasonally Adjusted]]-B650)/B650</f>
        <v/>
      </c>
    </row>
    <row r="703">
      <c r="A703" s="37" t="n">
        <v>34400</v>
      </c>
      <c r="B703" s="84" t="n">
        <v>3478</v>
      </c>
      <c r="C703" s="39">
        <f>(Table26[[#This Row],[M2 Money Stock, Billions of Dollars, Weekly, Seasonally Adjusted]]-B702)/B702</f>
        <v/>
      </c>
      <c r="D703" s="40">
        <f>((1+Table26[[#This Row],[Weekly change]])^52)-1</f>
        <v/>
      </c>
      <c r="E703" s="85">
        <f>(Table26[[#This Row],[M2 Money Stock, Billions of Dollars, Weekly, Seasonally Adjusted]]-B651)/B651</f>
        <v/>
      </c>
    </row>
    <row r="704">
      <c r="A704" s="37" t="n">
        <v>34407</v>
      </c>
      <c r="B704" s="84" t="n">
        <v>3483.5</v>
      </c>
      <c r="C704" s="39">
        <f>(Table26[[#This Row],[M2 Money Stock, Billions of Dollars, Weekly, Seasonally Adjusted]]-B703)/B703</f>
        <v/>
      </c>
      <c r="D704" s="40">
        <f>((1+Table26[[#This Row],[Weekly change]])^52)-1</f>
        <v/>
      </c>
      <c r="E704" s="85">
        <f>(Table26[[#This Row],[M2 Money Stock, Billions of Dollars, Weekly, Seasonally Adjusted]]-B652)/B652</f>
        <v/>
      </c>
    </row>
    <row r="705">
      <c r="A705" s="37" t="n">
        <v>34414</v>
      </c>
      <c r="B705" s="84" t="n">
        <v>3481.9</v>
      </c>
      <c r="C705" s="39">
        <f>(Table26[[#This Row],[M2 Money Stock, Billions of Dollars, Weekly, Seasonally Adjusted]]-B704)/B704</f>
        <v/>
      </c>
      <c r="D705" s="40">
        <f>((1+Table26[[#This Row],[Weekly change]])^52)-1</f>
        <v/>
      </c>
      <c r="E705" s="85">
        <f>(Table26[[#This Row],[M2 Money Stock, Billions of Dollars, Weekly, Seasonally Adjusted]]-B653)/B653</f>
        <v/>
      </c>
    </row>
    <row r="706">
      <c r="A706" s="37" t="n">
        <v>34421</v>
      </c>
      <c r="B706" s="84" t="n">
        <v>3477.5</v>
      </c>
      <c r="C706" s="39">
        <f>(Table26[[#This Row],[M2 Money Stock, Billions of Dollars, Weekly, Seasonally Adjusted]]-B705)/B705</f>
        <v/>
      </c>
      <c r="D706" s="40">
        <f>((1+Table26[[#This Row],[Weekly change]])^52)-1</f>
        <v/>
      </c>
      <c r="E706" s="85">
        <f>(Table26[[#This Row],[M2 Money Stock, Billions of Dollars, Weekly, Seasonally Adjusted]]-B654)/B654</f>
        <v/>
      </c>
    </row>
    <row r="707">
      <c r="A707" s="37" t="n">
        <v>34428</v>
      </c>
      <c r="B707" s="84" t="n">
        <v>3479.4</v>
      </c>
      <c r="C707" s="39">
        <f>(Table26[[#This Row],[M2 Money Stock, Billions of Dollars, Weekly, Seasonally Adjusted]]-B706)/B706</f>
        <v/>
      </c>
      <c r="D707" s="40">
        <f>((1+Table26[[#This Row],[Weekly change]])^52)-1</f>
        <v/>
      </c>
      <c r="E707" s="85">
        <f>(Table26[[#This Row],[M2 Money Stock, Billions of Dollars, Weekly, Seasonally Adjusted]]-B655)/B655</f>
        <v/>
      </c>
    </row>
    <row r="708">
      <c r="A708" s="37" t="n">
        <v>34435</v>
      </c>
      <c r="B708" s="84" t="n">
        <v>3483.3</v>
      </c>
      <c r="C708" s="39">
        <f>(Table26[[#This Row],[M2 Money Stock, Billions of Dollars, Weekly, Seasonally Adjusted]]-B707)/B707</f>
        <v/>
      </c>
      <c r="D708" s="40">
        <f>((1+Table26[[#This Row],[Weekly change]])^52)-1</f>
        <v/>
      </c>
      <c r="E708" s="85">
        <f>(Table26[[#This Row],[M2 Money Stock, Billions of Dollars, Weekly, Seasonally Adjusted]]-B656)/B656</f>
        <v/>
      </c>
    </row>
    <row r="709">
      <c r="A709" s="37" t="n">
        <v>34442</v>
      </c>
      <c r="B709" s="84" t="n">
        <v>3476.1</v>
      </c>
      <c r="C709" s="39">
        <f>(Table26[[#This Row],[M2 Money Stock, Billions of Dollars, Weekly, Seasonally Adjusted]]-B708)/B708</f>
        <v/>
      </c>
      <c r="D709" s="40">
        <f>((1+Table26[[#This Row],[Weekly change]])^52)-1</f>
        <v/>
      </c>
      <c r="E709" s="85">
        <f>(Table26[[#This Row],[M2 Money Stock, Billions of Dollars, Weekly, Seasonally Adjusted]]-B657)/B657</f>
        <v/>
      </c>
    </row>
    <row r="710">
      <c r="A710" s="37" t="n">
        <v>34449</v>
      </c>
      <c r="B710" s="84" t="n">
        <v>3480.1</v>
      </c>
      <c r="C710" s="39">
        <f>(Table26[[#This Row],[M2 Money Stock, Billions of Dollars, Weekly, Seasonally Adjusted]]-B709)/B709</f>
        <v/>
      </c>
      <c r="D710" s="40">
        <f>((1+Table26[[#This Row],[Weekly change]])^52)-1</f>
        <v/>
      </c>
      <c r="E710" s="85">
        <f>(Table26[[#This Row],[M2 Money Stock, Billions of Dollars, Weekly, Seasonally Adjusted]]-B658)/B658</f>
        <v/>
      </c>
    </row>
    <row r="711">
      <c r="A711" s="37" t="n">
        <v>34456</v>
      </c>
      <c r="B711" s="84" t="n">
        <v>3488.9</v>
      </c>
      <c r="C711" s="39">
        <f>(Table26[[#This Row],[M2 Money Stock, Billions of Dollars, Weekly, Seasonally Adjusted]]-B710)/B710</f>
        <v/>
      </c>
      <c r="D711" s="40">
        <f>((1+Table26[[#This Row],[Weekly change]])^52)-1</f>
        <v/>
      </c>
      <c r="E711" s="85">
        <f>(Table26[[#This Row],[M2 Money Stock, Billions of Dollars, Weekly, Seasonally Adjusted]]-B659)/B659</f>
        <v/>
      </c>
    </row>
    <row r="712">
      <c r="A712" s="37" t="n">
        <v>34463</v>
      </c>
      <c r="B712" s="84" t="n">
        <v>3494.2</v>
      </c>
      <c r="C712" s="39">
        <f>(Table26[[#This Row],[M2 Money Stock, Billions of Dollars, Weekly, Seasonally Adjusted]]-B711)/B711</f>
        <v/>
      </c>
      <c r="D712" s="40">
        <f>((1+Table26[[#This Row],[Weekly change]])^52)-1</f>
        <v/>
      </c>
      <c r="E712" s="85">
        <f>(Table26[[#This Row],[M2 Money Stock, Billions of Dollars, Weekly, Seasonally Adjusted]]-B660)/B660</f>
        <v/>
      </c>
    </row>
    <row r="713">
      <c r="A713" s="37" t="n">
        <v>34470</v>
      </c>
      <c r="B713" s="84" t="n">
        <v>3492.9</v>
      </c>
      <c r="C713" s="39">
        <f>(Table26[[#This Row],[M2 Money Stock, Billions of Dollars, Weekly, Seasonally Adjusted]]-B712)/B712</f>
        <v/>
      </c>
      <c r="D713" s="40">
        <f>((1+Table26[[#This Row],[Weekly change]])^52)-1</f>
        <v/>
      </c>
      <c r="E713" s="85">
        <f>(Table26[[#This Row],[M2 Money Stock, Billions of Dollars, Weekly, Seasonally Adjusted]]-B661)/B661</f>
        <v/>
      </c>
    </row>
    <row r="714">
      <c r="A714" s="37" t="n">
        <v>34477</v>
      </c>
      <c r="B714" s="84" t="n">
        <v>3491.2</v>
      </c>
      <c r="C714" s="39">
        <f>(Table26[[#This Row],[M2 Money Stock, Billions of Dollars, Weekly, Seasonally Adjusted]]-B713)/B713</f>
        <v/>
      </c>
      <c r="D714" s="40">
        <f>((1+Table26[[#This Row],[Weekly change]])^52)-1</f>
        <v/>
      </c>
      <c r="E714" s="85">
        <f>(Table26[[#This Row],[M2 Money Stock, Billions of Dollars, Weekly, Seasonally Adjusted]]-B662)/B662</f>
        <v/>
      </c>
    </row>
    <row r="715">
      <c r="A715" s="37" t="n">
        <v>34484</v>
      </c>
      <c r="B715" s="84" t="n">
        <v>3486.8</v>
      </c>
      <c r="C715" s="39">
        <f>(Table26[[#This Row],[M2 Money Stock, Billions of Dollars, Weekly, Seasonally Adjusted]]-B714)/B714</f>
        <v/>
      </c>
      <c r="D715" s="40">
        <f>((1+Table26[[#This Row],[Weekly change]])^52)-1</f>
        <v/>
      </c>
      <c r="E715" s="85">
        <f>(Table26[[#This Row],[M2 Money Stock, Billions of Dollars, Weekly, Seasonally Adjusted]]-B663)/B663</f>
        <v/>
      </c>
    </row>
    <row r="716">
      <c r="A716" s="37" t="n">
        <v>34491</v>
      </c>
      <c r="B716" s="84" t="n">
        <v>3481.6</v>
      </c>
      <c r="C716" s="39">
        <f>(Table26[[#This Row],[M2 Money Stock, Billions of Dollars, Weekly, Seasonally Adjusted]]-B715)/B715</f>
        <v/>
      </c>
      <c r="D716" s="40">
        <f>((1+Table26[[#This Row],[Weekly change]])^52)-1</f>
        <v/>
      </c>
      <c r="E716" s="85">
        <f>(Table26[[#This Row],[M2 Money Stock, Billions of Dollars, Weekly, Seasonally Adjusted]]-B664)/B664</f>
        <v/>
      </c>
    </row>
    <row r="717">
      <c r="A717" s="37" t="n">
        <v>34498</v>
      </c>
      <c r="B717" s="84" t="n">
        <v>3480</v>
      </c>
      <c r="C717" s="39">
        <f>(Table26[[#This Row],[M2 Money Stock, Billions of Dollars, Weekly, Seasonally Adjusted]]-B716)/B716</f>
        <v/>
      </c>
      <c r="D717" s="40">
        <f>((1+Table26[[#This Row],[Weekly change]])^52)-1</f>
        <v/>
      </c>
      <c r="E717" s="85">
        <f>(Table26[[#This Row],[M2 Money Stock, Billions of Dollars, Weekly, Seasonally Adjusted]]-B665)/B665</f>
        <v/>
      </c>
    </row>
    <row r="718">
      <c r="A718" s="37" t="n">
        <v>34505</v>
      </c>
      <c r="B718" s="84" t="n">
        <v>3476.4</v>
      </c>
      <c r="C718" s="39">
        <f>(Table26[[#This Row],[M2 Money Stock, Billions of Dollars, Weekly, Seasonally Adjusted]]-B717)/B717</f>
        <v/>
      </c>
      <c r="D718" s="40">
        <f>((1+Table26[[#This Row],[Weekly change]])^52)-1</f>
        <v/>
      </c>
      <c r="E718" s="85">
        <f>(Table26[[#This Row],[M2 Money Stock, Billions of Dollars, Weekly, Seasonally Adjusted]]-B666)/B666</f>
        <v/>
      </c>
    </row>
    <row r="719">
      <c r="A719" s="37" t="n">
        <v>34512</v>
      </c>
      <c r="B719" s="84" t="n">
        <v>3480.7</v>
      </c>
      <c r="C719" s="39">
        <f>(Table26[[#This Row],[M2 Money Stock, Billions of Dollars, Weekly, Seasonally Adjusted]]-B718)/B718</f>
        <v/>
      </c>
      <c r="D719" s="40">
        <f>((1+Table26[[#This Row],[Weekly change]])^52)-1</f>
        <v/>
      </c>
      <c r="E719" s="85">
        <f>(Table26[[#This Row],[M2 Money Stock, Billions of Dollars, Weekly, Seasonally Adjusted]]-B667)/B667</f>
        <v/>
      </c>
    </row>
    <row r="720">
      <c r="A720" s="37" t="n">
        <v>34519</v>
      </c>
      <c r="B720" s="84" t="n">
        <v>3478.4</v>
      </c>
      <c r="C720" s="39">
        <f>(Table26[[#This Row],[M2 Money Stock, Billions of Dollars, Weekly, Seasonally Adjusted]]-B719)/B719</f>
        <v/>
      </c>
      <c r="D720" s="40">
        <f>((1+Table26[[#This Row],[Weekly change]])^52)-1</f>
        <v/>
      </c>
      <c r="E720" s="85">
        <f>(Table26[[#This Row],[M2 Money Stock, Billions of Dollars, Weekly, Seasonally Adjusted]]-B668)/B668</f>
        <v/>
      </c>
    </row>
    <row r="721">
      <c r="A721" s="37" t="n">
        <v>34526</v>
      </c>
      <c r="B721" s="84" t="n">
        <v>3487.2</v>
      </c>
      <c r="C721" s="39">
        <f>(Table26[[#This Row],[M2 Money Stock, Billions of Dollars, Weekly, Seasonally Adjusted]]-B720)/B720</f>
        <v/>
      </c>
      <c r="D721" s="40">
        <f>((1+Table26[[#This Row],[Weekly change]])^52)-1</f>
        <v/>
      </c>
      <c r="E721" s="85">
        <f>(Table26[[#This Row],[M2 Money Stock, Billions of Dollars, Weekly, Seasonally Adjusted]]-B669)/B669</f>
        <v/>
      </c>
    </row>
    <row r="722">
      <c r="A722" s="37" t="n">
        <v>34533</v>
      </c>
      <c r="B722" s="84" t="n">
        <v>3489</v>
      </c>
      <c r="C722" s="39">
        <f>(Table26[[#This Row],[M2 Money Stock, Billions of Dollars, Weekly, Seasonally Adjusted]]-B721)/B721</f>
        <v/>
      </c>
      <c r="D722" s="40">
        <f>((1+Table26[[#This Row],[Weekly change]])^52)-1</f>
        <v/>
      </c>
      <c r="E722" s="85">
        <f>(Table26[[#This Row],[M2 Money Stock, Billions of Dollars, Weekly, Seasonally Adjusted]]-B670)/B670</f>
        <v/>
      </c>
    </row>
    <row r="723">
      <c r="A723" s="37" t="n">
        <v>34540</v>
      </c>
      <c r="B723" s="84" t="n">
        <v>3490.3</v>
      </c>
      <c r="C723" s="39">
        <f>(Table26[[#This Row],[M2 Money Stock, Billions of Dollars, Weekly, Seasonally Adjusted]]-B722)/B722</f>
        <v/>
      </c>
      <c r="D723" s="40">
        <f>((1+Table26[[#This Row],[Weekly change]])^52)-1</f>
        <v/>
      </c>
      <c r="E723" s="85">
        <f>(Table26[[#This Row],[M2 Money Stock, Billions of Dollars, Weekly, Seasonally Adjusted]]-B671)/B671</f>
        <v/>
      </c>
    </row>
    <row r="724">
      <c r="A724" s="37" t="n">
        <v>34547</v>
      </c>
      <c r="B724" s="84" t="n">
        <v>3492.5</v>
      </c>
      <c r="C724" s="39">
        <f>(Table26[[#This Row],[M2 Money Stock, Billions of Dollars, Weekly, Seasonally Adjusted]]-B723)/B723</f>
        <v/>
      </c>
      <c r="D724" s="40">
        <f>((1+Table26[[#This Row],[Weekly change]])^52)-1</f>
        <v/>
      </c>
      <c r="E724" s="85">
        <f>(Table26[[#This Row],[M2 Money Stock, Billions of Dollars, Weekly, Seasonally Adjusted]]-B672)/B672</f>
        <v/>
      </c>
    </row>
    <row r="725">
      <c r="A725" s="37" t="n">
        <v>34554</v>
      </c>
      <c r="B725" s="84" t="n">
        <v>3484</v>
      </c>
      <c r="C725" s="39">
        <f>(Table26[[#This Row],[M2 Money Stock, Billions of Dollars, Weekly, Seasonally Adjusted]]-B724)/B724</f>
        <v/>
      </c>
      <c r="D725" s="40">
        <f>((1+Table26[[#This Row],[Weekly change]])^52)-1</f>
        <v/>
      </c>
      <c r="E725" s="85">
        <f>(Table26[[#This Row],[M2 Money Stock, Billions of Dollars, Weekly, Seasonally Adjusted]]-B673)/B673</f>
        <v/>
      </c>
    </row>
    <row r="726">
      <c r="A726" s="37" t="n">
        <v>34561</v>
      </c>
      <c r="B726" s="84" t="n">
        <v>3485.8</v>
      </c>
      <c r="C726" s="39">
        <f>(Table26[[#This Row],[M2 Money Stock, Billions of Dollars, Weekly, Seasonally Adjusted]]-B725)/B725</f>
        <v/>
      </c>
      <c r="D726" s="40">
        <f>((1+Table26[[#This Row],[Weekly change]])^52)-1</f>
        <v/>
      </c>
      <c r="E726" s="85">
        <f>(Table26[[#This Row],[M2 Money Stock, Billions of Dollars, Weekly, Seasonally Adjusted]]-B674)/B674</f>
        <v/>
      </c>
    </row>
    <row r="727">
      <c r="A727" s="37" t="n">
        <v>34568</v>
      </c>
      <c r="B727" s="84" t="n">
        <v>3487.4</v>
      </c>
      <c r="C727" s="39">
        <f>(Table26[[#This Row],[M2 Money Stock, Billions of Dollars, Weekly, Seasonally Adjusted]]-B726)/B726</f>
        <v/>
      </c>
      <c r="D727" s="40">
        <f>((1+Table26[[#This Row],[Weekly change]])^52)-1</f>
        <v/>
      </c>
      <c r="E727" s="85">
        <f>(Table26[[#This Row],[M2 Money Stock, Billions of Dollars, Weekly, Seasonally Adjusted]]-B675)/B675</f>
        <v/>
      </c>
    </row>
    <row r="728">
      <c r="A728" s="37" t="n">
        <v>34575</v>
      </c>
      <c r="B728" s="84" t="n">
        <v>3485.1</v>
      </c>
      <c r="C728" s="39">
        <f>(Table26[[#This Row],[M2 Money Stock, Billions of Dollars, Weekly, Seasonally Adjusted]]-B727)/B727</f>
        <v/>
      </c>
      <c r="D728" s="40">
        <f>((1+Table26[[#This Row],[Weekly change]])^52)-1</f>
        <v/>
      </c>
      <c r="E728" s="85">
        <f>(Table26[[#This Row],[M2 Money Stock, Billions of Dollars, Weekly, Seasonally Adjusted]]-B676)/B676</f>
        <v/>
      </c>
    </row>
    <row r="729">
      <c r="A729" s="37" t="n">
        <v>34582</v>
      </c>
      <c r="B729" s="84" t="n">
        <v>3484.2</v>
      </c>
      <c r="C729" s="39">
        <f>(Table26[[#This Row],[M2 Money Stock, Billions of Dollars, Weekly, Seasonally Adjusted]]-B728)/B728</f>
        <v/>
      </c>
      <c r="D729" s="40">
        <f>((1+Table26[[#This Row],[Weekly change]])^52)-1</f>
        <v/>
      </c>
      <c r="E729" s="85">
        <f>(Table26[[#This Row],[M2 Money Stock, Billions of Dollars, Weekly, Seasonally Adjusted]]-B677)/B677</f>
        <v/>
      </c>
    </row>
    <row r="730">
      <c r="A730" s="37" t="n">
        <v>34589</v>
      </c>
      <c r="B730" s="84" t="n">
        <v>3485.2</v>
      </c>
      <c r="C730" s="39">
        <f>(Table26[[#This Row],[M2 Money Stock, Billions of Dollars, Weekly, Seasonally Adjusted]]-B729)/B729</f>
        <v/>
      </c>
      <c r="D730" s="40">
        <f>((1+Table26[[#This Row],[Weekly change]])^52)-1</f>
        <v/>
      </c>
      <c r="E730" s="85">
        <f>(Table26[[#This Row],[M2 Money Stock, Billions of Dollars, Weekly, Seasonally Adjusted]]-B678)/B678</f>
        <v/>
      </c>
    </row>
    <row r="731">
      <c r="A731" s="37" t="n">
        <v>34596</v>
      </c>
      <c r="B731" s="84" t="n">
        <v>3487.2</v>
      </c>
      <c r="C731" s="39">
        <f>(Table26[[#This Row],[M2 Money Stock, Billions of Dollars, Weekly, Seasonally Adjusted]]-B730)/B730</f>
        <v/>
      </c>
      <c r="D731" s="40">
        <f>((1+Table26[[#This Row],[Weekly change]])^52)-1</f>
        <v/>
      </c>
      <c r="E731" s="85">
        <f>(Table26[[#This Row],[M2 Money Stock, Billions of Dollars, Weekly, Seasonally Adjusted]]-B679)/B679</f>
        <v/>
      </c>
    </row>
    <row r="732">
      <c r="A732" s="37" t="n">
        <v>34603</v>
      </c>
      <c r="B732" s="84" t="n">
        <v>3490.4</v>
      </c>
      <c r="C732" s="39">
        <f>(Table26[[#This Row],[M2 Money Stock, Billions of Dollars, Weekly, Seasonally Adjusted]]-B731)/B731</f>
        <v/>
      </c>
      <c r="D732" s="40">
        <f>((1+Table26[[#This Row],[Weekly change]])^52)-1</f>
        <v/>
      </c>
      <c r="E732" s="85">
        <f>(Table26[[#This Row],[M2 Money Stock, Billions of Dollars, Weekly, Seasonally Adjusted]]-B680)/B680</f>
        <v/>
      </c>
    </row>
    <row r="733">
      <c r="A733" s="37" t="n">
        <v>34610</v>
      </c>
      <c r="B733" s="84" t="n">
        <v>3480.6</v>
      </c>
      <c r="C733" s="39">
        <f>(Table26[[#This Row],[M2 Money Stock, Billions of Dollars, Weekly, Seasonally Adjusted]]-B732)/B732</f>
        <v/>
      </c>
      <c r="D733" s="40">
        <f>((1+Table26[[#This Row],[Weekly change]])^52)-1</f>
        <v/>
      </c>
      <c r="E733" s="85">
        <f>(Table26[[#This Row],[M2 Money Stock, Billions of Dollars, Weekly, Seasonally Adjusted]]-B681)/B681</f>
        <v/>
      </c>
    </row>
    <row r="734">
      <c r="A734" s="37" t="n">
        <v>34617</v>
      </c>
      <c r="B734" s="84" t="n">
        <v>3486.9</v>
      </c>
      <c r="C734" s="39">
        <f>(Table26[[#This Row],[M2 Money Stock, Billions of Dollars, Weekly, Seasonally Adjusted]]-B733)/B733</f>
        <v/>
      </c>
      <c r="D734" s="40">
        <f>((1+Table26[[#This Row],[Weekly change]])^52)-1</f>
        <v/>
      </c>
      <c r="E734" s="85">
        <f>(Table26[[#This Row],[M2 Money Stock, Billions of Dollars, Weekly, Seasonally Adjusted]]-B682)/B682</f>
        <v/>
      </c>
    </row>
    <row r="735">
      <c r="A735" s="37" t="n">
        <v>34624</v>
      </c>
      <c r="B735" s="84" t="n">
        <v>3485.5</v>
      </c>
      <c r="C735" s="39">
        <f>(Table26[[#This Row],[M2 Money Stock, Billions of Dollars, Weekly, Seasonally Adjusted]]-B734)/B734</f>
        <v/>
      </c>
      <c r="D735" s="40">
        <f>((1+Table26[[#This Row],[Weekly change]])^52)-1</f>
        <v/>
      </c>
      <c r="E735" s="85">
        <f>(Table26[[#This Row],[M2 Money Stock, Billions of Dollars, Weekly, Seasonally Adjusted]]-B683)/B683</f>
        <v/>
      </c>
    </row>
    <row r="736">
      <c r="A736" s="37" t="n">
        <v>34631</v>
      </c>
      <c r="B736" s="84" t="n">
        <v>3483.6</v>
      </c>
      <c r="C736" s="39">
        <f>(Table26[[#This Row],[M2 Money Stock, Billions of Dollars, Weekly, Seasonally Adjusted]]-B735)/B735</f>
        <v/>
      </c>
      <c r="D736" s="40">
        <f>((1+Table26[[#This Row],[Weekly change]])^52)-1</f>
        <v/>
      </c>
      <c r="E736" s="85">
        <f>(Table26[[#This Row],[M2 Money Stock, Billions of Dollars, Weekly, Seasonally Adjusted]]-B684)/B684</f>
        <v/>
      </c>
    </row>
    <row r="737">
      <c r="A737" s="37" t="n">
        <v>34638</v>
      </c>
      <c r="B737" s="84" t="n">
        <v>3482.7</v>
      </c>
      <c r="C737" s="39">
        <f>(Table26[[#This Row],[M2 Money Stock, Billions of Dollars, Weekly, Seasonally Adjusted]]-B736)/B736</f>
        <v/>
      </c>
      <c r="D737" s="40">
        <f>((1+Table26[[#This Row],[Weekly change]])^52)-1</f>
        <v/>
      </c>
      <c r="E737" s="85">
        <f>(Table26[[#This Row],[M2 Money Stock, Billions of Dollars, Weekly, Seasonally Adjusted]]-B685)/B685</f>
        <v/>
      </c>
    </row>
    <row r="738">
      <c r="A738" s="37" t="n">
        <v>34645</v>
      </c>
      <c r="B738" s="84" t="n">
        <v>3481.6</v>
      </c>
      <c r="C738" s="39">
        <f>(Table26[[#This Row],[M2 Money Stock, Billions of Dollars, Weekly, Seasonally Adjusted]]-B737)/B737</f>
        <v/>
      </c>
      <c r="D738" s="40">
        <f>((1+Table26[[#This Row],[Weekly change]])^52)-1</f>
        <v/>
      </c>
      <c r="E738" s="85">
        <f>(Table26[[#This Row],[M2 Money Stock, Billions of Dollars, Weekly, Seasonally Adjusted]]-B686)/B686</f>
        <v/>
      </c>
    </row>
    <row r="739">
      <c r="A739" s="37" t="n">
        <v>34652</v>
      </c>
      <c r="B739" s="84" t="n">
        <v>3486</v>
      </c>
      <c r="C739" s="39">
        <f>(Table26[[#This Row],[M2 Money Stock, Billions of Dollars, Weekly, Seasonally Adjusted]]-B738)/B738</f>
        <v/>
      </c>
      <c r="D739" s="40">
        <f>((1+Table26[[#This Row],[Weekly change]])^52)-1</f>
        <v/>
      </c>
      <c r="E739" s="85">
        <f>(Table26[[#This Row],[M2 Money Stock, Billions of Dollars, Weekly, Seasonally Adjusted]]-B687)/B687</f>
        <v/>
      </c>
    </row>
    <row r="740">
      <c r="A740" s="37" t="n">
        <v>34659</v>
      </c>
      <c r="B740" s="84" t="n">
        <v>3490.8</v>
      </c>
      <c r="C740" s="39">
        <f>(Table26[[#This Row],[M2 Money Stock, Billions of Dollars, Weekly, Seasonally Adjusted]]-B739)/B739</f>
        <v/>
      </c>
      <c r="D740" s="40">
        <f>((1+Table26[[#This Row],[Weekly change]])^52)-1</f>
        <v/>
      </c>
      <c r="E740" s="85">
        <f>(Table26[[#This Row],[M2 Money Stock, Billions of Dollars, Weekly, Seasonally Adjusted]]-B688)/B688</f>
        <v/>
      </c>
    </row>
    <row r="741">
      <c r="A741" s="37" t="n">
        <v>34666</v>
      </c>
      <c r="B741" s="84" t="n">
        <v>3489.9</v>
      </c>
      <c r="C741" s="39">
        <f>(Table26[[#This Row],[M2 Money Stock, Billions of Dollars, Weekly, Seasonally Adjusted]]-B740)/B740</f>
        <v/>
      </c>
      <c r="D741" s="40">
        <f>((1+Table26[[#This Row],[Weekly change]])^52)-1</f>
        <v/>
      </c>
      <c r="E741" s="85">
        <f>(Table26[[#This Row],[M2 Money Stock, Billions of Dollars, Weekly, Seasonally Adjusted]]-B689)/B689</f>
        <v/>
      </c>
    </row>
    <row r="742">
      <c r="A742" s="37" t="n">
        <v>34673</v>
      </c>
      <c r="B742" s="84" t="n">
        <v>3490.1</v>
      </c>
      <c r="C742" s="39">
        <f>(Table26[[#This Row],[M2 Money Stock, Billions of Dollars, Weekly, Seasonally Adjusted]]-B741)/B741</f>
        <v/>
      </c>
      <c r="D742" s="40">
        <f>((1+Table26[[#This Row],[Weekly change]])^52)-1</f>
        <v/>
      </c>
      <c r="E742" s="85">
        <f>(Table26[[#This Row],[M2 Money Stock, Billions of Dollars, Weekly, Seasonally Adjusted]]-B690)/B690</f>
        <v/>
      </c>
    </row>
    <row r="743">
      <c r="A743" s="37" t="n">
        <v>34680</v>
      </c>
      <c r="B743" s="84" t="n">
        <v>3488.7</v>
      </c>
      <c r="C743" s="39">
        <f>(Table26[[#This Row],[M2 Money Stock, Billions of Dollars, Weekly, Seasonally Adjusted]]-B742)/B742</f>
        <v/>
      </c>
      <c r="D743" s="40">
        <f>((1+Table26[[#This Row],[Weekly change]])^52)-1</f>
        <v/>
      </c>
      <c r="E743" s="85">
        <f>(Table26[[#This Row],[M2 Money Stock, Billions of Dollars, Weekly, Seasonally Adjusted]]-B691)/B691</f>
        <v/>
      </c>
    </row>
    <row r="744">
      <c r="A744" s="37" t="n">
        <v>34687</v>
      </c>
      <c r="B744" s="84" t="n">
        <v>3485.8</v>
      </c>
      <c r="C744" s="39">
        <f>(Table26[[#This Row],[M2 Money Stock, Billions of Dollars, Weekly, Seasonally Adjusted]]-B743)/B743</f>
        <v/>
      </c>
      <c r="D744" s="40">
        <f>((1+Table26[[#This Row],[Weekly change]])^52)-1</f>
        <v/>
      </c>
      <c r="E744" s="85">
        <f>(Table26[[#This Row],[M2 Money Stock, Billions of Dollars, Weekly, Seasonally Adjusted]]-B692)/B692</f>
        <v/>
      </c>
    </row>
    <row r="745">
      <c r="A745" s="37" t="n">
        <v>34694</v>
      </c>
      <c r="B745" s="84" t="n">
        <v>3486.1</v>
      </c>
      <c r="C745" s="39">
        <f>(Table26[[#This Row],[M2 Money Stock, Billions of Dollars, Weekly, Seasonally Adjusted]]-B744)/B744</f>
        <v/>
      </c>
      <c r="D745" s="40">
        <f>((1+Table26[[#This Row],[Weekly change]])^52)-1</f>
        <v/>
      </c>
      <c r="E745" s="85">
        <f>(Table26[[#This Row],[M2 Money Stock, Billions of Dollars, Weekly, Seasonally Adjusted]]-B693)/B693</f>
        <v/>
      </c>
    </row>
    <row r="746">
      <c r="A746" s="37" t="n">
        <v>34701</v>
      </c>
      <c r="B746" s="84" t="n">
        <v>3480.3</v>
      </c>
      <c r="C746" s="39">
        <f>(Table26[[#This Row],[M2 Money Stock, Billions of Dollars, Weekly, Seasonally Adjusted]]-B745)/B745</f>
        <v/>
      </c>
      <c r="D746" s="40">
        <f>((1+Table26[[#This Row],[Weekly change]])^52)-1</f>
        <v/>
      </c>
      <c r="E746" s="85">
        <f>(Table26[[#This Row],[M2 Money Stock, Billions of Dollars, Weekly, Seasonally Adjusted]]-B694)/B694</f>
        <v/>
      </c>
    </row>
    <row r="747">
      <c r="A747" s="37" t="n">
        <v>34708</v>
      </c>
      <c r="B747" s="84" t="n">
        <v>3489.8</v>
      </c>
      <c r="C747" s="39">
        <f>(Table26[[#This Row],[M2 Money Stock, Billions of Dollars, Weekly, Seasonally Adjusted]]-B746)/B746</f>
        <v/>
      </c>
      <c r="D747" s="40">
        <f>((1+Table26[[#This Row],[Weekly change]])^52)-1</f>
        <v/>
      </c>
      <c r="E747" s="85">
        <f>(Table26[[#This Row],[M2 Money Stock, Billions of Dollars, Weekly, Seasonally Adjusted]]-B695)/B695</f>
        <v/>
      </c>
    </row>
    <row r="748">
      <c r="A748" s="37" t="n">
        <v>34715</v>
      </c>
      <c r="B748" s="84" t="n">
        <v>3493.9</v>
      </c>
      <c r="C748" s="39">
        <f>(Table26[[#This Row],[M2 Money Stock, Billions of Dollars, Weekly, Seasonally Adjusted]]-B747)/B747</f>
        <v/>
      </c>
      <c r="D748" s="40">
        <f>((1+Table26[[#This Row],[Weekly change]])^52)-1</f>
        <v/>
      </c>
      <c r="E748" s="85">
        <f>(Table26[[#This Row],[M2 Money Stock, Billions of Dollars, Weekly, Seasonally Adjusted]]-B696)/B696</f>
        <v/>
      </c>
    </row>
    <row r="749">
      <c r="A749" s="37" t="n">
        <v>34722</v>
      </c>
      <c r="B749" s="84" t="n">
        <v>3495.2</v>
      </c>
      <c r="C749" s="39">
        <f>(Table26[[#This Row],[M2 Money Stock, Billions of Dollars, Weekly, Seasonally Adjusted]]-B748)/B748</f>
        <v/>
      </c>
      <c r="D749" s="40">
        <f>((1+Table26[[#This Row],[Weekly change]])^52)-1</f>
        <v/>
      </c>
      <c r="E749" s="85">
        <f>(Table26[[#This Row],[M2 Money Stock, Billions of Dollars, Weekly, Seasonally Adjusted]]-B697)/B697</f>
        <v/>
      </c>
    </row>
    <row r="750">
      <c r="A750" s="37" t="n">
        <v>34729</v>
      </c>
      <c r="B750" s="84" t="n">
        <v>3494.1</v>
      </c>
      <c r="C750" s="39">
        <f>(Table26[[#This Row],[M2 Money Stock, Billions of Dollars, Weekly, Seasonally Adjusted]]-B749)/B749</f>
        <v/>
      </c>
      <c r="D750" s="40">
        <f>((1+Table26[[#This Row],[Weekly change]])^52)-1</f>
        <v/>
      </c>
      <c r="E750" s="85">
        <f>(Table26[[#This Row],[M2 Money Stock, Billions of Dollars, Weekly, Seasonally Adjusted]]-B698)/B698</f>
        <v/>
      </c>
    </row>
    <row r="751">
      <c r="A751" s="37" t="n">
        <v>34736</v>
      </c>
      <c r="B751" s="84" t="n">
        <v>3492.4</v>
      </c>
      <c r="C751" s="39">
        <f>(Table26[[#This Row],[M2 Money Stock, Billions of Dollars, Weekly, Seasonally Adjusted]]-B750)/B750</f>
        <v/>
      </c>
      <c r="D751" s="40">
        <f>((1+Table26[[#This Row],[Weekly change]])^52)-1</f>
        <v/>
      </c>
      <c r="E751" s="85">
        <f>(Table26[[#This Row],[M2 Money Stock, Billions of Dollars, Weekly, Seasonally Adjusted]]-B699)/B699</f>
        <v/>
      </c>
    </row>
    <row r="752">
      <c r="A752" s="37" t="n">
        <v>34743</v>
      </c>
      <c r="B752" s="84" t="n">
        <v>3490.3</v>
      </c>
      <c r="C752" s="39">
        <f>(Table26[[#This Row],[M2 Money Stock, Billions of Dollars, Weekly, Seasonally Adjusted]]-B751)/B751</f>
        <v/>
      </c>
      <c r="D752" s="40">
        <f>((1+Table26[[#This Row],[Weekly change]])^52)-1</f>
        <v/>
      </c>
      <c r="E752" s="85">
        <f>(Table26[[#This Row],[M2 Money Stock, Billions of Dollars, Weekly, Seasonally Adjusted]]-B700)/B700</f>
        <v/>
      </c>
    </row>
    <row r="753">
      <c r="A753" s="37" t="n">
        <v>34750</v>
      </c>
      <c r="B753" s="84" t="n">
        <v>3486.9</v>
      </c>
      <c r="C753" s="39">
        <f>(Table26[[#This Row],[M2 Money Stock, Billions of Dollars, Weekly, Seasonally Adjusted]]-B752)/B752</f>
        <v/>
      </c>
      <c r="D753" s="40">
        <f>((1+Table26[[#This Row],[Weekly change]])^52)-1</f>
        <v/>
      </c>
      <c r="E753" s="85">
        <f>(Table26[[#This Row],[M2 Money Stock, Billions of Dollars, Weekly, Seasonally Adjusted]]-B701)/B701</f>
        <v/>
      </c>
    </row>
    <row r="754">
      <c r="A754" s="37" t="n">
        <v>34757</v>
      </c>
      <c r="B754" s="84" t="n">
        <v>3490.8</v>
      </c>
      <c r="C754" s="39">
        <f>(Table26[[#This Row],[M2 Money Stock, Billions of Dollars, Weekly, Seasonally Adjusted]]-B753)/B753</f>
        <v/>
      </c>
      <c r="D754" s="40">
        <f>((1+Table26[[#This Row],[Weekly change]])^52)-1</f>
        <v/>
      </c>
      <c r="E754" s="85">
        <f>(Table26[[#This Row],[M2 Money Stock, Billions of Dollars, Weekly, Seasonally Adjusted]]-B702)/B702</f>
        <v/>
      </c>
    </row>
    <row r="755">
      <c r="A755" s="37" t="n">
        <v>34764</v>
      </c>
      <c r="B755" s="84" t="n">
        <v>3486.6</v>
      </c>
      <c r="C755" s="39">
        <f>(Table26[[#This Row],[M2 Money Stock, Billions of Dollars, Weekly, Seasonally Adjusted]]-B754)/B754</f>
        <v/>
      </c>
      <c r="D755" s="40">
        <f>((1+Table26[[#This Row],[Weekly change]])^52)-1</f>
        <v/>
      </c>
      <c r="E755" s="85">
        <f>(Table26[[#This Row],[M2 Money Stock, Billions of Dollars, Weekly, Seasonally Adjusted]]-B703)/B703</f>
        <v/>
      </c>
    </row>
    <row r="756">
      <c r="A756" s="37" t="n">
        <v>34771</v>
      </c>
      <c r="B756" s="84" t="n">
        <v>3493.1</v>
      </c>
      <c r="C756" s="39">
        <f>(Table26[[#This Row],[M2 Money Stock, Billions of Dollars, Weekly, Seasonally Adjusted]]-B755)/B755</f>
        <v/>
      </c>
      <c r="D756" s="40">
        <f>((1+Table26[[#This Row],[Weekly change]])^52)-1</f>
        <v/>
      </c>
      <c r="E756" s="85">
        <f>(Table26[[#This Row],[M2 Money Stock, Billions of Dollars, Weekly, Seasonally Adjusted]]-B704)/B704</f>
        <v/>
      </c>
    </row>
    <row r="757">
      <c r="A757" s="37" t="n">
        <v>34778</v>
      </c>
      <c r="B757" s="84" t="n">
        <v>3492.3</v>
      </c>
      <c r="C757" s="39">
        <f>(Table26[[#This Row],[M2 Money Stock, Billions of Dollars, Weekly, Seasonally Adjusted]]-B756)/B756</f>
        <v/>
      </c>
      <c r="D757" s="40">
        <f>((1+Table26[[#This Row],[Weekly change]])^52)-1</f>
        <v/>
      </c>
      <c r="E757" s="85">
        <f>(Table26[[#This Row],[M2 Money Stock, Billions of Dollars, Weekly, Seasonally Adjusted]]-B705)/B705</f>
        <v/>
      </c>
    </row>
    <row r="758">
      <c r="A758" s="37" t="n">
        <v>34785</v>
      </c>
      <c r="B758" s="84" t="n">
        <v>3495.1</v>
      </c>
      <c r="C758" s="39">
        <f>(Table26[[#This Row],[M2 Money Stock, Billions of Dollars, Weekly, Seasonally Adjusted]]-B757)/B757</f>
        <v/>
      </c>
      <c r="D758" s="40">
        <f>((1+Table26[[#This Row],[Weekly change]])^52)-1</f>
        <v/>
      </c>
      <c r="E758" s="85">
        <f>(Table26[[#This Row],[M2 Money Stock, Billions of Dollars, Weekly, Seasonally Adjusted]]-B706)/B706</f>
        <v/>
      </c>
    </row>
    <row r="759">
      <c r="A759" s="37" t="n">
        <v>34792</v>
      </c>
      <c r="B759" s="84" t="n">
        <v>3485.1</v>
      </c>
      <c r="C759" s="39">
        <f>(Table26[[#This Row],[M2 Money Stock, Billions of Dollars, Weekly, Seasonally Adjusted]]-B758)/B758</f>
        <v/>
      </c>
      <c r="D759" s="40">
        <f>((1+Table26[[#This Row],[Weekly change]])^52)-1</f>
        <v/>
      </c>
      <c r="E759" s="85">
        <f>(Table26[[#This Row],[M2 Money Stock, Billions of Dollars, Weekly, Seasonally Adjusted]]-B707)/B707</f>
        <v/>
      </c>
    </row>
    <row r="760">
      <c r="A760" s="37" t="n">
        <v>34799</v>
      </c>
      <c r="B760" s="84" t="n">
        <v>3495.7</v>
      </c>
      <c r="C760" s="39">
        <f>(Table26[[#This Row],[M2 Money Stock, Billions of Dollars, Weekly, Seasonally Adjusted]]-B759)/B759</f>
        <v/>
      </c>
      <c r="D760" s="40">
        <f>((1+Table26[[#This Row],[Weekly change]])^52)-1</f>
        <v/>
      </c>
      <c r="E760" s="85">
        <f>(Table26[[#This Row],[M2 Money Stock, Billions of Dollars, Weekly, Seasonally Adjusted]]-B708)/B708</f>
        <v/>
      </c>
    </row>
    <row r="761">
      <c r="A761" s="37" t="n">
        <v>34806</v>
      </c>
      <c r="B761" s="84" t="n">
        <v>3495.6</v>
      </c>
      <c r="C761" s="39">
        <f>(Table26[[#This Row],[M2 Money Stock, Billions of Dollars, Weekly, Seasonally Adjusted]]-B760)/B760</f>
        <v/>
      </c>
      <c r="D761" s="40">
        <f>((1+Table26[[#This Row],[Weekly change]])^52)-1</f>
        <v/>
      </c>
      <c r="E761" s="85">
        <f>(Table26[[#This Row],[M2 Money Stock, Billions of Dollars, Weekly, Seasonally Adjusted]]-B709)/B709</f>
        <v/>
      </c>
    </row>
    <row r="762">
      <c r="A762" s="37" t="n">
        <v>34813</v>
      </c>
      <c r="B762" s="84" t="n">
        <v>3502.5</v>
      </c>
      <c r="C762" s="39">
        <f>(Table26[[#This Row],[M2 Money Stock, Billions of Dollars, Weekly, Seasonally Adjusted]]-B761)/B761</f>
        <v/>
      </c>
      <c r="D762" s="40">
        <f>((1+Table26[[#This Row],[Weekly change]])^52)-1</f>
        <v/>
      </c>
      <c r="E762" s="85">
        <f>(Table26[[#This Row],[M2 Money Stock, Billions of Dollars, Weekly, Seasonally Adjusted]]-B710)/B710</f>
        <v/>
      </c>
    </row>
    <row r="763">
      <c r="A763" s="37" t="n">
        <v>34820</v>
      </c>
      <c r="B763" s="84" t="n">
        <v>3510.7</v>
      </c>
      <c r="C763" s="39">
        <f>(Table26[[#This Row],[M2 Money Stock, Billions of Dollars, Weekly, Seasonally Adjusted]]-B762)/B762</f>
        <v/>
      </c>
      <c r="D763" s="40">
        <f>((1+Table26[[#This Row],[Weekly change]])^52)-1</f>
        <v/>
      </c>
      <c r="E763" s="85">
        <f>(Table26[[#This Row],[M2 Money Stock, Billions of Dollars, Weekly, Seasonally Adjusted]]-B711)/B711</f>
        <v/>
      </c>
    </row>
    <row r="764">
      <c r="A764" s="37" t="n">
        <v>34827</v>
      </c>
      <c r="B764" s="84" t="n">
        <v>3513.5</v>
      </c>
      <c r="C764" s="39">
        <f>(Table26[[#This Row],[M2 Money Stock, Billions of Dollars, Weekly, Seasonally Adjusted]]-B763)/B763</f>
        <v/>
      </c>
      <c r="D764" s="40">
        <f>((1+Table26[[#This Row],[Weekly change]])^52)-1</f>
        <v/>
      </c>
      <c r="E764" s="85">
        <f>(Table26[[#This Row],[M2 Money Stock, Billions of Dollars, Weekly, Seasonally Adjusted]]-B712)/B712</f>
        <v/>
      </c>
    </row>
    <row r="765">
      <c r="A765" s="37" t="n">
        <v>34834</v>
      </c>
      <c r="B765" s="84" t="n">
        <v>3518.8</v>
      </c>
      <c r="C765" s="39">
        <f>(Table26[[#This Row],[M2 Money Stock, Billions of Dollars, Weekly, Seasonally Adjusted]]-B764)/B764</f>
        <v/>
      </c>
      <c r="D765" s="40">
        <f>((1+Table26[[#This Row],[Weekly change]])^52)-1</f>
        <v/>
      </c>
      <c r="E765" s="85">
        <f>(Table26[[#This Row],[M2 Money Stock, Billions of Dollars, Weekly, Seasonally Adjusted]]-B713)/B713</f>
        <v/>
      </c>
    </row>
    <row r="766">
      <c r="A766" s="37" t="n">
        <v>34841</v>
      </c>
      <c r="B766" s="84" t="n">
        <v>3528.9</v>
      </c>
      <c r="C766" s="39">
        <f>(Table26[[#This Row],[M2 Money Stock, Billions of Dollars, Weekly, Seasonally Adjusted]]-B765)/B765</f>
        <v/>
      </c>
      <c r="D766" s="40">
        <f>((1+Table26[[#This Row],[Weekly change]])^52)-1</f>
        <v/>
      </c>
      <c r="E766" s="85">
        <f>(Table26[[#This Row],[M2 Money Stock, Billions of Dollars, Weekly, Seasonally Adjusted]]-B714)/B714</f>
        <v/>
      </c>
    </row>
    <row r="767">
      <c r="A767" s="37" t="n">
        <v>34848</v>
      </c>
      <c r="B767" s="84" t="n">
        <v>3532.9</v>
      </c>
      <c r="C767" s="39">
        <f>(Table26[[#This Row],[M2 Money Stock, Billions of Dollars, Weekly, Seasonally Adjusted]]-B766)/B766</f>
        <v/>
      </c>
      <c r="D767" s="40">
        <f>((1+Table26[[#This Row],[Weekly change]])^52)-1</f>
        <v/>
      </c>
      <c r="E767" s="85">
        <f>(Table26[[#This Row],[M2 Money Stock, Billions of Dollars, Weekly, Seasonally Adjusted]]-B715)/B715</f>
        <v/>
      </c>
    </row>
    <row r="768">
      <c r="A768" s="37" t="n">
        <v>34855</v>
      </c>
      <c r="B768" s="84" t="n">
        <v>3541.4</v>
      </c>
      <c r="C768" s="39">
        <f>(Table26[[#This Row],[M2 Money Stock, Billions of Dollars, Weekly, Seasonally Adjusted]]-B767)/B767</f>
        <v/>
      </c>
      <c r="D768" s="40">
        <f>((1+Table26[[#This Row],[Weekly change]])^52)-1</f>
        <v/>
      </c>
      <c r="E768" s="85">
        <f>(Table26[[#This Row],[M2 Money Stock, Billions of Dollars, Weekly, Seasonally Adjusted]]-B716)/B716</f>
        <v/>
      </c>
    </row>
    <row r="769">
      <c r="A769" s="37" t="n">
        <v>34862</v>
      </c>
      <c r="B769" s="84" t="n">
        <v>3549.8</v>
      </c>
      <c r="C769" s="39">
        <f>(Table26[[#This Row],[M2 Money Stock, Billions of Dollars, Weekly, Seasonally Adjusted]]-B768)/B768</f>
        <v/>
      </c>
      <c r="D769" s="40">
        <f>((1+Table26[[#This Row],[Weekly change]])^52)-1</f>
        <v/>
      </c>
      <c r="E769" s="85">
        <f>(Table26[[#This Row],[M2 Money Stock, Billions of Dollars, Weekly, Seasonally Adjusted]]-B717)/B717</f>
        <v/>
      </c>
    </row>
    <row r="770">
      <c r="A770" s="37" t="n">
        <v>34869</v>
      </c>
      <c r="B770" s="84" t="n">
        <v>3547.7</v>
      </c>
      <c r="C770" s="39">
        <f>(Table26[[#This Row],[M2 Money Stock, Billions of Dollars, Weekly, Seasonally Adjusted]]-B769)/B769</f>
        <v/>
      </c>
      <c r="D770" s="40">
        <f>((1+Table26[[#This Row],[Weekly change]])^52)-1</f>
        <v/>
      </c>
      <c r="E770" s="85">
        <f>(Table26[[#This Row],[M2 Money Stock, Billions of Dollars, Weekly, Seasonally Adjusted]]-B718)/B718</f>
        <v/>
      </c>
    </row>
    <row r="771">
      <c r="A771" s="37" t="n">
        <v>34876</v>
      </c>
      <c r="B771" s="84" t="n">
        <v>3552.3</v>
      </c>
      <c r="C771" s="39">
        <f>(Table26[[#This Row],[M2 Money Stock, Billions of Dollars, Weekly, Seasonally Adjusted]]-B770)/B770</f>
        <v/>
      </c>
      <c r="D771" s="40">
        <f>((1+Table26[[#This Row],[Weekly change]])^52)-1</f>
        <v/>
      </c>
      <c r="E771" s="85">
        <f>(Table26[[#This Row],[M2 Money Stock, Billions of Dollars, Weekly, Seasonally Adjusted]]-B719)/B719</f>
        <v/>
      </c>
    </row>
    <row r="772">
      <c r="A772" s="37" t="n">
        <v>34883</v>
      </c>
      <c r="B772" s="84" t="n">
        <v>3552.9</v>
      </c>
      <c r="C772" s="39">
        <f>(Table26[[#This Row],[M2 Money Stock, Billions of Dollars, Weekly, Seasonally Adjusted]]-B771)/B771</f>
        <v/>
      </c>
      <c r="D772" s="40">
        <f>((1+Table26[[#This Row],[Weekly change]])^52)-1</f>
        <v/>
      </c>
      <c r="E772" s="85">
        <f>(Table26[[#This Row],[M2 Money Stock, Billions of Dollars, Weekly, Seasonally Adjusted]]-B720)/B720</f>
        <v/>
      </c>
    </row>
    <row r="773">
      <c r="A773" s="37" t="n">
        <v>34890</v>
      </c>
      <c r="B773" s="84" t="n">
        <v>3562.6</v>
      </c>
      <c r="C773" s="39">
        <f>(Table26[[#This Row],[M2 Money Stock, Billions of Dollars, Weekly, Seasonally Adjusted]]-B772)/B772</f>
        <v/>
      </c>
      <c r="D773" s="40">
        <f>((1+Table26[[#This Row],[Weekly change]])^52)-1</f>
        <v/>
      </c>
      <c r="E773" s="85">
        <f>(Table26[[#This Row],[M2 Money Stock, Billions of Dollars, Weekly, Seasonally Adjusted]]-B721)/B721</f>
        <v/>
      </c>
    </row>
    <row r="774">
      <c r="A774" s="37" t="n">
        <v>34897</v>
      </c>
      <c r="B774" s="84" t="n">
        <v>3565.2</v>
      </c>
      <c r="C774" s="39">
        <f>(Table26[[#This Row],[M2 Money Stock, Billions of Dollars, Weekly, Seasonally Adjusted]]-B773)/B773</f>
        <v/>
      </c>
      <c r="D774" s="40">
        <f>((1+Table26[[#This Row],[Weekly change]])^52)-1</f>
        <v/>
      </c>
      <c r="E774" s="85">
        <f>(Table26[[#This Row],[M2 Money Stock, Billions of Dollars, Weekly, Seasonally Adjusted]]-B722)/B722</f>
        <v/>
      </c>
    </row>
    <row r="775">
      <c r="A775" s="37" t="n">
        <v>34904</v>
      </c>
      <c r="B775" s="84" t="n">
        <v>3570.6</v>
      </c>
      <c r="C775" s="39">
        <f>(Table26[[#This Row],[M2 Money Stock, Billions of Dollars, Weekly, Seasonally Adjusted]]-B774)/B774</f>
        <v/>
      </c>
      <c r="D775" s="40">
        <f>((1+Table26[[#This Row],[Weekly change]])^52)-1</f>
        <v/>
      </c>
      <c r="E775" s="85">
        <f>(Table26[[#This Row],[M2 Money Stock, Billions of Dollars, Weekly, Seasonally Adjusted]]-B723)/B723</f>
        <v/>
      </c>
    </row>
    <row r="776">
      <c r="A776" s="37" t="n">
        <v>34911</v>
      </c>
      <c r="B776" s="84" t="n">
        <v>3577.3</v>
      </c>
      <c r="C776" s="39">
        <f>(Table26[[#This Row],[M2 Money Stock, Billions of Dollars, Weekly, Seasonally Adjusted]]-B775)/B775</f>
        <v/>
      </c>
      <c r="D776" s="40">
        <f>((1+Table26[[#This Row],[Weekly change]])^52)-1</f>
        <v/>
      </c>
      <c r="E776" s="85">
        <f>(Table26[[#This Row],[M2 Money Stock, Billions of Dollars, Weekly, Seasonally Adjusted]]-B724)/B724</f>
        <v/>
      </c>
    </row>
    <row r="777">
      <c r="A777" s="37" t="n">
        <v>34918</v>
      </c>
      <c r="B777" s="84" t="n">
        <v>3582.4</v>
      </c>
      <c r="C777" s="39">
        <f>(Table26[[#This Row],[M2 Money Stock, Billions of Dollars, Weekly, Seasonally Adjusted]]-B776)/B776</f>
        <v/>
      </c>
      <c r="D777" s="40">
        <f>((1+Table26[[#This Row],[Weekly change]])^52)-1</f>
        <v/>
      </c>
      <c r="E777" s="85">
        <f>(Table26[[#This Row],[M2 Money Stock, Billions of Dollars, Weekly, Seasonally Adjusted]]-B725)/B725</f>
        <v/>
      </c>
    </row>
    <row r="778">
      <c r="A778" s="37" t="n">
        <v>34925</v>
      </c>
      <c r="B778" s="84" t="n">
        <v>3586.1</v>
      </c>
      <c r="C778" s="39">
        <f>(Table26[[#This Row],[M2 Money Stock, Billions of Dollars, Weekly, Seasonally Adjusted]]-B777)/B777</f>
        <v/>
      </c>
      <c r="D778" s="40">
        <f>((1+Table26[[#This Row],[Weekly change]])^52)-1</f>
        <v/>
      </c>
      <c r="E778" s="85">
        <f>(Table26[[#This Row],[M2 Money Stock, Billions of Dollars, Weekly, Seasonally Adjusted]]-B726)/B726</f>
        <v/>
      </c>
    </row>
    <row r="779">
      <c r="A779" s="37" t="n">
        <v>34932</v>
      </c>
      <c r="B779" s="84" t="n">
        <v>3591.7</v>
      </c>
      <c r="C779" s="39">
        <f>(Table26[[#This Row],[M2 Money Stock, Billions of Dollars, Weekly, Seasonally Adjusted]]-B778)/B778</f>
        <v/>
      </c>
      <c r="D779" s="40">
        <f>((1+Table26[[#This Row],[Weekly change]])^52)-1</f>
        <v/>
      </c>
      <c r="E779" s="85">
        <f>(Table26[[#This Row],[M2 Money Stock, Billions of Dollars, Weekly, Seasonally Adjusted]]-B727)/B727</f>
        <v/>
      </c>
    </row>
    <row r="780">
      <c r="A780" s="37" t="n">
        <v>34939</v>
      </c>
      <c r="B780" s="84" t="n">
        <v>3593.2</v>
      </c>
      <c r="C780" s="39">
        <f>(Table26[[#This Row],[M2 Money Stock, Billions of Dollars, Weekly, Seasonally Adjusted]]-B779)/B779</f>
        <v/>
      </c>
      <c r="D780" s="40">
        <f>((1+Table26[[#This Row],[Weekly change]])^52)-1</f>
        <v/>
      </c>
      <c r="E780" s="85">
        <f>(Table26[[#This Row],[M2 Money Stock, Billions of Dollars, Weekly, Seasonally Adjusted]]-B728)/B728</f>
        <v/>
      </c>
    </row>
    <row r="781">
      <c r="A781" s="37" t="n">
        <v>34946</v>
      </c>
      <c r="B781" s="84" t="n">
        <v>3595.4</v>
      </c>
      <c r="C781" s="39">
        <f>(Table26[[#This Row],[M2 Money Stock, Billions of Dollars, Weekly, Seasonally Adjusted]]-B780)/B780</f>
        <v/>
      </c>
      <c r="D781" s="40">
        <f>((1+Table26[[#This Row],[Weekly change]])^52)-1</f>
        <v/>
      </c>
      <c r="E781" s="85">
        <f>(Table26[[#This Row],[M2 Money Stock, Billions of Dollars, Weekly, Seasonally Adjusted]]-B729)/B729</f>
        <v/>
      </c>
    </row>
    <row r="782">
      <c r="A782" s="37" t="n">
        <v>34953</v>
      </c>
      <c r="B782" s="84" t="n">
        <v>3600.8</v>
      </c>
      <c r="C782" s="39">
        <f>(Table26[[#This Row],[M2 Money Stock, Billions of Dollars, Weekly, Seasonally Adjusted]]-B781)/B781</f>
        <v/>
      </c>
      <c r="D782" s="40">
        <f>((1+Table26[[#This Row],[Weekly change]])^52)-1</f>
        <v/>
      </c>
      <c r="E782" s="85">
        <f>(Table26[[#This Row],[M2 Money Stock, Billions of Dollars, Weekly, Seasonally Adjusted]]-B730)/B730</f>
        <v/>
      </c>
    </row>
    <row r="783">
      <c r="A783" s="37" t="n">
        <v>34960</v>
      </c>
      <c r="B783" s="84" t="n">
        <v>3601.1</v>
      </c>
      <c r="C783" s="39">
        <f>(Table26[[#This Row],[M2 Money Stock, Billions of Dollars, Weekly, Seasonally Adjusted]]-B782)/B782</f>
        <v/>
      </c>
      <c r="D783" s="40">
        <f>((1+Table26[[#This Row],[Weekly change]])^52)-1</f>
        <v/>
      </c>
      <c r="E783" s="85">
        <f>(Table26[[#This Row],[M2 Money Stock, Billions of Dollars, Weekly, Seasonally Adjusted]]-B731)/B731</f>
        <v/>
      </c>
    </row>
    <row r="784">
      <c r="A784" s="37" t="n">
        <v>34967</v>
      </c>
      <c r="B784" s="84" t="n">
        <v>3606.1</v>
      </c>
      <c r="C784" s="39">
        <f>(Table26[[#This Row],[M2 Money Stock, Billions of Dollars, Weekly, Seasonally Adjusted]]-B783)/B783</f>
        <v/>
      </c>
      <c r="D784" s="40">
        <f>((1+Table26[[#This Row],[Weekly change]])^52)-1</f>
        <v/>
      </c>
      <c r="E784" s="85">
        <f>(Table26[[#This Row],[M2 Money Stock, Billions of Dollars, Weekly, Seasonally Adjusted]]-B732)/B732</f>
        <v/>
      </c>
    </row>
    <row r="785">
      <c r="A785" s="37" t="n">
        <v>34974</v>
      </c>
      <c r="B785" s="84" t="n">
        <v>3604.9</v>
      </c>
      <c r="C785" s="39">
        <f>(Table26[[#This Row],[M2 Money Stock, Billions of Dollars, Weekly, Seasonally Adjusted]]-B784)/B784</f>
        <v/>
      </c>
      <c r="D785" s="40">
        <f>((1+Table26[[#This Row],[Weekly change]])^52)-1</f>
        <v/>
      </c>
      <c r="E785" s="85">
        <f>(Table26[[#This Row],[M2 Money Stock, Billions of Dollars, Weekly, Seasonally Adjusted]]-B733)/B733</f>
        <v/>
      </c>
    </row>
    <row r="786">
      <c r="A786" s="37" t="n">
        <v>34981</v>
      </c>
      <c r="B786" s="84" t="n">
        <v>3614.5</v>
      </c>
      <c r="C786" s="39">
        <f>(Table26[[#This Row],[M2 Money Stock, Billions of Dollars, Weekly, Seasonally Adjusted]]-B785)/B785</f>
        <v/>
      </c>
      <c r="D786" s="40">
        <f>((1+Table26[[#This Row],[Weekly change]])^52)-1</f>
        <v/>
      </c>
      <c r="E786" s="85">
        <f>(Table26[[#This Row],[M2 Money Stock, Billions of Dollars, Weekly, Seasonally Adjusted]]-B734)/B734</f>
        <v/>
      </c>
    </row>
    <row r="787">
      <c r="A787" s="37" t="n">
        <v>34988</v>
      </c>
      <c r="B787" s="84" t="n">
        <v>3615</v>
      </c>
      <c r="C787" s="39">
        <f>(Table26[[#This Row],[M2 Money Stock, Billions of Dollars, Weekly, Seasonally Adjusted]]-B786)/B786</f>
        <v/>
      </c>
      <c r="D787" s="40">
        <f>((1+Table26[[#This Row],[Weekly change]])^52)-1</f>
        <v/>
      </c>
      <c r="E787" s="85">
        <f>(Table26[[#This Row],[M2 Money Stock, Billions of Dollars, Weekly, Seasonally Adjusted]]-B735)/B735</f>
        <v/>
      </c>
    </row>
    <row r="788">
      <c r="A788" s="37" t="n">
        <v>34995</v>
      </c>
      <c r="B788" s="84" t="n">
        <v>3612.8</v>
      </c>
      <c r="C788" s="39">
        <f>(Table26[[#This Row],[M2 Money Stock, Billions of Dollars, Weekly, Seasonally Adjusted]]-B787)/B787</f>
        <v/>
      </c>
      <c r="D788" s="40">
        <f>((1+Table26[[#This Row],[Weekly change]])^52)-1</f>
        <v/>
      </c>
      <c r="E788" s="85">
        <f>(Table26[[#This Row],[M2 Money Stock, Billions of Dollars, Weekly, Seasonally Adjusted]]-B736)/B736</f>
        <v/>
      </c>
    </row>
    <row r="789">
      <c r="A789" s="37" t="n">
        <v>35002</v>
      </c>
      <c r="B789" s="84" t="n">
        <v>3613</v>
      </c>
      <c r="C789" s="39">
        <f>(Table26[[#This Row],[M2 Money Stock, Billions of Dollars, Weekly, Seasonally Adjusted]]-B788)/B788</f>
        <v/>
      </c>
      <c r="D789" s="40">
        <f>((1+Table26[[#This Row],[Weekly change]])^52)-1</f>
        <v/>
      </c>
      <c r="E789" s="85">
        <f>(Table26[[#This Row],[M2 Money Stock, Billions of Dollars, Weekly, Seasonally Adjusted]]-B737)/B737</f>
        <v/>
      </c>
    </row>
    <row r="790">
      <c r="A790" s="37" t="n">
        <v>35009</v>
      </c>
      <c r="B790" s="84" t="n">
        <v>3617.5</v>
      </c>
      <c r="C790" s="39">
        <f>(Table26[[#This Row],[M2 Money Stock, Billions of Dollars, Weekly, Seasonally Adjusted]]-B789)/B789</f>
        <v/>
      </c>
      <c r="D790" s="40">
        <f>((1+Table26[[#This Row],[Weekly change]])^52)-1</f>
        <v/>
      </c>
      <c r="E790" s="85">
        <f>(Table26[[#This Row],[M2 Money Stock, Billions of Dollars, Weekly, Seasonally Adjusted]]-B738)/B738</f>
        <v/>
      </c>
    </row>
    <row r="791">
      <c r="A791" s="37" t="n">
        <v>35016</v>
      </c>
      <c r="B791" s="84" t="n">
        <v>3617.1</v>
      </c>
      <c r="C791" s="39">
        <f>(Table26[[#This Row],[M2 Money Stock, Billions of Dollars, Weekly, Seasonally Adjusted]]-B790)/B790</f>
        <v/>
      </c>
      <c r="D791" s="40">
        <f>((1+Table26[[#This Row],[Weekly change]])^52)-1</f>
        <v/>
      </c>
      <c r="E791" s="85">
        <f>(Table26[[#This Row],[M2 Money Stock, Billions of Dollars, Weekly, Seasonally Adjusted]]-B739)/B739</f>
        <v/>
      </c>
    </row>
    <row r="792">
      <c r="A792" s="37" t="n">
        <v>35023</v>
      </c>
      <c r="B792" s="84" t="n">
        <v>3620</v>
      </c>
      <c r="C792" s="39">
        <f>(Table26[[#This Row],[M2 Money Stock, Billions of Dollars, Weekly, Seasonally Adjusted]]-B791)/B791</f>
        <v/>
      </c>
      <c r="D792" s="40">
        <f>((1+Table26[[#This Row],[Weekly change]])^52)-1</f>
        <v/>
      </c>
      <c r="E792" s="85">
        <f>(Table26[[#This Row],[M2 Money Stock, Billions of Dollars, Weekly, Seasonally Adjusted]]-B740)/B740</f>
        <v/>
      </c>
    </row>
    <row r="793">
      <c r="A793" s="37" t="n">
        <v>35030</v>
      </c>
      <c r="B793" s="84" t="n">
        <v>3624</v>
      </c>
      <c r="C793" s="39">
        <f>(Table26[[#This Row],[M2 Money Stock, Billions of Dollars, Weekly, Seasonally Adjusted]]-B792)/B792</f>
        <v/>
      </c>
      <c r="D793" s="40">
        <f>((1+Table26[[#This Row],[Weekly change]])^52)-1</f>
        <v/>
      </c>
      <c r="E793" s="85">
        <f>(Table26[[#This Row],[M2 Money Stock, Billions of Dollars, Weekly, Seasonally Adjusted]]-B741)/B741</f>
        <v/>
      </c>
    </row>
    <row r="794">
      <c r="A794" s="37" t="n">
        <v>35037</v>
      </c>
      <c r="B794" s="84" t="n">
        <v>3621</v>
      </c>
      <c r="C794" s="39">
        <f>(Table26[[#This Row],[M2 Money Stock, Billions of Dollars, Weekly, Seasonally Adjusted]]-B793)/B793</f>
        <v/>
      </c>
      <c r="D794" s="40">
        <f>((1+Table26[[#This Row],[Weekly change]])^52)-1</f>
        <v/>
      </c>
      <c r="E794" s="85">
        <f>(Table26[[#This Row],[M2 Money Stock, Billions of Dollars, Weekly, Seasonally Adjusted]]-B742)/B742</f>
        <v/>
      </c>
    </row>
    <row r="795">
      <c r="A795" s="37" t="n">
        <v>35044</v>
      </c>
      <c r="B795" s="84" t="n">
        <v>3627.9</v>
      </c>
      <c r="C795" s="39">
        <f>(Table26[[#This Row],[M2 Money Stock, Billions of Dollars, Weekly, Seasonally Adjusted]]-B794)/B794</f>
        <v/>
      </c>
      <c r="D795" s="40">
        <f>((1+Table26[[#This Row],[Weekly change]])^52)-1</f>
        <v/>
      </c>
      <c r="E795" s="85">
        <f>(Table26[[#This Row],[M2 Money Stock, Billions of Dollars, Weekly, Seasonally Adjusted]]-B743)/B743</f>
        <v/>
      </c>
    </row>
    <row r="796">
      <c r="A796" s="37" t="n">
        <v>35051</v>
      </c>
      <c r="B796" s="84" t="n">
        <v>3627</v>
      </c>
      <c r="C796" s="39">
        <f>(Table26[[#This Row],[M2 Money Stock, Billions of Dollars, Weekly, Seasonally Adjusted]]-B795)/B795</f>
        <v/>
      </c>
      <c r="D796" s="40">
        <f>((1+Table26[[#This Row],[Weekly change]])^52)-1</f>
        <v/>
      </c>
      <c r="E796" s="85">
        <f>(Table26[[#This Row],[M2 Money Stock, Billions of Dollars, Weekly, Seasonally Adjusted]]-B744)/B744</f>
        <v/>
      </c>
    </row>
    <row r="797">
      <c r="A797" s="37" t="n">
        <v>35058</v>
      </c>
      <c r="B797" s="84" t="n">
        <v>3632.2</v>
      </c>
      <c r="C797" s="39">
        <f>(Table26[[#This Row],[M2 Money Stock, Billions of Dollars, Weekly, Seasonally Adjusted]]-B796)/B796</f>
        <v/>
      </c>
      <c r="D797" s="40">
        <f>((1+Table26[[#This Row],[Weekly change]])^52)-1</f>
        <v/>
      </c>
      <c r="E797" s="85">
        <f>(Table26[[#This Row],[M2 Money Stock, Billions of Dollars, Weekly, Seasonally Adjusted]]-B745)/B745</f>
        <v/>
      </c>
    </row>
    <row r="798">
      <c r="A798" s="37" t="n">
        <v>35065</v>
      </c>
      <c r="B798" s="84" t="n">
        <v>3636.9</v>
      </c>
      <c r="C798" s="39">
        <f>(Table26[[#This Row],[M2 Money Stock, Billions of Dollars, Weekly, Seasonally Adjusted]]-B797)/B797</f>
        <v/>
      </c>
      <c r="D798" s="40">
        <f>((1+Table26[[#This Row],[Weekly change]])^52)-1</f>
        <v/>
      </c>
      <c r="E798" s="85">
        <f>(Table26[[#This Row],[M2 Money Stock, Billions of Dollars, Weekly, Seasonally Adjusted]]-B746)/B746</f>
        <v/>
      </c>
    </row>
    <row r="799">
      <c r="A799" s="37" t="n">
        <v>35072</v>
      </c>
      <c r="B799" s="84" t="n">
        <v>3641.7</v>
      </c>
      <c r="C799" s="39">
        <f>(Table26[[#This Row],[M2 Money Stock, Billions of Dollars, Weekly, Seasonally Adjusted]]-B798)/B798</f>
        <v/>
      </c>
      <c r="D799" s="40">
        <f>((1+Table26[[#This Row],[Weekly change]])^52)-1</f>
        <v/>
      </c>
      <c r="E799" s="85">
        <f>(Table26[[#This Row],[M2 Money Stock, Billions of Dollars, Weekly, Seasonally Adjusted]]-B747)/B747</f>
        <v/>
      </c>
    </row>
    <row r="800">
      <c r="A800" s="37" t="n">
        <v>35079</v>
      </c>
      <c r="B800" s="84" t="n">
        <v>3655.8</v>
      </c>
      <c r="C800" s="39">
        <f>(Table26[[#This Row],[M2 Money Stock, Billions of Dollars, Weekly, Seasonally Adjusted]]-B799)/B799</f>
        <v/>
      </c>
      <c r="D800" s="40">
        <f>((1+Table26[[#This Row],[Weekly change]])^52)-1</f>
        <v/>
      </c>
      <c r="E800" s="85">
        <f>(Table26[[#This Row],[M2 Money Stock, Billions of Dollars, Weekly, Seasonally Adjusted]]-B748)/B748</f>
        <v/>
      </c>
    </row>
    <row r="801">
      <c r="A801" s="37" t="n">
        <v>35086</v>
      </c>
      <c r="B801" s="84" t="n">
        <v>3647.5</v>
      </c>
      <c r="C801" s="39">
        <f>(Table26[[#This Row],[M2 Money Stock, Billions of Dollars, Weekly, Seasonally Adjusted]]-B800)/B800</f>
        <v/>
      </c>
      <c r="D801" s="40">
        <f>((1+Table26[[#This Row],[Weekly change]])^52)-1</f>
        <v/>
      </c>
      <c r="E801" s="85">
        <f>(Table26[[#This Row],[M2 Money Stock, Billions of Dollars, Weekly, Seasonally Adjusted]]-B749)/B749</f>
        <v/>
      </c>
    </row>
    <row r="802">
      <c r="A802" s="37" t="n">
        <v>35093</v>
      </c>
      <c r="B802" s="84" t="n">
        <v>3646.4</v>
      </c>
      <c r="C802" s="39">
        <f>(Table26[[#This Row],[M2 Money Stock, Billions of Dollars, Weekly, Seasonally Adjusted]]-B801)/B801</f>
        <v/>
      </c>
      <c r="D802" s="40">
        <f>((1+Table26[[#This Row],[Weekly change]])^52)-1</f>
        <v/>
      </c>
      <c r="E802" s="85">
        <f>(Table26[[#This Row],[M2 Money Stock, Billions of Dollars, Weekly, Seasonally Adjusted]]-B750)/B750</f>
        <v/>
      </c>
    </row>
    <row r="803">
      <c r="A803" s="37" t="n">
        <v>35100</v>
      </c>
      <c r="B803" s="84" t="n">
        <v>3651.7</v>
      </c>
      <c r="C803" s="39">
        <f>(Table26[[#This Row],[M2 Money Stock, Billions of Dollars, Weekly, Seasonally Adjusted]]-B802)/B802</f>
        <v/>
      </c>
      <c r="D803" s="40">
        <f>((1+Table26[[#This Row],[Weekly change]])^52)-1</f>
        <v/>
      </c>
      <c r="E803" s="85">
        <f>(Table26[[#This Row],[M2 Money Stock, Billions of Dollars, Weekly, Seasonally Adjusted]]-B751)/B751</f>
        <v/>
      </c>
    </row>
    <row r="804">
      <c r="A804" s="37" t="n">
        <v>35107</v>
      </c>
      <c r="B804" s="84" t="n">
        <v>3655.8</v>
      </c>
      <c r="C804" s="39">
        <f>(Table26[[#This Row],[M2 Money Stock, Billions of Dollars, Weekly, Seasonally Adjusted]]-B803)/B803</f>
        <v/>
      </c>
      <c r="D804" s="40">
        <f>((1+Table26[[#This Row],[Weekly change]])^52)-1</f>
        <v/>
      </c>
      <c r="E804" s="85">
        <f>(Table26[[#This Row],[M2 Money Stock, Billions of Dollars, Weekly, Seasonally Adjusted]]-B752)/B752</f>
        <v/>
      </c>
    </row>
    <row r="805">
      <c r="A805" s="37" t="n">
        <v>35114</v>
      </c>
      <c r="B805" s="84" t="n">
        <v>3660.6</v>
      </c>
      <c r="C805" s="39">
        <f>(Table26[[#This Row],[M2 Money Stock, Billions of Dollars, Weekly, Seasonally Adjusted]]-B804)/B804</f>
        <v/>
      </c>
      <c r="D805" s="40">
        <f>((1+Table26[[#This Row],[Weekly change]])^52)-1</f>
        <v/>
      </c>
      <c r="E805" s="85">
        <f>(Table26[[#This Row],[M2 Money Stock, Billions of Dollars, Weekly, Seasonally Adjusted]]-B753)/B753</f>
        <v/>
      </c>
    </row>
    <row r="806">
      <c r="A806" s="37" t="n">
        <v>35121</v>
      </c>
      <c r="B806" s="84" t="n">
        <v>3667.4</v>
      </c>
      <c r="C806" s="39">
        <f>(Table26[[#This Row],[M2 Money Stock, Billions of Dollars, Weekly, Seasonally Adjusted]]-B805)/B805</f>
        <v/>
      </c>
      <c r="D806" s="40">
        <f>((1+Table26[[#This Row],[Weekly change]])^52)-1</f>
        <v/>
      </c>
      <c r="E806" s="85">
        <f>(Table26[[#This Row],[M2 Money Stock, Billions of Dollars, Weekly, Seasonally Adjusted]]-B754)/B754</f>
        <v/>
      </c>
    </row>
    <row r="807">
      <c r="A807" s="37" t="n">
        <v>35128</v>
      </c>
      <c r="B807" s="84" t="n">
        <v>3681.7</v>
      </c>
      <c r="C807" s="39">
        <f>(Table26[[#This Row],[M2 Money Stock, Billions of Dollars, Weekly, Seasonally Adjusted]]-B806)/B806</f>
        <v/>
      </c>
      <c r="D807" s="40">
        <f>((1+Table26[[#This Row],[Weekly change]])^52)-1</f>
        <v/>
      </c>
      <c r="E807" s="85">
        <f>(Table26[[#This Row],[M2 Money Stock, Billions of Dollars, Weekly, Seasonally Adjusted]]-B755)/B755</f>
        <v/>
      </c>
    </row>
    <row r="808">
      <c r="A808" s="37" t="n">
        <v>35135</v>
      </c>
      <c r="B808" s="84" t="n">
        <v>3680.7</v>
      </c>
      <c r="C808" s="39">
        <f>(Table26[[#This Row],[M2 Money Stock, Billions of Dollars, Weekly, Seasonally Adjusted]]-B807)/B807</f>
        <v/>
      </c>
      <c r="D808" s="40">
        <f>((1+Table26[[#This Row],[Weekly change]])^52)-1</f>
        <v/>
      </c>
      <c r="E808" s="85">
        <f>(Table26[[#This Row],[M2 Money Stock, Billions of Dollars, Weekly, Seasonally Adjusted]]-B756)/B756</f>
        <v/>
      </c>
    </row>
    <row r="809">
      <c r="A809" s="37" t="n">
        <v>35142</v>
      </c>
      <c r="B809" s="84" t="n">
        <v>3687.9</v>
      </c>
      <c r="C809" s="39">
        <f>(Table26[[#This Row],[M2 Money Stock, Billions of Dollars, Weekly, Seasonally Adjusted]]-B808)/B808</f>
        <v/>
      </c>
      <c r="D809" s="40">
        <f>((1+Table26[[#This Row],[Weekly change]])^52)-1</f>
        <v/>
      </c>
      <c r="E809" s="85">
        <f>(Table26[[#This Row],[M2 Money Stock, Billions of Dollars, Weekly, Seasonally Adjusted]]-B757)/B757</f>
        <v/>
      </c>
    </row>
    <row r="810">
      <c r="A810" s="37" t="n">
        <v>35149</v>
      </c>
      <c r="B810" s="84" t="n">
        <v>3689.3</v>
      </c>
      <c r="C810" s="39">
        <f>(Table26[[#This Row],[M2 Money Stock, Billions of Dollars, Weekly, Seasonally Adjusted]]-B809)/B809</f>
        <v/>
      </c>
      <c r="D810" s="40">
        <f>((1+Table26[[#This Row],[Weekly change]])^52)-1</f>
        <v/>
      </c>
      <c r="E810" s="85">
        <f>(Table26[[#This Row],[M2 Money Stock, Billions of Dollars, Weekly, Seasonally Adjusted]]-B758)/B758</f>
        <v/>
      </c>
    </row>
    <row r="811">
      <c r="A811" s="37" t="n">
        <v>35156</v>
      </c>
      <c r="B811" s="84" t="n">
        <v>3695.6</v>
      </c>
      <c r="C811" s="39">
        <f>(Table26[[#This Row],[M2 Money Stock, Billions of Dollars, Weekly, Seasonally Adjusted]]-B810)/B810</f>
        <v/>
      </c>
      <c r="D811" s="40">
        <f>((1+Table26[[#This Row],[Weekly change]])^52)-1</f>
        <v/>
      </c>
      <c r="E811" s="85">
        <f>(Table26[[#This Row],[M2 Money Stock, Billions of Dollars, Weekly, Seasonally Adjusted]]-B759)/B759</f>
        <v/>
      </c>
    </row>
    <row r="812">
      <c r="A812" s="37" t="n">
        <v>35163</v>
      </c>
      <c r="B812" s="84" t="n">
        <v>3696.6</v>
      </c>
      <c r="C812" s="39">
        <f>(Table26[[#This Row],[M2 Money Stock, Billions of Dollars, Weekly, Seasonally Adjusted]]-B811)/B811</f>
        <v/>
      </c>
      <c r="D812" s="40">
        <f>((1+Table26[[#This Row],[Weekly change]])^52)-1</f>
        <v/>
      </c>
      <c r="E812" s="85">
        <f>(Table26[[#This Row],[M2 Money Stock, Billions of Dollars, Weekly, Seasonally Adjusted]]-B760)/B760</f>
        <v/>
      </c>
    </row>
    <row r="813">
      <c r="A813" s="37" t="n">
        <v>35170</v>
      </c>
      <c r="B813" s="84" t="n">
        <v>3705.4</v>
      </c>
      <c r="C813" s="39">
        <f>(Table26[[#This Row],[M2 Money Stock, Billions of Dollars, Weekly, Seasonally Adjusted]]-B812)/B812</f>
        <v/>
      </c>
      <c r="D813" s="40">
        <f>((1+Table26[[#This Row],[Weekly change]])^52)-1</f>
        <v/>
      </c>
      <c r="E813" s="85">
        <f>(Table26[[#This Row],[M2 Money Stock, Billions of Dollars, Weekly, Seasonally Adjusted]]-B761)/B761</f>
        <v/>
      </c>
    </row>
    <row r="814">
      <c r="A814" s="37" t="n">
        <v>35177</v>
      </c>
      <c r="B814" s="84" t="n">
        <v>3695.6</v>
      </c>
      <c r="C814" s="39">
        <f>(Table26[[#This Row],[M2 Money Stock, Billions of Dollars, Weekly, Seasonally Adjusted]]-B813)/B813</f>
        <v/>
      </c>
      <c r="D814" s="40">
        <f>((1+Table26[[#This Row],[Weekly change]])^52)-1</f>
        <v/>
      </c>
      <c r="E814" s="85">
        <f>(Table26[[#This Row],[M2 Money Stock, Billions of Dollars, Weekly, Seasonally Adjusted]]-B762)/B762</f>
        <v/>
      </c>
    </row>
    <row r="815">
      <c r="A815" s="37" t="n">
        <v>35184</v>
      </c>
      <c r="B815" s="84" t="n">
        <v>3691.9</v>
      </c>
      <c r="C815" s="39">
        <f>(Table26[[#This Row],[M2 Money Stock, Billions of Dollars, Weekly, Seasonally Adjusted]]-B814)/B814</f>
        <v/>
      </c>
      <c r="D815" s="40">
        <f>((1+Table26[[#This Row],[Weekly change]])^52)-1</f>
        <v/>
      </c>
      <c r="E815" s="85">
        <f>(Table26[[#This Row],[M2 Money Stock, Billions of Dollars, Weekly, Seasonally Adjusted]]-B763)/B763</f>
        <v/>
      </c>
    </row>
    <row r="816">
      <c r="A816" s="37" t="n">
        <v>35191</v>
      </c>
      <c r="B816" s="84" t="n">
        <v>3706.5</v>
      </c>
      <c r="C816" s="39">
        <f>(Table26[[#This Row],[M2 Money Stock, Billions of Dollars, Weekly, Seasonally Adjusted]]-B815)/B815</f>
        <v/>
      </c>
      <c r="D816" s="40">
        <f>((1+Table26[[#This Row],[Weekly change]])^52)-1</f>
        <v/>
      </c>
      <c r="E816" s="85">
        <f>(Table26[[#This Row],[M2 Money Stock, Billions of Dollars, Weekly, Seasonally Adjusted]]-B764)/B764</f>
        <v/>
      </c>
    </row>
    <row r="817">
      <c r="A817" s="37" t="n">
        <v>35198</v>
      </c>
      <c r="B817" s="84" t="n">
        <v>3711.1</v>
      </c>
      <c r="C817" s="39">
        <f>(Table26[[#This Row],[M2 Money Stock, Billions of Dollars, Weekly, Seasonally Adjusted]]-B816)/B816</f>
        <v/>
      </c>
      <c r="D817" s="40">
        <f>((1+Table26[[#This Row],[Weekly change]])^52)-1</f>
        <v/>
      </c>
      <c r="E817" s="85">
        <f>(Table26[[#This Row],[M2 Money Stock, Billions of Dollars, Weekly, Seasonally Adjusted]]-B765)/B765</f>
        <v/>
      </c>
    </row>
    <row r="818">
      <c r="A818" s="37" t="n">
        <v>35205</v>
      </c>
      <c r="B818" s="84" t="n">
        <v>3710</v>
      </c>
      <c r="C818" s="39">
        <f>(Table26[[#This Row],[M2 Money Stock, Billions of Dollars, Weekly, Seasonally Adjusted]]-B817)/B817</f>
        <v/>
      </c>
      <c r="D818" s="40">
        <f>((1+Table26[[#This Row],[Weekly change]])^52)-1</f>
        <v/>
      </c>
      <c r="E818" s="85">
        <f>(Table26[[#This Row],[M2 Money Stock, Billions of Dollars, Weekly, Seasonally Adjusted]]-B766)/B766</f>
        <v/>
      </c>
    </row>
    <row r="819">
      <c r="A819" s="37" t="n">
        <v>35212</v>
      </c>
      <c r="B819" s="84" t="n">
        <v>3708.3</v>
      </c>
      <c r="C819" s="39">
        <f>(Table26[[#This Row],[M2 Money Stock, Billions of Dollars, Weekly, Seasonally Adjusted]]-B818)/B818</f>
        <v/>
      </c>
      <c r="D819" s="40">
        <f>((1+Table26[[#This Row],[Weekly change]])^52)-1</f>
        <v/>
      </c>
      <c r="E819" s="85">
        <f>(Table26[[#This Row],[M2 Money Stock, Billions of Dollars, Weekly, Seasonally Adjusted]]-B767)/B767</f>
        <v/>
      </c>
    </row>
    <row r="820">
      <c r="A820" s="37" t="n">
        <v>35219</v>
      </c>
      <c r="B820" s="84" t="n">
        <v>3713.6</v>
      </c>
      <c r="C820" s="39">
        <f>(Table26[[#This Row],[M2 Money Stock, Billions of Dollars, Weekly, Seasonally Adjusted]]-B819)/B819</f>
        <v/>
      </c>
      <c r="D820" s="40">
        <f>((1+Table26[[#This Row],[Weekly change]])^52)-1</f>
        <v/>
      </c>
      <c r="E820" s="85">
        <f>(Table26[[#This Row],[M2 Money Stock, Billions of Dollars, Weekly, Seasonally Adjusted]]-B768)/B768</f>
        <v/>
      </c>
    </row>
    <row r="821">
      <c r="A821" s="37" t="n">
        <v>35226</v>
      </c>
      <c r="B821" s="84" t="n">
        <v>3721.7</v>
      </c>
      <c r="C821" s="39">
        <f>(Table26[[#This Row],[M2 Money Stock, Billions of Dollars, Weekly, Seasonally Adjusted]]-B820)/B820</f>
        <v/>
      </c>
      <c r="D821" s="40">
        <f>((1+Table26[[#This Row],[Weekly change]])^52)-1</f>
        <v/>
      </c>
      <c r="E821" s="85">
        <f>(Table26[[#This Row],[M2 Money Stock, Billions of Dollars, Weekly, Seasonally Adjusted]]-B769)/B769</f>
        <v/>
      </c>
    </row>
    <row r="822">
      <c r="A822" s="37" t="n">
        <v>35233</v>
      </c>
      <c r="B822" s="84" t="n">
        <v>3722.3</v>
      </c>
      <c r="C822" s="39">
        <f>(Table26[[#This Row],[M2 Money Stock, Billions of Dollars, Weekly, Seasonally Adjusted]]-B821)/B821</f>
        <v/>
      </c>
      <c r="D822" s="40">
        <f>((1+Table26[[#This Row],[Weekly change]])^52)-1</f>
        <v/>
      </c>
      <c r="E822" s="85">
        <f>(Table26[[#This Row],[M2 Money Stock, Billions of Dollars, Weekly, Seasonally Adjusted]]-B770)/B770</f>
        <v/>
      </c>
    </row>
    <row r="823">
      <c r="A823" s="37" t="n">
        <v>35240</v>
      </c>
      <c r="B823" s="84" t="n">
        <v>3720.9</v>
      </c>
      <c r="C823" s="39">
        <f>(Table26[[#This Row],[M2 Money Stock, Billions of Dollars, Weekly, Seasonally Adjusted]]-B822)/B822</f>
        <v/>
      </c>
      <c r="D823" s="40">
        <f>((1+Table26[[#This Row],[Weekly change]])^52)-1</f>
        <v/>
      </c>
      <c r="E823" s="85">
        <f>(Table26[[#This Row],[M2 Money Stock, Billions of Dollars, Weekly, Seasonally Adjusted]]-B771)/B771</f>
        <v/>
      </c>
    </row>
    <row r="824">
      <c r="A824" s="37" t="n">
        <v>35247</v>
      </c>
      <c r="B824" s="84" t="n">
        <v>3730.5</v>
      </c>
      <c r="C824" s="39">
        <f>(Table26[[#This Row],[M2 Money Stock, Billions of Dollars, Weekly, Seasonally Adjusted]]-B823)/B823</f>
        <v/>
      </c>
      <c r="D824" s="40">
        <f>((1+Table26[[#This Row],[Weekly change]])^52)-1</f>
        <v/>
      </c>
      <c r="E824" s="85">
        <f>(Table26[[#This Row],[M2 Money Stock, Billions of Dollars, Weekly, Seasonally Adjusted]]-B772)/B772</f>
        <v/>
      </c>
    </row>
    <row r="825">
      <c r="A825" s="37" t="n">
        <v>35254</v>
      </c>
      <c r="B825" s="84" t="n">
        <v>3730.2</v>
      </c>
      <c r="C825" s="39">
        <f>(Table26[[#This Row],[M2 Money Stock, Billions of Dollars, Weekly, Seasonally Adjusted]]-B824)/B824</f>
        <v/>
      </c>
      <c r="D825" s="40">
        <f>((1+Table26[[#This Row],[Weekly change]])^52)-1</f>
        <v/>
      </c>
      <c r="E825" s="85">
        <f>(Table26[[#This Row],[M2 Money Stock, Billions of Dollars, Weekly, Seasonally Adjusted]]-B773)/B773</f>
        <v/>
      </c>
    </row>
    <row r="826">
      <c r="A826" s="37" t="n">
        <v>35261</v>
      </c>
      <c r="B826" s="84" t="n">
        <v>3734.6</v>
      </c>
      <c r="C826" s="39">
        <f>(Table26[[#This Row],[M2 Money Stock, Billions of Dollars, Weekly, Seasonally Adjusted]]-B825)/B825</f>
        <v/>
      </c>
      <c r="D826" s="40">
        <f>((1+Table26[[#This Row],[Weekly change]])^52)-1</f>
        <v/>
      </c>
      <c r="E826" s="85">
        <f>(Table26[[#This Row],[M2 Money Stock, Billions of Dollars, Weekly, Seasonally Adjusted]]-B774)/B774</f>
        <v/>
      </c>
    </row>
    <row r="827">
      <c r="A827" s="37" t="n">
        <v>35268</v>
      </c>
      <c r="B827" s="84" t="n">
        <v>3740.2</v>
      </c>
      <c r="C827" s="39">
        <f>(Table26[[#This Row],[M2 Money Stock, Billions of Dollars, Weekly, Seasonally Adjusted]]-B826)/B826</f>
        <v/>
      </c>
      <c r="D827" s="40">
        <f>((1+Table26[[#This Row],[Weekly change]])^52)-1</f>
        <v/>
      </c>
      <c r="E827" s="85">
        <f>(Table26[[#This Row],[M2 Money Stock, Billions of Dollars, Weekly, Seasonally Adjusted]]-B775)/B775</f>
        <v/>
      </c>
    </row>
    <row r="828">
      <c r="A828" s="37" t="n">
        <v>35275</v>
      </c>
      <c r="B828" s="84" t="n">
        <v>3741.4</v>
      </c>
      <c r="C828" s="39">
        <f>(Table26[[#This Row],[M2 Money Stock, Billions of Dollars, Weekly, Seasonally Adjusted]]-B827)/B827</f>
        <v/>
      </c>
      <c r="D828" s="40">
        <f>((1+Table26[[#This Row],[Weekly change]])^52)-1</f>
        <v/>
      </c>
      <c r="E828" s="85">
        <f>(Table26[[#This Row],[M2 Money Stock, Billions of Dollars, Weekly, Seasonally Adjusted]]-B776)/B776</f>
        <v/>
      </c>
    </row>
    <row r="829">
      <c r="A829" s="37" t="n">
        <v>35282</v>
      </c>
      <c r="B829" s="84" t="n">
        <v>3744.6</v>
      </c>
      <c r="C829" s="39">
        <f>(Table26[[#This Row],[M2 Money Stock, Billions of Dollars, Weekly, Seasonally Adjusted]]-B828)/B828</f>
        <v/>
      </c>
      <c r="D829" s="40">
        <f>((1+Table26[[#This Row],[Weekly change]])^52)-1</f>
        <v/>
      </c>
      <c r="E829" s="85">
        <f>(Table26[[#This Row],[M2 Money Stock, Billions of Dollars, Weekly, Seasonally Adjusted]]-B777)/B777</f>
        <v/>
      </c>
    </row>
    <row r="830">
      <c r="A830" s="37" t="n">
        <v>35289</v>
      </c>
      <c r="B830" s="84" t="n">
        <v>3744.7</v>
      </c>
      <c r="C830" s="39">
        <f>(Table26[[#This Row],[M2 Money Stock, Billions of Dollars, Weekly, Seasonally Adjusted]]-B829)/B829</f>
        <v/>
      </c>
      <c r="D830" s="40">
        <f>((1+Table26[[#This Row],[Weekly change]])^52)-1</f>
        <v/>
      </c>
      <c r="E830" s="85">
        <f>(Table26[[#This Row],[M2 Money Stock, Billions of Dollars, Weekly, Seasonally Adjusted]]-B778)/B778</f>
        <v/>
      </c>
    </row>
    <row r="831">
      <c r="A831" s="37" t="n">
        <v>35296</v>
      </c>
      <c r="B831" s="84" t="n">
        <v>3743</v>
      </c>
      <c r="C831" s="39">
        <f>(Table26[[#This Row],[M2 Money Stock, Billions of Dollars, Weekly, Seasonally Adjusted]]-B830)/B830</f>
        <v/>
      </c>
      <c r="D831" s="40">
        <f>((1+Table26[[#This Row],[Weekly change]])^52)-1</f>
        <v/>
      </c>
      <c r="E831" s="85">
        <f>(Table26[[#This Row],[M2 Money Stock, Billions of Dollars, Weekly, Seasonally Adjusted]]-B779)/B779</f>
        <v/>
      </c>
    </row>
    <row r="832">
      <c r="A832" s="37" t="n">
        <v>35303</v>
      </c>
      <c r="B832" s="84" t="n">
        <v>3745.4</v>
      </c>
      <c r="C832" s="39">
        <f>(Table26[[#This Row],[M2 Money Stock, Billions of Dollars, Weekly, Seasonally Adjusted]]-B831)/B831</f>
        <v/>
      </c>
      <c r="D832" s="40">
        <f>((1+Table26[[#This Row],[Weekly change]])^52)-1</f>
        <v/>
      </c>
      <c r="E832" s="85">
        <f>(Table26[[#This Row],[M2 Money Stock, Billions of Dollars, Weekly, Seasonally Adjusted]]-B780)/B780</f>
        <v/>
      </c>
    </row>
    <row r="833">
      <c r="A833" s="37" t="n">
        <v>35310</v>
      </c>
      <c r="B833" s="84" t="n">
        <v>3743.3</v>
      </c>
      <c r="C833" s="39">
        <f>(Table26[[#This Row],[M2 Money Stock, Billions of Dollars, Weekly, Seasonally Adjusted]]-B832)/B832</f>
        <v/>
      </c>
      <c r="D833" s="40">
        <f>((1+Table26[[#This Row],[Weekly change]])^52)-1</f>
        <v/>
      </c>
      <c r="E833" s="85">
        <f>(Table26[[#This Row],[M2 Money Stock, Billions of Dollars, Weekly, Seasonally Adjusted]]-B781)/B781</f>
        <v/>
      </c>
    </row>
    <row r="834">
      <c r="A834" s="37" t="n">
        <v>35317</v>
      </c>
      <c r="B834" s="84" t="n">
        <v>3757.4</v>
      </c>
      <c r="C834" s="39">
        <f>(Table26[[#This Row],[M2 Money Stock, Billions of Dollars, Weekly, Seasonally Adjusted]]-B833)/B833</f>
        <v/>
      </c>
      <c r="D834" s="40">
        <f>((1+Table26[[#This Row],[Weekly change]])^52)-1</f>
        <v/>
      </c>
      <c r="E834" s="85">
        <f>(Table26[[#This Row],[M2 Money Stock, Billions of Dollars, Weekly, Seasonally Adjusted]]-B782)/B782</f>
        <v/>
      </c>
    </row>
    <row r="835">
      <c r="A835" s="37" t="n">
        <v>35324</v>
      </c>
      <c r="B835" s="84" t="n">
        <v>3752.4</v>
      </c>
      <c r="C835" s="39">
        <f>(Table26[[#This Row],[M2 Money Stock, Billions of Dollars, Weekly, Seasonally Adjusted]]-B834)/B834</f>
        <v/>
      </c>
      <c r="D835" s="40">
        <f>((1+Table26[[#This Row],[Weekly change]])^52)-1</f>
        <v/>
      </c>
      <c r="E835" s="85">
        <f>(Table26[[#This Row],[M2 Money Stock, Billions of Dollars, Weekly, Seasonally Adjusted]]-B783)/B783</f>
        <v/>
      </c>
    </row>
    <row r="836">
      <c r="A836" s="37" t="n">
        <v>35331</v>
      </c>
      <c r="B836" s="84" t="n">
        <v>3749.2</v>
      </c>
      <c r="C836" s="39">
        <f>(Table26[[#This Row],[M2 Money Stock, Billions of Dollars, Weekly, Seasonally Adjusted]]-B835)/B835</f>
        <v/>
      </c>
      <c r="D836" s="40">
        <f>((1+Table26[[#This Row],[Weekly change]])^52)-1</f>
        <v/>
      </c>
      <c r="E836" s="85">
        <f>(Table26[[#This Row],[M2 Money Stock, Billions of Dollars, Weekly, Seasonally Adjusted]]-B784)/B784</f>
        <v/>
      </c>
    </row>
    <row r="837">
      <c r="A837" s="37" t="n">
        <v>35338</v>
      </c>
      <c r="B837" s="84" t="n">
        <v>3758.2</v>
      </c>
      <c r="C837" s="39">
        <f>(Table26[[#This Row],[M2 Money Stock, Billions of Dollars, Weekly, Seasonally Adjusted]]-B836)/B836</f>
        <v/>
      </c>
      <c r="D837" s="40">
        <f>((1+Table26[[#This Row],[Weekly change]])^52)-1</f>
        <v/>
      </c>
      <c r="E837" s="85">
        <f>(Table26[[#This Row],[M2 Money Stock, Billions of Dollars, Weekly, Seasonally Adjusted]]-B785)/B785</f>
        <v/>
      </c>
    </row>
    <row r="838">
      <c r="A838" s="37" t="n">
        <v>35345</v>
      </c>
      <c r="B838" s="84" t="n">
        <v>3763.3</v>
      </c>
      <c r="C838" s="39">
        <f>(Table26[[#This Row],[M2 Money Stock, Billions of Dollars, Weekly, Seasonally Adjusted]]-B837)/B837</f>
        <v/>
      </c>
      <c r="D838" s="40">
        <f>((1+Table26[[#This Row],[Weekly change]])^52)-1</f>
        <v/>
      </c>
      <c r="E838" s="85">
        <f>(Table26[[#This Row],[M2 Money Stock, Billions of Dollars, Weekly, Seasonally Adjusted]]-B786)/B786</f>
        <v/>
      </c>
    </row>
    <row r="839">
      <c r="A839" s="37" t="n">
        <v>35352</v>
      </c>
      <c r="B839" s="84" t="n">
        <v>3767.8</v>
      </c>
      <c r="C839" s="39">
        <f>(Table26[[#This Row],[M2 Money Stock, Billions of Dollars, Weekly, Seasonally Adjusted]]-B838)/B838</f>
        <v/>
      </c>
      <c r="D839" s="40">
        <f>((1+Table26[[#This Row],[Weekly change]])^52)-1</f>
        <v/>
      </c>
      <c r="E839" s="85">
        <f>(Table26[[#This Row],[M2 Money Stock, Billions of Dollars, Weekly, Seasonally Adjusted]]-B787)/B787</f>
        <v/>
      </c>
    </row>
    <row r="840">
      <c r="A840" s="37" t="n">
        <v>35359</v>
      </c>
      <c r="B840" s="84" t="n">
        <v>3772.5</v>
      </c>
      <c r="C840" s="39">
        <f>(Table26[[#This Row],[M2 Money Stock, Billions of Dollars, Weekly, Seasonally Adjusted]]-B839)/B839</f>
        <v/>
      </c>
      <c r="D840" s="40">
        <f>((1+Table26[[#This Row],[Weekly change]])^52)-1</f>
        <v/>
      </c>
      <c r="E840" s="85">
        <f>(Table26[[#This Row],[M2 Money Stock, Billions of Dollars, Weekly, Seasonally Adjusted]]-B788)/B788</f>
        <v/>
      </c>
    </row>
    <row r="841">
      <c r="A841" s="37" t="n">
        <v>35366</v>
      </c>
      <c r="B841" s="84" t="n">
        <v>3776.1</v>
      </c>
      <c r="C841" s="39">
        <f>(Table26[[#This Row],[M2 Money Stock, Billions of Dollars, Weekly, Seasonally Adjusted]]-B840)/B840</f>
        <v/>
      </c>
      <c r="D841" s="40">
        <f>((1+Table26[[#This Row],[Weekly change]])^52)-1</f>
        <v/>
      </c>
      <c r="E841" s="85">
        <f>(Table26[[#This Row],[M2 Money Stock, Billions of Dollars, Weekly, Seasonally Adjusted]]-B789)/B789</f>
        <v/>
      </c>
    </row>
    <row r="842">
      <c r="A842" s="37" t="n">
        <v>35373</v>
      </c>
      <c r="B842" s="84" t="n">
        <v>3779.9</v>
      </c>
      <c r="C842" s="39">
        <f>(Table26[[#This Row],[M2 Money Stock, Billions of Dollars, Weekly, Seasonally Adjusted]]-B841)/B841</f>
        <v/>
      </c>
      <c r="D842" s="40">
        <f>((1+Table26[[#This Row],[Weekly change]])^52)-1</f>
        <v/>
      </c>
      <c r="E842" s="85">
        <f>(Table26[[#This Row],[M2 Money Stock, Billions of Dollars, Weekly, Seasonally Adjusted]]-B790)/B790</f>
        <v/>
      </c>
    </row>
    <row r="843">
      <c r="A843" s="37" t="n">
        <v>35380</v>
      </c>
      <c r="B843" s="84" t="n">
        <v>3787.2</v>
      </c>
      <c r="C843" s="39">
        <f>(Table26[[#This Row],[M2 Money Stock, Billions of Dollars, Weekly, Seasonally Adjusted]]-B842)/B842</f>
        <v/>
      </c>
      <c r="D843" s="40">
        <f>((1+Table26[[#This Row],[Weekly change]])^52)-1</f>
        <v/>
      </c>
      <c r="E843" s="85">
        <f>(Table26[[#This Row],[M2 Money Stock, Billions of Dollars, Weekly, Seasonally Adjusted]]-B791)/B791</f>
        <v/>
      </c>
    </row>
    <row r="844">
      <c r="A844" s="37" t="n">
        <v>35387</v>
      </c>
      <c r="B844" s="84" t="n">
        <v>3789.4</v>
      </c>
      <c r="C844" s="39">
        <f>(Table26[[#This Row],[M2 Money Stock, Billions of Dollars, Weekly, Seasonally Adjusted]]-B843)/B843</f>
        <v/>
      </c>
      <c r="D844" s="40">
        <f>((1+Table26[[#This Row],[Weekly change]])^52)-1</f>
        <v/>
      </c>
      <c r="E844" s="85">
        <f>(Table26[[#This Row],[M2 Money Stock, Billions of Dollars, Weekly, Seasonally Adjusted]]-B792)/B792</f>
        <v/>
      </c>
    </row>
    <row r="845">
      <c r="A845" s="37" t="n">
        <v>35394</v>
      </c>
      <c r="B845" s="84" t="n">
        <v>3792</v>
      </c>
      <c r="C845" s="39">
        <f>(Table26[[#This Row],[M2 Money Stock, Billions of Dollars, Weekly, Seasonally Adjusted]]-B844)/B844</f>
        <v/>
      </c>
      <c r="D845" s="40">
        <f>((1+Table26[[#This Row],[Weekly change]])^52)-1</f>
        <v/>
      </c>
      <c r="E845" s="85">
        <f>(Table26[[#This Row],[M2 Money Stock, Billions of Dollars, Weekly, Seasonally Adjusted]]-B793)/B793</f>
        <v/>
      </c>
    </row>
    <row r="846">
      <c r="A846" s="37" t="n">
        <v>35401</v>
      </c>
      <c r="B846" s="84" t="n">
        <v>3800.3</v>
      </c>
      <c r="C846" s="39">
        <f>(Table26[[#This Row],[M2 Money Stock, Billions of Dollars, Weekly, Seasonally Adjusted]]-B845)/B845</f>
        <v/>
      </c>
      <c r="D846" s="40">
        <f>((1+Table26[[#This Row],[Weekly change]])^52)-1</f>
        <v/>
      </c>
      <c r="E846" s="85">
        <f>(Table26[[#This Row],[M2 Money Stock, Billions of Dollars, Weekly, Seasonally Adjusted]]-B794)/B794</f>
        <v/>
      </c>
    </row>
    <row r="847">
      <c r="A847" s="37" t="n">
        <v>35408</v>
      </c>
      <c r="B847" s="84" t="n">
        <v>3810.5</v>
      </c>
      <c r="C847" s="39">
        <f>(Table26[[#This Row],[M2 Money Stock, Billions of Dollars, Weekly, Seasonally Adjusted]]-B846)/B846</f>
        <v/>
      </c>
      <c r="D847" s="40">
        <f>((1+Table26[[#This Row],[Weekly change]])^52)-1</f>
        <v/>
      </c>
      <c r="E847" s="85">
        <f>(Table26[[#This Row],[M2 Money Stock, Billions of Dollars, Weekly, Seasonally Adjusted]]-B795)/B795</f>
        <v/>
      </c>
    </row>
    <row r="848">
      <c r="A848" s="37" t="n">
        <v>35415</v>
      </c>
      <c r="B848" s="84" t="n">
        <v>3808.4</v>
      </c>
      <c r="C848" s="39">
        <f>(Table26[[#This Row],[M2 Money Stock, Billions of Dollars, Weekly, Seasonally Adjusted]]-B847)/B847</f>
        <v/>
      </c>
      <c r="D848" s="40">
        <f>((1+Table26[[#This Row],[Weekly change]])^52)-1</f>
        <v/>
      </c>
      <c r="E848" s="85">
        <f>(Table26[[#This Row],[M2 Money Stock, Billions of Dollars, Weekly, Seasonally Adjusted]]-B796)/B796</f>
        <v/>
      </c>
    </row>
    <row r="849">
      <c r="A849" s="37" t="n">
        <v>35422</v>
      </c>
      <c r="B849" s="84" t="n">
        <v>3813.4</v>
      </c>
      <c r="C849" s="39">
        <f>(Table26[[#This Row],[M2 Money Stock, Billions of Dollars, Weekly, Seasonally Adjusted]]-B848)/B848</f>
        <v/>
      </c>
      <c r="D849" s="40">
        <f>((1+Table26[[#This Row],[Weekly change]])^52)-1</f>
        <v/>
      </c>
      <c r="E849" s="85">
        <f>(Table26[[#This Row],[M2 Money Stock, Billions of Dollars, Weekly, Seasonally Adjusted]]-B797)/B797</f>
        <v/>
      </c>
    </row>
    <row r="850">
      <c r="A850" s="37" t="n">
        <v>35429</v>
      </c>
      <c r="B850" s="84" t="n">
        <v>3810.6</v>
      </c>
      <c r="C850" s="39">
        <f>(Table26[[#This Row],[M2 Money Stock, Billions of Dollars, Weekly, Seasonally Adjusted]]-B849)/B849</f>
        <v/>
      </c>
      <c r="D850" s="40">
        <f>((1+Table26[[#This Row],[Weekly change]])^52)-1</f>
        <v/>
      </c>
      <c r="E850" s="85">
        <f>(Table26[[#This Row],[M2 Money Stock, Billions of Dollars, Weekly, Seasonally Adjusted]]-B798)/B798</f>
        <v/>
      </c>
    </row>
    <row r="851">
      <c r="A851" s="37" t="n">
        <v>35436</v>
      </c>
      <c r="B851" s="84" t="n">
        <v>3820.2</v>
      </c>
      <c r="C851" s="39">
        <f>(Table26[[#This Row],[M2 Money Stock, Billions of Dollars, Weekly, Seasonally Adjusted]]-B850)/B850</f>
        <v/>
      </c>
      <c r="D851" s="40">
        <f>((1+Table26[[#This Row],[Weekly change]])^52)-1</f>
        <v/>
      </c>
      <c r="E851" s="85">
        <f>(Table26[[#This Row],[M2 Money Stock, Billions of Dollars, Weekly, Seasonally Adjusted]]-B799)/B799</f>
        <v/>
      </c>
    </row>
    <row r="852">
      <c r="A852" s="37" t="n">
        <v>35443</v>
      </c>
      <c r="B852" s="84" t="n">
        <v>3823.9</v>
      </c>
      <c r="C852" s="39">
        <f>(Table26[[#This Row],[M2 Money Stock, Billions of Dollars, Weekly, Seasonally Adjusted]]-B851)/B851</f>
        <v/>
      </c>
      <c r="D852" s="40">
        <f>((1+Table26[[#This Row],[Weekly change]])^52)-1</f>
        <v/>
      </c>
      <c r="E852" s="85">
        <f>(Table26[[#This Row],[M2 Money Stock, Billions of Dollars, Weekly, Seasonally Adjusted]]-B800)/B800</f>
        <v/>
      </c>
    </row>
    <row r="853">
      <c r="A853" s="37" t="n">
        <v>35450</v>
      </c>
      <c r="B853" s="84" t="n">
        <v>3824.8</v>
      </c>
      <c r="C853" s="39">
        <f>(Table26[[#This Row],[M2 Money Stock, Billions of Dollars, Weekly, Seasonally Adjusted]]-B852)/B852</f>
        <v/>
      </c>
      <c r="D853" s="40">
        <f>((1+Table26[[#This Row],[Weekly change]])^52)-1</f>
        <v/>
      </c>
      <c r="E853" s="85">
        <f>(Table26[[#This Row],[M2 Money Stock, Billions of Dollars, Weekly, Seasonally Adjusted]]-B801)/B801</f>
        <v/>
      </c>
    </row>
    <row r="854">
      <c r="A854" s="37" t="n">
        <v>35457</v>
      </c>
      <c r="B854" s="84" t="n">
        <v>3826.7</v>
      </c>
      <c r="C854" s="39">
        <f>(Table26[[#This Row],[M2 Money Stock, Billions of Dollars, Weekly, Seasonally Adjusted]]-B853)/B853</f>
        <v/>
      </c>
      <c r="D854" s="40">
        <f>((1+Table26[[#This Row],[Weekly change]])^52)-1</f>
        <v/>
      </c>
      <c r="E854" s="85">
        <f>(Table26[[#This Row],[M2 Money Stock, Billions of Dollars, Weekly, Seasonally Adjusted]]-B802)/B802</f>
        <v/>
      </c>
    </row>
    <row r="855">
      <c r="A855" s="37" t="n">
        <v>35464</v>
      </c>
      <c r="B855" s="84" t="n">
        <v>3828.1</v>
      </c>
      <c r="C855" s="39">
        <f>(Table26[[#This Row],[M2 Money Stock, Billions of Dollars, Weekly, Seasonally Adjusted]]-B854)/B854</f>
        <v/>
      </c>
      <c r="D855" s="40">
        <f>((1+Table26[[#This Row],[Weekly change]])^52)-1</f>
        <v/>
      </c>
      <c r="E855" s="85">
        <f>(Table26[[#This Row],[M2 Money Stock, Billions of Dollars, Weekly, Seasonally Adjusted]]-B803)/B803</f>
        <v/>
      </c>
    </row>
    <row r="856">
      <c r="A856" s="37" t="n">
        <v>35471</v>
      </c>
      <c r="B856" s="84" t="n">
        <v>3837.6</v>
      </c>
      <c r="C856" s="39">
        <f>(Table26[[#This Row],[M2 Money Stock, Billions of Dollars, Weekly, Seasonally Adjusted]]-B855)/B855</f>
        <v/>
      </c>
      <c r="D856" s="40">
        <f>((1+Table26[[#This Row],[Weekly change]])^52)-1</f>
        <v/>
      </c>
      <c r="E856" s="85">
        <f>(Table26[[#This Row],[M2 Money Stock, Billions of Dollars, Weekly, Seasonally Adjusted]]-B804)/B804</f>
        <v/>
      </c>
    </row>
    <row r="857">
      <c r="A857" s="37" t="n">
        <v>35478</v>
      </c>
      <c r="B857" s="84" t="n">
        <v>3837.1</v>
      </c>
      <c r="C857" s="39">
        <f>(Table26[[#This Row],[M2 Money Stock, Billions of Dollars, Weekly, Seasonally Adjusted]]-B856)/B856</f>
        <v/>
      </c>
      <c r="D857" s="40">
        <f>((1+Table26[[#This Row],[Weekly change]])^52)-1</f>
        <v/>
      </c>
      <c r="E857" s="85">
        <f>(Table26[[#This Row],[M2 Money Stock, Billions of Dollars, Weekly, Seasonally Adjusted]]-B805)/B805</f>
        <v/>
      </c>
    </row>
    <row r="858">
      <c r="A858" s="37" t="n">
        <v>35485</v>
      </c>
      <c r="B858" s="84" t="n">
        <v>3836.3</v>
      </c>
      <c r="C858" s="39">
        <f>(Table26[[#This Row],[M2 Money Stock, Billions of Dollars, Weekly, Seasonally Adjusted]]-B857)/B857</f>
        <v/>
      </c>
      <c r="D858" s="40">
        <f>((1+Table26[[#This Row],[Weekly change]])^52)-1</f>
        <v/>
      </c>
      <c r="E858" s="85">
        <f>(Table26[[#This Row],[M2 Money Stock, Billions of Dollars, Weekly, Seasonally Adjusted]]-B806)/B806</f>
        <v/>
      </c>
    </row>
    <row r="859">
      <c r="A859" s="37" t="n">
        <v>35492</v>
      </c>
      <c r="B859" s="84" t="n">
        <v>3838.5</v>
      </c>
      <c r="C859" s="39">
        <f>(Table26[[#This Row],[M2 Money Stock, Billions of Dollars, Weekly, Seasonally Adjusted]]-B858)/B858</f>
        <v/>
      </c>
      <c r="D859" s="40">
        <f>((1+Table26[[#This Row],[Weekly change]])^52)-1</f>
        <v/>
      </c>
      <c r="E859" s="85">
        <f>(Table26[[#This Row],[M2 Money Stock, Billions of Dollars, Weekly, Seasonally Adjusted]]-B807)/B807</f>
        <v/>
      </c>
    </row>
    <row r="860">
      <c r="A860" s="37" t="n">
        <v>35499</v>
      </c>
      <c r="B860" s="84" t="n">
        <v>3851.9</v>
      </c>
      <c r="C860" s="39">
        <f>(Table26[[#This Row],[M2 Money Stock, Billions of Dollars, Weekly, Seasonally Adjusted]]-B859)/B859</f>
        <v/>
      </c>
      <c r="D860" s="40">
        <f>((1+Table26[[#This Row],[Weekly change]])^52)-1</f>
        <v/>
      </c>
      <c r="E860" s="85">
        <f>(Table26[[#This Row],[M2 Money Stock, Billions of Dollars, Weekly, Seasonally Adjusted]]-B808)/B808</f>
        <v/>
      </c>
    </row>
    <row r="861">
      <c r="A861" s="37" t="n">
        <v>35506</v>
      </c>
      <c r="B861" s="84" t="n">
        <v>3850.6</v>
      </c>
      <c r="C861" s="39">
        <f>(Table26[[#This Row],[M2 Money Stock, Billions of Dollars, Weekly, Seasonally Adjusted]]-B860)/B860</f>
        <v/>
      </c>
      <c r="D861" s="40">
        <f>((1+Table26[[#This Row],[Weekly change]])^52)-1</f>
        <v/>
      </c>
      <c r="E861" s="85">
        <f>(Table26[[#This Row],[M2 Money Stock, Billions of Dollars, Weekly, Seasonally Adjusted]]-B809)/B809</f>
        <v/>
      </c>
    </row>
    <row r="862">
      <c r="A862" s="37" t="n">
        <v>35513</v>
      </c>
      <c r="B862" s="84" t="n">
        <v>3852</v>
      </c>
      <c r="C862" s="39">
        <f>(Table26[[#This Row],[M2 Money Stock, Billions of Dollars, Weekly, Seasonally Adjusted]]-B861)/B861</f>
        <v/>
      </c>
      <c r="D862" s="40">
        <f>((1+Table26[[#This Row],[Weekly change]])^52)-1</f>
        <v/>
      </c>
      <c r="E862" s="85">
        <f>(Table26[[#This Row],[M2 Money Stock, Billions of Dollars, Weekly, Seasonally Adjusted]]-B810)/B810</f>
        <v/>
      </c>
    </row>
    <row r="863">
      <c r="A863" s="37" t="n">
        <v>35520</v>
      </c>
      <c r="B863" s="84" t="n">
        <v>3855.7</v>
      </c>
      <c r="C863" s="39">
        <f>(Table26[[#This Row],[M2 Money Stock, Billions of Dollars, Weekly, Seasonally Adjusted]]-B862)/B862</f>
        <v/>
      </c>
      <c r="D863" s="40">
        <f>((1+Table26[[#This Row],[Weekly change]])^52)-1</f>
        <v/>
      </c>
      <c r="E863" s="85">
        <f>(Table26[[#This Row],[M2 Money Stock, Billions of Dollars, Weekly, Seasonally Adjusted]]-B811)/B811</f>
        <v/>
      </c>
    </row>
    <row r="864">
      <c r="A864" s="37" t="n">
        <v>35527</v>
      </c>
      <c r="B864" s="84" t="n">
        <v>3866.4</v>
      </c>
      <c r="C864" s="39">
        <f>(Table26[[#This Row],[M2 Money Stock, Billions of Dollars, Weekly, Seasonally Adjusted]]-B863)/B863</f>
        <v/>
      </c>
      <c r="D864" s="40">
        <f>((1+Table26[[#This Row],[Weekly change]])^52)-1</f>
        <v/>
      </c>
      <c r="E864" s="85">
        <f>(Table26[[#This Row],[M2 Money Stock, Billions of Dollars, Weekly, Seasonally Adjusted]]-B812)/B812</f>
        <v/>
      </c>
    </row>
    <row r="865">
      <c r="A865" s="37" t="n">
        <v>35534</v>
      </c>
      <c r="B865" s="84" t="n">
        <v>3867.8</v>
      </c>
      <c r="C865" s="39">
        <f>(Table26[[#This Row],[M2 Money Stock, Billions of Dollars, Weekly, Seasonally Adjusted]]-B864)/B864</f>
        <v/>
      </c>
      <c r="D865" s="40">
        <f>((1+Table26[[#This Row],[Weekly change]])^52)-1</f>
        <v/>
      </c>
      <c r="E865" s="85">
        <f>(Table26[[#This Row],[M2 Money Stock, Billions of Dollars, Weekly, Seasonally Adjusted]]-B813)/B813</f>
        <v/>
      </c>
    </row>
    <row r="866">
      <c r="A866" s="37" t="n">
        <v>35541</v>
      </c>
      <c r="B866" s="84" t="n">
        <v>3869.4</v>
      </c>
      <c r="C866" s="39">
        <f>(Table26[[#This Row],[M2 Money Stock, Billions of Dollars, Weekly, Seasonally Adjusted]]-B865)/B865</f>
        <v/>
      </c>
      <c r="D866" s="40">
        <f>((1+Table26[[#This Row],[Weekly change]])^52)-1</f>
        <v/>
      </c>
      <c r="E866" s="85">
        <f>(Table26[[#This Row],[M2 Money Stock, Billions of Dollars, Weekly, Seasonally Adjusted]]-B814)/B814</f>
        <v/>
      </c>
    </row>
    <row r="867">
      <c r="A867" s="37" t="n">
        <v>35548</v>
      </c>
      <c r="B867" s="84" t="n">
        <v>3865</v>
      </c>
      <c r="C867" s="39">
        <f>(Table26[[#This Row],[M2 Money Stock, Billions of Dollars, Weekly, Seasonally Adjusted]]-B866)/B866</f>
        <v/>
      </c>
      <c r="D867" s="40">
        <f>((1+Table26[[#This Row],[Weekly change]])^52)-1</f>
        <v/>
      </c>
      <c r="E867" s="85">
        <f>(Table26[[#This Row],[M2 Money Stock, Billions of Dollars, Weekly, Seasonally Adjusted]]-B815)/B815</f>
        <v/>
      </c>
    </row>
    <row r="868">
      <c r="A868" s="37" t="n">
        <v>35555</v>
      </c>
      <c r="B868" s="84" t="n">
        <v>3867.9</v>
      </c>
      <c r="C868" s="39">
        <f>(Table26[[#This Row],[M2 Money Stock, Billions of Dollars, Weekly, Seasonally Adjusted]]-B867)/B867</f>
        <v/>
      </c>
      <c r="D868" s="40">
        <f>((1+Table26[[#This Row],[Weekly change]])^52)-1</f>
        <v/>
      </c>
      <c r="E868" s="85">
        <f>(Table26[[#This Row],[M2 Money Stock, Billions of Dollars, Weekly, Seasonally Adjusted]]-B816)/B816</f>
        <v/>
      </c>
    </row>
    <row r="869">
      <c r="A869" s="37" t="n">
        <v>35562</v>
      </c>
      <c r="B869" s="84" t="n">
        <v>3874.5</v>
      </c>
      <c r="C869" s="39">
        <f>(Table26[[#This Row],[M2 Money Stock, Billions of Dollars, Weekly, Seasonally Adjusted]]-B868)/B868</f>
        <v/>
      </c>
      <c r="D869" s="40">
        <f>((1+Table26[[#This Row],[Weekly change]])^52)-1</f>
        <v/>
      </c>
      <c r="E869" s="85">
        <f>(Table26[[#This Row],[M2 Money Stock, Billions of Dollars, Weekly, Seasonally Adjusted]]-B817)/B817</f>
        <v/>
      </c>
    </row>
    <row r="870">
      <c r="A870" s="37" t="n">
        <v>35569</v>
      </c>
      <c r="B870" s="84" t="n">
        <v>3877.3</v>
      </c>
      <c r="C870" s="39">
        <f>(Table26[[#This Row],[M2 Money Stock, Billions of Dollars, Weekly, Seasonally Adjusted]]-B869)/B869</f>
        <v/>
      </c>
      <c r="D870" s="40">
        <f>((1+Table26[[#This Row],[Weekly change]])^52)-1</f>
        <v/>
      </c>
      <c r="E870" s="85">
        <f>(Table26[[#This Row],[M2 Money Stock, Billions of Dollars, Weekly, Seasonally Adjusted]]-B818)/B818</f>
        <v/>
      </c>
    </row>
    <row r="871">
      <c r="A871" s="37" t="n">
        <v>35576</v>
      </c>
      <c r="B871" s="84" t="n">
        <v>3887.5</v>
      </c>
      <c r="C871" s="39">
        <f>(Table26[[#This Row],[M2 Money Stock, Billions of Dollars, Weekly, Seasonally Adjusted]]-B870)/B870</f>
        <v/>
      </c>
      <c r="D871" s="40">
        <f>((1+Table26[[#This Row],[Weekly change]])^52)-1</f>
        <v/>
      </c>
      <c r="E871" s="85">
        <f>(Table26[[#This Row],[M2 Money Stock, Billions of Dollars, Weekly, Seasonally Adjusted]]-B819)/B819</f>
        <v/>
      </c>
    </row>
    <row r="872">
      <c r="A872" s="37" t="n">
        <v>35583</v>
      </c>
      <c r="B872" s="84" t="n">
        <v>3887.3</v>
      </c>
      <c r="C872" s="39">
        <f>(Table26[[#This Row],[M2 Money Stock, Billions of Dollars, Weekly, Seasonally Adjusted]]-B871)/B871</f>
        <v/>
      </c>
      <c r="D872" s="40">
        <f>((1+Table26[[#This Row],[Weekly change]])^52)-1</f>
        <v/>
      </c>
      <c r="E872" s="85">
        <f>(Table26[[#This Row],[M2 Money Stock, Billions of Dollars, Weekly, Seasonally Adjusted]]-B820)/B820</f>
        <v/>
      </c>
    </row>
    <row r="873">
      <c r="A873" s="37" t="n">
        <v>35590</v>
      </c>
      <c r="B873" s="84" t="n">
        <v>3899.2</v>
      </c>
      <c r="C873" s="39">
        <f>(Table26[[#This Row],[M2 Money Stock, Billions of Dollars, Weekly, Seasonally Adjusted]]-B872)/B872</f>
        <v/>
      </c>
      <c r="D873" s="40">
        <f>((1+Table26[[#This Row],[Weekly change]])^52)-1</f>
        <v/>
      </c>
      <c r="E873" s="85">
        <f>(Table26[[#This Row],[M2 Money Stock, Billions of Dollars, Weekly, Seasonally Adjusted]]-B821)/B821</f>
        <v/>
      </c>
    </row>
    <row r="874">
      <c r="A874" s="37" t="n">
        <v>35597</v>
      </c>
      <c r="B874" s="84" t="n">
        <v>3892.6</v>
      </c>
      <c r="C874" s="39">
        <f>(Table26[[#This Row],[M2 Money Stock, Billions of Dollars, Weekly, Seasonally Adjusted]]-B873)/B873</f>
        <v/>
      </c>
      <c r="D874" s="40">
        <f>((1+Table26[[#This Row],[Weekly change]])^52)-1</f>
        <v/>
      </c>
      <c r="E874" s="85">
        <f>(Table26[[#This Row],[M2 Money Stock, Billions of Dollars, Weekly, Seasonally Adjusted]]-B822)/B822</f>
        <v/>
      </c>
    </row>
    <row r="875">
      <c r="A875" s="37" t="n">
        <v>35604</v>
      </c>
      <c r="B875" s="84" t="n">
        <v>3893.8</v>
      </c>
      <c r="C875" s="39">
        <f>(Table26[[#This Row],[M2 Money Stock, Billions of Dollars, Weekly, Seasonally Adjusted]]-B874)/B874</f>
        <v/>
      </c>
      <c r="D875" s="40">
        <f>((1+Table26[[#This Row],[Weekly change]])^52)-1</f>
        <v/>
      </c>
      <c r="E875" s="85">
        <f>(Table26[[#This Row],[M2 Money Stock, Billions of Dollars, Weekly, Seasonally Adjusted]]-B823)/B823</f>
        <v/>
      </c>
    </row>
    <row r="876">
      <c r="A876" s="37" t="n">
        <v>35611</v>
      </c>
      <c r="B876" s="84" t="n">
        <v>3900.1</v>
      </c>
      <c r="C876" s="39">
        <f>(Table26[[#This Row],[M2 Money Stock, Billions of Dollars, Weekly, Seasonally Adjusted]]-B875)/B875</f>
        <v/>
      </c>
      <c r="D876" s="40">
        <f>((1+Table26[[#This Row],[Weekly change]])^52)-1</f>
        <v/>
      </c>
      <c r="E876" s="85">
        <f>(Table26[[#This Row],[M2 Money Stock, Billions of Dollars, Weekly, Seasonally Adjusted]]-B824)/B824</f>
        <v/>
      </c>
    </row>
    <row r="877">
      <c r="A877" s="37" t="n">
        <v>35618</v>
      </c>
      <c r="B877" s="84" t="n">
        <v>3912.4</v>
      </c>
      <c r="C877" s="39">
        <f>(Table26[[#This Row],[M2 Money Stock, Billions of Dollars, Weekly, Seasonally Adjusted]]-B876)/B876</f>
        <v/>
      </c>
      <c r="D877" s="40">
        <f>((1+Table26[[#This Row],[Weekly change]])^52)-1</f>
        <v/>
      </c>
      <c r="E877" s="85">
        <f>(Table26[[#This Row],[M2 Money Stock, Billions of Dollars, Weekly, Seasonally Adjusted]]-B825)/B825</f>
        <v/>
      </c>
    </row>
    <row r="878">
      <c r="A878" s="37" t="n">
        <v>35625</v>
      </c>
      <c r="B878" s="84" t="n">
        <v>3910.7</v>
      </c>
      <c r="C878" s="39">
        <f>(Table26[[#This Row],[M2 Money Stock, Billions of Dollars, Weekly, Seasonally Adjusted]]-B877)/B877</f>
        <v/>
      </c>
      <c r="D878" s="40">
        <f>((1+Table26[[#This Row],[Weekly change]])^52)-1</f>
        <v/>
      </c>
      <c r="E878" s="85">
        <f>(Table26[[#This Row],[M2 Money Stock, Billions of Dollars, Weekly, Seasonally Adjusted]]-B826)/B826</f>
        <v/>
      </c>
    </row>
    <row r="879">
      <c r="A879" s="37" t="n">
        <v>35632</v>
      </c>
      <c r="B879" s="84" t="n">
        <v>3911.9</v>
      </c>
      <c r="C879" s="39">
        <f>(Table26[[#This Row],[M2 Money Stock, Billions of Dollars, Weekly, Seasonally Adjusted]]-B878)/B878</f>
        <v/>
      </c>
      <c r="D879" s="40">
        <f>((1+Table26[[#This Row],[Weekly change]])^52)-1</f>
        <v/>
      </c>
      <c r="E879" s="85">
        <f>(Table26[[#This Row],[M2 Money Stock, Billions of Dollars, Weekly, Seasonally Adjusted]]-B827)/B827</f>
        <v/>
      </c>
    </row>
    <row r="880">
      <c r="A880" s="37" t="n">
        <v>35639</v>
      </c>
      <c r="B880" s="84" t="n">
        <v>3914.2</v>
      </c>
      <c r="C880" s="39">
        <f>(Table26[[#This Row],[M2 Money Stock, Billions of Dollars, Weekly, Seasonally Adjusted]]-B879)/B879</f>
        <v/>
      </c>
      <c r="D880" s="40">
        <f>((1+Table26[[#This Row],[Weekly change]])^52)-1</f>
        <v/>
      </c>
      <c r="E880" s="85">
        <f>(Table26[[#This Row],[M2 Money Stock, Billions of Dollars, Weekly, Seasonally Adjusted]]-B828)/B828</f>
        <v/>
      </c>
    </row>
    <row r="881">
      <c r="A881" s="37" t="n">
        <v>35646</v>
      </c>
      <c r="B881" s="84" t="n">
        <v>3927.5</v>
      </c>
      <c r="C881" s="39">
        <f>(Table26[[#This Row],[M2 Money Stock, Billions of Dollars, Weekly, Seasonally Adjusted]]-B880)/B880</f>
        <v/>
      </c>
      <c r="D881" s="40">
        <f>((1+Table26[[#This Row],[Weekly change]])^52)-1</f>
        <v/>
      </c>
      <c r="E881" s="85">
        <f>(Table26[[#This Row],[M2 Money Stock, Billions of Dollars, Weekly, Seasonally Adjusted]]-B829)/B829</f>
        <v/>
      </c>
    </row>
    <row r="882">
      <c r="A882" s="37" t="n">
        <v>35653</v>
      </c>
      <c r="B882" s="84" t="n">
        <v>3939</v>
      </c>
      <c r="C882" s="39">
        <f>(Table26[[#This Row],[M2 Money Stock, Billions of Dollars, Weekly, Seasonally Adjusted]]-B881)/B881</f>
        <v/>
      </c>
      <c r="D882" s="40">
        <f>((1+Table26[[#This Row],[Weekly change]])^52)-1</f>
        <v/>
      </c>
      <c r="E882" s="85">
        <f>(Table26[[#This Row],[M2 Money Stock, Billions of Dollars, Weekly, Seasonally Adjusted]]-B830)/B830</f>
        <v/>
      </c>
    </row>
    <row r="883">
      <c r="A883" s="37" t="n">
        <v>35660</v>
      </c>
      <c r="B883" s="84" t="n">
        <v>3947.2</v>
      </c>
      <c r="C883" s="39">
        <f>(Table26[[#This Row],[M2 Money Stock, Billions of Dollars, Weekly, Seasonally Adjusted]]-B882)/B882</f>
        <v/>
      </c>
      <c r="D883" s="40">
        <f>((1+Table26[[#This Row],[Weekly change]])^52)-1</f>
        <v/>
      </c>
      <c r="E883" s="85">
        <f>(Table26[[#This Row],[M2 Money Stock, Billions of Dollars, Weekly, Seasonally Adjusted]]-B831)/B831</f>
        <v/>
      </c>
    </row>
    <row r="884">
      <c r="A884" s="37" t="n">
        <v>35667</v>
      </c>
      <c r="B884" s="84" t="n">
        <v>3953.7</v>
      </c>
      <c r="C884" s="39">
        <f>(Table26[[#This Row],[M2 Money Stock, Billions of Dollars, Weekly, Seasonally Adjusted]]-B883)/B883</f>
        <v/>
      </c>
      <c r="D884" s="40">
        <f>((1+Table26[[#This Row],[Weekly change]])^52)-1</f>
        <v/>
      </c>
      <c r="E884" s="85">
        <f>(Table26[[#This Row],[M2 Money Stock, Billions of Dollars, Weekly, Seasonally Adjusted]]-B832)/B832</f>
        <v/>
      </c>
    </row>
    <row r="885">
      <c r="A885" s="37" t="n">
        <v>35674</v>
      </c>
      <c r="B885" s="84" t="n">
        <v>3963</v>
      </c>
      <c r="C885" s="39">
        <f>(Table26[[#This Row],[M2 Money Stock, Billions of Dollars, Weekly, Seasonally Adjusted]]-B884)/B884</f>
        <v/>
      </c>
      <c r="D885" s="40">
        <f>((1+Table26[[#This Row],[Weekly change]])^52)-1</f>
        <v/>
      </c>
      <c r="E885" s="85">
        <f>(Table26[[#This Row],[M2 Money Stock, Billions of Dollars, Weekly, Seasonally Adjusted]]-B833)/B833</f>
        <v/>
      </c>
    </row>
    <row r="886">
      <c r="A886" s="37" t="n">
        <v>35681</v>
      </c>
      <c r="B886" s="84" t="n">
        <v>3963.1</v>
      </c>
      <c r="C886" s="39">
        <f>(Table26[[#This Row],[M2 Money Stock, Billions of Dollars, Weekly, Seasonally Adjusted]]-B885)/B885</f>
        <v/>
      </c>
      <c r="D886" s="40">
        <f>((1+Table26[[#This Row],[Weekly change]])^52)-1</f>
        <v/>
      </c>
      <c r="E886" s="85">
        <f>(Table26[[#This Row],[M2 Money Stock, Billions of Dollars, Weekly, Seasonally Adjusted]]-B834)/B834</f>
        <v/>
      </c>
    </row>
    <row r="887">
      <c r="A887" s="37" t="n">
        <v>35688</v>
      </c>
      <c r="B887" s="84" t="n">
        <v>3961.1</v>
      </c>
      <c r="C887" s="39">
        <f>(Table26[[#This Row],[M2 Money Stock, Billions of Dollars, Weekly, Seasonally Adjusted]]-B886)/B886</f>
        <v/>
      </c>
      <c r="D887" s="40">
        <f>((1+Table26[[#This Row],[Weekly change]])^52)-1</f>
        <v/>
      </c>
      <c r="E887" s="85">
        <f>(Table26[[#This Row],[M2 Money Stock, Billions of Dollars, Weekly, Seasonally Adjusted]]-B835)/B835</f>
        <v/>
      </c>
    </row>
    <row r="888">
      <c r="A888" s="37" t="n">
        <v>35695</v>
      </c>
      <c r="B888" s="84" t="n">
        <v>3960.7</v>
      </c>
      <c r="C888" s="39">
        <f>(Table26[[#This Row],[M2 Money Stock, Billions of Dollars, Weekly, Seasonally Adjusted]]-B887)/B887</f>
        <v/>
      </c>
      <c r="D888" s="40">
        <f>((1+Table26[[#This Row],[Weekly change]])^52)-1</f>
        <v/>
      </c>
      <c r="E888" s="85">
        <f>(Table26[[#This Row],[M2 Money Stock, Billions of Dollars, Weekly, Seasonally Adjusted]]-B836)/B836</f>
        <v/>
      </c>
    </row>
    <row r="889">
      <c r="A889" s="37" t="n">
        <v>35702</v>
      </c>
      <c r="B889" s="84" t="n">
        <v>3965.1</v>
      </c>
      <c r="C889" s="39">
        <f>(Table26[[#This Row],[M2 Money Stock, Billions of Dollars, Weekly, Seasonally Adjusted]]-B888)/B888</f>
        <v/>
      </c>
      <c r="D889" s="40">
        <f>((1+Table26[[#This Row],[Weekly change]])^52)-1</f>
        <v/>
      </c>
      <c r="E889" s="85">
        <f>(Table26[[#This Row],[M2 Money Stock, Billions of Dollars, Weekly, Seasonally Adjusted]]-B837)/B837</f>
        <v/>
      </c>
    </row>
    <row r="890">
      <c r="A890" s="37" t="n">
        <v>35709</v>
      </c>
      <c r="B890" s="84" t="n">
        <v>3976.6</v>
      </c>
      <c r="C890" s="39">
        <f>(Table26[[#This Row],[M2 Money Stock, Billions of Dollars, Weekly, Seasonally Adjusted]]-B889)/B889</f>
        <v/>
      </c>
      <c r="D890" s="40">
        <f>((1+Table26[[#This Row],[Weekly change]])^52)-1</f>
        <v/>
      </c>
      <c r="E890" s="85">
        <f>(Table26[[#This Row],[M2 Money Stock, Billions of Dollars, Weekly, Seasonally Adjusted]]-B838)/B838</f>
        <v/>
      </c>
    </row>
    <row r="891">
      <c r="A891" s="37" t="n">
        <v>35716</v>
      </c>
      <c r="B891" s="84" t="n">
        <v>3977.5</v>
      </c>
      <c r="C891" s="39">
        <f>(Table26[[#This Row],[M2 Money Stock, Billions of Dollars, Weekly, Seasonally Adjusted]]-B890)/B890</f>
        <v/>
      </c>
      <c r="D891" s="40">
        <f>((1+Table26[[#This Row],[Weekly change]])^52)-1</f>
        <v/>
      </c>
      <c r="E891" s="85">
        <f>(Table26[[#This Row],[M2 Money Stock, Billions of Dollars, Weekly, Seasonally Adjusted]]-B839)/B839</f>
        <v/>
      </c>
    </row>
    <row r="892">
      <c r="A892" s="37" t="n">
        <v>35723</v>
      </c>
      <c r="B892" s="84" t="n">
        <v>3984</v>
      </c>
      <c r="C892" s="39">
        <f>(Table26[[#This Row],[M2 Money Stock, Billions of Dollars, Weekly, Seasonally Adjusted]]-B891)/B891</f>
        <v/>
      </c>
      <c r="D892" s="40">
        <f>((1+Table26[[#This Row],[Weekly change]])^52)-1</f>
        <v/>
      </c>
      <c r="E892" s="85">
        <f>(Table26[[#This Row],[M2 Money Stock, Billions of Dollars, Weekly, Seasonally Adjusted]]-B840)/B840</f>
        <v/>
      </c>
    </row>
    <row r="893">
      <c r="A893" s="37" t="n">
        <v>35730</v>
      </c>
      <c r="B893" s="84" t="n">
        <v>3983.8</v>
      </c>
      <c r="C893" s="39">
        <f>(Table26[[#This Row],[M2 Money Stock, Billions of Dollars, Weekly, Seasonally Adjusted]]-B892)/B892</f>
        <v/>
      </c>
      <c r="D893" s="40">
        <f>((1+Table26[[#This Row],[Weekly change]])^52)-1</f>
        <v/>
      </c>
      <c r="E893" s="85">
        <f>(Table26[[#This Row],[M2 Money Stock, Billions of Dollars, Weekly, Seasonally Adjusted]]-B841)/B841</f>
        <v/>
      </c>
    </row>
    <row r="894">
      <c r="A894" s="37" t="n">
        <v>35737</v>
      </c>
      <c r="B894" s="84" t="n">
        <v>3992.3</v>
      </c>
      <c r="C894" s="39">
        <f>(Table26[[#This Row],[M2 Money Stock, Billions of Dollars, Weekly, Seasonally Adjusted]]-B893)/B893</f>
        <v/>
      </c>
      <c r="D894" s="40">
        <f>((1+Table26[[#This Row],[Weekly change]])^52)-1</f>
        <v/>
      </c>
      <c r="E894" s="85">
        <f>(Table26[[#This Row],[M2 Money Stock, Billions of Dollars, Weekly, Seasonally Adjusted]]-B842)/B842</f>
        <v/>
      </c>
    </row>
    <row r="895">
      <c r="A895" s="37" t="n">
        <v>35744</v>
      </c>
      <c r="B895" s="84" t="n">
        <v>4001.2</v>
      </c>
      <c r="C895" s="39">
        <f>(Table26[[#This Row],[M2 Money Stock, Billions of Dollars, Weekly, Seasonally Adjusted]]-B894)/B894</f>
        <v/>
      </c>
      <c r="D895" s="40">
        <f>((1+Table26[[#This Row],[Weekly change]])^52)-1</f>
        <v/>
      </c>
      <c r="E895" s="85">
        <f>(Table26[[#This Row],[M2 Money Stock, Billions of Dollars, Weekly, Seasonally Adjusted]]-B843)/B843</f>
        <v/>
      </c>
    </row>
    <row r="896">
      <c r="A896" s="37" t="n">
        <v>35751</v>
      </c>
      <c r="B896" s="84" t="n">
        <v>4000.4</v>
      </c>
      <c r="C896" s="39">
        <f>(Table26[[#This Row],[M2 Money Stock, Billions of Dollars, Weekly, Seasonally Adjusted]]-B895)/B895</f>
        <v/>
      </c>
      <c r="D896" s="40">
        <f>((1+Table26[[#This Row],[Weekly change]])^52)-1</f>
        <v/>
      </c>
      <c r="E896" s="85">
        <f>(Table26[[#This Row],[M2 Money Stock, Billions of Dollars, Weekly, Seasonally Adjusted]]-B844)/B844</f>
        <v/>
      </c>
    </row>
    <row r="897">
      <c r="A897" s="37" t="n">
        <v>35758</v>
      </c>
      <c r="B897" s="84" t="n">
        <v>4006.8</v>
      </c>
      <c r="C897" s="39">
        <f>(Table26[[#This Row],[M2 Money Stock, Billions of Dollars, Weekly, Seasonally Adjusted]]-B896)/B896</f>
        <v/>
      </c>
      <c r="D897" s="40">
        <f>((1+Table26[[#This Row],[Weekly change]])^52)-1</f>
        <v/>
      </c>
      <c r="E897" s="85">
        <f>(Table26[[#This Row],[M2 Money Stock, Billions of Dollars, Weekly, Seasonally Adjusted]]-B845)/B845</f>
        <v/>
      </c>
    </row>
    <row r="898">
      <c r="A898" s="37" t="n">
        <v>35765</v>
      </c>
      <c r="B898" s="84" t="n">
        <v>4017.2</v>
      </c>
      <c r="C898" s="39">
        <f>(Table26[[#This Row],[M2 Money Stock, Billions of Dollars, Weekly, Seasonally Adjusted]]-B897)/B897</f>
        <v/>
      </c>
      <c r="D898" s="40">
        <f>((1+Table26[[#This Row],[Weekly change]])^52)-1</f>
        <v/>
      </c>
      <c r="E898" s="85">
        <f>(Table26[[#This Row],[M2 Money Stock, Billions of Dollars, Weekly, Seasonally Adjusted]]-B846)/B846</f>
        <v/>
      </c>
    </row>
    <row r="899">
      <c r="A899" s="37" t="n">
        <v>35772</v>
      </c>
      <c r="B899" s="84" t="n">
        <v>4018.7</v>
      </c>
      <c r="C899" s="39">
        <f>(Table26[[#This Row],[M2 Money Stock, Billions of Dollars, Weekly, Seasonally Adjusted]]-B898)/B898</f>
        <v/>
      </c>
      <c r="D899" s="40">
        <f>((1+Table26[[#This Row],[Weekly change]])^52)-1</f>
        <v/>
      </c>
      <c r="E899" s="85">
        <f>(Table26[[#This Row],[M2 Money Stock, Billions of Dollars, Weekly, Seasonally Adjusted]]-B847)/B847</f>
        <v/>
      </c>
    </row>
    <row r="900">
      <c r="A900" s="37" t="n">
        <v>35779</v>
      </c>
      <c r="B900" s="84" t="n">
        <v>4016.6</v>
      </c>
      <c r="C900" s="39">
        <f>(Table26[[#This Row],[M2 Money Stock, Billions of Dollars, Weekly, Seasonally Adjusted]]-B899)/B899</f>
        <v/>
      </c>
      <c r="D900" s="40">
        <f>((1+Table26[[#This Row],[Weekly change]])^52)-1</f>
        <v/>
      </c>
      <c r="E900" s="85">
        <f>(Table26[[#This Row],[M2 Money Stock, Billions of Dollars, Weekly, Seasonally Adjusted]]-B848)/B848</f>
        <v/>
      </c>
    </row>
    <row r="901">
      <c r="A901" s="37" t="n">
        <v>35786</v>
      </c>
      <c r="B901" s="84" t="n">
        <v>4021.1</v>
      </c>
      <c r="C901" s="39">
        <f>(Table26[[#This Row],[M2 Money Stock, Billions of Dollars, Weekly, Seasonally Adjusted]]-B900)/B900</f>
        <v/>
      </c>
      <c r="D901" s="40">
        <f>((1+Table26[[#This Row],[Weekly change]])^52)-1</f>
        <v/>
      </c>
      <c r="E901" s="85">
        <f>(Table26[[#This Row],[M2 Money Stock, Billions of Dollars, Weekly, Seasonally Adjusted]]-B849)/B849</f>
        <v/>
      </c>
    </row>
    <row r="902">
      <c r="A902" s="37" t="n">
        <v>35793</v>
      </c>
      <c r="B902" s="84" t="n">
        <v>4029.2</v>
      </c>
      <c r="C902" s="39">
        <f>(Table26[[#This Row],[M2 Money Stock, Billions of Dollars, Weekly, Seasonally Adjusted]]-B901)/B901</f>
        <v/>
      </c>
      <c r="D902" s="40">
        <f>((1+Table26[[#This Row],[Weekly change]])^52)-1</f>
        <v/>
      </c>
      <c r="E902" s="85">
        <f>(Table26[[#This Row],[M2 Money Stock, Billions of Dollars, Weekly, Seasonally Adjusted]]-B850)/B850</f>
        <v/>
      </c>
    </row>
    <row r="903">
      <c r="A903" s="37" t="n">
        <v>35800</v>
      </c>
      <c r="B903" s="84" t="n">
        <v>4044.8</v>
      </c>
      <c r="C903" s="39">
        <f>(Table26[[#This Row],[M2 Money Stock, Billions of Dollars, Weekly, Seasonally Adjusted]]-B902)/B902</f>
        <v/>
      </c>
      <c r="D903" s="40">
        <f>((1+Table26[[#This Row],[Weekly change]])^52)-1</f>
        <v/>
      </c>
      <c r="E903" s="85">
        <f>(Table26[[#This Row],[M2 Money Stock, Billions of Dollars, Weekly, Seasonally Adjusted]]-B851)/B851</f>
        <v/>
      </c>
    </row>
    <row r="904">
      <c r="A904" s="37" t="n">
        <v>35807</v>
      </c>
      <c r="B904" s="84" t="n">
        <v>4042.8</v>
      </c>
      <c r="C904" s="39">
        <f>(Table26[[#This Row],[M2 Money Stock, Billions of Dollars, Weekly, Seasonally Adjusted]]-B903)/B903</f>
        <v/>
      </c>
      <c r="D904" s="40">
        <f>((1+Table26[[#This Row],[Weekly change]])^52)-1</f>
        <v/>
      </c>
      <c r="E904" s="85">
        <f>(Table26[[#This Row],[M2 Money Stock, Billions of Dollars, Weekly, Seasonally Adjusted]]-B852)/B852</f>
        <v/>
      </c>
    </row>
    <row r="905">
      <c r="A905" s="37" t="n">
        <v>35814</v>
      </c>
      <c r="B905" s="84" t="n">
        <v>4042.2</v>
      </c>
      <c r="C905" s="39">
        <f>(Table26[[#This Row],[M2 Money Stock, Billions of Dollars, Weekly, Seasonally Adjusted]]-B904)/B904</f>
        <v/>
      </c>
      <c r="D905" s="40">
        <f>((1+Table26[[#This Row],[Weekly change]])^52)-1</f>
        <v/>
      </c>
      <c r="E905" s="85">
        <f>(Table26[[#This Row],[M2 Money Stock, Billions of Dollars, Weekly, Seasonally Adjusted]]-B853)/B853</f>
        <v/>
      </c>
    </row>
    <row r="906">
      <c r="A906" s="37" t="n">
        <v>35821</v>
      </c>
      <c r="B906" s="84" t="n">
        <v>4047.5</v>
      </c>
      <c r="C906" s="39">
        <f>(Table26[[#This Row],[M2 Money Stock, Billions of Dollars, Weekly, Seasonally Adjusted]]-B905)/B905</f>
        <v/>
      </c>
      <c r="D906" s="40">
        <f>((1+Table26[[#This Row],[Weekly change]])^52)-1</f>
        <v/>
      </c>
      <c r="E906" s="85">
        <f>(Table26[[#This Row],[M2 Money Stock, Billions of Dollars, Weekly, Seasonally Adjusted]]-B854)/B854</f>
        <v/>
      </c>
    </row>
    <row r="907">
      <c r="A907" s="37" t="n">
        <v>35828</v>
      </c>
      <c r="B907" s="84" t="n">
        <v>4055.6</v>
      </c>
      <c r="C907" s="39">
        <f>(Table26[[#This Row],[M2 Money Stock, Billions of Dollars, Weekly, Seasonally Adjusted]]-B906)/B906</f>
        <v/>
      </c>
      <c r="D907" s="40">
        <f>((1+Table26[[#This Row],[Weekly change]])^52)-1</f>
        <v/>
      </c>
      <c r="E907" s="85">
        <f>(Table26[[#This Row],[M2 Money Stock, Billions of Dollars, Weekly, Seasonally Adjusted]]-B855)/B855</f>
        <v/>
      </c>
    </row>
    <row r="908">
      <c r="A908" s="37" t="n">
        <v>35835</v>
      </c>
      <c r="B908" s="84" t="n">
        <v>4070.3</v>
      </c>
      <c r="C908" s="39">
        <f>(Table26[[#This Row],[M2 Money Stock, Billions of Dollars, Weekly, Seasonally Adjusted]]-B907)/B907</f>
        <v/>
      </c>
      <c r="D908" s="40">
        <f>((1+Table26[[#This Row],[Weekly change]])^52)-1</f>
        <v/>
      </c>
      <c r="E908" s="85">
        <f>(Table26[[#This Row],[M2 Money Stock, Billions of Dollars, Weekly, Seasonally Adjusted]]-B856)/B856</f>
        <v/>
      </c>
    </row>
    <row r="909">
      <c r="A909" s="37" t="n">
        <v>35842</v>
      </c>
      <c r="B909" s="84" t="n">
        <v>4076</v>
      </c>
      <c r="C909" s="39">
        <f>(Table26[[#This Row],[M2 Money Stock, Billions of Dollars, Weekly, Seasonally Adjusted]]-B908)/B908</f>
        <v/>
      </c>
      <c r="D909" s="40">
        <f>((1+Table26[[#This Row],[Weekly change]])^52)-1</f>
        <v/>
      </c>
      <c r="E909" s="85">
        <f>(Table26[[#This Row],[M2 Money Stock, Billions of Dollars, Weekly, Seasonally Adjusted]]-B857)/B857</f>
        <v/>
      </c>
    </row>
    <row r="910">
      <c r="A910" s="37" t="n">
        <v>35849</v>
      </c>
      <c r="B910" s="84" t="n">
        <v>4086</v>
      </c>
      <c r="C910" s="39">
        <f>(Table26[[#This Row],[M2 Money Stock, Billions of Dollars, Weekly, Seasonally Adjusted]]-B909)/B909</f>
        <v/>
      </c>
      <c r="D910" s="40">
        <f>((1+Table26[[#This Row],[Weekly change]])^52)-1</f>
        <v/>
      </c>
      <c r="E910" s="85">
        <f>(Table26[[#This Row],[M2 Money Stock, Billions of Dollars, Weekly, Seasonally Adjusted]]-B858)/B858</f>
        <v/>
      </c>
    </row>
    <row r="911">
      <c r="A911" s="37" t="n">
        <v>35856</v>
      </c>
      <c r="B911" s="84" t="n">
        <v>4094</v>
      </c>
      <c r="C911" s="39">
        <f>(Table26[[#This Row],[M2 Money Stock, Billions of Dollars, Weekly, Seasonally Adjusted]]-B910)/B910</f>
        <v/>
      </c>
      <c r="D911" s="40">
        <f>((1+Table26[[#This Row],[Weekly change]])^52)-1</f>
        <v/>
      </c>
      <c r="E911" s="85">
        <f>(Table26[[#This Row],[M2 Money Stock, Billions of Dollars, Weekly, Seasonally Adjusted]]-B859)/B859</f>
        <v/>
      </c>
    </row>
    <row r="912">
      <c r="A912" s="37" t="n">
        <v>35863</v>
      </c>
      <c r="B912" s="84" t="n">
        <v>4106.1</v>
      </c>
      <c r="C912" s="39">
        <f>(Table26[[#This Row],[M2 Money Stock, Billions of Dollars, Weekly, Seasonally Adjusted]]-B911)/B911</f>
        <v/>
      </c>
      <c r="D912" s="40">
        <f>((1+Table26[[#This Row],[Weekly change]])^52)-1</f>
        <v/>
      </c>
      <c r="E912" s="85">
        <f>(Table26[[#This Row],[M2 Money Stock, Billions of Dollars, Weekly, Seasonally Adjusted]]-B860)/B860</f>
        <v/>
      </c>
    </row>
    <row r="913">
      <c r="A913" s="37" t="n">
        <v>35870</v>
      </c>
      <c r="B913" s="84" t="n">
        <v>4107</v>
      </c>
      <c r="C913" s="39">
        <f>(Table26[[#This Row],[M2 Money Stock, Billions of Dollars, Weekly, Seasonally Adjusted]]-B912)/B912</f>
        <v/>
      </c>
      <c r="D913" s="40">
        <f>((1+Table26[[#This Row],[Weekly change]])^52)-1</f>
        <v/>
      </c>
      <c r="E913" s="85">
        <f>(Table26[[#This Row],[M2 Money Stock, Billions of Dollars, Weekly, Seasonally Adjusted]]-B861)/B861</f>
        <v/>
      </c>
    </row>
    <row r="914">
      <c r="A914" s="37" t="n">
        <v>35877</v>
      </c>
      <c r="B914" s="84" t="n">
        <v>4102.4</v>
      </c>
      <c r="C914" s="39">
        <f>(Table26[[#This Row],[M2 Money Stock, Billions of Dollars, Weekly, Seasonally Adjusted]]-B913)/B913</f>
        <v/>
      </c>
      <c r="D914" s="40">
        <f>((1+Table26[[#This Row],[Weekly change]])^52)-1</f>
        <v/>
      </c>
      <c r="E914" s="85">
        <f>(Table26[[#This Row],[M2 Money Stock, Billions of Dollars, Weekly, Seasonally Adjusted]]-B862)/B862</f>
        <v/>
      </c>
    </row>
    <row r="915">
      <c r="A915" s="37" t="n">
        <v>35884</v>
      </c>
      <c r="B915" s="84" t="n">
        <v>4101.8</v>
      </c>
      <c r="C915" s="39">
        <f>(Table26[[#This Row],[M2 Money Stock, Billions of Dollars, Weekly, Seasonally Adjusted]]-B914)/B914</f>
        <v/>
      </c>
      <c r="D915" s="40">
        <f>((1+Table26[[#This Row],[Weekly change]])^52)-1</f>
        <v/>
      </c>
      <c r="E915" s="85">
        <f>(Table26[[#This Row],[M2 Money Stock, Billions of Dollars, Weekly, Seasonally Adjusted]]-B863)/B863</f>
        <v/>
      </c>
    </row>
    <row r="916">
      <c r="A916" s="37" t="n">
        <v>35891</v>
      </c>
      <c r="B916" s="84" t="n">
        <v>4125.2</v>
      </c>
      <c r="C916" s="39">
        <f>(Table26[[#This Row],[M2 Money Stock, Billions of Dollars, Weekly, Seasonally Adjusted]]-B915)/B915</f>
        <v/>
      </c>
      <c r="D916" s="40">
        <f>((1+Table26[[#This Row],[Weekly change]])^52)-1</f>
        <v/>
      </c>
      <c r="E916" s="85">
        <f>(Table26[[#This Row],[M2 Money Stock, Billions of Dollars, Weekly, Seasonally Adjusted]]-B864)/B864</f>
        <v/>
      </c>
    </row>
    <row r="917">
      <c r="A917" s="37" t="n">
        <v>35898</v>
      </c>
      <c r="B917" s="84" t="n">
        <v>4128.9</v>
      </c>
      <c r="C917" s="39">
        <f>(Table26[[#This Row],[M2 Money Stock, Billions of Dollars, Weekly, Seasonally Adjusted]]-B916)/B916</f>
        <v/>
      </c>
      <c r="D917" s="40">
        <f>((1+Table26[[#This Row],[Weekly change]])^52)-1</f>
        <v/>
      </c>
      <c r="E917" s="85">
        <f>(Table26[[#This Row],[M2 Money Stock, Billions of Dollars, Weekly, Seasonally Adjusted]]-B865)/B865</f>
        <v/>
      </c>
    </row>
    <row r="918">
      <c r="A918" s="37" t="n">
        <v>35905</v>
      </c>
      <c r="B918" s="84" t="n">
        <v>4133.2</v>
      </c>
      <c r="C918" s="39">
        <f>(Table26[[#This Row],[M2 Money Stock, Billions of Dollars, Weekly, Seasonally Adjusted]]-B917)/B917</f>
        <v/>
      </c>
      <c r="D918" s="40">
        <f>((1+Table26[[#This Row],[Weekly change]])^52)-1</f>
        <v/>
      </c>
      <c r="E918" s="85">
        <f>(Table26[[#This Row],[M2 Money Stock, Billions of Dollars, Weekly, Seasonally Adjusted]]-B866)/B866</f>
        <v/>
      </c>
    </row>
    <row r="919">
      <c r="A919" s="37" t="n">
        <v>35912</v>
      </c>
      <c r="B919" s="84" t="n">
        <v>4128.3</v>
      </c>
      <c r="C919" s="39">
        <f>(Table26[[#This Row],[M2 Money Stock, Billions of Dollars, Weekly, Seasonally Adjusted]]-B918)/B918</f>
        <v/>
      </c>
      <c r="D919" s="40">
        <f>((1+Table26[[#This Row],[Weekly change]])^52)-1</f>
        <v/>
      </c>
      <c r="E919" s="85">
        <f>(Table26[[#This Row],[M2 Money Stock, Billions of Dollars, Weekly, Seasonally Adjusted]]-B867)/B867</f>
        <v/>
      </c>
    </row>
    <row r="920">
      <c r="A920" s="37" t="n">
        <v>35919</v>
      </c>
      <c r="B920" s="84" t="n">
        <v>4139.9</v>
      </c>
      <c r="C920" s="39">
        <f>(Table26[[#This Row],[M2 Money Stock, Billions of Dollars, Weekly, Seasonally Adjusted]]-B919)/B919</f>
        <v/>
      </c>
      <c r="D920" s="40">
        <f>((1+Table26[[#This Row],[Weekly change]])^52)-1</f>
        <v/>
      </c>
      <c r="E920" s="85">
        <f>(Table26[[#This Row],[M2 Money Stock, Billions of Dollars, Weekly, Seasonally Adjusted]]-B868)/B868</f>
        <v/>
      </c>
    </row>
    <row r="921">
      <c r="A921" s="37" t="n">
        <v>35926</v>
      </c>
      <c r="B921" s="84" t="n">
        <v>4148.4</v>
      </c>
      <c r="C921" s="39">
        <f>(Table26[[#This Row],[M2 Money Stock, Billions of Dollars, Weekly, Seasonally Adjusted]]-B920)/B920</f>
        <v/>
      </c>
      <c r="D921" s="40">
        <f>((1+Table26[[#This Row],[Weekly change]])^52)-1</f>
        <v/>
      </c>
      <c r="E921" s="85">
        <f>(Table26[[#This Row],[M2 Money Stock, Billions of Dollars, Weekly, Seasonally Adjusted]]-B869)/B869</f>
        <v/>
      </c>
    </row>
    <row r="922">
      <c r="A922" s="37" t="n">
        <v>35933</v>
      </c>
      <c r="B922" s="84" t="n">
        <v>4152.1</v>
      </c>
      <c r="C922" s="39">
        <f>(Table26[[#This Row],[M2 Money Stock, Billions of Dollars, Weekly, Seasonally Adjusted]]-B921)/B921</f>
        <v/>
      </c>
      <c r="D922" s="40">
        <f>((1+Table26[[#This Row],[Weekly change]])^52)-1</f>
        <v/>
      </c>
      <c r="E922" s="85">
        <f>(Table26[[#This Row],[M2 Money Stock, Billions of Dollars, Weekly, Seasonally Adjusted]]-B870)/B870</f>
        <v/>
      </c>
    </row>
    <row r="923">
      <c r="A923" s="37" t="n">
        <v>35940</v>
      </c>
      <c r="B923" s="84" t="n">
        <v>4156.1</v>
      </c>
      <c r="C923" s="39">
        <f>(Table26[[#This Row],[M2 Money Stock, Billions of Dollars, Weekly, Seasonally Adjusted]]-B922)/B922</f>
        <v/>
      </c>
      <c r="D923" s="40">
        <f>((1+Table26[[#This Row],[Weekly change]])^52)-1</f>
        <v/>
      </c>
      <c r="E923" s="85">
        <f>(Table26[[#This Row],[M2 Money Stock, Billions of Dollars, Weekly, Seasonally Adjusted]]-B871)/B871</f>
        <v/>
      </c>
    </row>
    <row r="924">
      <c r="A924" s="37" t="n">
        <v>35947</v>
      </c>
      <c r="B924" s="84" t="n">
        <v>4169.6</v>
      </c>
      <c r="C924" s="39">
        <f>(Table26[[#This Row],[M2 Money Stock, Billions of Dollars, Weekly, Seasonally Adjusted]]-B923)/B923</f>
        <v/>
      </c>
      <c r="D924" s="40">
        <f>((1+Table26[[#This Row],[Weekly change]])^52)-1</f>
        <v/>
      </c>
      <c r="E924" s="85">
        <f>(Table26[[#This Row],[M2 Money Stock, Billions of Dollars, Weekly, Seasonally Adjusted]]-B872)/B872</f>
        <v/>
      </c>
    </row>
    <row r="925">
      <c r="A925" s="37" t="n">
        <v>35954</v>
      </c>
      <c r="B925" s="84" t="n">
        <v>4173.6</v>
      </c>
      <c r="C925" s="39">
        <f>(Table26[[#This Row],[M2 Money Stock, Billions of Dollars, Weekly, Seasonally Adjusted]]-B924)/B924</f>
        <v/>
      </c>
      <c r="D925" s="40">
        <f>((1+Table26[[#This Row],[Weekly change]])^52)-1</f>
        <v/>
      </c>
      <c r="E925" s="85">
        <f>(Table26[[#This Row],[M2 Money Stock, Billions of Dollars, Weekly, Seasonally Adjusted]]-B873)/B873</f>
        <v/>
      </c>
    </row>
    <row r="926">
      <c r="A926" s="37" t="n">
        <v>35961</v>
      </c>
      <c r="B926" s="84" t="n">
        <v>4174.9</v>
      </c>
      <c r="C926" s="39">
        <f>(Table26[[#This Row],[M2 Money Stock, Billions of Dollars, Weekly, Seasonally Adjusted]]-B925)/B925</f>
        <v/>
      </c>
      <c r="D926" s="40">
        <f>((1+Table26[[#This Row],[Weekly change]])^52)-1</f>
        <v/>
      </c>
      <c r="E926" s="85">
        <f>(Table26[[#This Row],[M2 Money Stock, Billions of Dollars, Weekly, Seasonally Adjusted]]-B874)/B874</f>
        <v/>
      </c>
    </row>
    <row r="927">
      <c r="A927" s="37" t="n">
        <v>35968</v>
      </c>
      <c r="B927" s="84" t="n">
        <v>4172.5</v>
      </c>
      <c r="C927" s="39">
        <f>(Table26[[#This Row],[M2 Money Stock, Billions of Dollars, Weekly, Seasonally Adjusted]]-B926)/B926</f>
        <v/>
      </c>
      <c r="D927" s="40">
        <f>((1+Table26[[#This Row],[Weekly change]])^52)-1</f>
        <v/>
      </c>
      <c r="E927" s="85">
        <f>(Table26[[#This Row],[M2 Money Stock, Billions of Dollars, Weekly, Seasonally Adjusted]]-B875)/B875</f>
        <v/>
      </c>
    </row>
    <row r="928">
      <c r="A928" s="37" t="n">
        <v>35975</v>
      </c>
      <c r="B928" s="84" t="n">
        <v>4171.4</v>
      </c>
      <c r="C928" s="39">
        <f>(Table26[[#This Row],[M2 Money Stock, Billions of Dollars, Weekly, Seasonally Adjusted]]-B927)/B927</f>
        <v/>
      </c>
      <c r="D928" s="40">
        <f>((1+Table26[[#This Row],[Weekly change]])^52)-1</f>
        <v/>
      </c>
      <c r="E928" s="85">
        <f>(Table26[[#This Row],[M2 Money Stock, Billions of Dollars, Weekly, Seasonally Adjusted]]-B876)/B876</f>
        <v/>
      </c>
    </row>
    <row r="929">
      <c r="A929" s="37" t="n">
        <v>35982</v>
      </c>
      <c r="B929" s="84" t="n">
        <v>4197.6</v>
      </c>
      <c r="C929" s="39">
        <f>(Table26[[#This Row],[M2 Money Stock, Billions of Dollars, Weekly, Seasonally Adjusted]]-B928)/B928</f>
        <v/>
      </c>
      <c r="D929" s="40">
        <f>((1+Table26[[#This Row],[Weekly change]])^52)-1</f>
        <v/>
      </c>
      <c r="E929" s="85">
        <f>(Table26[[#This Row],[M2 Money Stock, Billions of Dollars, Weekly, Seasonally Adjusted]]-B877)/B877</f>
        <v/>
      </c>
    </row>
    <row r="930">
      <c r="A930" s="37" t="n">
        <v>35989</v>
      </c>
      <c r="B930" s="84" t="n">
        <v>4187.7</v>
      </c>
      <c r="C930" s="39">
        <f>(Table26[[#This Row],[M2 Money Stock, Billions of Dollars, Weekly, Seasonally Adjusted]]-B929)/B929</f>
        <v/>
      </c>
      <c r="D930" s="40">
        <f>((1+Table26[[#This Row],[Weekly change]])^52)-1</f>
        <v/>
      </c>
      <c r="E930" s="85">
        <f>(Table26[[#This Row],[M2 Money Stock, Billions of Dollars, Weekly, Seasonally Adjusted]]-B878)/B878</f>
        <v/>
      </c>
    </row>
    <row r="931">
      <c r="A931" s="37" t="n">
        <v>35996</v>
      </c>
      <c r="B931" s="84" t="n">
        <v>4192.1</v>
      </c>
      <c r="C931" s="39">
        <f>(Table26[[#This Row],[M2 Money Stock, Billions of Dollars, Weekly, Seasonally Adjusted]]-B930)/B930</f>
        <v/>
      </c>
      <c r="D931" s="40">
        <f>((1+Table26[[#This Row],[Weekly change]])^52)-1</f>
        <v/>
      </c>
      <c r="E931" s="85">
        <f>(Table26[[#This Row],[M2 Money Stock, Billions of Dollars, Weekly, Seasonally Adjusted]]-B879)/B879</f>
        <v/>
      </c>
    </row>
    <row r="932">
      <c r="A932" s="37" t="n">
        <v>36003</v>
      </c>
      <c r="B932" s="84" t="n">
        <v>4193.3</v>
      </c>
      <c r="C932" s="39">
        <f>(Table26[[#This Row],[M2 Money Stock, Billions of Dollars, Weekly, Seasonally Adjusted]]-B931)/B931</f>
        <v/>
      </c>
      <c r="D932" s="40">
        <f>((1+Table26[[#This Row],[Weekly change]])^52)-1</f>
        <v/>
      </c>
      <c r="E932" s="85">
        <f>(Table26[[#This Row],[M2 Money Stock, Billions of Dollars, Weekly, Seasonally Adjusted]]-B880)/B880</f>
        <v/>
      </c>
    </row>
    <row r="933">
      <c r="A933" s="37" t="n">
        <v>36010</v>
      </c>
      <c r="B933" s="84" t="n">
        <v>4200.4</v>
      </c>
      <c r="C933" s="39">
        <f>(Table26[[#This Row],[M2 Money Stock, Billions of Dollars, Weekly, Seasonally Adjusted]]-B932)/B932</f>
        <v/>
      </c>
      <c r="D933" s="40">
        <f>((1+Table26[[#This Row],[Weekly change]])^52)-1</f>
        <v/>
      </c>
      <c r="E933" s="85">
        <f>(Table26[[#This Row],[M2 Money Stock, Billions of Dollars, Weekly, Seasonally Adjusted]]-B881)/B881</f>
        <v/>
      </c>
    </row>
    <row r="934">
      <c r="A934" s="37" t="n">
        <v>36017</v>
      </c>
      <c r="B934" s="84" t="n">
        <v>4217.1</v>
      </c>
      <c r="C934" s="39">
        <f>(Table26[[#This Row],[M2 Money Stock, Billions of Dollars, Weekly, Seasonally Adjusted]]-B933)/B933</f>
        <v/>
      </c>
      <c r="D934" s="40">
        <f>((1+Table26[[#This Row],[Weekly change]])^52)-1</f>
        <v/>
      </c>
      <c r="E934" s="85">
        <f>(Table26[[#This Row],[M2 Money Stock, Billions of Dollars, Weekly, Seasonally Adjusted]]-B882)/B882</f>
        <v/>
      </c>
    </row>
    <row r="935">
      <c r="A935" s="37" t="n">
        <v>36024</v>
      </c>
      <c r="B935" s="84" t="n">
        <v>4215.8</v>
      </c>
      <c r="C935" s="39">
        <f>(Table26[[#This Row],[M2 Money Stock, Billions of Dollars, Weekly, Seasonally Adjusted]]-B934)/B934</f>
        <v/>
      </c>
      <c r="D935" s="40">
        <f>((1+Table26[[#This Row],[Weekly change]])^52)-1</f>
        <v/>
      </c>
      <c r="E935" s="85">
        <f>(Table26[[#This Row],[M2 Money Stock, Billions of Dollars, Weekly, Seasonally Adjusted]]-B883)/B883</f>
        <v/>
      </c>
    </row>
    <row r="936">
      <c r="A936" s="37" t="n">
        <v>36031</v>
      </c>
      <c r="B936" s="84" t="n">
        <v>4220.1</v>
      </c>
      <c r="C936" s="39">
        <f>(Table26[[#This Row],[M2 Money Stock, Billions of Dollars, Weekly, Seasonally Adjusted]]-B935)/B935</f>
        <v/>
      </c>
      <c r="D936" s="40">
        <f>((1+Table26[[#This Row],[Weekly change]])^52)-1</f>
        <v/>
      </c>
      <c r="E936" s="85">
        <f>(Table26[[#This Row],[M2 Money Stock, Billions of Dollars, Weekly, Seasonally Adjusted]]-B884)/B884</f>
        <v/>
      </c>
    </row>
    <row r="937">
      <c r="A937" s="37" t="n">
        <v>36038</v>
      </c>
      <c r="B937" s="84" t="n">
        <v>4228.6</v>
      </c>
      <c r="C937" s="39">
        <f>(Table26[[#This Row],[M2 Money Stock, Billions of Dollars, Weekly, Seasonally Adjusted]]-B936)/B936</f>
        <v/>
      </c>
      <c r="D937" s="40">
        <f>((1+Table26[[#This Row],[Weekly change]])^52)-1</f>
        <v/>
      </c>
      <c r="E937" s="85">
        <f>(Table26[[#This Row],[M2 Money Stock, Billions of Dollars, Weekly, Seasonally Adjusted]]-B885)/B885</f>
        <v/>
      </c>
    </row>
    <row r="938">
      <c r="A938" s="37" t="n">
        <v>36045</v>
      </c>
      <c r="B938" s="84" t="n">
        <v>4249.7</v>
      </c>
      <c r="C938" s="39">
        <f>(Table26[[#This Row],[M2 Money Stock, Billions of Dollars, Weekly, Seasonally Adjusted]]-B937)/B937</f>
        <v/>
      </c>
      <c r="D938" s="40">
        <f>((1+Table26[[#This Row],[Weekly change]])^52)-1</f>
        <v/>
      </c>
      <c r="E938" s="85">
        <f>(Table26[[#This Row],[M2 Money Stock, Billions of Dollars, Weekly, Seasonally Adjusted]]-B886)/B886</f>
        <v/>
      </c>
    </row>
    <row r="939">
      <c r="A939" s="37" t="n">
        <v>36052</v>
      </c>
      <c r="B939" s="84" t="n">
        <v>4257.5</v>
      </c>
      <c r="C939" s="39">
        <f>(Table26[[#This Row],[M2 Money Stock, Billions of Dollars, Weekly, Seasonally Adjusted]]-B938)/B938</f>
        <v/>
      </c>
      <c r="D939" s="40">
        <f>((1+Table26[[#This Row],[Weekly change]])^52)-1</f>
        <v/>
      </c>
      <c r="E939" s="85">
        <f>(Table26[[#This Row],[M2 Money Stock, Billions of Dollars, Weekly, Seasonally Adjusted]]-B887)/B887</f>
        <v/>
      </c>
    </row>
    <row r="940">
      <c r="A940" s="37" t="n">
        <v>36059</v>
      </c>
      <c r="B940" s="84" t="n">
        <v>4262</v>
      </c>
      <c r="C940" s="39">
        <f>(Table26[[#This Row],[M2 Money Stock, Billions of Dollars, Weekly, Seasonally Adjusted]]-B939)/B939</f>
        <v/>
      </c>
      <c r="D940" s="40">
        <f>((1+Table26[[#This Row],[Weekly change]])^52)-1</f>
        <v/>
      </c>
      <c r="E940" s="85">
        <f>(Table26[[#This Row],[M2 Money Stock, Billions of Dollars, Weekly, Seasonally Adjusted]]-B888)/B888</f>
        <v/>
      </c>
    </row>
    <row r="941">
      <c r="A941" s="37" t="n">
        <v>36066</v>
      </c>
      <c r="B941" s="84" t="n">
        <v>4255.5</v>
      </c>
      <c r="C941" s="39">
        <f>(Table26[[#This Row],[M2 Money Stock, Billions of Dollars, Weekly, Seasonally Adjusted]]-B940)/B940</f>
        <v/>
      </c>
      <c r="D941" s="40">
        <f>((1+Table26[[#This Row],[Weekly change]])^52)-1</f>
        <v/>
      </c>
      <c r="E941" s="85">
        <f>(Table26[[#This Row],[M2 Money Stock, Billions of Dollars, Weekly, Seasonally Adjusted]]-B889)/B889</f>
        <v/>
      </c>
    </row>
    <row r="942">
      <c r="A942" s="37" t="n">
        <v>36073</v>
      </c>
      <c r="B942" s="84" t="n">
        <v>4274.3</v>
      </c>
      <c r="C942" s="39">
        <f>(Table26[[#This Row],[M2 Money Stock, Billions of Dollars, Weekly, Seasonally Adjusted]]-B941)/B941</f>
        <v/>
      </c>
      <c r="D942" s="40">
        <f>((1+Table26[[#This Row],[Weekly change]])^52)-1</f>
        <v/>
      </c>
      <c r="E942" s="85">
        <f>(Table26[[#This Row],[M2 Money Stock, Billions of Dollars, Weekly, Seasonally Adjusted]]-B890)/B890</f>
        <v/>
      </c>
    </row>
    <row r="943">
      <c r="A943" s="37" t="n">
        <v>36080</v>
      </c>
      <c r="B943" s="84" t="n">
        <v>4285.6</v>
      </c>
      <c r="C943" s="39">
        <f>(Table26[[#This Row],[M2 Money Stock, Billions of Dollars, Weekly, Seasonally Adjusted]]-B942)/B942</f>
        <v/>
      </c>
      <c r="D943" s="40">
        <f>((1+Table26[[#This Row],[Weekly change]])^52)-1</f>
        <v/>
      </c>
      <c r="E943" s="85">
        <f>(Table26[[#This Row],[M2 Money Stock, Billions of Dollars, Weekly, Seasonally Adjusted]]-B891)/B891</f>
        <v/>
      </c>
    </row>
    <row r="944">
      <c r="A944" s="37" t="n">
        <v>36087</v>
      </c>
      <c r="B944" s="84" t="n">
        <v>4297.2</v>
      </c>
      <c r="C944" s="39">
        <f>(Table26[[#This Row],[M2 Money Stock, Billions of Dollars, Weekly, Seasonally Adjusted]]-B943)/B943</f>
        <v/>
      </c>
      <c r="D944" s="40">
        <f>((1+Table26[[#This Row],[Weekly change]])^52)-1</f>
        <v/>
      </c>
      <c r="E944" s="85">
        <f>(Table26[[#This Row],[M2 Money Stock, Billions of Dollars, Weekly, Seasonally Adjusted]]-B892)/B892</f>
        <v/>
      </c>
    </row>
    <row r="945">
      <c r="A945" s="37" t="n">
        <v>36094</v>
      </c>
      <c r="B945" s="84" t="n">
        <v>4311.4</v>
      </c>
      <c r="C945" s="39">
        <f>(Table26[[#This Row],[M2 Money Stock, Billions of Dollars, Weekly, Seasonally Adjusted]]-B944)/B944</f>
        <v/>
      </c>
      <c r="D945" s="40">
        <f>((1+Table26[[#This Row],[Weekly change]])^52)-1</f>
        <v/>
      </c>
      <c r="E945" s="85">
        <f>(Table26[[#This Row],[M2 Money Stock, Billions of Dollars, Weekly, Seasonally Adjusted]]-B893)/B893</f>
        <v/>
      </c>
    </row>
    <row r="946">
      <c r="A946" s="37" t="n">
        <v>36101</v>
      </c>
      <c r="B946" s="84" t="n">
        <v>4318.2</v>
      </c>
      <c r="C946" s="39">
        <f>(Table26[[#This Row],[M2 Money Stock, Billions of Dollars, Weekly, Seasonally Adjusted]]-B945)/B945</f>
        <v/>
      </c>
      <c r="D946" s="40">
        <f>((1+Table26[[#This Row],[Weekly change]])^52)-1</f>
        <v/>
      </c>
      <c r="E946" s="85">
        <f>(Table26[[#This Row],[M2 Money Stock, Billions of Dollars, Weekly, Seasonally Adjusted]]-B894)/B894</f>
        <v/>
      </c>
    </row>
    <row r="947">
      <c r="A947" s="37" t="n">
        <v>36108</v>
      </c>
      <c r="B947" s="84" t="n">
        <v>4335.1</v>
      </c>
      <c r="C947" s="39">
        <f>(Table26[[#This Row],[M2 Money Stock, Billions of Dollars, Weekly, Seasonally Adjusted]]-B946)/B946</f>
        <v/>
      </c>
      <c r="D947" s="40">
        <f>((1+Table26[[#This Row],[Weekly change]])^52)-1</f>
        <v/>
      </c>
      <c r="E947" s="85">
        <f>(Table26[[#This Row],[M2 Money Stock, Billions of Dollars, Weekly, Seasonally Adjusted]]-B895)/B895</f>
        <v/>
      </c>
    </row>
    <row r="948">
      <c r="A948" s="37" t="n">
        <v>36115</v>
      </c>
      <c r="B948" s="84" t="n">
        <v>4338.4</v>
      </c>
      <c r="C948" s="39">
        <f>(Table26[[#This Row],[M2 Money Stock, Billions of Dollars, Weekly, Seasonally Adjusted]]-B947)/B947</f>
        <v/>
      </c>
      <c r="D948" s="40">
        <f>((1+Table26[[#This Row],[Weekly change]])^52)-1</f>
        <v/>
      </c>
      <c r="E948" s="85">
        <f>(Table26[[#This Row],[M2 Money Stock, Billions of Dollars, Weekly, Seasonally Adjusted]]-B896)/B896</f>
        <v/>
      </c>
    </row>
    <row r="949">
      <c r="A949" s="37" t="n">
        <v>36122</v>
      </c>
      <c r="B949" s="84" t="n">
        <v>4336.9</v>
      </c>
      <c r="C949" s="39">
        <f>(Table26[[#This Row],[M2 Money Stock, Billions of Dollars, Weekly, Seasonally Adjusted]]-B948)/B948</f>
        <v/>
      </c>
      <c r="D949" s="40">
        <f>((1+Table26[[#This Row],[Weekly change]])^52)-1</f>
        <v/>
      </c>
      <c r="E949" s="85">
        <f>(Table26[[#This Row],[M2 Money Stock, Billions of Dollars, Weekly, Seasonally Adjusted]]-B897)/B897</f>
        <v/>
      </c>
    </row>
    <row r="950">
      <c r="A950" s="37" t="n">
        <v>36129</v>
      </c>
      <c r="B950" s="84" t="n">
        <v>4339.1</v>
      </c>
      <c r="C950" s="39">
        <f>(Table26[[#This Row],[M2 Money Stock, Billions of Dollars, Weekly, Seasonally Adjusted]]-B949)/B949</f>
        <v/>
      </c>
      <c r="D950" s="40">
        <f>((1+Table26[[#This Row],[Weekly change]])^52)-1</f>
        <v/>
      </c>
      <c r="E950" s="85">
        <f>(Table26[[#This Row],[M2 Money Stock, Billions of Dollars, Weekly, Seasonally Adjusted]]-B898)/B898</f>
        <v/>
      </c>
    </row>
    <row r="951">
      <c r="A951" s="37" t="n">
        <v>36136</v>
      </c>
      <c r="B951" s="84" t="n">
        <v>4358</v>
      </c>
      <c r="C951" s="39">
        <f>(Table26[[#This Row],[M2 Money Stock, Billions of Dollars, Weekly, Seasonally Adjusted]]-B950)/B950</f>
        <v/>
      </c>
      <c r="D951" s="40">
        <f>((1+Table26[[#This Row],[Weekly change]])^52)-1</f>
        <v/>
      </c>
      <c r="E951" s="85">
        <f>(Table26[[#This Row],[M2 Money Stock, Billions of Dollars, Weekly, Seasonally Adjusted]]-B899)/B899</f>
        <v/>
      </c>
    </row>
    <row r="952">
      <c r="A952" s="37" t="n">
        <v>36143</v>
      </c>
      <c r="B952" s="84" t="n">
        <v>4360</v>
      </c>
      <c r="C952" s="39">
        <f>(Table26[[#This Row],[M2 Money Stock, Billions of Dollars, Weekly, Seasonally Adjusted]]-B951)/B951</f>
        <v/>
      </c>
      <c r="D952" s="40">
        <f>((1+Table26[[#This Row],[Weekly change]])^52)-1</f>
        <v/>
      </c>
      <c r="E952" s="85">
        <f>(Table26[[#This Row],[M2 Money Stock, Billions of Dollars, Weekly, Seasonally Adjusted]]-B900)/B900</f>
        <v/>
      </c>
    </row>
    <row r="953">
      <c r="A953" s="37" t="n">
        <v>36150</v>
      </c>
      <c r="B953" s="84" t="n">
        <v>4364.2</v>
      </c>
      <c r="C953" s="39">
        <f>(Table26[[#This Row],[M2 Money Stock, Billions of Dollars, Weekly, Seasonally Adjusted]]-B952)/B952</f>
        <v/>
      </c>
      <c r="D953" s="40">
        <f>((1+Table26[[#This Row],[Weekly change]])^52)-1</f>
        <v/>
      </c>
      <c r="E953" s="85">
        <f>(Table26[[#This Row],[M2 Money Stock, Billions of Dollars, Weekly, Seasonally Adjusted]]-B901)/B901</f>
        <v/>
      </c>
    </row>
    <row r="954">
      <c r="A954" s="37" t="n">
        <v>36157</v>
      </c>
      <c r="B954" s="84" t="n">
        <v>4369.8</v>
      </c>
      <c r="C954" s="39">
        <f>(Table26[[#This Row],[M2 Money Stock, Billions of Dollars, Weekly, Seasonally Adjusted]]-B953)/B953</f>
        <v/>
      </c>
      <c r="D954" s="40">
        <f>((1+Table26[[#This Row],[Weekly change]])^52)-1</f>
        <v/>
      </c>
      <c r="E954" s="85">
        <f>(Table26[[#This Row],[M2 Money Stock, Billions of Dollars, Weekly, Seasonally Adjusted]]-B902)/B902</f>
        <v/>
      </c>
    </row>
    <row r="955">
      <c r="A955" s="37" t="n">
        <v>36164</v>
      </c>
      <c r="B955" s="84" t="n">
        <v>4384</v>
      </c>
      <c r="C955" s="39">
        <f>(Table26[[#This Row],[M2 Money Stock, Billions of Dollars, Weekly, Seasonally Adjusted]]-B954)/B954</f>
        <v/>
      </c>
      <c r="D955" s="40">
        <f>((1+Table26[[#This Row],[Weekly change]])^52)-1</f>
        <v/>
      </c>
      <c r="E955" s="85">
        <f>(Table26[[#This Row],[M2 Money Stock, Billions of Dollars, Weekly, Seasonally Adjusted]]-B903)/B903</f>
        <v/>
      </c>
    </row>
    <row r="956">
      <c r="A956" s="37" t="n">
        <v>36171</v>
      </c>
      <c r="B956" s="84" t="n">
        <v>4388.4</v>
      </c>
      <c r="C956" s="39">
        <f>(Table26[[#This Row],[M2 Money Stock, Billions of Dollars, Weekly, Seasonally Adjusted]]-B955)/B955</f>
        <v/>
      </c>
      <c r="D956" s="40">
        <f>((1+Table26[[#This Row],[Weekly change]])^52)-1</f>
        <v/>
      </c>
      <c r="E956" s="85">
        <f>(Table26[[#This Row],[M2 Money Stock, Billions of Dollars, Weekly, Seasonally Adjusted]]-B904)/B904</f>
        <v/>
      </c>
    </row>
    <row r="957">
      <c r="A957" s="37" t="n">
        <v>36178</v>
      </c>
      <c r="B957" s="84" t="n">
        <v>4392.2</v>
      </c>
      <c r="C957" s="39">
        <f>(Table26[[#This Row],[M2 Money Stock, Billions of Dollars, Weekly, Seasonally Adjusted]]-B956)/B956</f>
        <v/>
      </c>
      <c r="D957" s="40">
        <f>((1+Table26[[#This Row],[Weekly change]])^52)-1</f>
        <v/>
      </c>
      <c r="E957" s="85">
        <f>(Table26[[#This Row],[M2 Money Stock, Billions of Dollars, Weekly, Seasonally Adjusted]]-B905)/B905</f>
        <v/>
      </c>
    </row>
    <row r="958">
      <c r="A958" s="37" t="n">
        <v>36185</v>
      </c>
      <c r="B958" s="84" t="n">
        <v>4388.8</v>
      </c>
      <c r="C958" s="39">
        <f>(Table26[[#This Row],[M2 Money Stock, Billions of Dollars, Weekly, Seasonally Adjusted]]-B957)/B957</f>
        <v/>
      </c>
      <c r="D958" s="40">
        <f>((1+Table26[[#This Row],[Weekly change]])^52)-1</f>
        <v/>
      </c>
      <c r="E958" s="85">
        <f>(Table26[[#This Row],[M2 Money Stock, Billions of Dollars, Weekly, Seasonally Adjusted]]-B906)/B906</f>
        <v/>
      </c>
    </row>
    <row r="959">
      <c r="A959" s="37" t="n">
        <v>36192</v>
      </c>
      <c r="B959" s="84" t="n">
        <v>4407.2</v>
      </c>
      <c r="C959" s="39">
        <f>(Table26[[#This Row],[M2 Money Stock, Billions of Dollars, Weekly, Seasonally Adjusted]]-B958)/B958</f>
        <v/>
      </c>
      <c r="D959" s="40">
        <f>((1+Table26[[#This Row],[Weekly change]])^52)-1</f>
        <v/>
      </c>
      <c r="E959" s="85">
        <f>(Table26[[#This Row],[M2 Money Stock, Billions of Dollars, Weekly, Seasonally Adjusted]]-B907)/B907</f>
        <v/>
      </c>
    </row>
    <row r="960">
      <c r="A960" s="37" t="n">
        <v>36199</v>
      </c>
      <c r="B960" s="84" t="n">
        <v>4409.8</v>
      </c>
      <c r="C960" s="39">
        <f>(Table26[[#This Row],[M2 Money Stock, Billions of Dollars, Weekly, Seasonally Adjusted]]-B959)/B959</f>
        <v/>
      </c>
      <c r="D960" s="40">
        <f>((1+Table26[[#This Row],[Weekly change]])^52)-1</f>
        <v/>
      </c>
      <c r="E960" s="85">
        <f>(Table26[[#This Row],[M2 Money Stock, Billions of Dollars, Weekly, Seasonally Adjusted]]-B908)/B908</f>
        <v/>
      </c>
    </row>
    <row r="961">
      <c r="A961" s="37" t="n">
        <v>36206</v>
      </c>
      <c r="B961" s="84" t="n">
        <v>4415.3</v>
      </c>
      <c r="C961" s="39">
        <f>(Table26[[#This Row],[M2 Money Stock, Billions of Dollars, Weekly, Seasonally Adjusted]]-B960)/B960</f>
        <v/>
      </c>
      <c r="D961" s="40">
        <f>((1+Table26[[#This Row],[Weekly change]])^52)-1</f>
        <v/>
      </c>
      <c r="E961" s="85">
        <f>(Table26[[#This Row],[M2 Money Stock, Billions of Dollars, Weekly, Seasonally Adjusted]]-B909)/B909</f>
        <v/>
      </c>
    </row>
    <row r="962">
      <c r="A962" s="37" t="n">
        <v>36213</v>
      </c>
      <c r="B962" s="84" t="n">
        <v>4418.8</v>
      </c>
      <c r="C962" s="39">
        <f>(Table26[[#This Row],[M2 Money Stock, Billions of Dollars, Weekly, Seasonally Adjusted]]-B961)/B961</f>
        <v/>
      </c>
      <c r="D962" s="40">
        <f>((1+Table26[[#This Row],[Weekly change]])^52)-1</f>
        <v/>
      </c>
      <c r="E962" s="85">
        <f>(Table26[[#This Row],[M2 Money Stock, Billions of Dollars, Weekly, Seasonally Adjusted]]-B910)/B910</f>
        <v/>
      </c>
    </row>
    <row r="963">
      <c r="A963" s="37" t="n">
        <v>36220</v>
      </c>
      <c r="B963" s="84" t="n">
        <v>4418.3</v>
      </c>
      <c r="C963" s="39">
        <f>(Table26[[#This Row],[M2 Money Stock, Billions of Dollars, Weekly, Seasonally Adjusted]]-B962)/B962</f>
        <v/>
      </c>
      <c r="D963" s="40">
        <f>((1+Table26[[#This Row],[Weekly change]])^52)-1</f>
        <v/>
      </c>
      <c r="E963" s="85">
        <f>(Table26[[#This Row],[M2 Money Stock, Billions of Dollars, Weekly, Seasonally Adjusted]]-B911)/B911</f>
        <v/>
      </c>
    </row>
    <row r="964">
      <c r="A964" s="37" t="n">
        <v>36227</v>
      </c>
      <c r="B964" s="84" t="n">
        <v>4420.9</v>
      </c>
      <c r="C964" s="39">
        <f>(Table26[[#This Row],[M2 Money Stock, Billions of Dollars, Weekly, Seasonally Adjusted]]-B963)/B963</f>
        <v/>
      </c>
      <c r="D964" s="40">
        <f>((1+Table26[[#This Row],[Weekly change]])^52)-1</f>
        <v/>
      </c>
      <c r="E964" s="85">
        <f>(Table26[[#This Row],[M2 Money Stock, Billions of Dollars, Weekly, Seasonally Adjusted]]-B912)/B912</f>
        <v/>
      </c>
    </row>
    <row r="965">
      <c r="A965" s="37" t="n">
        <v>36234</v>
      </c>
      <c r="B965" s="84" t="n">
        <v>4417.1</v>
      </c>
      <c r="C965" s="39">
        <f>(Table26[[#This Row],[M2 Money Stock, Billions of Dollars, Weekly, Seasonally Adjusted]]-B964)/B964</f>
        <v/>
      </c>
      <c r="D965" s="40">
        <f>((1+Table26[[#This Row],[Weekly change]])^52)-1</f>
        <v/>
      </c>
      <c r="E965" s="85">
        <f>(Table26[[#This Row],[M2 Money Stock, Billions of Dollars, Weekly, Seasonally Adjusted]]-B913)/B913</f>
        <v/>
      </c>
    </row>
    <row r="966">
      <c r="A966" s="37" t="n">
        <v>36241</v>
      </c>
      <c r="B966" s="84" t="n">
        <v>4419.8</v>
      </c>
      <c r="C966" s="39">
        <f>(Table26[[#This Row],[M2 Money Stock, Billions of Dollars, Weekly, Seasonally Adjusted]]-B965)/B965</f>
        <v/>
      </c>
      <c r="D966" s="40">
        <f>((1+Table26[[#This Row],[Weekly change]])^52)-1</f>
        <v/>
      </c>
      <c r="E966" s="85">
        <f>(Table26[[#This Row],[M2 Money Stock, Billions of Dollars, Weekly, Seasonally Adjusted]]-B914)/B914</f>
        <v/>
      </c>
    </row>
    <row r="967">
      <c r="A967" s="37" t="n">
        <v>36248</v>
      </c>
      <c r="B967" s="84" t="n">
        <v>4425.3</v>
      </c>
      <c r="C967" s="39">
        <f>(Table26[[#This Row],[M2 Money Stock, Billions of Dollars, Weekly, Seasonally Adjusted]]-B966)/B966</f>
        <v/>
      </c>
      <c r="D967" s="40">
        <f>((1+Table26[[#This Row],[Weekly change]])^52)-1</f>
        <v/>
      </c>
      <c r="E967" s="85">
        <f>(Table26[[#This Row],[M2 Money Stock, Billions of Dollars, Weekly, Seasonally Adjusted]]-B915)/B915</f>
        <v/>
      </c>
    </row>
    <row r="968">
      <c r="A968" s="37" t="n">
        <v>36255</v>
      </c>
      <c r="B968" s="84" t="n">
        <v>4440.9</v>
      </c>
      <c r="C968" s="39">
        <f>(Table26[[#This Row],[M2 Money Stock, Billions of Dollars, Weekly, Seasonally Adjusted]]-B967)/B967</f>
        <v/>
      </c>
      <c r="D968" s="40">
        <f>((1+Table26[[#This Row],[Weekly change]])^52)-1</f>
        <v/>
      </c>
      <c r="E968" s="85">
        <f>(Table26[[#This Row],[M2 Money Stock, Billions of Dollars, Weekly, Seasonally Adjusted]]-B916)/B916</f>
        <v/>
      </c>
    </row>
    <row r="969">
      <c r="A969" s="37" t="n">
        <v>36262</v>
      </c>
      <c r="B969" s="84" t="n">
        <v>4444.5</v>
      </c>
      <c r="C969" s="39">
        <f>(Table26[[#This Row],[M2 Money Stock, Billions of Dollars, Weekly, Seasonally Adjusted]]-B968)/B968</f>
        <v/>
      </c>
      <c r="D969" s="40">
        <f>((1+Table26[[#This Row],[Weekly change]])^52)-1</f>
        <v/>
      </c>
      <c r="E969" s="85">
        <f>(Table26[[#This Row],[M2 Money Stock, Billions of Dollars, Weekly, Seasonally Adjusted]]-B917)/B917</f>
        <v/>
      </c>
    </row>
    <row r="970">
      <c r="A970" s="37" t="n">
        <v>36269</v>
      </c>
      <c r="B970" s="84" t="n">
        <v>4453</v>
      </c>
      <c r="C970" s="39">
        <f>(Table26[[#This Row],[M2 Money Stock, Billions of Dollars, Weekly, Seasonally Adjusted]]-B969)/B969</f>
        <v/>
      </c>
      <c r="D970" s="40">
        <f>((1+Table26[[#This Row],[Weekly change]])^52)-1</f>
        <v/>
      </c>
      <c r="E970" s="85">
        <f>(Table26[[#This Row],[M2 Money Stock, Billions of Dollars, Weekly, Seasonally Adjusted]]-B918)/B918</f>
        <v/>
      </c>
    </row>
    <row r="971">
      <c r="A971" s="37" t="n">
        <v>36276</v>
      </c>
      <c r="B971" s="84" t="n">
        <v>4458.9</v>
      </c>
      <c r="C971" s="39">
        <f>(Table26[[#This Row],[M2 Money Stock, Billions of Dollars, Weekly, Seasonally Adjusted]]-B970)/B970</f>
        <v/>
      </c>
      <c r="D971" s="40">
        <f>((1+Table26[[#This Row],[Weekly change]])^52)-1</f>
        <v/>
      </c>
      <c r="E971" s="85">
        <f>(Table26[[#This Row],[M2 Money Stock, Billions of Dollars, Weekly, Seasonally Adjusted]]-B919)/B919</f>
        <v/>
      </c>
    </row>
    <row r="972">
      <c r="A972" s="37" t="n">
        <v>36283</v>
      </c>
      <c r="B972" s="84" t="n">
        <v>4454.5</v>
      </c>
      <c r="C972" s="39">
        <f>(Table26[[#This Row],[M2 Money Stock, Billions of Dollars, Weekly, Seasonally Adjusted]]-B971)/B971</f>
        <v/>
      </c>
      <c r="D972" s="40">
        <f>((1+Table26[[#This Row],[Weekly change]])^52)-1</f>
        <v/>
      </c>
      <c r="E972" s="85">
        <f>(Table26[[#This Row],[M2 Money Stock, Billions of Dollars, Weekly, Seasonally Adjusted]]-B920)/B920</f>
        <v/>
      </c>
    </row>
    <row r="973">
      <c r="A973" s="37" t="n">
        <v>36290</v>
      </c>
      <c r="B973" s="84" t="n">
        <v>4471.7</v>
      </c>
      <c r="C973" s="39">
        <f>(Table26[[#This Row],[M2 Money Stock, Billions of Dollars, Weekly, Seasonally Adjusted]]-B972)/B972</f>
        <v/>
      </c>
      <c r="D973" s="40">
        <f>((1+Table26[[#This Row],[Weekly change]])^52)-1</f>
        <v/>
      </c>
      <c r="E973" s="85">
        <f>(Table26[[#This Row],[M2 Money Stock, Billions of Dollars, Weekly, Seasonally Adjusted]]-B921)/B921</f>
        <v/>
      </c>
    </row>
    <row r="974">
      <c r="A974" s="37" t="n">
        <v>36297</v>
      </c>
      <c r="B974" s="84" t="n">
        <v>4471.6</v>
      </c>
      <c r="C974" s="39">
        <f>(Table26[[#This Row],[M2 Money Stock, Billions of Dollars, Weekly, Seasonally Adjusted]]-B973)/B973</f>
        <v/>
      </c>
      <c r="D974" s="40">
        <f>((1+Table26[[#This Row],[Weekly change]])^52)-1</f>
        <v/>
      </c>
      <c r="E974" s="85">
        <f>(Table26[[#This Row],[M2 Money Stock, Billions of Dollars, Weekly, Seasonally Adjusted]]-B922)/B922</f>
        <v/>
      </c>
    </row>
    <row r="975">
      <c r="A975" s="37" t="n">
        <v>36304</v>
      </c>
      <c r="B975" s="84" t="n">
        <v>4476.8</v>
      </c>
      <c r="C975" s="39">
        <f>(Table26[[#This Row],[M2 Money Stock, Billions of Dollars, Weekly, Seasonally Adjusted]]-B974)/B974</f>
        <v/>
      </c>
      <c r="D975" s="40">
        <f>((1+Table26[[#This Row],[Weekly change]])^52)-1</f>
        <v/>
      </c>
      <c r="E975" s="85">
        <f>(Table26[[#This Row],[M2 Money Stock, Billions of Dollars, Weekly, Seasonally Adjusted]]-B923)/B923</f>
        <v/>
      </c>
    </row>
    <row r="976">
      <c r="A976" s="37" t="n">
        <v>36311</v>
      </c>
      <c r="B976" s="84" t="n">
        <v>4487.9</v>
      </c>
      <c r="C976" s="39">
        <f>(Table26[[#This Row],[M2 Money Stock, Billions of Dollars, Weekly, Seasonally Adjusted]]-B975)/B975</f>
        <v/>
      </c>
      <c r="D976" s="40">
        <f>((1+Table26[[#This Row],[Weekly change]])^52)-1</f>
        <v/>
      </c>
      <c r="E976" s="85">
        <f>(Table26[[#This Row],[M2 Money Stock, Billions of Dollars, Weekly, Seasonally Adjusted]]-B924)/B924</f>
        <v/>
      </c>
    </row>
    <row r="977">
      <c r="A977" s="37" t="n">
        <v>36318</v>
      </c>
      <c r="B977" s="84" t="n">
        <v>4492.4</v>
      </c>
      <c r="C977" s="39">
        <f>(Table26[[#This Row],[M2 Money Stock, Billions of Dollars, Weekly, Seasonally Adjusted]]-B976)/B976</f>
        <v/>
      </c>
      <c r="D977" s="40">
        <f>((1+Table26[[#This Row],[Weekly change]])^52)-1</f>
        <v/>
      </c>
      <c r="E977" s="85">
        <f>(Table26[[#This Row],[M2 Money Stock, Billions of Dollars, Weekly, Seasonally Adjusted]]-B925)/B925</f>
        <v/>
      </c>
    </row>
    <row r="978">
      <c r="A978" s="37" t="n">
        <v>36325</v>
      </c>
      <c r="B978" s="84" t="n">
        <v>4494.1</v>
      </c>
      <c r="C978" s="39">
        <f>(Table26[[#This Row],[M2 Money Stock, Billions of Dollars, Weekly, Seasonally Adjusted]]-B977)/B977</f>
        <v/>
      </c>
      <c r="D978" s="40">
        <f>((1+Table26[[#This Row],[Weekly change]])^52)-1</f>
        <v/>
      </c>
      <c r="E978" s="85">
        <f>(Table26[[#This Row],[M2 Money Stock, Billions of Dollars, Weekly, Seasonally Adjusted]]-B926)/B926</f>
        <v/>
      </c>
    </row>
    <row r="979">
      <c r="A979" s="37" t="n">
        <v>36332</v>
      </c>
      <c r="B979" s="84" t="n">
        <v>4499.3</v>
      </c>
      <c r="C979" s="39">
        <f>(Table26[[#This Row],[M2 Money Stock, Billions of Dollars, Weekly, Seasonally Adjusted]]-B978)/B978</f>
        <v/>
      </c>
      <c r="D979" s="40">
        <f>((1+Table26[[#This Row],[Weekly change]])^52)-1</f>
        <v/>
      </c>
      <c r="E979" s="85">
        <f>(Table26[[#This Row],[M2 Money Stock, Billions of Dollars, Weekly, Seasonally Adjusted]]-B927)/B927</f>
        <v/>
      </c>
    </row>
    <row r="980">
      <c r="A980" s="37" t="n">
        <v>36339</v>
      </c>
      <c r="B980" s="84" t="n">
        <v>4498.3</v>
      </c>
      <c r="C980" s="39">
        <f>(Table26[[#This Row],[M2 Money Stock, Billions of Dollars, Weekly, Seasonally Adjusted]]-B979)/B979</f>
        <v/>
      </c>
      <c r="D980" s="40">
        <f>((1+Table26[[#This Row],[Weekly change]])^52)-1</f>
        <v/>
      </c>
      <c r="E980" s="85">
        <f>(Table26[[#This Row],[M2 Money Stock, Billions of Dollars, Weekly, Seasonally Adjusted]]-B928)/B928</f>
        <v/>
      </c>
    </row>
    <row r="981">
      <c r="A981" s="37" t="n">
        <v>36346</v>
      </c>
      <c r="B981" s="84" t="n">
        <v>4505.6</v>
      </c>
      <c r="C981" s="39">
        <f>(Table26[[#This Row],[M2 Money Stock, Billions of Dollars, Weekly, Seasonally Adjusted]]-B980)/B980</f>
        <v/>
      </c>
      <c r="D981" s="40">
        <f>((1+Table26[[#This Row],[Weekly change]])^52)-1</f>
        <v/>
      </c>
      <c r="E981" s="85">
        <f>(Table26[[#This Row],[M2 Money Stock, Billions of Dollars, Weekly, Seasonally Adjusted]]-B929)/B929</f>
        <v/>
      </c>
    </row>
    <row r="982">
      <c r="A982" s="37" t="n">
        <v>36353</v>
      </c>
      <c r="B982" s="84" t="n">
        <v>4523.6</v>
      </c>
      <c r="C982" s="39">
        <f>(Table26[[#This Row],[M2 Money Stock, Billions of Dollars, Weekly, Seasonally Adjusted]]-B981)/B981</f>
        <v/>
      </c>
      <c r="D982" s="40">
        <f>((1+Table26[[#This Row],[Weekly change]])^52)-1</f>
        <v/>
      </c>
      <c r="E982" s="85">
        <f>(Table26[[#This Row],[M2 Money Stock, Billions of Dollars, Weekly, Seasonally Adjusted]]-B930)/B930</f>
        <v/>
      </c>
    </row>
    <row r="983">
      <c r="A983" s="37" t="n">
        <v>36360</v>
      </c>
      <c r="B983" s="84" t="n">
        <v>4523.2</v>
      </c>
      <c r="C983" s="39">
        <f>(Table26[[#This Row],[M2 Money Stock, Billions of Dollars, Weekly, Seasonally Adjusted]]-B982)/B982</f>
        <v/>
      </c>
      <c r="D983" s="40">
        <f>((1+Table26[[#This Row],[Weekly change]])^52)-1</f>
        <v/>
      </c>
      <c r="E983" s="85">
        <f>(Table26[[#This Row],[M2 Money Stock, Billions of Dollars, Weekly, Seasonally Adjusted]]-B931)/B931</f>
        <v/>
      </c>
    </row>
    <row r="984">
      <c r="A984" s="37" t="n">
        <v>36367</v>
      </c>
      <c r="B984" s="84" t="n">
        <v>4532</v>
      </c>
      <c r="C984" s="39">
        <f>(Table26[[#This Row],[M2 Money Stock, Billions of Dollars, Weekly, Seasonally Adjusted]]-B983)/B983</f>
        <v/>
      </c>
      <c r="D984" s="40">
        <f>((1+Table26[[#This Row],[Weekly change]])^52)-1</f>
        <v/>
      </c>
      <c r="E984" s="85">
        <f>(Table26[[#This Row],[M2 Money Stock, Billions of Dollars, Weekly, Seasonally Adjusted]]-B932)/B932</f>
        <v/>
      </c>
    </row>
    <row r="985">
      <c r="A985" s="37" t="n">
        <v>36374</v>
      </c>
      <c r="B985" s="84" t="n">
        <v>4532.4</v>
      </c>
      <c r="C985" s="39">
        <f>(Table26[[#This Row],[M2 Money Stock, Billions of Dollars, Weekly, Seasonally Adjusted]]-B984)/B984</f>
        <v/>
      </c>
      <c r="D985" s="40">
        <f>((1+Table26[[#This Row],[Weekly change]])^52)-1</f>
        <v/>
      </c>
      <c r="E985" s="85">
        <f>(Table26[[#This Row],[M2 Money Stock, Billions of Dollars, Weekly, Seasonally Adjusted]]-B933)/B933</f>
        <v/>
      </c>
    </row>
    <row r="986">
      <c r="A986" s="37" t="n">
        <v>36381</v>
      </c>
      <c r="B986" s="84" t="n">
        <v>4540.9</v>
      </c>
      <c r="C986" s="39">
        <f>(Table26[[#This Row],[M2 Money Stock, Billions of Dollars, Weekly, Seasonally Adjusted]]-B985)/B985</f>
        <v/>
      </c>
      <c r="D986" s="40">
        <f>((1+Table26[[#This Row],[Weekly change]])^52)-1</f>
        <v/>
      </c>
      <c r="E986" s="85">
        <f>(Table26[[#This Row],[M2 Money Stock, Billions of Dollars, Weekly, Seasonally Adjusted]]-B934)/B934</f>
        <v/>
      </c>
    </row>
    <row r="987">
      <c r="A987" s="37" t="n">
        <v>36388</v>
      </c>
      <c r="B987" s="84" t="n">
        <v>4544.7</v>
      </c>
      <c r="C987" s="39">
        <f>(Table26[[#This Row],[M2 Money Stock, Billions of Dollars, Weekly, Seasonally Adjusted]]-B986)/B986</f>
        <v/>
      </c>
      <c r="D987" s="40">
        <f>((1+Table26[[#This Row],[Weekly change]])^52)-1</f>
        <v/>
      </c>
      <c r="E987" s="85">
        <f>(Table26[[#This Row],[M2 Money Stock, Billions of Dollars, Weekly, Seasonally Adjusted]]-B935)/B935</f>
        <v/>
      </c>
    </row>
    <row r="988">
      <c r="A988" s="37" t="n">
        <v>36395</v>
      </c>
      <c r="B988" s="84" t="n">
        <v>4540.8</v>
      </c>
      <c r="C988" s="39">
        <f>(Table26[[#This Row],[M2 Money Stock, Billions of Dollars, Weekly, Seasonally Adjusted]]-B987)/B987</f>
        <v/>
      </c>
      <c r="D988" s="40">
        <f>((1+Table26[[#This Row],[Weekly change]])^52)-1</f>
        <v/>
      </c>
      <c r="E988" s="85">
        <f>(Table26[[#This Row],[M2 Money Stock, Billions of Dollars, Weekly, Seasonally Adjusted]]-B936)/B936</f>
        <v/>
      </c>
    </row>
    <row r="989">
      <c r="A989" s="37" t="n">
        <v>36402</v>
      </c>
      <c r="B989" s="84" t="n">
        <v>4539.6</v>
      </c>
      <c r="C989" s="39">
        <f>(Table26[[#This Row],[M2 Money Stock, Billions of Dollars, Weekly, Seasonally Adjusted]]-B988)/B988</f>
        <v/>
      </c>
      <c r="D989" s="40">
        <f>((1+Table26[[#This Row],[Weekly change]])^52)-1</f>
        <v/>
      </c>
      <c r="E989" s="85">
        <f>(Table26[[#This Row],[M2 Money Stock, Billions of Dollars, Weekly, Seasonally Adjusted]]-B937)/B937</f>
        <v/>
      </c>
    </row>
    <row r="990">
      <c r="A990" s="37" t="n">
        <v>36409</v>
      </c>
      <c r="B990" s="84" t="n">
        <v>4550.1</v>
      </c>
      <c r="C990" s="39">
        <f>(Table26[[#This Row],[M2 Money Stock, Billions of Dollars, Weekly, Seasonally Adjusted]]-B989)/B989</f>
        <v/>
      </c>
      <c r="D990" s="40">
        <f>((1+Table26[[#This Row],[Weekly change]])^52)-1</f>
        <v/>
      </c>
      <c r="E990" s="85">
        <f>(Table26[[#This Row],[M2 Money Stock, Billions of Dollars, Weekly, Seasonally Adjusted]]-B938)/B938</f>
        <v/>
      </c>
    </row>
    <row r="991">
      <c r="A991" s="37" t="n">
        <v>36416</v>
      </c>
      <c r="B991" s="84" t="n">
        <v>4553.7</v>
      </c>
      <c r="C991" s="39">
        <f>(Table26[[#This Row],[M2 Money Stock, Billions of Dollars, Weekly, Seasonally Adjusted]]-B990)/B990</f>
        <v/>
      </c>
      <c r="D991" s="40">
        <f>((1+Table26[[#This Row],[Weekly change]])^52)-1</f>
        <v/>
      </c>
      <c r="E991" s="85">
        <f>(Table26[[#This Row],[M2 Money Stock, Billions of Dollars, Weekly, Seasonally Adjusted]]-B939)/B939</f>
        <v/>
      </c>
    </row>
    <row r="992">
      <c r="A992" s="37" t="n">
        <v>36423</v>
      </c>
      <c r="B992" s="84" t="n">
        <v>4561.3</v>
      </c>
      <c r="C992" s="39">
        <f>(Table26[[#This Row],[M2 Money Stock, Billions of Dollars, Weekly, Seasonally Adjusted]]-B991)/B991</f>
        <v/>
      </c>
      <c r="D992" s="40">
        <f>((1+Table26[[#This Row],[Weekly change]])^52)-1</f>
        <v/>
      </c>
      <c r="E992" s="85">
        <f>(Table26[[#This Row],[M2 Money Stock, Billions of Dollars, Weekly, Seasonally Adjusted]]-B940)/B940</f>
        <v/>
      </c>
    </row>
    <row r="993">
      <c r="A993" s="37" t="n">
        <v>36430</v>
      </c>
      <c r="B993" s="84" t="n">
        <v>4557.8</v>
      </c>
      <c r="C993" s="39">
        <f>(Table26[[#This Row],[M2 Money Stock, Billions of Dollars, Weekly, Seasonally Adjusted]]-B992)/B992</f>
        <v/>
      </c>
      <c r="D993" s="40">
        <f>((1+Table26[[#This Row],[Weekly change]])^52)-1</f>
        <v/>
      </c>
      <c r="E993" s="85">
        <f>(Table26[[#This Row],[M2 Money Stock, Billions of Dollars, Weekly, Seasonally Adjusted]]-B941)/B941</f>
        <v/>
      </c>
    </row>
    <row r="994">
      <c r="A994" s="37" t="n">
        <v>36437</v>
      </c>
      <c r="B994" s="84" t="n">
        <v>4568.5</v>
      </c>
      <c r="C994" s="39">
        <f>(Table26[[#This Row],[M2 Money Stock, Billions of Dollars, Weekly, Seasonally Adjusted]]-B993)/B993</f>
        <v/>
      </c>
      <c r="D994" s="40">
        <f>((1+Table26[[#This Row],[Weekly change]])^52)-1</f>
        <v/>
      </c>
      <c r="E994" s="85">
        <f>(Table26[[#This Row],[M2 Money Stock, Billions of Dollars, Weekly, Seasonally Adjusted]]-B942)/B942</f>
        <v/>
      </c>
    </row>
    <row r="995">
      <c r="A995" s="37" t="n">
        <v>36444</v>
      </c>
      <c r="B995" s="84" t="n">
        <v>4574.8</v>
      </c>
      <c r="C995" s="39">
        <f>(Table26[[#This Row],[M2 Money Stock, Billions of Dollars, Weekly, Seasonally Adjusted]]-B994)/B994</f>
        <v/>
      </c>
      <c r="D995" s="40">
        <f>((1+Table26[[#This Row],[Weekly change]])^52)-1</f>
        <v/>
      </c>
      <c r="E995" s="85">
        <f>(Table26[[#This Row],[M2 Money Stock, Billions of Dollars, Weekly, Seasonally Adjusted]]-B943)/B943</f>
        <v/>
      </c>
    </row>
    <row r="996">
      <c r="A996" s="37" t="n">
        <v>36451</v>
      </c>
      <c r="B996" s="84" t="n">
        <v>4577.4</v>
      </c>
      <c r="C996" s="39">
        <f>(Table26[[#This Row],[M2 Money Stock, Billions of Dollars, Weekly, Seasonally Adjusted]]-B995)/B995</f>
        <v/>
      </c>
      <c r="D996" s="40">
        <f>((1+Table26[[#This Row],[Weekly change]])^52)-1</f>
        <v/>
      </c>
      <c r="E996" s="85">
        <f>(Table26[[#This Row],[M2 Money Stock, Billions of Dollars, Weekly, Seasonally Adjusted]]-B944)/B944</f>
        <v/>
      </c>
    </row>
    <row r="997">
      <c r="A997" s="37" t="n">
        <v>36458</v>
      </c>
      <c r="B997" s="84" t="n">
        <v>4584.3</v>
      </c>
      <c r="C997" s="39">
        <f>(Table26[[#This Row],[M2 Money Stock, Billions of Dollars, Weekly, Seasonally Adjusted]]-B996)/B996</f>
        <v/>
      </c>
      <c r="D997" s="40">
        <f>((1+Table26[[#This Row],[Weekly change]])^52)-1</f>
        <v/>
      </c>
      <c r="E997" s="85">
        <f>(Table26[[#This Row],[M2 Money Stock, Billions of Dollars, Weekly, Seasonally Adjusted]]-B945)/B945</f>
        <v/>
      </c>
    </row>
    <row r="998">
      <c r="A998" s="37" t="n">
        <v>36465</v>
      </c>
      <c r="B998" s="84" t="n">
        <v>4596.6</v>
      </c>
      <c r="C998" s="39">
        <f>(Table26[[#This Row],[M2 Money Stock, Billions of Dollars, Weekly, Seasonally Adjusted]]-B997)/B997</f>
        <v/>
      </c>
      <c r="D998" s="40">
        <f>((1+Table26[[#This Row],[Weekly change]])^52)-1</f>
        <v/>
      </c>
      <c r="E998" s="85">
        <f>(Table26[[#This Row],[M2 Money Stock, Billions of Dollars, Weekly, Seasonally Adjusted]]-B946)/B946</f>
        <v/>
      </c>
    </row>
    <row r="999">
      <c r="A999" s="37" t="n">
        <v>36472</v>
      </c>
      <c r="B999" s="84" t="n">
        <v>4593.7</v>
      </c>
      <c r="C999" s="39">
        <f>(Table26[[#This Row],[M2 Money Stock, Billions of Dollars, Weekly, Seasonally Adjusted]]-B998)/B998</f>
        <v/>
      </c>
      <c r="D999" s="40">
        <f>((1+Table26[[#This Row],[Weekly change]])^52)-1</f>
        <v/>
      </c>
      <c r="E999" s="85">
        <f>(Table26[[#This Row],[M2 Money Stock, Billions of Dollars, Weekly, Seasonally Adjusted]]-B947)/B947</f>
        <v/>
      </c>
    </row>
    <row r="1000">
      <c r="A1000" s="37" t="n">
        <v>36479</v>
      </c>
      <c r="B1000" s="84" t="n">
        <v>4599.6</v>
      </c>
      <c r="C1000" s="39">
        <f>(Table26[[#This Row],[M2 Money Stock, Billions of Dollars, Weekly, Seasonally Adjusted]]-B999)/B999</f>
        <v/>
      </c>
      <c r="D1000" s="40">
        <f>((1+Table26[[#This Row],[Weekly change]])^52)-1</f>
        <v/>
      </c>
      <c r="E1000" s="85">
        <f>(Table26[[#This Row],[M2 Money Stock, Billions of Dollars, Weekly, Seasonally Adjusted]]-B948)/B948</f>
        <v/>
      </c>
    </row>
    <row r="1001">
      <c r="A1001" s="37" t="n">
        <v>36486</v>
      </c>
      <c r="B1001" s="84" t="n">
        <v>4603.9</v>
      </c>
      <c r="C1001" s="39">
        <f>(Table26[[#This Row],[M2 Money Stock, Billions of Dollars, Weekly, Seasonally Adjusted]]-B1000)/B1000</f>
        <v/>
      </c>
      <c r="D1001" s="40">
        <f>((1+Table26[[#This Row],[Weekly change]])^52)-1</f>
        <v/>
      </c>
      <c r="E1001" s="85">
        <f>(Table26[[#This Row],[M2 Money Stock, Billions of Dollars, Weekly, Seasonally Adjusted]]-B949)/B949</f>
        <v/>
      </c>
    </row>
    <row r="1002">
      <c r="A1002" s="37" t="n">
        <v>36493</v>
      </c>
      <c r="B1002" s="84" t="n">
        <v>4601.1</v>
      </c>
      <c r="C1002" s="39">
        <f>(Table26[[#This Row],[M2 Money Stock, Billions of Dollars, Weekly, Seasonally Adjusted]]-B1001)/B1001</f>
        <v/>
      </c>
      <c r="D1002" s="40">
        <f>((1+Table26[[#This Row],[Weekly change]])^52)-1</f>
        <v/>
      </c>
      <c r="E1002" s="85">
        <f>(Table26[[#This Row],[M2 Money Stock, Billions of Dollars, Weekly, Seasonally Adjusted]]-B950)/B950</f>
        <v/>
      </c>
    </row>
    <row r="1003">
      <c r="A1003" s="37" t="n">
        <v>36500</v>
      </c>
      <c r="B1003" s="84" t="n">
        <v>4613.2</v>
      </c>
      <c r="C1003" s="39">
        <f>(Table26[[#This Row],[M2 Money Stock, Billions of Dollars, Weekly, Seasonally Adjusted]]-B1002)/B1002</f>
        <v/>
      </c>
      <c r="D1003" s="40">
        <f>((1+Table26[[#This Row],[Weekly change]])^52)-1</f>
        <v/>
      </c>
      <c r="E1003" s="85">
        <f>(Table26[[#This Row],[M2 Money Stock, Billions of Dollars, Weekly, Seasonally Adjusted]]-B951)/B951</f>
        <v/>
      </c>
    </row>
    <row r="1004">
      <c r="A1004" s="37" t="n">
        <v>36507</v>
      </c>
      <c r="B1004" s="84" t="n">
        <v>4617.8</v>
      </c>
      <c r="C1004" s="39">
        <f>(Table26[[#This Row],[M2 Money Stock, Billions of Dollars, Weekly, Seasonally Adjusted]]-B1003)/B1003</f>
        <v/>
      </c>
      <c r="D1004" s="40">
        <f>((1+Table26[[#This Row],[Weekly change]])^52)-1</f>
        <v/>
      </c>
      <c r="E1004" s="85">
        <f>(Table26[[#This Row],[M2 Money Stock, Billions of Dollars, Weekly, Seasonally Adjusted]]-B952)/B952</f>
        <v/>
      </c>
    </row>
    <row r="1005">
      <c r="A1005" s="37" t="n">
        <v>36514</v>
      </c>
      <c r="B1005" s="84" t="n">
        <v>4628</v>
      </c>
      <c r="C1005" s="39">
        <f>(Table26[[#This Row],[M2 Money Stock, Billions of Dollars, Weekly, Seasonally Adjusted]]-B1004)/B1004</f>
        <v/>
      </c>
      <c r="D1005" s="40">
        <f>((1+Table26[[#This Row],[Weekly change]])^52)-1</f>
        <v/>
      </c>
      <c r="E1005" s="85">
        <f>(Table26[[#This Row],[M2 Money Stock, Billions of Dollars, Weekly, Seasonally Adjusted]]-B953)/B953</f>
        <v/>
      </c>
    </row>
    <row r="1006">
      <c r="A1006" s="37" t="n">
        <v>36521</v>
      </c>
      <c r="B1006" s="84" t="n">
        <v>4638.1</v>
      </c>
      <c r="C1006" s="39">
        <f>(Table26[[#This Row],[M2 Money Stock, Billions of Dollars, Weekly, Seasonally Adjusted]]-B1005)/B1005</f>
        <v/>
      </c>
      <c r="D1006" s="40">
        <f>((1+Table26[[#This Row],[Weekly change]])^52)-1</f>
        <v/>
      </c>
      <c r="E1006" s="85">
        <f>(Table26[[#This Row],[M2 Money Stock, Billions of Dollars, Weekly, Seasonally Adjusted]]-B954)/B954</f>
        <v/>
      </c>
    </row>
    <row r="1007">
      <c r="A1007" s="37" t="n">
        <v>36528</v>
      </c>
      <c r="B1007" s="84" t="n">
        <v>4653.1</v>
      </c>
      <c r="C1007" s="39">
        <f>(Table26[[#This Row],[M2 Money Stock, Billions of Dollars, Weekly, Seasonally Adjusted]]-B1006)/B1006</f>
        <v/>
      </c>
      <c r="D1007" s="40">
        <f>((1+Table26[[#This Row],[Weekly change]])^52)-1</f>
        <v/>
      </c>
      <c r="E1007" s="85">
        <f>(Table26[[#This Row],[M2 Money Stock, Billions of Dollars, Weekly, Seasonally Adjusted]]-B955)/B955</f>
        <v/>
      </c>
    </row>
    <row r="1008">
      <c r="A1008" s="37" t="n">
        <v>36535</v>
      </c>
      <c r="B1008" s="84" t="n">
        <v>4657.6</v>
      </c>
      <c r="C1008" s="39">
        <f>(Table26[[#This Row],[M2 Money Stock, Billions of Dollars, Weekly, Seasonally Adjusted]]-B1007)/B1007</f>
        <v/>
      </c>
      <c r="D1008" s="40">
        <f>((1+Table26[[#This Row],[Weekly change]])^52)-1</f>
        <v/>
      </c>
      <c r="E1008" s="85">
        <f>(Table26[[#This Row],[M2 Money Stock, Billions of Dollars, Weekly, Seasonally Adjusted]]-B956)/B956</f>
        <v/>
      </c>
    </row>
    <row r="1009">
      <c r="A1009" s="37" t="n">
        <v>36542</v>
      </c>
      <c r="B1009" s="84" t="n">
        <v>4659.8</v>
      </c>
      <c r="C1009" s="39">
        <f>(Table26[[#This Row],[M2 Money Stock, Billions of Dollars, Weekly, Seasonally Adjusted]]-B1008)/B1008</f>
        <v/>
      </c>
      <c r="D1009" s="40">
        <f>((1+Table26[[#This Row],[Weekly change]])^52)-1</f>
        <v/>
      </c>
      <c r="E1009" s="85">
        <f>(Table26[[#This Row],[M2 Money Stock, Billions of Dollars, Weekly, Seasonally Adjusted]]-B957)/B957</f>
        <v/>
      </c>
    </row>
    <row r="1010">
      <c r="A1010" s="37" t="n">
        <v>36549</v>
      </c>
      <c r="B1010" s="84" t="n">
        <v>4667</v>
      </c>
      <c r="C1010" s="39">
        <f>(Table26[[#This Row],[M2 Money Stock, Billions of Dollars, Weekly, Seasonally Adjusted]]-B1009)/B1009</f>
        <v/>
      </c>
      <c r="D1010" s="40">
        <f>((1+Table26[[#This Row],[Weekly change]])^52)-1</f>
        <v/>
      </c>
      <c r="E1010" s="85">
        <f>(Table26[[#This Row],[M2 Money Stock, Billions of Dollars, Weekly, Seasonally Adjusted]]-B958)/B958</f>
        <v/>
      </c>
    </row>
    <row r="1011">
      <c r="A1011" s="37" t="n">
        <v>36556</v>
      </c>
      <c r="B1011" s="84" t="n">
        <v>4667.7</v>
      </c>
      <c r="C1011" s="39">
        <f>(Table26[[#This Row],[M2 Money Stock, Billions of Dollars, Weekly, Seasonally Adjusted]]-B1010)/B1010</f>
        <v/>
      </c>
      <c r="D1011" s="40">
        <f>((1+Table26[[#This Row],[Weekly change]])^52)-1</f>
        <v/>
      </c>
      <c r="E1011" s="85">
        <f>(Table26[[#This Row],[M2 Money Stock, Billions of Dollars, Weekly, Seasonally Adjusted]]-B959)/B959</f>
        <v/>
      </c>
    </row>
    <row r="1012">
      <c r="A1012" s="37" t="n">
        <v>36563</v>
      </c>
      <c r="B1012" s="84" t="n">
        <v>4674.2</v>
      </c>
      <c r="C1012" s="39">
        <f>(Table26[[#This Row],[M2 Money Stock, Billions of Dollars, Weekly, Seasonally Adjusted]]-B1011)/B1011</f>
        <v/>
      </c>
      <c r="D1012" s="40">
        <f>((1+Table26[[#This Row],[Weekly change]])^52)-1</f>
        <v/>
      </c>
      <c r="E1012" s="85">
        <f>(Table26[[#This Row],[M2 Money Stock, Billions of Dollars, Weekly, Seasonally Adjusted]]-B960)/B960</f>
        <v/>
      </c>
    </row>
    <row r="1013">
      <c r="A1013" s="37" t="n">
        <v>36570</v>
      </c>
      <c r="B1013" s="84" t="n">
        <v>4667.3</v>
      </c>
      <c r="C1013" s="39">
        <f>(Table26[[#This Row],[M2 Money Stock, Billions of Dollars, Weekly, Seasonally Adjusted]]-B1012)/B1012</f>
        <v/>
      </c>
      <c r="D1013" s="40">
        <f>((1+Table26[[#This Row],[Weekly change]])^52)-1</f>
        <v/>
      </c>
      <c r="E1013" s="85">
        <f>(Table26[[#This Row],[M2 Money Stock, Billions of Dollars, Weekly, Seasonally Adjusted]]-B961)/B961</f>
        <v/>
      </c>
    </row>
    <row r="1014">
      <c r="A1014" s="37" t="n">
        <v>36577</v>
      </c>
      <c r="B1014" s="84" t="n">
        <v>4666.7</v>
      </c>
      <c r="C1014" s="39">
        <f>(Table26[[#This Row],[M2 Money Stock, Billions of Dollars, Weekly, Seasonally Adjusted]]-B1013)/B1013</f>
        <v/>
      </c>
      <c r="D1014" s="40">
        <f>((1+Table26[[#This Row],[Weekly change]])^52)-1</f>
        <v/>
      </c>
      <c r="E1014" s="85">
        <f>(Table26[[#This Row],[M2 Money Stock, Billions of Dollars, Weekly, Seasonally Adjusted]]-B962)/B962</f>
        <v/>
      </c>
    </row>
    <row r="1015">
      <c r="A1015" s="37" t="n">
        <v>36584</v>
      </c>
      <c r="B1015" s="84" t="n">
        <v>4666.4</v>
      </c>
      <c r="C1015" s="39">
        <f>(Table26[[#This Row],[M2 Money Stock, Billions of Dollars, Weekly, Seasonally Adjusted]]-B1014)/B1014</f>
        <v/>
      </c>
      <c r="D1015" s="40">
        <f>((1+Table26[[#This Row],[Weekly change]])^52)-1</f>
        <v/>
      </c>
      <c r="E1015" s="85">
        <f>(Table26[[#This Row],[M2 Money Stock, Billions of Dollars, Weekly, Seasonally Adjusted]]-B963)/B963</f>
        <v/>
      </c>
    </row>
    <row r="1016">
      <c r="A1016" s="37" t="n">
        <v>36591</v>
      </c>
      <c r="B1016" s="84" t="n">
        <v>4678.3</v>
      </c>
      <c r="C1016" s="39">
        <f>(Table26[[#This Row],[M2 Money Stock, Billions of Dollars, Weekly, Seasonally Adjusted]]-B1015)/B1015</f>
        <v/>
      </c>
      <c r="D1016" s="40">
        <f>((1+Table26[[#This Row],[Weekly change]])^52)-1</f>
        <v/>
      </c>
      <c r="E1016" s="85">
        <f>(Table26[[#This Row],[M2 Money Stock, Billions of Dollars, Weekly, Seasonally Adjusted]]-B964)/B964</f>
        <v/>
      </c>
    </row>
    <row r="1017">
      <c r="A1017" s="37" t="n">
        <v>36598</v>
      </c>
      <c r="B1017" s="84" t="n">
        <v>4685.9</v>
      </c>
      <c r="C1017" s="39">
        <f>(Table26[[#This Row],[M2 Money Stock, Billions of Dollars, Weekly, Seasonally Adjusted]]-B1016)/B1016</f>
        <v/>
      </c>
      <c r="D1017" s="40">
        <f>((1+Table26[[#This Row],[Weekly change]])^52)-1</f>
        <v/>
      </c>
      <c r="E1017" s="85">
        <f>(Table26[[#This Row],[M2 Money Stock, Billions of Dollars, Weekly, Seasonally Adjusted]]-B965)/B965</f>
        <v/>
      </c>
    </row>
    <row r="1018">
      <c r="A1018" s="37" t="n">
        <v>36605</v>
      </c>
      <c r="B1018" s="84" t="n">
        <v>4704.1</v>
      </c>
      <c r="C1018" s="39">
        <f>(Table26[[#This Row],[M2 Money Stock, Billions of Dollars, Weekly, Seasonally Adjusted]]-B1017)/B1017</f>
        <v/>
      </c>
      <c r="D1018" s="40">
        <f>((1+Table26[[#This Row],[Weekly change]])^52)-1</f>
        <v/>
      </c>
      <c r="E1018" s="85">
        <f>(Table26[[#This Row],[M2 Money Stock, Billions of Dollars, Weekly, Seasonally Adjusted]]-B966)/B966</f>
        <v/>
      </c>
    </row>
    <row r="1019">
      <c r="A1019" s="37" t="n">
        <v>36612</v>
      </c>
      <c r="B1019" s="84" t="n">
        <v>4711.6</v>
      </c>
      <c r="C1019" s="39">
        <f>(Table26[[#This Row],[M2 Money Stock, Billions of Dollars, Weekly, Seasonally Adjusted]]-B1018)/B1018</f>
        <v/>
      </c>
      <c r="D1019" s="40">
        <f>((1+Table26[[#This Row],[Weekly change]])^52)-1</f>
        <v/>
      </c>
      <c r="E1019" s="85">
        <f>(Table26[[#This Row],[M2 Money Stock, Billions of Dollars, Weekly, Seasonally Adjusted]]-B967)/B967</f>
        <v/>
      </c>
    </row>
    <row r="1020">
      <c r="A1020" s="37" t="n">
        <v>36619</v>
      </c>
      <c r="B1020" s="84" t="n">
        <v>4728</v>
      </c>
      <c r="C1020" s="39">
        <f>(Table26[[#This Row],[M2 Money Stock, Billions of Dollars, Weekly, Seasonally Adjusted]]-B1019)/B1019</f>
        <v/>
      </c>
      <c r="D1020" s="40">
        <f>((1+Table26[[#This Row],[Weekly change]])^52)-1</f>
        <v/>
      </c>
      <c r="E1020" s="85">
        <f>(Table26[[#This Row],[M2 Money Stock, Billions of Dollars, Weekly, Seasonally Adjusted]]-B968)/B968</f>
        <v/>
      </c>
    </row>
    <row r="1021">
      <c r="A1021" s="37" t="n">
        <v>36626</v>
      </c>
      <c r="B1021" s="84" t="n">
        <v>4751.8</v>
      </c>
      <c r="C1021" s="39">
        <f>(Table26[[#This Row],[M2 Money Stock, Billions of Dollars, Weekly, Seasonally Adjusted]]-B1020)/B1020</f>
        <v/>
      </c>
      <c r="D1021" s="40">
        <f>((1+Table26[[#This Row],[Weekly change]])^52)-1</f>
        <v/>
      </c>
      <c r="E1021" s="85">
        <f>(Table26[[#This Row],[M2 Money Stock, Billions of Dollars, Weekly, Seasonally Adjusted]]-B969)/B969</f>
        <v/>
      </c>
    </row>
    <row r="1022">
      <c r="A1022" s="37" t="n">
        <v>36633</v>
      </c>
      <c r="B1022" s="84" t="n">
        <v>4760.7</v>
      </c>
      <c r="C1022" s="39">
        <f>(Table26[[#This Row],[M2 Money Stock, Billions of Dollars, Weekly, Seasonally Adjusted]]-B1021)/B1021</f>
        <v/>
      </c>
      <c r="D1022" s="40">
        <f>((1+Table26[[#This Row],[Weekly change]])^52)-1</f>
        <v/>
      </c>
      <c r="E1022" s="85">
        <f>(Table26[[#This Row],[M2 Money Stock, Billions of Dollars, Weekly, Seasonally Adjusted]]-B970)/B970</f>
        <v/>
      </c>
    </row>
    <row r="1023">
      <c r="A1023" s="37" t="n">
        <v>36640</v>
      </c>
      <c r="B1023" s="84" t="n">
        <v>4767</v>
      </c>
      <c r="C1023" s="39">
        <f>(Table26[[#This Row],[M2 Money Stock, Billions of Dollars, Weekly, Seasonally Adjusted]]-B1022)/B1022</f>
        <v/>
      </c>
      <c r="D1023" s="40">
        <f>((1+Table26[[#This Row],[Weekly change]])^52)-1</f>
        <v/>
      </c>
      <c r="E1023" s="85">
        <f>(Table26[[#This Row],[M2 Money Stock, Billions of Dollars, Weekly, Seasonally Adjusted]]-B971)/B971</f>
        <v/>
      </c>
    </row>
    <row r="1024">
      <c r="A1024" s="37" t="n">
        <v>36647</v>
      </c>
      <c r="B1024" s="84" t="n">
        <v>4754.7</v>
      </c>
      <c r="C1024" s="39">
        <f>(Table26[[#This Row],[M2 Money Stock, Billions of Dollars, Weekly, Seasonally Adjusted]]-B1023)/B1023</f>
        <v/>
      </c>
      <c r="D1024" s="40">
        <f>((1+Table26[[#This Row],[Weekly change]])^52)-1</f>
        <v/>
      </c>
      <c r="E1024" s="85">
        <f>(Table26[[#This Row],[M2 Money Stock, Billions of Dollars, Weekly, Seasonally Adjusted]]-B972)/B972</f>
        <v/>
      </c>
    </row>
    <row r="1025">
      <c r="A1025" s="37" t="n">
        <v>36654</v>
      </c>
      <c r="B1025" s="84" t="n">
        <v>4734.2</v>
      </c>
      <c r="C1025" s="39">
        <f>(Table26[[#This Row],[M2 Money Stock, Billions of Dollars, Weekly, Seasonally Adjusted]]-B1024)/B1024</f>
        <v/>
      </c>
      <c r="D1025" s="40">
        <f>((1+Table26[[#This Row],[Weekly change]])^52)-1</f>
        <v/>
      </c>
      <c r="E1025" s="85">
        <f>(Table26[[#This Row],[M2 Money Stock, Billions of Dollars, Weekly, Seasonally Adjusted]]-B973)/B973</f>
        <v/>
      </c>
    </row>
    <row r="1026">
      <c r="A1026" s="37" t="n">
        <v>36661</v>
      </c>
      <c r="B1026" s="84" t="n">
        <v>4739.9</v>
      </c>
      <c r="C1026" s="39">
        <f>(Table26[[#This Row],[M2 Money Stock, Billions of Dollars, Weekly, Seasonally Adjusted]]-B1025)/B1025</f>
        <v/>
      </c>
      <c r="D1026" s="40">
        <f>((1+Table26[[#This Row],[Weekly change]])^52)-1</f>
        <v/>
      </c>
      <c r="E1026" s="85">
        <f>(Table26[[#This Row],[M2 Money Stock, Billions of Dollars, Weekly, Seasonally Adjusted]]-B974)/B974</f>
        <v/>
      </c>
    </row>
    <row r="1027">
      <c r="A1027" s="37" t="n">
        <v>36668</v>
      </c>
      <c r="B1027" s="84" t="n">
        <v>4744.7</v>
      </c>
      <c r="C1027" s="39">
        <f>(Table26[[#This Row],[M2 Money Stock, Billions of Dollars, Weekly, Seasonally Adjusted]]-B1026)/B1026</f>
        <v/>
      </c>
      <c r="D1027" s="40">
        <f>((1+Table26[[#This Row],[Weekly change]])^52)-1</f>
        <v/>
      </c>
      <c r="E1027" s="85">
        <f>(Table26[[#This Row],[M2 Money Stock, Billions of Dollars, Weekly, Seasonally Adjusted]]-B975)/B975</f>
        <v/>
      </c>
    </row>
    <row r="1028">
      <c r="A1028" s="37" t="n">
        <v>36675</v>
      </c>
      <c r="B1028" s="84" t="n">
        <v>4747.2</v>
      </c>
      <c r="C1028" s="39">
        <f>(Table26[[#This Row],[M2 Money Stock, Billions of Dollars, Weekly, Seasonally Adjusted]]-B1027)/B1027</f>
        <v/>
      </c>
      <c r="D1028" s="40">
        <f>((1+Table26[[#This Row],[Weekly change]])^52)-1</f>
        <v/>
      </c>
      <c r="E1028" s="85">
        <f>(Table26[[#This Row],[M2 Money Stock, Billions of Dollars, Weekly, Seasonally Adjusted]]-B976)/B976</f>
        <v/>
      </c>
    </row>
    <row r="1029">
      <c r="A1029" s="37" t="n">
        <v>36682</v>
      </c>
      <c r="B1029" s="84" t="n">
        <v>4759.1</v>
      </c>
      <c r="C1029" s="39">
        <f>(Table26[[#This Row],[M2 Money Stock, Billions of Dollars, Weekly, Seasonally Adjusted]]-B1028)/B1028</f>
        <v/>
      </c>
      <c r="D1029" s="40">
        <f>((1+Table26[[#This Row],[Weekly change]])^52)-1</f>
        <v/>
      </c>
      <c r="E1029" s="85">
        <f>(Table26[[#This Row],[M2 Money Stock, Billions of Dollars, Weekly, Seasonally Adjusted]]-B977)/B977</f>
        <v/>
      </c>
    </row>
    <row r="1030">
      <c r="A1030" s="37" t="n">
        <v>36689</v>
      </c>
      <c r="B1030" s="84" t="n">
        <v>4761.9</v>
      </c>
      <c r="C1030" s="39">
        <f>(Table26[[#This Row],[M2 Money Stock, Billions of Dollars, Weekly, Seasonally Adjusted]]-B1029)/B1029</f>
        <v/>
      </c>
      <c r="D1030" s="40">
        <f>((1+Table26[[#This Row],[Weekly change]])^52)-1</f>
        <v/>
      </c>
      <c r="E1030" s="85">
        <f>(Table26[[#This Row],[M2 Money Stock, Billions of Dollars, Weekly, Seasonally Adjusted]]-B978)/B978</f>
        <v/>
      </c>
    </row>
    <row r="1031">
      <c r="A1031" s="37" t="n">
        <v>36696</v>
      </c>
      <c r="B1031" s="84" t="n">
        <v>4758.2</v>
      </c>
      <c r="C1031" s="39">
        <f>(Table26[[#This Row],[M2 Money Stock, Billions of Dollars, Weekly, Seasonally Adjusted]]-B1030)/B1030</f>
        <v/>
      </c>
      <c r="D1031" s="40">
        <f>((1+Table26[[#This Row],[Weekly change]])^52)-1</f>
        <v/>
      </c>
      <c r="E1031" s="85">
        <f>(Table26[[#This Row],[M2 Money Stock, Billions of Dollars, Weekly, Seasonally Adjusted]]-B979)/B979</f>
        <v/>
      </c>
    </row>
    <row r="1032">
      <c r="A1032" s="37" t="n">
        <v>36703</v>
      </c>
      <c r="B1032" s="84" t="n">
        <v>4760.7</v>
      </c>
      <c r="C1032" s="39">
        <f>(Table26[[#This Row],[M2 Money Stock, Billions of Dollars, Weekly, Seasonally Adjusted]]-B1031)/B1031</f>
        <v/>
      </c>
      <c r="D1032" s="40">
        <f>((1+Table26[[#This Row],[Weekly change]])^52)-1</f>
        <v/>
      </c>
      <c r="E1032" s="85">
        <f>(Table26[[#This Row],[M2 Money Stock, Billions of Dollars, Weekly, Seasonally Adjusted]]-B980)/B980</f>
        <v/>
      </c>
    </row>
    <row r="1033">
      <c r="A1033" s="37" t="n">
        <v>36710</v>
      </c>
      <c r="B1033" s="84" t="n">
        <v>4766.6</v>
      </c>
      <c r="C1033" s="39">
        <f>(Table26[[#This Row],[M2 Money Stock, Billions of Dollars, Weekly, Seasonally Adjusted]]-B1032)/B1032</f>
        <v/>
      </c>
      <c r="D1033" s="40">
        <f>((1+Table26[[#This Row],[Weekly change]])^52)-1</f>
        <v/>
      </c>
      <c r="E1033" s="85">
        <f>(Table26[[#This Row],[M2 Money Stock, Billions of Dollars, Weekly, Seasonally Adjusted]]-B981)/B981</f>
        <v/>
      </c>
    </row>
    <row r="1034">
      <c r="A1034" s="37" t="n">
        <v>36717</v>
      </c>
      <c r="B1034" s="84" t="n">
        <v>4776.8</v>
      </c>
      <c r="C1034" s="39">
        <f>(Table26[[#This Row],[M2 Money Stock, Billions of Dollars, Weekly, Seasonally Adjusted]]-B1033)/B1033</f>
        <v/>
      </c>
      <c r="D1034" s="40">
        <f>((1+Table26[[#This Row],[Weekly change]])^52)-1</f>
        <v/>
      </c>
      <c r="E1034" s="85">
        <f>(Table26[[#This Row],[M2 Money Stock, Billions of Dollars, Weekly, Seasonally Adjusted]]-B982)/B982</f>
        <v/>
      </c>
    </row>
    <row r="1035">
      <c r="A1035" s="37" t="n">
        <v>36724</v>
      </c>
      <c r="B1035" s="84" t="n">
        <v>4773.6</v>
      </c>
      <c r="C1035" s="39">
        <f>(Table26[[#This Row],[M2 Money Stock, Billions of Dollars, Weekly, Seasonally Adjusted]]-B1034)/B1034</f>
        <v/>
      </c>
      <c r="D1035" s="40">
        <f>((1+Table26[[#This Row],[Weekly change]])^52)-1</f>
        <v/>
      </c>
      <c r="E1035" s="85">
        <f>(Table26[[#This Row],[M2 Money Stock, Billions of Dollars, Weekly, Seasonally Adjusted]]-B983)/B983</f>
        <v/>
      </c>
    </row>
    <row r="1036">
      <c r="A1036" s="37" t="n">
        <v>36731</v>
      </c>
      <c r="B1036" s="84" t="n">
        <v>4782.4</v>
      </c>
      <c r="C1036" s="39">
        <f>(Table26[[#This Row],[M2 Money Stock, Billions of Dollars, Weekly, Seasonally Adjusted]]-B1035)/B1035</f>
        <v/>
      </c>
      <c r="D1036" s="40">
        <f>((1+Table26[[#This Row],[Weekly change]])^52)-1</f>
        <v/>
      </c>
      <c r="E1036" s="85">
        <f>(Table26[[#This Row],[M2 Money Stock, Billions of Dollars, Weekly, Seasonally Adjusted]]-B984)/B984</f>
        <v/>
      </c>
    </row>
    <row r="1037">
      <c r="A1037" s="37" t="n">
        <v>36738</v>
      </c>
      <c r="B1037" s="84" t="n">
        <v>4786.2</v>
      </c>
      <c r="C1037" s="39">
        <f>(Table26[[#This Row],[M2 Money Stock, Billions of Dollars, Weekly, Seasonally Adjusted]]-B1036)/B1036</f>
        <v/>
      </c>
      <c r="D1037" s="40">
        <f>((1+Table26[[#This Row],[Weekly change]])^52)-1</f>
        <v/>
      </c>
      <c r="E1037" s="85">
        <f>(Table26[[#This Row],[M2 Money Stock, Billions of Dollars, Weekly, Seasonally Adjusted]]-B985)/B985</f>
        <v/>
      </c>
    </row>
    <row r="1038">
      <c r="A1038" s="37" t="n">
        <v>36745</v>
      </c>
      <c r="B1038" s="84" t="n">
        <v>4794.3</v>
      </c>
      <c r="C1038" s="39">
        <f>(Table26[[#This Row],[M2 Money Stock, Billions of Dollars, Weekly, Seasonally Adjusted]]-B1037)/B1037</f>
        <v/>
      </c>
      <c r="D1038" s="40">
        <f>((1+Table26[[#This Row],[Weekly change]])^52)-1</f>
        <v/>
      </c>
      <c r="E1038" s="85">
        <f>(Table26[[#This Row],[M2 Money Stock, Billions of Dollars, Weekly, Seasonally Adjusted]]-B986)/B986</f>
        <v/>
      </c>
    </row>
    <row r="1039">
      <c r="A1039" s="37" t="n">
        <v>36752</v>
      </c>
      <c r="B1039" s="84" t="n">
        <v>4794.8</v>
      </c>
      <c r="C1039" s="39">
        <f>(Table26[[#This Row],[M2 Money Stock, Billions of Dollars, Weekly, Seasonally Adjusted]]-B1038)/B1038</f>
        <v/>
      </c>
      <c r="D1039" s="40">
        <f>((1+Table26[[#This Row],[Weekly change]])^52)-1</f>
        <v/>
      </c>
      <c r="E1039" s="85">
        <f>(Table26[[#This Row],[M2 Money Stock, Billions of Dollars, Weekly, Seasonally Adjusted]]-B987)/B987</f>
        <v/>
      </c>
    </row>
    <row r="1040">
      <c r="A1040" s="37" t="n">
        <v>36759</v>
      </c>
      <c r="B1040" s="84" t="n">
        <v>4811.1</v>
      </c>
      <c r="C1040" s="39">
        <f>(Table26[[#This Row],[M2 Money Stock, Billions of Dollars, Weekly, Seasonally Adjusted]]-B1039)/B1039</f>
        <v/>
      </c>
      <c r="D1040" s="40">
        <f>((1+Table26[[#This Row],[Weekly change]])^52)-1</f>
        <v/>
      </c>
      <c r="E1040" s="85">
        <f>(Table26[[#This Row],[M2 Money Stock, Billions of Dollars, Weekly, Seasonally Adjusted]]-B988)/B988</f>
        <v/>
      </c>
    </row>
    <row r="1041">
      <c r="A1041" s="37" t="n">
        <v>36766</v>
      </c>
      <c r="B1041" s="84" t="n">
        <v>4816.9</v>
      </c>
      <c r="C1041" s="39">
        <f>(Table26[[#This Row],[M2 Money Stock, Billions of Dollars, Weekly, Seasonally Adjusted]]-B1040)/B1040</f>
        <v/>
      </c>
      <c r="D1041" s="40">
        <f>((1+Table26[[#This Row],[Weekly change]])^52)-1</f>
        <v/>
      </c>
      <c r="E1041" s="85">
        <f>(Table26[[#This Row],[M2 Money Stock, Billions of Dollars, Weekly, Seasonally Adjusted]]-B989)/B989</f>
        <v/>
      </c>
    </row>
    <row r="1042">
      <c r="A1042" s="37" t="n">
        <v>36773</v>
      </c>
      <c r="B1042" s="84" t="n">
        <v>4828.2</v>
      </c>
      <c r="C1042" s="39">
        <f>(Table26[[#This Row],[M2 Money Stock, Billions of Dollars, Weekly, Seasonally Adjusted]]-B1041)/B1041</f>
        <v/>
      </c>
      <c r="D1042" s="40">
        <f>((1+Table26[[#This Row],[Weekly change]])^52)-1</f>
        <v/>
      </c>
      <c r="E1042" s="85">
        <f>(Table26[[#This Row],[M2 Money Stock, Billions of Dollars, Weekly, Seasonally Adjusted]]-B990)/B990</f>
        <v/>
      </c>
    </row>
    <row r="1043">
      <c r="A1043" s="37" t="n">
        <v>36780</v>
      </c>
      <c r="B1043" s="84" t="n">
        <v>4838.6</v>
      </c>
      <c r="C1043" s="39">
        <f>(Table26[[#This Row],[M2 Money Stock, Billions of Dollars, Weekly, Seasonally Adjusted]]-B1042)/B1042</f>
        <v/>
      </c>
      <c r="D1043" s="40">
        <f>((1+Table26[[#This Row],[Weekly change]])^52)-1</f>
        <v/>
      </c>
      <c r="E1043" s="85">
        <f>(Table26[[#This Row],[M2 Money Stock, Billions of Dollars, Weekly, Seasonally Adjusted]]-B991)/B991</f>
        <v/>
      </c>
    </row>
    <row r="1044">
      <c r="A1044" s="37" t="n">
        <v>36787</v>
      </c>
      <c r="B1044" s="84" t="n">
        <v>4843.5</v>
      </c>
      <c r="C1044" s="39">
        <f>(Table26[[#This Row],[M2 Money Stock, Billions of Dollars, Weekly, Seasonally Adjusted]]-B1043)/B1043</f>
        <v/>
      </c>
      <c r="D1044" s="40">
        <f>((1+Table26[[#This Row],[Weekly change]])^52)-1</f>
        <v/>
      </c>
      <c r="E1044" s="85">
        <f>(Table26[[#This Row],[M2 Money Stock, Billions of Dollars, Weekly, Seasonally Adjusted]]-B992)/B992</f>
        <v/>
      </c>
    </row>
    <row r="1045">
      <c r="A1045" s="37" t="n">
        <v>36794</v>
      </c>
      <c r="B1045" s="84" t="n">
        <v>4844.2</v>
      </c>
      <c r="C1045" s="39">
        <f>(Table26[[#This Row],[M2 Money Stock, Billions of Dollars, Weekly, Seasonally Adjusted]]-B1044)/B1044</f>
        <v/>
      </c>
      <c r="D1045" s="40">
        <f>((1+Table26[[#This Row],[Weekly change]])^52)-1</f>
        <v/>
      </c>
      <c r="E1045" s="85">
        <f>(Table26[[#This Row],[M2 Money Stock, Billions of Dollars, Weekly, Seasonally Adjusted]]-B993)/B993</f>
        <v/>
      </c>
    </row>
    <row r="1046">
      <c r="A1046" s="37" t="n">
        <v>36801</v>
      </c>
      <c r="B1046" s="84" t="n">
        <v>4854.2</v>
      </c>
      <c r="C1046" s="39">
        <f>(Table26[[#This Row],[M2 Money Stock, Billions of Dollars, Weekly, Seasonally Adjusted]]-B1045)/B1045</f>
        <v/>
      </c>
      <c r="D1046" s="40">
        <f>((1+Table26[[#This Row],[Weekly change]])^52)-1</f>
        <v/>
      </c>
      <c r="E1046" s="85">
        <f>(Table26[[#This Row],[M2 Money Stock, Billions of Dollars, Weekly, Seasonally Adjusted]]-B994)/B994</f>
        <v/>
      </c>
    </row>
    <row r="1047">
      <c r="A1047" s="37" t="n">
        <v>36808</v>
      </c>
      <c r="B1047" s="84" t="n">
        <v>4859</v>
      </c>
      <c r="C1047" s="39">
        <f>(Table26[[#This Row],[M2 Money Stock, Billions of Dollars, Weekly, Seasonally Adjusted]]-B1046)/B1046</f>
        <v/>
      </c>
      <c r="D1047" s="40">
        <f>((1+Table26[[#This Row],[Weekly change]])^52)-1</f>
        <v/>
      </c>
      <c r="E1047" s="85">
        <f>(Table26[[#This Row],[M2 Money Stock, Billions of Dollars, Weekly, Seasonally Adjusted]]-B995)/B995</f>
        <v/>
      </c>
    </row>
    <row r="1048">
      <c r="A1048" s="37" t="n">
        <v>36815</v>
      </c>
      <c r="B1048" s="84" t="n">
        <v>4859.5</v>
      </c>
      <c r="C1048" s="39">
        <f>(Table26[[#This Row],[M2 Money Stock, Billions of Dollars, Weekly, Seasonally Adjusted]]-B1047)/B1047</f>
        <v/>
      </c>
      <c r="D1048" s="40">
        <f>((1+Table26[[#This Row],[Weekly change]])^52)-1</f>
        <v/>
      </c>
      <c r="E1048" s="85">
        <f>(Table26[[#This Row],[M2 Money Stock, Billions of Dollars, Weekly, Seasonally Adjusted]]-B996)/B996</f>
        <v/>
      </c>
    </row>
    <row r="1049">
      <c r="A1049" s="37" t="n">
        <v>36822</v>
      </c>
      <c r="B1049" s="84" t="n">
        <v>4858.8</v>
      </c>
      <c r="C1049" s="39">
        <f>(Table26[[#This Row],[M2 Money Stock, Billions of Dollars, Weekly, Seasonally Adjusted]]-B1048)/B1048</f>
        <v/>
      </c>
      <c r="D1049" s="40">
        <f>((1+Table26[[#This Row],[Weekly change]])^52)-1</f>
        <v/>
      </c>
      <c r="E1049" s="85">
        <f>(Table26[[#This Row],[M2 Money Stock, Billions of Dollars, Weekly, Seasonally Adjusted]]-B997)/B997</f>
        <v/>
      </c>
    </row>
    <row r="1050">
      <c r="A1050" s="37" t="n">
        <v>36829</v>
      </c>
      <c r="B1050" s="84" t="n">
        <v>4856.4</v>
      </c>
      <c r="C1050" s="39">
        <f>(Table26[[#This Row],[M2 Money Stock, Billions of Dollars, Weekly, Seasonally Adjusted]]-B1049)/B1049</f>
        <v/>
      </c>
      <c r="D1050" s="40">
        <f>((1+Table26[[#This Row],[Weekly change]])^52)-1</f>
        <v/>
      </c>
      <c r="E1050" s="85">
        <f>(Table26[[#This Row],[M2 Money Stock, Billions of Dollars, Weekly, Seasonally Adjusted]]-B998)/B998</f>
        <v/>
      </c>
    </row>
    <row r="1051">
      <c r="A1051" s="37" t="n">
        <v>36836</v>
      </c>
      <c r="B1051" s="84" t="n">
        <v>4859.3</v>
      </c>
      <c r="C1051" s="39">
        <f>(Table26[[#This Row],[M2 Money Stock, Billions of Dollars, Weekly, Seasonally Adjusted]]-B1050)/B1050</f>
        <v/>
      </c>
      <c r="D1051" s="40">
        <f>((1+Table26[[#This Row],[Weekly change]])^52)-1</f>
        <v/>
      </c>
      <c r="E1051" s="85">
        <f>(Table26[[#This Row],[M2 Money Stock, Billions of Dollars, Weekly, Seasonally Adjusted]]-B999)/B999</f>
        <v/>
      </c>
    </row>
    <row r="1052">
      <c r="A1052" s="37" t="n">
        <v>36843</v>
      </c>
      <c r="B1052" s="84" t="n">
        <v>4860.8</v>
      </c>
      <c r="C1052" s="39">
        <f>(Table26[[#This Row],[M2 Money Stock, Billions of Dollars, Weekly, Seasonally Adjusted]]-B1051)/B1051</f>
        <v/>
      </c>
      <c r="D1052" s="40">
        <f>((1+Table26[[#This Row],[Weekly change]])^52)-1</f>
        <v/>
      </c>
      <c r="E1052" s="85">
        <f>(Table26[[#This Row],[M2 Money Stock, Billions of Dollars, Weekly, Seasonally Adjusted]]-B1000)/B1000</f>
        <v/>
      </c>
    </row>
    <row r="1053">
      <c r="A1053" s="37" t="n">
        <v>36850</v>
      </c>
      <c r="B1053" s="84" t="n">
        <v>4865.5</v>
      </c>
      <c r="C1053" s="39">
        <f>(Table26[[#This Row],[M2 Money Stock, Billions of Dollars, Weekly, Seasonally Adjusted]]-B1052)/B1052</f>
        <v/>
      </c>
      <c r="D1053" s="40">
        <f>((1+Table26[[#This Row],[Weekly change]])^52)-1</f>
        <v/>
      </c>
      <c r="E1053" s="85">
        <f>(Table26[[#This Row],[M2 Money Stock, Billions of Dollars, Weekly, Seasonally Adjusted]]-B1001)/B1001</f>
        <v/>
      </c>
    </row>
    <row r="1054">
      <c r="A1054" s="37" t="n">
        <v>36857</v>
      </c>
      <c r="B1054" s="84" t="n">
        <v>4880.6</v>
      </c>
      <c r="C1054" s="39">
        <f>(Table26[[#This Row],[M2 Money Stock, Billions of Dollars, Weekly, Seasonally Adjusted]]-B1053)/B1053</f>
        <v/>
      </c>
      <c r="D1054" s="40">
        <f>((1+Table26[[#This Row],[Weekly change]])^52)-1</f>
        <v/>
      </c>
      <c r="E1054" s="85">
        <f>(Table26[[#This Row],[M2 Money Stock, Billions of Dollars, Weekly, Seasonally Adjusted]]-B1002)/B1002</f>
        <v/>
      </c>
    </row>
    <row r="1055">
      <c r="A1055" s="37" t="n">
        <v>36864</v>
      </c>
      <c r="B1055" s="84" t="n">
        <v>4888.2</v>
      </c>
      <c r="C1055" s="39">
        <f>(Table26[[#This Row],[M2 Money Stock, Billions of Dollars, Weekly, Seasonally Adjusted]]-B1054)/B1054</f>
        <v/>
      </c>
      <c r="D1055" s="40">
        <f>((1+Table26[[#This Row],[Weekly change]])^52)-1</f>
        <v/>
      </c>
      <c r="E1055" s="85">
        <f>(Table26[[#This Row],[M2 Money Stock, Billions of Dollars, Weekly, Seasonally Adjusted]]-B1003)/B1003</f>
        <v/>
      </c>
    </row>
    <row r="1056">
      <c r="A1056" s="37" t="n">
        <v>36871</v>
      </c>
      <c r="B1056" s="84" t="n">
        <v>4895</v>
      </c>
      <c r="C1056" s="39">
        <f>(Table26[[#This Row],[M2 Money Stock, Billions of Dollars, Weekly, Seasonally Adjusted]]-B1055)/B1055</f>
        <v/>
      </c>
      <c r="D1056" s="40">
        <f>((1+Table26[[#This Row],[Weekly change]])^52)-1</f>
        <v/>
      </c>
      <c r="E1056" s="85">
        <f>(Table26[[#This Row],[M2 Money Stock, Billions of Dollars, Weekly, Seasonally Adjusted]]-B1004)/B1004</f>
        <v/>
      </c>
    </row>
    <row r="1057">
      <c r="A1057" s="37" t="n">
        <v>36878</v>
      </c>
      <c r="B1057" s="84" t="n">
        <v>4908.2</v>
      </c>
      <c r="C1057" s="39">
        <f>(Table26[[#This Row],[M2 Money Stock, Billions of Dollars, Weekly, Seasonally Adjusted]]-B1056)/B1056</f>
        <v/>
      </c>
      <c r="D1057" s="40">
        <f>((1+Table26[[#This Row],[Weekly change]])^52)-1</f>
        <v/>
      </c>
      <c r="E1057" s="85">
        <f>(Table26[[#This Row],[M2 Money Stock, Billions of Dollars, Weekly, Seasonally Adjusted]]-B1005)/B1005</f>
        <v/>
      </c>
    </row>
    <row r="1058">
      <c r="A1058" s="37" t="n">
        <v>36885</v>
      </c>
      <c r="B1058" s="84" t="n">
        <v>4923.6</v>
      </c>
      <c r="C1058" s="39">
        <f>(Table26[[#This Row],[M2 Money Stock, Billions of Dollars, Weekly, Seasonally Adjusted]]-B1057)/B1057</f>
        <v/>
      </c>
      <c r="D1058" s="40">
        <f>((1+Table26[[#This Row],[Weekly change]])^52)-1</f>
        <v/>
      </c>
      <c r="E1058" s="85">
        <f>(Table26[[#This Row],[M2 Money Stock, Billions of Dollars, Weekly, Seasonally Adjusted]]-B1006)/B1006</f>
        <v/>
      </c>
    </row>
    <row r="1059">
      <c r="A1059" s="37" t="n">
        <v>36892</v>
      </c>
      <c r="B1059" s="84" t="n">
        <v>4947.5</v>
      </c>
      <c r="C1059" s="39">
        <f>(Table26[[#This Row],[M2 Money Stock, Billions of Dollars, Weekly, Seasonally Adjusted]]-B1058)/B1058</f>
        <v/>
      </c>
      <c r="D1059" s="40">
        <f>((1+Table26[[#This Row],[Weekly change]])^52)-1</f>
        <v/>
      </c>
      <c r="E1059" s="85">
        <f>(Table26[[#This Row],[M2 Money Stock, Billions of Dollars, Weekly, Seasonally Adjusted]]-B1007)/B1007</f>
        <v/>
      </c>
    </row>
    <row r="1060">
      <c r="A1060" s="37" t="n">
        <v>36899</v>
      </c>
      <c r="B1060" s="84" t="n">
        <v>4953.5</v>
      </c>
      <c r="C1060" s="39">
        <f>(Table26[[#This Row],[M2 Money Stock, Billions of Dollars, Weekly, Seasonally Adjusted]]-B1059)/B1059</f>
        <v/>
      </c>
      <c r="D1060" s="40">
        <f>((1+Table26[[#This Row],[Weekly change]])^52)-1</f>
        <v/>
      </c>
      <c r="E1060" s="85">
        <f>(Table26[[#This Row],[M2 Money Stock, Billions of Dollars, Weekly, Seasonally Adjusted]]-B1008)/B1008</f>
        <v/>
      </c>
    </row>
    <row r="1061">
      <c r="A1061" s="37" t="n">
        <v>36906</v>
      </c>
      <c r="B1061" s="84" t="n">
        <v>4964.9</v>
      </c>
      <c r="C1061" s="39">
        <f>(Table26[[#This Row],[M2 Money Stock, Billions of Dollars, Weekly, Seasonally Adjusted]]-B1060)/B1060</f>
        <v/>
      </c>
      <c r="D1061" s="40">
        <f>((1+Table26[[#This Row],[Weekly change]])^52)-1</f>
        <v/>
      </c>
      <c r="E1061" s="85">
        <f>(Table26[[#This Row],[M2 Money Stock, Billions of Dollars, Weekly, Seasonally Adjusted]]-B1009)/B1009</f>
        <v/>
      </c>
    </row>
    <row r="1062">
      <c r="A1062" s="37" t="n">
        <v>36913</v>
      </c>
      <c r="B1062" s="84" t="n">
        <v>4971.5</v>
      </c>
      <c r="C1062" s="39">
        <f>(Table26[[#This Row],[M2 Money Stock, Billions of Dollars, Weekly, Seasonally Adjusted]]-B1061)/B1061</f>
        <v/>
      </c>
      <c r="D1062" s="40">
        <f>((1+Table26[[#This Row],[Weekly change]])^52)-1</f>
        <v/>
      </c>
      <c r="E1062" s="85">
        <f>(Table26[[#This Row],[M2 Money Stock, Billions of Dollars, Weekly, Seasonally Adjusted]]-B1010)/B1010</f>
        <v/>
      </c>
    </row>
    <row r="1063">
      <c r="A1063" s="37" t="n">
        <v>36920</v>
      </c>
      <c r="B1063" s="84" t="n">
        <v>4964.1</v>
      </c>
      <c r="C1063" s="39">
        <f>(Table26[[#This Row],[M2 Money Stock, Billions of Dollars, Weekly, Seasonally Adjusted]]-B1062)/B1062</f>
        <v/>
      </c>
      <c r="D1063" s="40">
        <f>((1+Table26[[#This Row],[Weekly change]])^52)-1</f>
        <v/>
      </c>
      <c r="E1063" s="85">
        <f>(Table26[[#This Row],[M2 Money Stock, Billions of Dollars, Weekly, Seasonally Adjusted]]-B1011)/B1011</f>
        <v/>
      </c>
    </row>
    <row r="1064">
      <c r="A1064" s="37" t="n">
        <v>36927</v>
      </c>
      <c r="B1064" s="84" t="n">
        <v>4984</v>
      </c>
      <c r="C1064" s="39">
        <f>(Table26[[#This Row],[M2 Money Stock, Billions of Dollars, Weekly, Seasonally Adjusted]]-B1063)/B1063</f>
        <v/>
      </c>
      <c r="D1064" s="40">
        <f>((1+Table26[[#This Row],[Weekly change]])^52)-1</f>
        <v/>
      </c>
      <c r="E1064" s="85">
        <f>(Table26[[#This Row],[M2 Money Stock, Billions of Dollars, Weekly, Seasonally Adjusted]]-B1012)/B1012</f>
        <v/>
      </c>
    </row>
    <row r="1065">
      <c r="A1065" s="37" t="n">
        <v>36934</v>
      </c>
      <c r="B1065" s="84" t="n">
        <v>4992.2</v>
      </c>
      <c r="C1065" s="39">
        <f>(Table26[[#This Row],[M2 Money Stock, Billions of Dollars, Weekly, Seasonally Adjusted]]-B1064)/B1064</f>
        <v/>
      </c>
      <c r="D1065" s="40">
        <f>((1+Table26[[#This Row],[Weekly change]])^52)-1</f>
        <v/>
      </c>
      <c r="E1065" s="85">
        <f>(Table26[[#This Row],[M2 Money Stock, Billions of Dollars, Weekly, Seasonally Adjusted]]-B1013)/B1013</f>
        <v/>
      </c>
    </row>
    <row r="1066">
      <c r="A1066" s="37" t="n">
        <v>36941</v>
      </c>
      <c r="B1066" s="84" t="n">
        <v>5000.3</v>
      </c>
      <c r="C1066" s="39">
        <f>(Table26[[#This Row],[M2 Money Stock, Billions of Dollars, Weekly, Seasonally Adjusted]]-B1065)/B1065</f>
        <v/>
      </c>
      <c r="D1066" s="40">
        <f>((1+Table26[[#This Row],[Weekly change]])^52)-1</f>
        <v/>
      </c>
      <c r="E1066" s="85">
        <f>(Table26[[#This Row],[M2 Money Stock, Billions of Dollars, Weekly, Seasonally Adjusted]]-B1014)/B1014</f>
        <v/>
      </c>
    </row>
    <row r="1067">
      <c r="A1067" s="37" t="n">
        <v>36948</v>
      </c>
      <c r="B1067" s="84" t="n">
        <v>5017.8</v>
      </c>
      <c r="C1067" s="39">
        <f>(Table26[[#This Row],[M2 Money Stock, Billions of Dollars, Weekly, Seasonally Adjusted]]-B1066)/B1066</f>
        <v/>
      </c>
      <c r="D1067" s="40">
        <f>((1+Table26[[#This Row],[Weekly change]])^52)-1</f>
        <v/>
      </c>
      <c r="E1067" s="85">
        <f>(Table26[[#This Row],[M2 Money Stock, Billions of Dollars, Weekly, Seasonally Adjusted]]-B1015)/B1015</f>
        <v/>
      </c>
    </row>
    <row r="1068">
      <c r="A1068" s="37" t="n">
        <v>36955</v>
      </c>
      <c r="B1068" s="84" t="n">
        <v>5040.7</v>
      </c>
      <c r="C1068" s="39">
        <f>(Table26[[#This Row],[M2 Money Stock, Billions of Dollars, Weekly, Seasonally Adjusted]]-B1067)/B1067</f>
        <v/>
      </c>
      <c r="D1068" s="40">
        <f>((1+Table26[[#This Row],[Weekly change]])^52)-1</f>
        <v/>
      </c>
      <c r="E1068" s="85">
        <f>(Table26[[#This Row],[M2 Money Stock, Billions of Dollars, Weekly, Seasonally Adjusted]]-B1016)/B1016</f>
        <v/>
      </c>
    </row>
    <row r="1069">
      <c r="A1069" s="37" t="n">
        <v>36962</v>
      </c>
      <c r="B1069" s="84" t="n">
        <v>5046.7</v>
      </c>
      <c r="C1069" s="39">
        <f>(Table26[[#This Row],[M2 Money Stock, Billions of Dollars, Weekly, Seasonally Adjusted]]-B1068)/B1068</f>
        <v/>
      </c>
      <c r="D1069" s="40">
        <f>((1+Table26[[#This Row],[Weekly change]])^52)-1</f>
        <v/>
      </c>
      <c r="E1069" s="85">
        <f>(Table26[[#This Row],[M2 Money Stock, Billions of Dollars, Weekly, Seasonally Adjusted]]-B1017)/B1017</f>
        <v/>
      </c>
    </row>
    <row r="1070">
      <c r="A1070" s="37" t="n">
        <v>36969</v>
      </c>
      <c r="B1070" s="84" t="n">
        <v>5052.2</v>
      </c>
      <c r="C1070" s="39">
        <f>(Table26[[#This Row],[M2 Money Stock, Billions of Dollars, Weekly, Seasonally Adjusted]]-B1069)/B1069</f>
        <v/>
      </c>
      <c r="D1070" s="40">
        <f>((1+Table26[[#This Row],[Weekly change]])^52)-1</f>
        <v/>
      </c>
      <c r="E1070" s="85">
        <f>(Table26[[#This Row],[M2 Money Stock, Billions of Dollars, Weekly, Seasonally Adjusted]]-B1018)/B1018</f>
        <v/>
      </c>
    </row>
    <row r="1071">
      <c r="A1071" s="37" t="n">
        <v>36976</v>
      </c>
      <c r="B1071" s="84" t="n">
        <v>5072.5</v>
      </c>
      <c r="C1071" s="39">
        <f>(Table26[[#This Row],[M2 Money Stock, Billions of Dollars, Weekly, Seasonally Adjusted]]-B1070)/B1070</f>
        <v/>
      </c>
      <c r="D1071" s="40">
        <f>((1+Table26[[#This Row],[Weekly change]])^52)-1</f>
        <v/>
      </c>
      <c r="E1071" s="85">
        <f>(Table26[[#This Row],[M2 Money Stock, Billions of Dollars, Weekly, Seasonally Adjusted]]-B1019)/B1019</f>
        <v/>
      </c>
    </row>
    <row r="1072">
      <c r="A1072" s="37" t="n">
        <v>36983</v>
      </c>
      <c r="B1072" s="84" t="n">
        <v>5094.2</v>
      </c>
      <c r="C1072" s="39">
        <f>(Table26[[#This Row],[M2 Money Stock, Billions of Dollars, Weekly, Seasonally Adjusted]]-B1071)/B1071</f>
        <v/>
      </c>
      <c r="D1072" s="40">
        <f>((1+Table26[[#This Row],[Weekly change]])^52)-1</f>
        <v/>
      </c>
      <c r="E1072" s="85">
        <f>(Table26[[#This Row],[M2 Money Stock, Billions of Dollars, Weekly, Seasonally Adjusted]]-B1020)/B1020</f>
        <v/>
      </c>
    </row>
    <row r="1073">
      <c r="A1073" s="37" t="n">
        <v>36990</v>
      </c>
      <c r="B1073" s="84" t="n">
        <v>5115.9</v>
      </c>
      <c r="C1073" s="39">
        <f>(Table26[[#This Row],[M2 Money Stock, Billions of Dollars, Weekly, Seasonally Adjusted]]-B1072)/B1072</f>
        <v/>
      </c>
      <c r="D1073" s="40">
        <f>((1+Table26[[#This Row],[Weekly change]])^52)-1</f>
        <v/>
      </c>
      <c r="E1073" s="85">
        <f>(Table26[[#This Row],[M2 Money Stock, Billions of Dollars, Weekly, Seasonally Adjusted]]-B1021)/B1021</f>
        <v/>
      </c>
    </row>
    <row r="1074">
      <c r="A1074" s="37" t="n">
        <v>36997</v>
      </c>
      <c r="B1074" s="84" t="n">
        <v>5132.1</v>
      </c>
      <c r="C1074" s="39">
        <f>(Table26[[#This Row],[M2 Money Stock, Billions of Dollars, Weekly, Seasonally Adjusted]]-B1073)/B1073</f>
        <v/>
      </c>
      <c r="D1074" s="40">
        <f>((1+Table26[[#This Row],[Weekly change]])^52)-1</f>
        <v/>
      </c>
      <c r="E1074" s="85">
        <f>(Table26[[#This Row],[M2 Money Stock, Billions of Dollars, Weekly, Seasonally Adjusted]]-B1022)/B1022</f>
        <v/>
      </c>
    </row>
    <row r="1075">
      <c r="A1075" s="37" t="n">
        <v>37004</v>
      </c>
      <c r="B1075" s="84" t="n">
        <v>5137.4</v>
      </c>
      <c r="C1075" s="39">
        <f>(Table26[[#This Row],[M2 Money Stock, Billions of Dollars, Weekly, Seasonally Adjusted]]-B1074)/B1074</f>
        <v/>
      </c>
      <c r="D1075" s="40">
        <f>((1+Table26[[#This Row],[Weekly change]])^52)-1</f>
        <v/>
      </c>
      <c r="E1075" s="85">
        <f>(Table26[[#This Row],[M2 Money Stock, Billions of Dollars, Weekly, Seasonally Adjusted]]-B1023)/B1023</f>
        <v/>
      </c>
    </row>
    <row r="1076">
      <c r="A1076" s="37" t="n">
        <v>37011</v>
      </c>
      <c r="B1076" s="84" t="n">
        <v>5121</v>
      </c>
      <c r="C1076" s="39">
        <f>(Table26[[#This Row],[M2 Money Stock, Billions of Dollars, Weekly, Seasonally Adjusted]]-B1075)/B1075</f>
        <v/>
      </c>
      <c r="D1076" s="40">
        <f>((1+Table26[[#This Row],[Weekly change]])^52)-1</f>
        <v/>
      </c>
      <c r="E1076" s="85">
        <f>(Table26[[#This Row],[M2 Money Stock, Billions of Dollars, Weekly, Seasonally Adjusted]]-B1024)/B1024</f>
        <v/>
      </c>
    </row>
    <row r="1077">
      <c r="A1077" s="37" t="n">
        <v>37018</v>
      </c>
      <c r="B1077" s="84" t="n">
        <v>5114.3</v>
      </c>
      <c r="C1077" s="39">
        <f>(Table26[[#This Row],[M2 Money Stock, Billions of Dollars, Weekly, Seasonally Adjusted]]-B1076)/B1076</f>
        <v/>
      </c>
      <c r="D1077" s="40">
        <f>((1+Table26[[#This Row],[Weekly change]])^52)-1</f>
        <v/>
      </c>
      <c r="E1077" s="85">
        <f>(Table26[[#This Row],[M2 Money Stock, Billions of Dollars, Weekly, Seasonally Adjusted]]-B1025)/B1025</f>
        <v/>
      </c>
    </row>
    <row r="1078">
      <c r="A1078" s="37" t="n">
        <v>37025</v>
      </c>
      <c r="B1078" s="84" t="n">
        <v>5113.2</v>
      </c>
      <c r="C1078" s="39">
        <f>(Table26[[#This Row],[M2 Money Stock, Billions of Dollars, Weekly, Seasonally Adjusted]]-B1077)/B1077</f>
        <v/>
      </c>
      <c r="D1078" s="40">
        <f>((1+Table26[[#This Row],[Weekly change]])^52)-1</f>
        <v/>
      </c>
      <c r="E1078" s="85">
        <f>(Table26[[#This Row],[M2 Money Stock, Billions of Dollars, Weekly, Seasonally Adjusted]]-B1026)/B1026</f>
        <v/>
      </c>
    </row>
    <row r="1079">
      <c r="A1079" s="37" t="n">
        <v>37032</v>
      </c>
      <c r="B1079" s="84" t="n">
        <v>5124.1</v>
      </c>
      <c r="C1079" s="39">
        <f>(Table26[[#This Row],[M2 Money Stock, Billions of Dollars, Weekly, Seasonally Adjusted]]-B1078)/B1078</f>
        <v/>
      </c>
      <c r="D1079" s="40">
        <f>((1+Table26[[#This Row],[Weekly change]])^52)-1</f>
        <v/>
      </c>
      <c r="E1079" s="85">
        <f>(Table26[[#This Row],[M2 Money Stock, Billions of Dollars, Weekly, Seasonally Adjusted]]-B1027)/B1027</f>
        <v/>
      </c>
    </row>
    <row r="1080">
      <c r="A1080" s="37" t="n">
        <v>37039</v>
      </c>
      <c r="B1080" s="84" t="n">
        <v>5119.7</v>
      </c>
      <c r="C1080" s="39">
        <f>(Table26[[#This Row],[M2 Money Stock, Billions of Dollars, Weekly, Seasonally Adjusted]]-B1079)/B1079</f>
        <v/>
      </c>
      <c r="D1080" s="40">
        <f>((1+Table26[[#This Row],[Weekly change]])^52)-1</f>
        <v/>
      </c>
      <c r="E1080" s="85">
        <f>(Table26[[#This Row],[M2 Money Stock, Billions of Dollars, Weekly, Seasonally Adjusted]]-B1028)/B1028</f>
        <v/>
      </c>
    </row>
    <row r="1081">
      <c r="A1081" s="37" t="n">
        <v>37046</v>
      </c>
      <c r="B1081" s="84" t="n">
        <v>5150.1</v>
      </c>
      <c r="C1081" s="39">
        <f>(Table26[[#This Row],[M2 Money Stock, Billions of Dollars, Weekly, Seasonally Adjusted]]-B1080)/B1080</f>
        <v/>
      </c>
      <c r="D1081" s="40">
        <f>((1+Table26[[#This Row],[Weekly change]])^52)-1</f>
        <v/>
      </c>
      <c r="E1081" s="85">
        <f>(Table26[[#This Row],[M2 Money Stock, Billions of Dollars, Weekly, Seasonally Adjusted]]-B1029)/B1029</f>
        <v/>
      </c>
    </row>
    <row r="1082">
      <c r="A1082" s="37" t="n">
        <v>37053</v>
      </c>
      <c r="B1082" s="84" t="n">
        <v>5154.4</v>
      </c>
      <c r="C1082" s="39">
        <f>(Table26[[#This Row],[M2 Money Stock, Billions of Dollars, Weekly, Seasonally Adjusted]]-B1081)/B1081</f>
        <v/>
      </c>
      <c r="D1082" s="40">
        <f>((1+Table26[[#This Row],[Weekly change]])^52)-1</f>
        <v/>
      </c>
      <c r="E1082" s="85">
        <f>(Table26[[#This Row],[M2 Money Stock, Billions of Dollars, Weekly, Seasonally Adjusted]]-B1030)/B1030</f>
        <v/>
      </c>
    </row>
    <row r="1083">
      <c r="A1083" s="37" t="n">
        <v>37060</v>
      </c>
      <c r="B1083" s="84" t="n">
        <v>5164.7</v>
      </c>
      <c r="C1083" s="39">
        <f>(Table26[[#This Row],[M2 Money Stock, Billions of Dollars, Weekly, Seasonally Adjusted]]-B1082)/B1082</f>
        <v/>
      </c>
      <c r="D1083" s="40">
        <f>((1+Table26[[#This Row],[Weekly change]])^52)-1</f>
        <v/>
      </c>
      <c r="E1083" s="85">
        <f>(Table26[[#This Row],[M2 Money Stock, Billions of Dollars, Weekly, Seasonally Adjusted]]-B1031)/B1031</f>
        <v/>
      </c>
    </row>
    <row r="1084">
      <c r="A1084" s="37" t="n">
        <v>37067</v>
      </c>
      <c r="B1084" s="84" t="n">
        <v>5161.5</v>
      </c>
      <c r="C1084" s="39">
        <f>(Table26[[#This Row],[M2 Money Stock, Billions of Dollars, Weekly, Seasonally Adjusted]]-B1083)/B1083</f>
        <v/>
      </c>
      <c r="D1084" s="40">
        <f>((1+Table26[[#This Row],[Weekly change]])^52)-1</f>
        <v/>
      </c>
      <c r="E1084" s="85">
        <f>(Table26[[#This Row],[M2 Money Stock, Billions of Dollars, Weekly, Seasonally Adjusted]]-B1032)/B1032</f>
        <v/>
      </c>
    </row>
    <row r="1085">
      <c r="A1085" s="37" t="n">
        <v>37074</v>
      </c>
      <c r="B1085" s="84" t="n">
        <v>5175.3</v>
      </c>
      <c r="C1085" s="39">
        <f>(Table26[[#This Row],[M2 Money Stock, Billions of Dollars, Weekly, Seasonally Adjusted]]-B1084)/B1084</f>
        <v/>
      </c>
      <c r="D1085" s="40">
        <f>((1+Table26[[#This Row],[Weekly change]])^52)-1</f>
        <v/>
      </c>
      <c r="E1085" s="85">
        <f>(Table26[[#This Row],[M2 Money Stock, Billions of Dollars, Weekly, Seasonally Adjusted]]-B1033)/B1033</f>
        <v/>
      </c>
    </row>
    <row r="1086">
      <c r="A1086" s="37" t="n">
        <v>37081</v>
      </c>
      <c r="B1086" s="84" t="n">
        <v>5179.4</v>
      </c>
      <c r="C1086" s="39">
        <f>(Table26[[#This Row],[M2 Money Stock, Billions of Dollars, Weekly, Seasonally Adjusted]]-B1085)/B1085</f>
        <v/>
      </c>
      <c r="D1086" s="40">
        <f>((1+Table26[[#This Row],[Weekly change]])^52)-1</f>
        <v/>
      </c>
      <c r="E1086" s="85">
        <f>(Table26[[#This Row],[M2 Money Stock, Billions of Dollars, Weekly, Seasonally Adjusted]]-B1034)/B1034</f>
        <v/>
      </c>
    </row>
    <row r="1087">
      <c r="A1087" s="37" t="n">
        <v>37088</v>
      </c>
      <c r="B1087" s="84" t="n">
        <v>5192.7</v>
      </c>
      <c r="C1087" s="39">
        <f>(Table26[[#This Row],[M2 Money Stock, Billions of Dollars, Weekly, Seasonally Adjusted]]-B1086)/B1086</f>
        <v/>
      </c>
      <c r="D1087" s="40">
        <f>((1+Table26[[#This Row],[Weekly change]])^52)-1</f>
        <v/>
      </c>
      <c r="E1087" s="85">
        <f>(Table26[[#This Row],[M2 Money Stock, Billions of Dollars, Weekly, Seasonally Adjusted]]-B1035)/B1035</f>
        <v/>
      </c>
    </row>
    <row r="1088">
      <c r="A1088" s="37" t="n">
        <v>37095</v>
      </c>
      <c r="B1088" s="84" t="n">
        <v>5193.7</v>
      </c>
      <c r="C1088" s="39">
        <f>(Table26[[#This Row],[M2 Money Stock, Billions of Dollars, Weekly, Seasonally Adjusted]]-B1087)/B1087</f>
        <v/>
      </c>
      <c r="D1088" s="40">
        <f>((1+Table26[[#This Row],[Weekly change]])^52)-1</f>
        <v/>
      </c>
      <c r="E1088" s="85">
        <f>(Table26[[#This Row],[M2 Money Stock, Billions of Dollars, Weekly, Seasonally Adjusted]]-B1036)/B1036</f>
        <v/>
      </c>
    </row>
    <row r="1089">
      <c r="A1089" s="37" t="n">
        <v>37102</v>
      </c>
      <c r="B1089" s="84" t="n">
        <v>5201.2</v>
      </c>
      <c r="C1089" s="39">
        <f>(Table26[[#This Row],[M2 Money Stock, Billions of Dollars, Weekly, Seasonally Adjusted]]-B1088)/B1088</f>
        <v/>
      </c>
      <c r="D1089" s="40">
        <f>((1+Table26[[#This Row],[Weekly change]])^52)-1</f>
        <v/>
      </c>
      <c r="E1089" s="85">
        <f>(Table26[[#This Row],[M2 Money Stock, Billions of Dollars, Weekly, Seasonally Adjusted]]-B1037)/B1037</f>
        <v/>
      </c>
    </row>
    <row r="1090">
      <c r="A1090" s="37" t="n">
        <v>37109</v>
      </c>
      <c r="B1090" s="84" t="n">
        <v>5210.9</v>
      </c>
      <c r="C1090" s="39">
        <f>(Table26[[#This Row],[M2 Money Stock, Billions of Dollars, Weekly, Seasonally Adjusted]]-B1089)/B1089</f>
        <v/>
      </c>
      <c r="D1090" s="40">
        <f>((1+Table26[[#This Row],[Weekly change]])^52)-1</f>
        <v/>
      </c>
      <c r="E1090" s="85">
        <f>(Table26[[#This Row],[M2 Money Stock, Billions of Dollars, Weekly, Seasonally Adjusted]]-B1038)/B1038</f>
        <v/>
      </c>
    </row>
    <row r="1091">
      <c r="A1091" s="37" t="n">
        <v>37116</v>
      </c>
      <c r="B1091" s="84" t="n">
        <v>5220</v>
      </c>
      <c r="C1091" s="39">
        <f>(Table26[[#This Row],[M2 Money Stock, Billions of Dollars, Weekly, Seasonally Adjusted]]-B1090)/B1090</f>
        <v/>
      </c>
      <c r="D1091" s="40">
        <f>((1+Table26[[#This Row],[Weekly change]])^52)-1</f>
        <v/>
      </c>
      <c r="E1091" s="85">
        <f>(Table26[[#This Row],[M2 Money Stock, Billions of Dollars, Weekly, Seasonally Adjusted]]-B1039)/B1039</f>
        <v/>
      </c>
    </row>
    <row r="1092">
      <c r="A1092" s="37" t="n">
        <v>37123</v>
      </c>
      <c r="B1092" s="84" t="n">
        <v>5226</v>
      </c>
      <c r="C1092" s="39">
        <f>(Table26[[#This Row],[M2 Money Stock, Billions of Dollars, Weekly, Seasonally Adjusted]]-B1091)/B1091</f>
        <v/>
      </c>
      <c r="D1092" s="40">
        <f>((1+Table26[[#This Row],[Weekly change]])^52)-1</f>
        <v/>
      </c>
      <c r="E1092" s="85">
        <f>(Table26[[#This Row],[M2 Money Stock, Billions of Dollars, Weekly, Seasonally Adjusted]]-B1040)/B1040</f>
        <v/>
      </c>
    </row>
    <row r="1093">
      <c r="A1093" s="37" t="n">
        <v>37130</v>
      </c>
      <c r="B1093" s="84" t="n">
        <v>5231.4</v>
      </c>
      <c r="C1093" s="39">
        <f>(Table26[[#This Row],[M2 Money Stock, Billions of Dollars, Weekly, Seasonally Adjusted]]-B1092)/B1092</f>
        <v/>
      </c>
      <c r="D1093" s="40">
        <f>((1+Table26[[#This Row],[Weekly change]])^52)-1</f>
        <v/>
      </c>
      <c r="E1093" s="85">
        <f>(Table26[[#This Row],[M2 Money Stock, Billions of Dollars, Weekly, Seasonally Adjusted]]-B1041)/B1041</f>
        <v/>
      </c>
    </row>
    <row r="1094">
      <c r="A1094" s="37" t="n">
        <v>37137</v>
      </c>
      <c r="B1094" s="84" t="n">
        <v>5243.5</v>
      </c>
      <c r="C1094" s="39">
        <f>(Table26[[#This Row],[M2 Money Stock, Billions of Dollars, Weekly, Seasonally Adjusted]]-B1093)/B1093</f>
        <v/>
      </c>
      <c r="D1094" s="40">
        <f>((1+Table26[[#This Row],[Weekly change]])^52)-1</f>
        <v/>
      </c>
      <c r="E1094" s="85">
        <f>(Table26[[#This Row],[M2 Money Stock, Billions of Dollars, Weekly, Seasonally Adjusted]]-B1042)/B1042</f>
        <v/>
      </c>
    </row>
    <row r="1095">
      <c r="A1095" s="37" t="n">
        <v>37144</v>
      </c>
      <c r="B1095" s="84" t="n">
        <v>5265.5</v>
      </c>
      <c r="C1095" s="39">
        <f>(Table26[[#This Row],[M2 Money Stock, Billions of Dollars, Weekly, Seasonally Adjusted]]-B1094)/B1094</f>
        <v/>
      </c>
      <c r="D1095" s="40">
        <f>((1+Table26[[#This Row],[Weekly change]])^52)-1</f>
        <v/>
      </c>
      <c r="E1095" s="85">
        <f>(Table26[[#This Row],[M2 Money Stock, Billions of Dollars, Weekly, Seasonally Adjusted]]-B1043)/B1043</f>
        <v/>
      </c>
    </row>
    <row r="1096">
      <c r="A1096" s="37" t="n">
        <v>37151</v>
      </c>
      <c r="B1096" s="84" t="n">
        <v>5436.1</v>
      </c>
      <c r="C1096" s="39">
        <f>(Table26[[#This Row],[M2 Money Stock, Billions of Dollars, Weekly, Seasonally Adjusted]]-B1095)/B1095</f>
        <v/>
      </c>
      <c r="D1096" s="40">
        <f>((1+Table26[[#This Row],[Weekly change]])^52)-1</f>
        <v/>
      </c>
      <c r="E1096" s="85">
        <f>(Table26[[#This Row],[M2 Money Stock, Billions of Dollars, Weekly, Seasonally Adjusted]]-B1044)/B1044</f>
        <v/>
      </c>
    </row>
    <row r="1097">
      <c r="A1097" s="37" t="n">
        <v>37158</v>
      </c>
      <c r="B1097" s="84" t="n">
        <v>5354.4</v>
      </c>
      <c r="C1097" s="39">
        <f>(Table26[[#This Row],[M2 Money Stock, Billions of Dollars, Weekly, Seasonally Adjusted]]-B1096)/B1096</f>
        <v/>
      </c>
      <c r="D1097" s="40">
        <f>((1+Table26[[#This Row],[Weekly change]])^52)-1</f>
        <v/>
      </c>
      <c r="E1097" s="85">
        <f>(Table26[[#This Row],[M2 Money Stock, Billions of Dollars, Weekly, Seasonally Adjusted]]-B1045)/B1045</f>
        <v/>
      </c>
    </row>
    <row r="1098">
      <c r="A1098" s="37" t="n">
        <v>37165</v>
      </c>
      <c r="B1098" s="84" t="n">
        <v>5329.4</v>
      </c>
      <c r="C1098" s="39">
        <f>(Table26[[#This Row],[M2 Money Stock, Billions of Dollars, Weekly, Seasonally Adjusted]]-B1097)/B1097</f>
        <v/>
      </c>
      <c r="D1098" s="40">
        <f>((1+Table26[[#This Row],[Weekly change]])^52)-1</f>
        <v/>
      </c>
      <c r="E1098" s="85">
        <f>(Table26[[#This Row],[M2 Money Stock, Billions of Dollars, Weekly, Seasonally Adjusted]]-B1046)/B1046</f>
        <v/>
      </c>
    </row>
    <row r="1099">
      <c r="A1099" s="37" t="n">
        <v>37172</v>
      </c>
      <c r="B1099" s="84" t="n">
        <v>5320.4</v>
      </c>
      <c r="C1099" s="39">
        <f>(Table26[[#This Row],[M2 Money Stock, Billions of Dollars, Weekly, Seasonally Adjusted]]-B1098)/B1098</f>
        <v/>
      </c>
      <c r="D1099" s="40">
        <f>((1+Table26[[#This Row],[Weekly change]])^52)-1</f>
        <v/>
      </c>
      <c r="E1099" s="85">
        <f>(Table26[[#This Row],[M2 Money Stock, Billions of Dollars, Weekly, Seasonally Adjusted]]-B1047)/B1047</f>
        <v/>
      </c>
    </row>
    <row r="1100">
      <c r="A1100" s="37" t="n">
        <v>37179</v>
      </c>
      <c r="B1100" s="84" t="n">
        <v>5319.7</v>
      </c>
      <c r="C1100" s="39">
        <f>(Table26[[#This Row],[M2 Money Stock, Billions of Dollars, Weekly, Seasonally Adjusted]]-B1099)/B1099</f>
        <v/>
      </c>
      <c r="D1100" s="40">
        <f>((1+Table26[[#This Row],[Weekly change]])^52)-1</f>
        <v/>
      </c>
      <c r="E1100" s="85">
        <f>(Table26[[#This Row],[M2 Money Stock, Billions of Dollars, Weekly, Seasonally Adjusted]]-B1048)/B1048</f>
        <v/>
      </c>
    </row>
    <row r="1101">
      <c r="A1101" s="37" t="n">
        <v>37186</v>
      </c>
      <c r="B1101" s="84" t="n">
        <v>5322</v>
      </c>
      <c r="C1101" s="39">
        <f>(Table26[[#This Row],[M2 Money Stock, Billions of Dollars, Weekly, Seasonally Adjusted]]-B1100)/B1100</f>
        <v/>
      </c>
      <c r="D1101" s="40">
        <f>((1+Table26[[#This Row],[Weekly change]])^52)-1</f>
        <v/>
      </c>
      <c r="E1101" s="85">
        <f>(Table26[[#This Row],[M2 Money Stock, Billions of Dollars, Weekly, Seasonally Adjusted]]-B1049)/B1049</f>
        <v/>
      </c>
    </row>
    <row r="1102">
      <c r="A1102" s="37" t="n">
        <v>37193</v>
      </c>
      <c r="B1102" s="84" t="n">
        <v>5329.4</v>
      </c>
      <c r="C1102" s="39">
        <f>(Table26[[#This Row],[M2 Money Stock, Billions of Dollars, Weekly, Seasonally Adjusted]]-B1101)/B1101</f>
        <v/>
      </c>
      <c r="D1102" s="40">
        <f>((1+Table26[[#This Row],[Weekly change]])^52)-1</f>
        <v/>
      </c>
      <c r="E1102" s="85">
        <f>(Table26[[#This Row],[M2 Money Stock, Billions of Dollars, Weekly, Seasonally Adjusted]]-B1050)/B1050</f>
        <v/>
      </c>
    </row>
    <row r="1103">
      <c r="A1103" s="37" t="n">
        <v>37200</v>
      </c>
      <c r="B1103" s="84" t="n">
        <v>5350.3</v>
      </c>
      <c r="C1103" s="39">
        <f>(Table26[[#This Row],[M2 Money Stock, Billions of Dollars, Weekly, Seasonally Adjusted]]-B1102)/B1102</f>
        <v/>
      </c>
      <c r="D1103" s="40">
        <f>((1+Table26[[#This Row],[Weekly change]])^52)-1</f>
        <v/>
      </c>
      <c r="E1103" s="85">
        <f>(Table26[[#This Row],[M2 Money Stock, Billions of Dollars, Weekly, Seasonally Adjusted]]-B1051)/B1051</f>
        <v/>
      </c>
    </row>
    <row r="1104">
      <c r="A1104" s="37" t="n">
        <v>37207</v>
      </c>
      <c r="B1104" s="84" t="n">
        <v>5357.4</v>
      </c>
      <c r="C1104" s="39">
        <f>(Table26[[#This Row],[M2 Money Stock, Billions of Dollars, Weekly, Seasonally Adjusted]]-B1103)/B1103</f>
        <v/>
      </c>
      <c r="D1104" s="40">
        <f>((1+Table26[[#This Row],[Weekly change]])^52)-1</f>
        <v/>
      </c>
      <c r="E1104" s="85">
        <f>(Table26[[#This Row],[M2 Money Stock, Billions of Dollars, Weekly, Seasonally Adjusted]]-B1052)/B1052</f>
        <v/>
      </c>
    </row>
    <row r="1105">
      <c r="A1105" s="37" t="n">
        <v>37214</v>
      </c>
      <c r="B1105" s="84" t="n">
        <v>5366.4</v>
      </c>
      <c r="C1105" s="39">
        <f>(Table26[[#This Row],[M2 Money Stock, Billions of Dollars, Weekly, Seasonally Adjusted]]-B1104)/B1104</f>
        <v/>
      </c>
      <c r="D1105" s="40">
        <f>((1+Table26[[#This Row],[Weekly change]])^52)-1</f>
        <v/>
      </c>
      <c r="E1105" s="85">
        <f>(Table26[[#This Row],[M2 Money Stock, Billions of Dollars, Weekly, Seasonally Adjusted]]-B1053)/B1053</f>
        <v/>
      </c>
    </row>
    <row r="1106">
      <c r="A1106" s="37" t="n">
        <v>37221</v>
      </c>
      <c r="B1106" s="84" t="n">
        <v>5383.3</v>
      </c>
      <c r="C1106" s="39">
        <f>(Table26[[#This Row],[M2 Money Stock, Billions of Dollars, Weekly, Seasonally Adjusted]]-B1105)/B1105</f>
        <v/>
      </c>
      <c r="D1106" s="40">
        <f>((1+Table26[[#This Row],[Weekly change]])^52)-1</f>
        <v/>
      </c>
      <c r="E1106" s="85">
        <f>(Table26[[#This Row],[M2 Money Stock, Billions of Dollars, Weekly, Seasonally Adjusted]]-B1054)/B1054</f>
        <v/>
      </c>
    </row>
    <row r="1107">
      <c r="A1107" s="37" t="n">
        <v>37228</v>
      </c>
      <c r="B1107" s="84" t="n">
        <v>5388.6</v>
      </c>
      <c r="C1107" s="39">
        <f>(Table26[[#This Row],[M2 Money Stock, Billions of Dollars, Weekly, Seasonally Adjusted]]-B1106)/B1106</f>
        <v/>
      </c>
      <c r="D1107" s="40">
        <f>((1+Table26[[#This Row],[Weekly change]])^52)-1</f>
        <v/>
      </c>
      <c r="E1107" s="85">
        <f>(Table26[[#This Row],[M2 Money Stock, Billions of Dollars, Weekly, Seasonally Adjusted]]-B1055)/B1055</f>
        <v/>
      </c>
    </row>
    <row r="1108">
      <c r="A1108" s="37" t="n">
        <v>37235</v>
      </c>
      <c r="B1108" s="84" t="n">
        <v>5413.2</v>
      </c>
      <c r="C1108" s="39">
        <f>(Table26[[#This Row],[M2 Money Stock, Billions of Dollars, Weekly, Seasonally Adjusted]]-B1107)/B1107</f>
        <v/>
      </c>
      <c r="D1108" s="40">
        <f>((1+Table26[[#This Row],[Weekly change]])^52)-1</f>
        <v/>
      </c>
      <c r="E1108" s="85">
        <f>(Table26[[#This Row],[M2 Money Stock, Billions of Dollars, Weekly, Seasonally Adjusted]]-B1056)/B1056</f>
        <v/>
      </c>
    </row>
    <row r="1109">
      <c r="A1109" s="37" t="n">
        <v>37242</v>
      </c>
      <c r="B1109" s="84" t="n">
        <v>5430.6</v>
      </c>
      <c r="C1109" s="39">
        <f>(Table26[[#This Row],[M2 Money Stock, Billions of Dollars, Weekly, Seasonally Adjusted]]-B1108)/B1108</f>
        <v/>
      </c>
      <c r="D1109" s="40">
        <f>((1+Table26[[#This Row],[Weekly change]])^52)-1</f>
        <v/>
      </c>
      <c r="E1109" s="85">
        <f>(Table26[[#This Row],[M2 Money Stock, Billions of Dollars, Weekly, Seasonally Adjusted]]-B1057)/B1057</f>
        <v/>
      </c>
    </row>
    <row r="1110">
      <c r="A1110" s="37" t="n">
        <v>37249</v>
      </c>
      <c r="B1110" s="84" t="n">
        <v>5418.9</v>
      </c>
      <c r="C1110" s="39">
        <f>(Table26[[#This Row],[M2 Money Stock, Billions of Dollars, Weekly, Seasonally Adjusted]]-B1109)/B1109</f>
        <v/>
      </c>
      <c r="D1110" s="40">
        <f>((1+Table26[[#This Row],[Weekly change]])^52)-1</f>
        <v/>
      </c>
      <c r="E1110" s="85">
        <f>(Table26[[#This Row],[M2 Money Stock, Billions of Dollars, Weekly, Seasonally Adjusted]]-B1058)/B1058</f>
        <v/>
      </c>
    </row>
    <row r="1111">
      <c r="A1111" s="37" t="n">
        <v>37256</v>
      </c>
      <c r="B1111" s="84" t="n">
        <v>5438.1</v>
      </c>
      <c r="C1111" s="39">
        <f>(Table26[[#This Row],[M2 Money Stock, Billions of Dollars, Weekly, Seasonally Adjusted]]-B1110)/B1110</f>
        <v/>
      </c>
      <c r="D1111" s="40">
        <f>((1+Table26[[#This Row],[Weekly change]])^52)-1</f>
        <v/>
      </c>
      <c r="E1111" s="85">
        <f>(Table26[[#This Row],[M2 Money Stock, Billions of Dollars, Weekly, Seasonally Adjusted]]-B1059)/B1059</f>
        <v/>
      </c>
    </row>
    <row r="1112">
      <c r="A1112" s="37" t="n">
        <v>37263</v>
      </c>
      <c r="B1112" s="84" t="n">
        <v>5436.2</v>
      </c>
      <c r="C1112" s="39">
        <f>(Table26[[#This Row],[M2 Money Stock, Billions of Dollars, Weekly, Seasonally Adjusted]]-B1111)/B1111</f>
        <v/>
      </c>
      <c r="D1112" s="40">
        <f>((1+Table26[[#This Row],[Weekly change]])^52)-1</f>
        <v/>
      </c>
      <c r="E1112" s="85">
        <f>(Table26[[#This Row],[M2 Money Stock, Billions of Dollars, Weekly, Seasonally Adjusted]]-B1060)/B1060</f>
        <v/>
      </c>
    </row>
    <row r="1113">
      <c r="A1113" s="37" t="n">
        <v>37270</v>
      </c>
      <c r="B1113" s="84" t="n">
        <v>5437.9</v>
      </c>
      <c r="C1113" s="39">
        <f>(Table26[[#This Row],[M2 Money Stock, Billions of Dollars, Weekly, Seasonally Adjusted]]-B1112)/B1112</f>
        <v/>
      </c>
      <c r="D1113" s="40">
        <f>((1+Table26[[#This Row],[Weekly change]])^52)-1</f>
        <v/>
      </c>
      <c r="E1113" s="85">
        <f>(Table26[[#This Row],[M2 Money Stock, Billions of Dollars, Weekly, Seasonally Adjusted]]-B1061)/B1061</f>
        <v/>
      </c>
    </row>
    <row r="1114">
      <c r="A1114" s="37" t="n">
        <v>37277</v>
      </c>
      <c r="B1114" s="84" t="n">
        <v>5438.5</v>
      </c>
      <c r="C1114" s="39">
        <f>(Table26[[#This Row],[M2 Money Stock, Billions of Dollars, Weekly, Seasonally Adjusted]]-B1113)/B1113</f>
        <v/>
      </c>
      <c r="D1114" s="40">
        <f>((1+Table26[[#This Row],[Weekly change]])^52)-1</f>
        <v/>
      </c>
      <c r="E1114" s="85">
        <f>(Table26[[#This Row],[M2 Money Stock, Billions of Dollars, Weekly, Seasonally Adjusted]]-B1062)/B1062</f>
        <v/>
      </c>
    </row>
    <row r="1115">
      <c r="A1115" s="37" t="n">
        <v>37284</v>
      </c>
      <c r="B1115" s="84" t="n">
        <v>5447.1</v>
      </c>
      <c r="C1115" s="39">
        <f>(Table26[[#This Row],[M2 Money Stock, Billions of Dollars, Weekly, Seasonally Adjusted]]-B1114)/B1114</f>
        <v/>
      </c>
      <c r="D1115" s="40">
        <f>((1+Table26[[#This Row],[Weekly change]])^52)-1</f>
        <v/>
      </c>
      <c r="E1115" s="85">
        <f>(Table26[[#This Row],[M2 Money Stock, Billions of Dollars, Weekly, Seasonally Adjusted]]-B1063)/B1063</f>
        <v/>
      </c>
    </row>
    <row r="1116">
      <c r="A1116" s="37" t="n">
        <v>37291</v>
      </c>
      <c r="B1116" s="84" t="n">
        <v>5461.1</v>
      </c>
      <c r="C1116" s="39">
        <f>(Table26[[#This Row],[M2 Money Stock, Billions of Dollars, Weekly, Seasonally Adjusted]]-B1115)/B1115</f>
        <v/>
      </c>
      <c r="D1116" s="40">
        <f>((1+Table26[[#This Row],[Weekly change]])^52)-1</f>
        <v/>
      </c>
      <c r="E1116" s="85">
        <f>(Table26[[#This Row],[M2 Money Stock, Billions of Dollars, Weekly, Seasonally Adjusted]]-B1064)/B1064</f>
        <v/>
      </c>
    </row>
    <row r="1117">
      <c r="A1117" s="37" t="n">
        <v>37298</v>
      </c>
      <c r="B1117" s="84" t="n">
        <v>5466.8</v>
      </c>
      <c r="C1117" s="39">
        <f>(Table26[[#This Row],[M2 Money Stock, Billions of Dollars, Weekly, Seasonally Adjusted]]-B1116)/B1116</f>
        <v/>
      </c>
      <c r="D1117" s="40">
        <f>((1+Table26[[#This Row],[Weekly change]])^52)-1</f>
        <v/>
      </c>
      <c r="E1117" s="85">
        <f>(Table26[[#This Row],[M2 Money Stock, Billions of Dollars, Weekly, Seasonally Adjusted]]-B1065)/B1065</f>
        <v/>
      </c>
    </row>
    <row r="1118">
      <c r="A1118" s="37" t="n">
        <v>37305</v>
      </c>
      <c r="B1118" s="84" t="n">
        <v>5469.7</v>
      </c>
      <c r="C1118" s="39">
        <f>(Table26[[#This Row],[M2 Money Stock, Billions of Dollars, Weekly, Seasonally Adjusted]]-B1117)/B1117</f>
        <v/>
      </c>
      <c r="D1118" s="40">
        <f>((1+Table26[[#This Row],[Weekly change]])^52)-1</f>
        <v/>
      </c>
      <c r="E1118" s="85">
        <f>(Table26[[#This Row],[M2 Money Stock, Billions of Dollars, Weekly, Seasonally Adjusted]]-B1066)/B1066</f>
        <v/>
      </c>
    </row>
    <row r="1119">
      <c r="A1119" s="37" t="n">
        <v>37312</v>
      </c>
      <c r="B1119" s="84" t="n">
        <v>5478.3</v>
      </c>
      <c r="C1119" s="39">
        <f>(Table26[[#This Row],[M2 Money Stock, Billions of Dollars, Weekly, Seasonally Adjusted]]-B1118)/B1118</f>
        <v/>
      </c>
      <c r="D1119" s="40">
        <f>((1+Table26[[#This Row],[Weekly change]])^52)-1</f>
        <v/>
      </c>
      <c r="E1119" s="85">
        <f>(Table26[[#This Row],[M2 Money Stock, Billions of Dollars, Weekly, Seasonally Adjusted]]-B1067)/B1067</f>
        <v/>
      </c>
    </row>
    <row r="1120">
      <c r="A1120" s="37" t="n">
        <v>37319</v>
      </c>
      <c r="B1120" s="84" t="n">
        <v>5484</v>
      </c>
      <c r="C1120" s="39">
        <f>(Table26[[#This Row],[M2 Money Stock, Billions of Dollars, Weekly, Seasonally Adjusted]]-B1119)/B1119</f>
        <v/>
      </c>
      <c r="D1120" s="40">
        <f>((1+Table26[[#This Row],[Weekly change]])^52)-1</f>
        <v/>
      </c>
      <c r="E1120" s="85">
        <f>(Table26[[#This Row],[M2 Money Stock, Billions of Dollars, Weekly, Seasonally Adjusted]]-B1068)/B1068</f>
        <v/>
      </c>
    </row>
    <row r="1121">
      <c r="A1121" s="37" t="n">
        <v>37326</v>
      </c>
      <c r="B1121" s="84" t="n">
        <v>5484.4</v>
      </c>
      <c r="C1121" s="39">
        <f>(Table26[[#This Row],[M2 Money Stock, Billions of Dollars, Weekly, Seasonally Adjusted]]-B1120)/B1120</f>
        <v/>
      </c>
      <c r="D1121" s="40">
        <f>((1+Table26[[#This Row],[Weekly change]])^52)-1</f>
        <v/>
      </c>
      <c r="E1121" s="85">
        <f>(Table26[[#This Row],[M2 Money Stock, Billions of Dollars, Weekly, Seasonally Adjusted]]-B1069)/B1069</f>
        <v/>
      </c>
    </row>
    <row r="1122">
      <c r="A1122" s="37" t="n">
        <v>37333</v>
      </c>
      <c r="B1122" s="84" t="n">
        <v>5482.9</v>
      </c>
      <c r="C1122" s="39">
        <f>(Table26[[#This Row],[M2 Money Stock, Billions of Dollars, Weekly, Seasonally Adjusted]]-B1121)/B1121</f>
        <v/>
      </c>
      <c r="D1122" s="40">
        <f>((1+Table26[[#This Row],[Weekly change]])^52)-1</f>
        <v/>
      </c>
      <c r="E1122" s="85">
        <f>(Table26[[#This Row],[M2 Money Stock, Billions of Dollars, Weekly, Seasonally Adjusted]]-B1070)/B1070</f>
        <v/>
      </c>
    </row>
    <row r="1123">
      <c r="A1123" s="37" t="n">
        <v>37340</v>
      </c>
      <c r="B1123" s="84" t="n">
        <v>5477.2</v>
      </c>
      <c r="C1123" s="39">
        <f>(Table26[[#This Row],[M2 Money Stock, Billions of Dollars, Weekly, Seasonally Adjusted]]-B1122)/B1122</f>
        <v/>
      </c>
      <c r="D1123" s="40">
        <f>((1+Table26[[#This Row],[Weekly change]])^52)-1</f>
        <v/>
      </c>
      <c r="E1123" s="85">
        <f>(Table26[[#This Row],[M2 Money Stock, Billions of Dollars, Weekly, Seasonally Adjusted]]-B1071)/B1071</f>
        <v/>
      </c>
    </row>
    <row r="1124">
      <c r="A1124" s="37" t="n">
        <v>37347</v>
      </c>
      <c r="B1124" s="84" t="n">
        <v>5489.8</v>
      </c>
      <c r="C1124" s="39">
        <f>(Table26[[#This Row],[M2 Money Stock, Billions of Dollars, Weekly, Seasonally Adjusted]]-B1123)/B1123</f>
        <v/>
      </c>
      <c r="D1124" s="40">
        <f>((1+Table26[[#This Row],[Weekly change]])^52)-1</f>
        <v/>
      </c>
      <c r="E1124" s="85">
        <f>(Table26[[#This Row],[M2 Money Stock, Billions of Dollars, Weekly, Seasonally Adjusted]]-B1072)/B1072</f>
        <v/>
      </c>
    </row>
    <row r="1125">
      <c r="A1125" s="37" t="n">
        <v>37354</v>
      </c>
      <c r="B1125" s="84" t="n">
        <v>5476</v>
      </c>
      <c r="C1125" s="39">
        <f>(Table26[[#This Row],[M2 Money Stock, Billions of Dollars, Weekly, Seasonally Adjusted]]-B1124)/B1124</f>
        <v/>
      </c>
      <c r="D1125" s="40">
        <f>((1+Table26[[#This Row],[Weekly change]])^52)-1</f>
        <v/>
      </c>
      <c r="E1125" s="85">
        <f>(Table26[[#This Row],[M2 Money Stock, Billions of Dollars, Weekly, Seasonally Adjusted]]-B1073)/B1073</f>
        <v/>
      </c>
    </row>
    <row r="1126">
      <c r="A1126" s="37" t="n">
        <v>37361</v>
      </c>
      <c r="B1126" s="84" t="n">
        <v>5488</v>
      </c>
      <c r="C1126" s="39">
        <f>(Table26[[#This Row],[M2 Money Stock, Billions of Dollars, Weekly, Seasonally Adjusted]]-B1125)/B1125</f>
        <v/>
      </c>
      <c r="D1126" s="40">
        <f>((1+Table26[[#This Row],[Weekly change]])^52)-1</f>
        <v/>
      </c>
      <c r="E1126" s="85">
        <f>(Table26[[#This Row],[M2 Money Stock, Billions of Dollars, Weekly, Seasonally Adjusted]]-B1074)/B1074</f>
        <v/>
      </c>
    </row>
    <row r="1127">
      <c r="A1127" s="37" t="n">
        <v>37368</v>
      </c>
      <c r="B1127" s="84" t="n">
        <v>5483.2</v>
      </c>
      <c r="C1127" s="39">
        <f>(Table26[[#This Row],[M2 Money Stock, Billions of Dollars, Weekly, Seasonally Adjusted]]-B1126)/B1126</f>
        <v/>
      </c>
      <c r="D1127" s="40">
        <f>((1+Table26[[#This Row],[Weekly change]])^52)-1</f>
        <v/>
      </c>
      <c r="E1127" s="85">
        <f>(Table26[[#This Row],[M2 Money Stock, Billions of Dollars, Weekly, Seasonally Adjusted]]-B1075)/B1075</f>
        <v/>
      </c>
    </row>
    <row r="1128">
      <c r="A1128" s="37" t="n">
        <v>37375</v>
      </c>
      <c r="B1128" s="84" t="n">
        <v>5484.2</v>
      </c>
      <c r="C1128" s="39">
        <f>(Table26[[#This Row],[M2 Money Stock, Billions of Dollars, Weekly, Seasonally Adjusted]]-B1127)/B1127</f>
        <v/>
      </c>
      <c r="D1128" s="40">
        <f>((1+Table26[[#This Row],[Weekly change]])^52)-1</f>
        <v/>
      </c>
      <c r="E1128" s="85">
        <f>(Table26[[#This Row],[M2 Money Stock, Billions of Dollars, Weekly, Seasonally Adjusted]]-B1076)/B1076</f>
        <v/>
      </c>
    </row>
    <row r="1129">
      <c r="A1129" s="37" t="n">
        <v>37382</v>
      </c>
      <c r="B1129" s="84" t="n">
        <v>5496.2</v>
      </c>
      <c r="C1129" s="39">
        <f>(Table26[[#This Row],[M2 Money Stock, Billions of Dollars, Weekly, Seasonally Adjusted]]-B1128)/B1128</f>
        <v/>
      </c>
      <c r="D1129" s="40">
        <f>((1+Table26[[#This Row],[Weekly change]])^52)-1</f>
        <v/>
      </c>
      <c r="E1129" s="85">
        <f>(Table26[[#This Row],[M2 Money Stock, Billions of Dollars, Weekly, Seasonally Adjusted]]-B1077)/B1077</f>
        <v/>
      </c>
    </row>
    <row r="1130">
      <c r="A1130" s="37" t="n">
        <v>37389</v>
      </c>
      <c r="B1130" s="84" t="n">
        <v>5505.1</v>
      </c>
      <c r="C1130" s="39">
        <f>(Table26[[#This Row],[M2 Money Stock, Billions of Dollars, Weekly, Seasonally Adjusted]]-B1129)/B1129</f>
        <v/>
      </c>
      <c r="D1130" s="40">
        <f>((1+Table26[[#This Row],[Weekly change]])^52)-1</f>
        <v/>
      </c>
      <c r="E1130" s="85">
        <f>(Table26[[#This Row],[M2 Money Stock, Billions of Dollars, Weekly, Seasonally Adjusted]]-B1078)/B1078</f>
        <v/>
      </c>
    </row>
    <row r="1131">
      <c r="A1131" s="37" t="n">
        <v>37396</v>
      </c>
      <c r="B1131" s="84" t="n">
        <v>5515</v>
      </c>
      <c r="C1131" s="39">
        <f>(Table26[[#This Row],[M2 Money Stock, Billions of Dollars, Weekly, Seasonally Adjusted]]-B1130)/B1130</f>
        <v/>
      </c>
      <c r="D1131" s="40">
        <f>((1+Table26[[#This Row],[Weekly change]])^52)-1</f>
        <v/>
      </c>
      <c r="E1131" s="85">
        <f>(Table26[[#This Row],[M2 Money Stock, Billions of Dollars, Weekly, Seasonally Adjusted]]-B1079)/B1079</f>
        <v/>
      </c>
    </row>
    <row r="1132">
      <c r="A1132" s="37" t="n">
        <v>37403</v>
      </c>
      <c r="B1132" s="84" t="n">
        <v>5519.3</v>
      </c>
      <c r="C1132" s="39">
        <f>(Table26[[#This Row],[M2 Money Stock, Billions of Dollars, Weekly, Seasonally Adjusted]]-B1131)/B1131</f>
        <v/>
      </c>
      <c r="D1132" s="40">
        <f>((1+Table26[[#This Row],[Weekly change]])^52)-1</f>
        <v/>
      </c>
      <c r="E1132" s="85">
        <f>(Table26[[#This Row],[M2 Money Stock, Billions of Dollars, Weekly, Seasonally Adjusted]]-B1080)/B1080</f>
        <v/>
      </c>
    </row>
    <row r="1133">
      <c r="A1133" s="37" t="n">
        <v>37410</v>
      </c>
      <c r="B1133" s="84" t="n">
        <v>5509.7</v>
      </c>
      <c r="C1133" s="39">
        <f>(Table26[[#This Row],[M2 Money Stock, Billions of Dollars, Weekly, Seasonally Adjusted]]-B1132)/B1132</f>
        <v/>
      </c>
      <c r="D1133" s="40">
        <f>((1+Table26[[#This Row],[Weekly change]])^52)-1</f>
        <v/>
      </c>
      <c r="E1133" s="85">
        <f>(Table26[[#This Row],[M2 Money Stock, Billions of Dollars, Weekly, Seasonally Adjusted]]-B1081)/B1081</f>
        <v/>
      </c>
    </row>
    <row r="1134">
      <c r="A1134" s="37" t="n">
        <v>37417</v>
      </c>
      <c r="B1134" s="84" t="n">
        <v>5523.3</v>
      </c>
      <c r="C1134" s="39">
        <f>(Table26[[#This Row],[M2 Money Stock, Billions of Dollars, Weekly, Seasonally Adjusted]]-B1133)/B1133</f>
        <v/>
      </c>
      <c r="D1134" s="40">
        <f>((1+Table26[[#This Row],[Weekly change]])^52)-1</f>
        <v/>
      </c>
      <c r="E1134" s="85">
        <f>(Table26[[#This Row],[M2 Money Stock, Billions of Dollars, Weekly, Seasonally Adjusted]]-B1082)/B1082</f>
        <v/>
      </c>
    </row>
    <row r="1135">
      <c r="A1135" s="37" t="n">
        <v>37424</v>
      </c>
      <c r="B1135" s="84" t="n">
        <v>5533.9</v>
      </c>
      <c r="C1135" s="39">
        <f>(Table26[[#This Row],[M2 Money Stock, Billions of Dollars, Weekly, Seasonally Adjusted]]-B1134)/B1134</f>
        <v/>
      </c>
      <c r="D1135" s="40">
        <f>((1+Table26[[#This Row],[Weekly change]])^52)-1</f>
        <v/>
      </c>
      <c r="E1135" s="85">
        <f>(Table26[[#This Row],[M2 Money Stock, Billions of Dollars, Weekly, Seasonally Adjusted]]-B1083)/B1083</f>
        <v/>
      </c>
    </row>
    <row r="1136">
      <c r="A1136" s="37" t="n">
        <v>37431</v>
      </c>
      <c r="B1136" s="84" t="n">
        <v>5539.4</v>
      </c>
      <c r="C1136" s="39">
        <f>(Table26[[#This Row],[M2 Money Stock, Billions of Dollars, Weekly, Seasonally Adjusted]]-B1135)/B1135</f>
        <v/>
      </c>
      <c r="D1136" s="40">
        <f>((1+Table26[[#This Row],[Weekly change]])^52)-1</f>
        <v/>
      </c>
      <c r="E1136" s="85">
        <f>(Table26[[#This Row],[M2 Money Stock, Billions of Dollars, Weekly, Seasonally Adjusted]]-B1084)/B1084</f>
        <v/>
      </c>
    </row>
    <row r="1137">
      <c r="A1137" s="37" t="n">
        <v>37438</v>
      </c>
      <c r="B1137" s="84" t="n">
        <v>5554.2</v>
      </c>
      <c r="C1137" s="39">
        <f>(Table26[[#This Row],[M2 Money Stock, Billions of Dollars, Weekly, Seasonally Adjusted]]-B1136)/B1136</f>
        <v/>
      </c>
      <c r="D1137" s="40">
        <f>((1+Table26[[#This Row],[Weekly change]])^52)-1</f>
        <v/>
      </c>
      <c r="E1137" s="85">
        <f>(Table26[[#This Row],[M2 Money Stock, Billions of Dollars, Weekly, Seasonally Adjusted]]-B1085)/B1085</f>
        <v/>
      </c>
    </row>
    <row r="1138">
      <c r="A1138" s="37" t="n">
        <v>37445</v>
      </c>
      <c r="B1138" s="84" t="n">
        <v>5548.7</v>
      </c>
      <c r="C1138" s="39">
        <f>(Table26[[#This Row],[M2 Money Stock, Billions of Dollars, Weekly, Seasonally Adjusted]]-B1137)/B1137</f>
        <v/>
      </c>
      <c r="D1138" s="40">
        <f>((1+Table26[[#This Row],[Weekly change]])^52)-1</f>
        <v/>
      </c>
      <c r="E1138" s="85">
        <f>(Table26[[#This Row],[M2 Money Stock, Billions of Dollars, Weekly, Seasonally Adjusted]]-B1086)/B1086</f>
        <v/>
      </c>
    </row>
    <row r="1139">
      <c r="A1139" s="37" t="n">
        <v>37452</v>
      </c>
      <c r="B1139" s="84" t="n">
        <v>5568.4</v>
      </c>
      <c r="C1139" s="39">
        <f>(Table26[[#This Row],[M2 Money Stock, Billions of Dollars, Weekly, Seasonally Adjusted]]-B1138)/B1138</f>
        <v/>
      </c>
      <c r="D1139" s="40">
        <f>((1+Table26[[#This Row],[Weekly change]])^52)-1</f>
        <v/>
      </c>
      <c r="E1139" s="85">
        <f>(Table26[[#This Row],[M2 Money Stock, Billions of Dollars, Weekly, Seasonally Adjusted]]-B1087)/B1087</f>
        <v/>
      </c>
    </row>
    <row r="1140">
      <c r="A1140" s="37" t="n">
        <v>37459</v>
      </c>
      <c r="B1140" s="84" t="n">
        <v>5582.3</v>
      </c>
      <c r="C1140" s="39">
        <f>(Table26[[#This Row],[M2 Money Stock, Billions of Dollars, Weekly, Seasonally Adjusted]]-B1139)/B1139</f>
        <v/>
      </c>
      <c r="D1140" s="40">
        <f>((1+Table26[[#This Row],[Weekly change]])^52)-1</f>
        <v/>
      </c>
      <c r="E1140" s="85">
        <f>(Table26[[#This Row],[M2 Money Stock, Billions of Dollars, Weekly, Seasonally Adjusted]]-B1088)/B1088</f>
        <v/>
      </c>
    </row>
    <row r="1141">
      <c r="A1141" s="37" t="n">
        <v>37466</v>
      </c>
      <c r="B1141" s="84" t="n">
        <v>5602</v>
      </c>
      <c r="C1141" s="39">
        <f>(Table26[[#This Row],[M2 Money Stock, Billions of Dollars, Weekly, Seasonally Adjusted]]-B1140)/B1140</f>
        <v/>
      </c>
      <c r="D1141" s="40">
        <f>((1+Table26[[#This Row],[Weekly change]])^52)-1</f>
        <v/>
      </c>
      <c r="E1141" s="85">
        <f>(Table26[[#This Row],[M2 Money Stock, Billions of Dollars, Weekly, Seasonally Adjusted]]-B1089)/B1089</f>
        <v/>
      </c>
    </row>
    <row r="1142">
      <c r="A1142" s="37" t="n">
        <v>37473</v>
      </c>
      <c r="B1142" s="84" t="n">
        <v>5610.2</v>
      </c>
      <c r="C1142" s="39">
        <f>(Table26[[#This Row],[M2 Money Stock, Billions of Dollars, Weekly, Seasonally Adjusted]]-B1141)/B1141</f>
        <v/>
      </c>
      <c r="D1142" s="40">
        <f>((1+Table26[[#This Row],[Weekly change]])^52)-1</f>
        <v/>
      </c>
      <c r="E1142" s="85">
        <f>(Table26[[#This Row],[M2 Money Stock, Billions of Dollars, Weekly, Seasonally Adjusted]]-B1090)/B1090</f>
        <v/>
      </c>
    </row>
    <row r="1143">
      <c r="A1143" s="37" t="n">
        <v>37480</v>
      </c>
      <c r="B1143" s="84" t="n">
        <v>5616.4</v>
      </c>
      <c r="C1143" s="39">
        <f>(Table26[[#This Row],[M2 Money Stock, Billions of Dollars, Weekly, Seasonally Adjusted]]-B1142)/B1142</f>
        <v/>
      </c>
      <c r="D1143" s="40">
        <f>((1+Table26[[#This Row],[Weekly change]])^52)-1</f>
        <v/>
      </c>
      <c r="E1143" s="85">
        <f>(Table26[[#This Row],[M2 Money Stock, Billions of Dollars, Weekly, Seasonally Adjusted]]-B1091)/B1091</f>
        <v/>
      </c>
    </row>
    <row r="1144">
      <c r="A1144" s="37" t="n">
        <v>37487</v>
      </c>
      <c r="B1144" s="84" t="n">
        <v>5618.2</v>
      </c>
      <c r="C1144" s="39">
        <f>(Table26[[#This Row],[M2 Money Stock, Billions of Dollars, Weekly, Seasonally Adjusted]]-B1143)/B1143</f>
        <v/>
      </c>
      <c r="D1144" s="40">
        <f>((1+Table26[[#This Row],[Weekly change]])^52)-1</f>
        <v/>
      </c>
      <c r="E1144" s="85">
        <f>(Table26[[#This Row],[M2 Money Stock, Billions of Dollars, Weekly, Seasonally Adjusted]]-B1092)/B1092</f>
        <v/>
      </c>
    </row>
    <row r="1145">
      <c r="A1145" s="37" t="n">
        <v>37494</v>
      </c>
      <c r="B1145" s="84" t="n">
        <v>5623.1</v>
      </c>
      <c r="C1145" s="39">
        <f>(Table26[[#This Row],[M2 Money Stock, Billions of Dollars, Weekly, Seasonally Adjusted]]-B1144)/B1144</f>
        <v/>
      </c>
      <c r="D1145" s="40">
        <f>((1+Table26[[#This Row],[Weekly change]])^52)-1</f>
        <v/>
      </c>
      <c r="E1145" s="85">
        <f>(Table26[[#This Row],[M2 Money Stock, Billions of Dollars, Weekly, Seasonally Adjusted]]-B1093)/B1093</f>
        <v/>
      </c>
    </row>
    <row r="1146">
      <c r="A1146" s="37" t="n">
        <v>37501</v>
      </c>
      <c r="B1146" s="84" t="n">
        <v>5629.2</v>
      </c>
      <c r="C1146" s="39">
        <f>(Table26[[#This Row],[M2 Money Stock, Billions of Dollars, Weekly, Seasonally Adjusted]]-B1145)/B1145</f>
        <v/>
      </c>
      <c r="D1146" s="40">
        <f>((1+Table26[[#This Row],[Weekly change]])^52)-1</f>
        <v/>
      </c>
      <c r="E1146" s="85">
        <f>(Table26[[#This Row],[M2 Money Stock, Billions of Dollars, Weekly, Seasonally Adjusted]]-B1094)/B1094</f>
        <v/>
      </c>
    </row>
    <row r="1147">
      <c r="A1147" s="37" t="n">
        <v>37508</v>
      </c>
      <c r="B1147" s="84" t="n">
        <v>5638.6</v>
      </c>
      <c r="C1147" s="39">
        <f>(Table26[[#This Row],[M2 Money Stock, Billions of Dollars, Weekly, Seasonally Adjusted]]-B1146)/B1146</f>
        <v/>
      </c>
      <c r="D1147" s="40">
        <f>((1+Table26[[#This Row],[Weekly change]])^52)-1</f>
        <v/>
      </c>
      <c r="E1147" s="85">
        <f>(Table26[[#This Row],[M2 Money Stock, Billions of Dollars, Weekly, Seasonally Adjusted]]-B1095)/B1095</f>
        <v/>
      </c>
    </row>
    <row r="1148">
      <c r="A1148" s="37" t="n">
        <v>37515</v>
      </c>
      <c r="B1148" s="84" t="n">
        <v>5644.3</v>
      </c>
      <c r="C1148" s="39">
        <f>(Table26[[#This Row],[M2 Money Stock, Billions of Dollars, Weekly, Seasonally Adjusted]]-B1147)/B1147</f>
        <v/>
      </c>
      <c r="D1148" s="40">
        <f>((1+Table26[[#This Row],[Weekly change]])^52)-1</f>
        <v/>
      </c>
      <c r="E1148" s="85">
        <f>(Table26[[#This Row],[M2 Money Stock, Billions of Dollars, Weekly, Seasonally Adjusted]]-B1096)/B1096</f>
        <v/>
      </c>
    </row>
    <row r="1149">
      <c r="A1149" s="37" t="n">
        <v>37522</v>
      </c>
      <c r="B1149" s="84" t="n">
        <v>5641</v>
      </c>
      <c r="C1149" s="39">
        <f>(Table26[[#This Row],[M2 Money Stock, Billions of Dollars, Weekly, Seasonally Adjusted]]-B1148)/B1148</f>
        <v/>
      </c>
      <c r="D1149" s="40">
        <f>((1+Table26[[#This Row],[Weekly change]])^52)-1</f>
        <v/>
      </c>
      <c r="E1149" s="85">
        <f>(Table26[[#This Row],[M2 Money Stock, Billions of Dollars, Weekly, Seasonally Adjusted]]-B1097)/B1097</f>
        <v/>
      </c>
    </row>
    <row r="1150">
      <c r="A1150" s="37" t="n">
        <v>37529</v>
      </c>
      <c r="B1150" s="84" t="n">
        <v>5655.2</v>
      </c>
      <c r="C1150" s="39">
        <f>(Table26[[#This Row],[M2 Money Stock, Billions of Dollars, Weekly, Seasonally Adjusted]]-B1149)/B1149</f>
        <v/>
      </c>
      <c r="D1150" s="40">
        <f>((1+Table26[[#This Row],[Weekly change]])^52)-1</f>
        <v/>
      </c>
      <c r="E1150" s="85">
        <f>(Table26[[#This Row],[M2 Money Stock, Billions of Dollars, Weekly, Seasonally Adjusted]]-B1098)/B1098</f>
        <v/>
      </c>
    </row>
    <row r="1151">
      <c r="A1151" s="37" t="n">
        <v>37536</v>
      </c>
      <c r="B1151" s="84" t="n">
        <v>5662.1</v>
      </c>
      <c r="C1151" s="39">
        <f>(Table26[[#This Row],[M2 Money Stock, Billions of Dollars, Weekly, Seasonally Adjusted]]-B1150)/B1150</f>
        <v/>
      </c>
      <c r="D1151" s="40">
        <f>((1+Table26[[#This Row],[Weekly change]])^52)-1</f>
        <v/>
      </c>
      <c r="E1151" s="85">
        <f>(Table26[[#This Row],[M2 Money Stock, Billions of Dollars, Weekly, Seasonally Adjusted]]-B1099)/B1099</f>
        <v/>
      </c>
    </row>
    <row r="1152">
      <c r="A1152" s="37" t="n">
        <v>37543</v>
      </c>
      <c r="B1152" s="84" t="n">
        <v>5676.8</v>
      </c>
      <c r="C1152" s="39">
        <f>(Table26[[#This Row],[M2 Money Stock, Billions of Dollars, Weekly, Seasonally Adjusted]]-B1151)/B1151</f>
        <v/>
      </c>
      <c r="D1152" s="40">
        <f>((1+Table26[[#This Row],[Weekly change]])^52)-1</f>
        <v/>
      </c>
      <c r="E1152" s="85">
        <f>(Table26[[#This Row],[M2 Money Stock, Billions of Dollars, Weekly, Seasonally Adjusted]]-B1100)/B1100</f>
        <v/>
      </c>
    </row>
    <row r="1153">
      <c r="A1153" s="37" t="n">
        <v>37550</v>
      </c>
      <c r="B1153" s="84" t="n">
        <v>5693</v>
      </c>
      <c r="C1153" s="39">
        <f>(Table26[[#This Row],[M2 Money Stock, Billions of Dollars, Weekly, Seasonally Adjusted]]-B1152)/B1152</f>
        <v/>
      </c>
      <c r="D1153" s="40">
        <f>((1+Table26[[#This Row],[Weekly change]])^52)-1</f>
        <v/>
      </c>
      <c r="E1153" s="85">
        <f>(Table26[[#This Row],[M2 Money Stock, Billions of Dollars, Weekly, Seasonally Adjusted]]-B1101)/B1101</f>
        <v/>
      </c>
    </row>
    <row r="1154">
      <c r="A1154" s="37" t="n">
        <v>37557</v>
      </c>
      <c r="B1154" s="84" t="n">
        <v>5706.2</v>
      </c>
      <c r="C1154" s="39">
        <f>(Table26[[#This Row],[M2 Money Stock, Billions of Dollars, Weekly, Seasonally Adjusted]]-B1153)/B1153</f>
        <v/>
      </c>
      <c r="D1154" s="40">
        <f>((1+Table26[[#This Row],[Weekly change]])^52)-1</f>
        <v/>
      </c>
      <c r="E1154" s="85">
        <f>(Table26[[#This Row],[M2 Money Stock, Billions of Dollars, Weekly, Seasonally Adjusted]]-B1102)/B1102</f>
        <v/>
      </c>
    </row>
    <row r="1155">
      <c r="A1155" s="37" t="n">
        <v>37564</v>
      </c>
      <c r="B1155" s="84" t="n">
        <v>5723.7</v>
      </c>
      <c r="C1155" s="39">
        <f>(Table26[[#This Row],[M2 Money Stock, Billions of Dollars, Weekly, Seasonally Adjusted]]-B1154)/B1154</f>
        <v/>
      </c>
      <c r="D1155" s="40">
        <f>((1+Table26[[#This Row],[Weekly change]])^52)-1</f>
        <v/>
      </c>
      <c r="E1155" s="85">
        <f>(Table26[[#This Row],[M2 Money Stock, Billions of Dollars, Weekly, Seasonally Adjusted]]-B1103)/B1103</f>
        <v/>
      </c>
    </row>
    <row r="1156">
      <c r="A1156" s="37" t="n">
        <v>37571</v>
      </c>
      <c r="B1156" s="84" t="n">
        <v>5732</v>
      </c>
      <c r="C1156" s="39">
        <f>(Table26[[#This Row],[M2 Money Stock, Billions of Dollars, Weekly, Seasonally Adjusted]]-B1155)/B1155</f>
        <v/>
      </c>
      <c r="D1156" s="40">
        <f>((1+Table26[[#This Row],[Weekly change]])^52)-1</f>
        <v/>
      </c>
      <c r="E1156" s="85">
        <f>(Table26[[#This Row],[M2 Money Stock, Billions of Dollars, Weekly, Seasonally Adjusted]]-B1104)/B1104</f>
        <v/>
      </c>
    </row>
    <row r="1157">
      <c r="A1157" s="37" t="n">
        <v>37578</v>
      </c>
      <c r="B1157" s="84" t="n">
        <v>5743.3</v>
      </c>
      <c r="C1157" s="39">
        <f>(Table26[[#This Row],[M2 Money Stock, Billions of Dollars, Weekly, Seasonally Adjusted]]-B1156)/B1156</f>
        <v/>
      </c>
      <c r="D1157" s="40">
        <f>((1+Table26[[#This Row],[Weekly change]])^52)-1</f>
        <v/>
      </c>
      <c r="E1157" s="85">
        <f>(Table26[[#This Row],[M2 Money Stock, Billions of Dollars, Weekly, Seasonally Adjusted]]-B1105)/B1105</f>
        <v/>
      </c>
    </row>
    <row r="1158">
      <c r="A1158" s="37" t="n">
        <v>37585</v>
      </c>
      <c r="B1158" s="84" t="n">
        <v>5735</v>
      </c>
      <c r="C1158" s="39">
        <f>(Table26[[#This Row],[M2 Money Stock, Billions of Dollars, Weekly, Seasonally Adjusted]]-B1157)/B1157</f>
        <v/>
      </c>
      <c r="D1158" s="40">
        <f>((1+Table26[[#This Row],[Weekly change]])^52)-1</f>
        <v/>
      </c>
      <c r="E1158" s="85">
        <f>(Table26[[#This Row],[M2 Money Stock, Billions of Dollars, Weekly, Seasonally Adjusted]]-B1106)/B1106</f>
        <v/>
      </c>
    </row>
    <row r="1159">
      <c r="A1159" s="37" t="n">
        <v>37592</v>
      </c>
      <c r="B1159" s="84" t="n">
        <v>5756.9</v>
      </c>
      <c r="C1159" s="39">
        <f>(Table26[[#This Row],[M2 Money Stock, Billions of Dollars, Weekly, Seasonally Adjusted]]-B1158)/B1158</f>
        <v/>
      </c>
      <c r="D1159" s="40">
        <f>((1+Table26[[#This Row],[Weekly change]])^52)-1</f>
        <v/>
      </c>
      <c r="E1159" s="85">
        <f>(Table26[[#This Row],[M2 Money Stock, Billions of Dollars, Weekly, Seasonally Adjusted]]-B1107)/B1107</f>
        <v/>
      </c>
    </row>
    <row r="1160">
      <c r="A1160" s="37" t="n">
        <v>37599</v>
      </c>
      <c r="B1160" s="84" t="n">
        <v>5751.1</v>
      </c>
      <c r="C1160" s="39">
        <f>(Table26[[#This Row],[M2 Money Stock, Billions of Dollars, Weekly, Seasonally Adjusted]]-B1159)/B1159</f>
        <v/>
      </c>
      <c r="D1160" s="40">
        <f>((1+Table26[[#This Row],[Weekly change]])^52)-1</f>
        <v/>
      </c>
      <c r="E1160" s="85">
        <f>(Table26[[#This Row],[M2 Money Stock, Billions of Dollars, Weekly, Seasonally Adjusted]]-B1108)/B1108</f>
        <v/>
      </c>
    </row>
    <row r="1161">
      <c r="A1161" s="37" t="n">
        <v>37606</v>
      </c>
      <c r="B1161" s="84" t="n">
        <v>5764.2</v>
      </c>
      <c r="C1161" s="39">
        <f>(Table26[[#This Row],[M2 Money Stock, Billions of Dollars, Weekly, Seasonally Adjusted]]-B1160)/B1160</f>
        <v/>
      </c>
      <c r="D1161" s="40">
        <f>((1+Table26[[#This Row],[Weekly change]])^52)-1</f>
        <v/>
      </c>
      <c r="E1161" s="85">
        <f>(Table26[[#This Row],[M2 Money Stock, Billions of Dollars, Weekly, Seasonally Adjusted]]-B1109)/B1109</f>
        <v/>
      </c>
    </row>
    <row r="1162">
      <c r="A1162" s="37" t="n">
        <v>37613</v>
      </c>
      <c r="B1162" s="84" t="n">
        <v>5760.2</v>
      </c>
      <c r="C1162" s="39">
        <f>(Table26[[#This Row],[M2 Money Stock, Billions of Dollars, Weekly, Seasonally Adjusted]]-B1161)/B1161</f>
        <v/>
      </c>
      <c r="D1162" s="40">
        <f>((1+Table26[[#This Row],[Weekly change]])^52)-1</f>
        <v/>
      </c>
      <c r="E1162" s="85">
        <f>(Table26[[#This Row],[M2 Money Stock, Billions of Dollars, Weekly, Seasonally Adjusted]]-B1110)/B1110</f>
        <v/>
      </c>
    </row>
    <row r="1163">
      <c r="A1163" s="37" t="n">
        <v>37620</v>
      </c>
      <c r="B1163" s="84" t="n">
        <v>5762.3</v>
      </c>
      <c r="C1163" s="39">
        <f>(Table26[[#This Row],[M2 Money Stock, Billions of Dollars, Weekly, Seasonally Adjusted]]-B1162)/B1162</f>
        <v/>
      </c>
      <c r="D1163" s="40">
        <f>((1+Table26[[#This Row],[Weekly change]])^52)-1</f>
        <v/>
      </c>
      <c r="E1163" s="85">
        <f>(Table26[[#This Row],[M2 Money Stock, Billions of Dollars, Weekly, Seasonally Adjusted]]-B1111)/B1111</f>
        <v/>
      </c>
    </row>
    <row r="1164">
      <c r="A1164" s="37" t="n">
        <v>37627</v>
      </c>
      <c r="B1164" s="84" t="n">
        <v>5773</v>
      </c>
      <c r="C1164" s="39">
        <f>(Table26[[#This Row],[M2 Money Stock, Billions of Dollars, Weekly, Seasonally Adjusted]]-B1163)/B1163</f>
        <v/>
      </c>
      <c r="D1164" s="40">
        <f>((1+Table26[[#This Row],[Weekly change]])^52)-1</f>
        <v/>
      </c>
      <c r="E1164" s="85">
        <f>(Table26[[#This Row],[M2 Money Stock, Billions of Dollars, Weekly, Seasonally Adjusted]]-B1112)/B1112</f>
        <v/>
      </c>
    </row>
    <row r="1165">
      <c r="A1165" s="37" t="n">
        <v>37634</v>
      </c>
      <c r="B1165" s="84" t="n">
        <v>5783.3</v>
      </c>
      <c r="C1165" s="39">
        <f>(Table26[[#This Row],[M2 Money Stock, Billions of Dollars, Weekly, Seasonally Adjusted]]-B1164)/B1164</f>
        <v/>
      </c>
      <c r="D1165" s="40">
        <f>((1+Table26[[#This Row],[Weekly change]])^52)-1</f>
        <v/>
      </c>
      <c r="E1165" s="85">
        <f>(Table26[[#This Row],[M2 Money Stock, Billions of Dollars, Weekly, Seasonally Adjusted]]-B1113)/B1113</f>
        <v/>
      </c>
    </row>
    <row r="1166">
      <c r="A1166" s="37" t="n">
        <v>37641</v>
      </c>
      <c r="B1166" s="84" t="n">
        <v>5797.4</v>
      </c>
      <c r="C1166" s="39">
        <f>(Table26[[#This Row],[M2 Money Stock, Billions of Dollars, Weekly, Seasonally Adjusted]]-B1165)/B1165</f>
        <v/>
      </c>
      <c r="D1166" s="40">
        <f>((1+Table26[[#This Row],[Weekly change]])^52)-1</f>
        <v/>
      </c>
      <c r="E1166" s="85">
        <f>(Table26[[#This Row],[M2 Money Stock, Billions of Dollars, Weekly, Seasonally Adjusted]]-B1114)/B1114</f>
        <v/>
      </c>
    </row>
    <row r="1167">
      <c r="A1167" s="37" t="n">
        <v>37648</v>
      </c>
      <c r="B1167" s="84" t="n">
        <v>5806.4</v>
      </c>
      <c r="C1167" s="39">
        <f>(Table26[[#This Row],[M2 Money Stock, Billions of Dollars, Weekly, Seasonally Adjusted]]-B1166)/B1166</f>
        <v/>
      </c>
      <c r="D1167" s="40">
        <f>((1+Table26[[#This Row],[Weekly change]])^52)-1</f>
        <v/>
      </c>
      <c r="E1167" s="85">
        <f>(Table26[[#This Row],[M2 Money Stock, Billions of Dollars, Weekly, Seasonally Adjusted]]-B1115)/B1115</f>
        <v/>
      </c>
    </row>
    <row r="1168">
      <c r="A1168" s="37" t="n">
        <v>37655</v>
      </c>
      <c r="B1168" s="84" t="n">
        <v>5803.6</v>
      </c>
      <c r="C1168" s="39">
        <f>(Table26[[#This Row],[M2 Money Stock, Billions of Dollars, Weekly, Seasonally Adjusted]]-B1167)/B1167</f>
        <v/>
      </c>
      <c r="D1168" s="40">
        <f>((1+Table26[[#This Row],[Weekly change]])^52)-1</f>
        <v/>
      </c>
      <c r="E1168" s="85">
        <f>(Table26[[#This Row],[M2 Money Stock, Billions of Dollars, Weekly, Seasonally Adjusted]]-B1116)/B1116</f>
        <v/>
      </c>
    </row>
    <row r="1169">
      <c r="A1169" s="37" t="n">
        <v>37662</v>
      </c>
      <c r="B1169" s="84" t="n">
        <v>5825.9</v>
      </c>
      <c r="C1169" s="39">
        <f>(Table26[[#This Row],[M2 Money Stock, Billions of Dollars, Weekly, Seasonally Adjusted]]-B1168)/B1168</f>
        <v/>
      </c>
      <c r="D1169" s="40">
        <f>((1+Table26[[#This Row],[Weekly change]])^52)-1</f>
        <v/>
      </c>
      <c r="E1169" s="85">
        <f>(Table26[[#This Row],[M2 Money Stock, Billions of Dollars, Weekly, Seasonally Adjusted]]-B1117)/B1117</f>
        <v/>
      </c>
    </row>
    <row r="1170">
      <c r="A1170" s="37" t="n">
        <v>37669</v>
      </c>
      <c r="B1170" s="84" t="n">
        <v>5847</v>
      </c>
      <c r="C1170" s="39">
        <f>(Table26[[#This Row],[M2 Money Stock, Billions of Dollars, Weekly, Seasonally Adjusted]]-B1169)/B1169</f>
        <v/>
      </c>
      <c r="D1170" s="40">
        <f>((1+Table26[[#This Row],[Weekly change]])^52)-1</f>
        <v/>
      </c>
      <c r="E1170" s="85">
        <f>(Table26[[#This Row],[M2 Money Stock, Billions of Dollars, Weekly, Seasonally Adjusted]]-B1118)/B1118</f>
        <v/>
      </c>
    </row>
    <row r="1171">
      <c r="A1171" s="37" t="n">
        <v>37676</v>
      </c>
      <c r="B1171" s="84" t="n">
        <v>5823</v>
      </c>
      <c r="C1171" s="39">
        <f>(Table26[[#This Row],[M2 Money Stock, Billions of Dollars, Weekly, Seasonally Adjusted]]-B1170)/B1170</f>
        <v/>
      </c>
      <c r="D1171" s="40">
        <f>((1+Table26[[#This Row],[Weekly change]])^52)-1</f>
        <v/>
      </c>
      <c r="E1171" s="85">
        <f>(Table26[[#This Row],[M2 Money Stock, Billions of Dollars, Weekly, Seasonally Adjusted]]-B1119)/B1119</f>
        <v/>
      </c>
    </row>
    <row r="1172">
      <c r="A1172" s="37" t="n">
        <v>37683</v>
      </c>
      <c r="B1172" s="84" t="n">
        <v>5828.7</v>
      </c>
      <c r="C1172" s="39">
        <f>(Table26[[#This Row],[M2 Money Stock, Billions of Dollars, Weekly, Seasonally Adjusted]]-B1171)/B1171</f>
        <v/>
      </c>
      <c r="D1172" s="40">
        <f>((1+Table26[[#This Row],[Weekly change]])^52)-1</f>
        <v/>
      </c>
      <c r="E1172" s="85">
        <f>(Table26[[#This Row],[M2 Money Stock, Billions of Dollars, Weekly, Seasonally Adjusted]]-B1120)/B1120</f>
        <v/>
      </c>
    </row>
    <row r="1173">
      <c r="A1173" s="37" t="n">
        <v>37690</v>
      </c>
      <c r="B1173" s="84" t="n">
        <v>5844.5</v>
      </c>
      <c r="C1173" s="39">
        <f>(Table26[[#This Row],[M2 Money Stock, Billions of Dollars, Weekly, Seasonally Adjusted]]-B1172)/B1172</f>
        <v/>
      </c>
      <c r="D1173" s="40">
        <f>((1+Table26[[#This Row],[Weekly change]])^52)-1</f>
        <v/>
      </c>
      <c r="E1173" s="85">
        <f>(Table26[[#This Row],[M2 Money Stock, Billions of Dollars, Weekly, Seasonally Adjusted]]-B1121)/B1121</f>
        <v/>
      </c>
    </row>
    <row r="1174">
      <c r="A1174" s="37" t="n">
        <v>37697</v>
      </c>
      <c r="B1174" s="84" t="n">
        <v>5855.7</v>
      </c>
      <c r="C1174" s="39">
        <f>(Table26[[#This Row],[M2 Money Stock, Billions of Dollars, Weekly, Seasonally Adjusted]]-B1173)/B1173</f>
        <v/>
      </c>
      <c r="D1174" s="40">
        <f>((1+Table26[[#This Row],[Weekly change]])^52)-1</f>
        <v/>
      </c>
      <c r="E1174" s="85">
        <f>(Table26[[#This Row],[M2 Money Stock, Billions of Dollars, Weekly, Seasonally Adjusted]]-B1122)/B1122</f>
        <v/>
      </c>
    </row>
    <row r="1175">
      <c r="A1175" s="37" t="n">
        <v>37704</v>
      </c>
      <c r="B1175" s="84" t="n">
        <v>5847.6</v>
      </c>
      <c r="C1175" s="39">
        <f>(Table26[[#This Row],[M2 Money Stock, Billions of Dollars, Weekly, Seasonally Adjusted]]-B1174)/B1174</f>
        <v/>
      </c>
      <c r="D1175" s="40">
        <f>((1+Table26[[#This Row],[Weekly change]])^52)-1</f>
        <v/>
      </c>
      <c r="E1175" s="85">
        <f>(Table26[[#This Row],[M2 Money Stock, Billions of Dollars, Weekly, Seasonally Adjusted]]-B1123)/B1123</f>
        <v/>
      </c>
    </row>
    <row r="1176">
      <c r="A1176" s="37" t="n">
        <v>37711</v>
      </c>
      <c r="B1176" s="84" t="n">
        <v>5858.1</v>
      </c>
      <c r="C1176" s="39">
        <f>(Table26[[#This Row],[M2 Money Stock, Billions of Dollars, Weekly, Seasonally Adjusted]]-B1175)/B1175</f>
        <v/>
      </c>
      <c r="D1176" s="40">
        <f>((1+Table26[[#This Row],[Weekly change]])^52)-1</f>
        <v/>
      </c>
      <c r="E1176" s="85">
        <f>(Table26[[#This Row],[M2 Money Stock, Billions of Dollars, Weekly, Seasonally Adjusted]]-B1124)/B1124</f>
        <v/>
      </c>
    </row>
    <row r="1177">
      <c r="A1177" s="37" t="n">
        <v>37718</v>
      </c>
      <c r="B1177" s="84" t="n">
        <v>5867.7</v>
      </c>
      <c r="C1177" s="39">
        <f>(Table26[[#This Row],[M2 Money Stock, Billions of Dollars, Weekly, Seasonally Adjusted]]-B1176)/B1176</f>
        <v/>
      </c>
      <c r="D1177" s="40">
        <f>((1+Table26[[#This Row],[Weekly change]])^52)-1</f>
        <v/>
      </c>
      <c r="E1177" s="85">
        <f>(Table26[[#This Row],[M2 Money Stock, Billions of Dollars, Weekly, Seasonally Adjusted]]-B1125)/B1125</f>
        <v/>
      </c>
    </row>
    <row r="1178">
      <c r="A1178" s="37" t="n">
        <v>37725</v>
      </c>
      <c r="B1178" s="84" t="n">
        <v>5874.5</v>
      </c>
      <c r="C1178" s="39">
        <f>(Table26[[#This Row],[M2 Money Stock, Billions of Dollars, Weekly, Seasonally Adjusted]]-B1177)/B1177</f>
        <v/>
      </c>
      <c r="D1178" s="40">
        <f>((1+Table26[[#This Row],[Weekly change]])^52)-1</f>
        <v/>
      </c>
      <c r="E1178" s="85">
        <f>(Table26[[#This Row],[M2 Money Stock, Billions of Dollars, Weekly, Seasonally Adjusted]]-B1126)/B1126</f>
        <v/>
      </c>
    </row>
    <row r="1179">
      <c r="A1179" s="37" t="n">
        <v>37732</v>
      </c>
      <c r="B1179" s="84" t="n">
        <v>5873.5</v>
      </c>
      <c r="C1179" s="39">
        <f>(Table26[[#This Row],[M2 Money Stock, Billions of Dollars, Weekly, Seasonally Adjusted]]-B1178)/B1178</f>
        <v/>
      </c>
      <c r="D1179" s="40">
        <f>((1+Table26[[#This Row],[Weekly change]])^52)-1</f>
        <v/>
      </c>
      <c r="E1179" s="85">
        <f>(Table26[[#This Row],[M2 Money Stock, Billions of Dollars, Weekly, Seasonally Adjusted]]-B1127)/B1127</f>
        <v/>
      </c>
    </row>
    <row r="1180">
      <c r="A1180" s="37" t="n">
        <v>37739</v>
      </c>
      <c r="B1180" s="84" t="n">
        <v>5912.9</v>
      </c>
      <c r="C1180" s="39">
        <f>(Table26[[#This Row],[M2 Money Stock, Billions of Dollars, Weekly, Seasonally Adjusted]]-B1179)/B1179</f>
        <v/>
      </c>
      <c r="D1180" s="40">
        <f>((1+Table26[[#This Row],[Weekly change]])^52)-1</f>
        <v/>
      </c>
      <c r="E1180" s="85">
        <f>(Table26[[#This Row],[M2 Money Stock, Billions of Dollars, Weekly, Seasonally Adjusted]]-B1128)/B1128</f>
        <v/>
      </c>
    </row>
    <row r="1181">
      <c r="A1181" s="37" t="n">
        <v>37746</v>
      </c>
      <c r="B1181" s="84" t="n">
        <v>5947.3</v>
      </c>
      <c r="C1181" s="39">
        <f>(Table26[[#This Row],[M2 Money Stock, Billions of Dollars, Weekly, Seasonally Adjusted]]-B1180)/B1180</f>
        <v/>
      </c>
      <c r="D1181" s="40">
        <f>((1+Table26[[#This Row],[Weekly change]])^52)-1</f>
        <v/>
      </c>
      <c r="E1181" s="85">
        <f>(Table26[[#This Row],[M2 Money Stock, Billions of Dollars, Weekly, Seasonally Adjusted]]-B1129)/B1129</f>
        <v/>
      </c>
    </row>
    <row r="1182">
      <c r="A1182" s="37" t="n">
        <v>37753</v>
      </c>
      <c r="B1182" s="84" t="n">
        <v>5946.3</v>
      </c>
      <c r="C1182" s="39">
        <f>(Table26[[#This Row],[M2 Money Stock, Billions of Dollars, Weekly, Seasonally Adjusted]]-B1181)/B1181</f>
        <v/>
      </c>
      <c r="D1182" s="40">
        <f>((1+Table26[[#This Row],[Weekly change]])^52)-1</f>
        <v/>
      </c>
      <c r="E1182" s="85">
        <f>(Table26[[#This Row],[M2 Money Stock, Billions of Dollars, Weekly, Seasonally Adjusted]]-B1130)/B1130</f>
        <v/>
      </c>
    </row>
    <row r="1183">
      <c r="A1183" s="37" t="n">
        <v>37760</v>
      </c>
      <c r="B1183" s="84" t="n">
        <v>5938.8</v>
      </c>
      <c r="C1183" s="39">
        <f>(Table26[[#This Row],[M2 Money Stock, Billions of Dollars, Weekly, Seasonally Adjusted]]-B1182)/B1182</f>
        <v/>
      </c>
      <c r="D1183" s="40">
        <f>((1+Table26[[#This Row],[Weekly change]])^52)-1</f>
        <v/>
      </c>
      <c r="E1183" s="85">
        <f>(Table26[[#This Row],[M2 Money Stock, Billions of Dollars, Weekly, Seasonally Adjusted]]-B1131)/B1131</f>
        <v/>
      </c>
    </row>
    <row r="1184">
      <c r="A1184" s="37" t="n">
        <v>37767</v>
      </c>
      <c r="B1184" s="84" t="n">
        <v>5947.3</v>
      </c>
      <c r="C1184" s="39">
        <f>(Table26[[#This Row],[M2 Money Stock, Billions of Dollars, Weekly, Seasonally Adjusted]]-B1183)/B1183</f>
        <v/>
      </c>
      <c r="D1184" s="40">
        <f>((1+Table26[[#This Row],[Weekly change]])^52)-1</f>
        <v/>
      </c>
      <c r="E1184" s="85">
        <f>(Table26[[#This Row],[M2 Money Stock, Billions of Dollars, Weekly, Seasonally Adjusted]]-B1132)/B1132</f>
        <v/>
      </c>
    </row>
    <row r="1185">
      <c r="A1185" s="37" t="n">
        <v>37774</v>
      </c>
      <c r="B1185" s="84" t="n">
        <v>5956.5</v>
      </c>
      <c r="C1185" s="39">
        <f>(Table26[[#This Row],[M2 Money Stock, Billions of Dollars, Weekly, Seasonally Adjusted]]-B1184)/B1184</f>
        <v/>
      </c>
      <c r="D1185" s="40">
        <f>((1+Table26[[#This Row],[Weekly change]])^52)-1</f>
        <v/>
      </c>
      <c r="E1185" s="85">
        <f>(Table26[[#This Row],[M2 Money Stock, Billions of Dollars, Weekly, Seasonally Adjusted]]-B1133)/B1133</f>
        <v/>
      </c>
    </row>
    <row r="1186">
      <c r="A1186" s="37" t="n">
        <v>37781</v>
      </c>
      <c r="B1186" s="84" t="n">
        <v>5963.7</v>
      </c>
      <c r="C1186" s="39">
        <f>(Table26[[#This Row],[M2 Money Stock, Billions of Dollars, Weekly, Seasonally Adjusted]]-B1185)/B1185</f>
        <v/>
      </c>
      <c r="D1186" s="40">
        <f>((1+Table26[[#This Row],[Weekly change]])^52)-1</f>
        <v/>
      </c>
      <c r="E1186" s="85">
        <f>(Table26[[#This Row],[M2 Money Stock, Billions of Dollars, Weekly, Seasonally Adjusted]]-B1134)/B1134</f>
        <v/>
      </c>
    </row>
    <row r="1187">
      <c r="A1187" s="37" t="n">
        <v>37788</v>
      </c>
      <c r="B1187" s="84" t="n">
        <v>5985.3</v>
      </c>
      <c r="C1187" s="39">
        <f>(Table26[[#This Row],[M2 Money Stock, Billions of Dollars, Weekly, Seasonally Adjusted]]-B1186)/B1186</f>
        <v/>
      </c>
      <c r="D1187" s="40">
        <f>((1+Table26[[#This Row],[Weekly change]])^52)-1</f>
        <v/>
      </c>
      <c r="E1187" s="85">
        <f>(Table26[[#This Row],[M2 Money Stock, Billions of Dollars, Weekly, Seasonally Adjusted]]-B1135)/B1135</f>
        <v/>
      </c>
    </row>
    <row r="1188">
      <c r="A1188" s="37" t="n">
        <v>37795</v>
      </c>
      <c r="B1188" s="84" t="n">
        <v>5988.7</v>
      </c>
      <c r="C1188" s="39">
        <f>(Table26[[#This Row],[M2 Money Stock, Billions of Dollars, Weekly, Seasonally Adjusted]]-B1187)/B1187</f>
        <v/>
      </c>
      <c r="D1188" s="40">
        <f>((1+Table26[[#This Row],[Weekly change]])^52)-1</f>
        <v/>
      </c>
      <c r="E1188" s="85">
        <f>(Table26[[#This Row],[M2 Money Stock, Billions of Dollars, Weekly, Seasonally Adjusted]]-B1136)/B1136</f>
        <v/>
      </c>
    </row>
    <row r="1189">
      <c r="A1189" s="37" t="n">
        <v>37802</v>
      </c>
      <c r="B1189" s="84" t="n">
        <v>6003.4</v>
      </c>
      <c r="C1189" s="39">
        <f>(Table26[[#This Row],[M2 Money Stock, Billions of Dollars, Weekly, Seasonally Adjusted]]-B1188)/B1188</f>
        <v/>
      </c>
      <c r="D1189" s="40">
        <f>((1+Table26[[#This Row],[Weekly change]])^52)-1</f>
        <v/>
      </c>
      <c r="E1189" s="85">
        <f>(Table26[[#This Row],[M2 Money Stock, Billions of Dollars, Weekly, Seasonally Adjusted]]-B1137)/B1137</f>
        <v/>
      </c>
    </row>
    <row r="1190">
      <c r="A1190" s="37" t="n">
        <v>37809</v>
      </c>
      <c r="B1190" s="84" t="n">
        <v>6022.5</v>
      </c>
      <c r="C1190" s="39">
        <f>(Table26[[#This Row],[M2 Money Stock, Billions of Dollars, Weekly, Seasonally Adjusted]]-B1189)/B1189</f>
        <v/>
      </c>
      <c r="D1190" s="40">
        <f>((1+Table26[[#This Row],[Weekly change]])^52)-1</f>
        <v/>
      </c>
      <c r="E1190" s="85">
        <f>(Table26[[#This Row],[M2 Money Stock, Billions of Dollars, Weekly, Seasonally Adjusted]]-B1138)/B1138</f>
        <v/>
      </c>
    </row>
    <row r="1191">
      <c r="A1191" s="37" t="n">
        <v>37816</v>
      </c>
      <c r="B1191" s="84" t="n">
        <v>6017.9</v>
      </c>
      <c r="C1191" s="39">
        <f>(Table26[[#This Row],[M2 Money Stock, Billions of Dollars, Weekly, Seasonally Adjusted]]-B1190)/B1190</f>
        <v/>
      </c>
      <c r="D1191" s="40">
        <f>((1+Table26[[#This Row],[Weekly change]])^52)-1</f>
        <v/>
      </c>
      <c r="E1191" s="85">
        <f>(Table26[[#This Row],[M2 Money Stock, Billions of Dollars, Weekly, Seasonally Adjusted]]-B1139)/B1139</f>
        <v/>
      </c>
    </row>
    <row r="1192">
      <c r="A1192" s="37" t="n">
        <v>37823</v>
      </c>
      <c r="B1192" s="84" t="n">
        <v>6024.6</v>
      </c>
      <c r="C1192" s="39">
        <f>(Table26[[#This Row],[M2 Money Stock, Billions of Dollars, Weekly, Seasonally Adjusted]]-B1191)/B1191</f>
        <v/>
      </c>
      <c r="D1192" s="40">
        <f>((1+Table26[[#This Row],[Weekly change]])^52)-1</f>
        <v/>
      </c>
      <c r="E1192" s="85">
        <f>(Table26[[#This Row],[M2 Money Stock, Billions of Dollars, Weekly, Seasonally Adjusted]]-B1140)/B1140</f>
        <v/>
      </c>
    </row>
    <row r="1193">
      <c r="A1193" s="37" t="n">
        <v>37830</v>
      </c>
      <c r="B1193" s="84" t="n">
        <v>6035.5</v>
      </c>
      <c r="C1193" s="39">
        <f>(Table26[[#This Row],[M2 Money Stock, Billions of Dollars, Weekly, Seasonally Adjusted]]-B1192)/B1192</f>
        <v/>
      </c>
      <c r="D1193" s="40">
        <f>((1+Table26[[#This Row],[Weekly change]])^52)-1</f>
        <v/>
      </c>
      <c r="E1193" s="85">
        <f>(Table26[[#This Row],[M2 Money Stock, Billions of Dollars, Weekly, Seasonally Adjusted]]-B1141)/B1141</f>
        <v/>
      </c>
    </row>
    <row r="1194">
      <c r="A1194" s="37" t="n">
        <v>37837</v>
      </c>
      <c r="B1194" s="84" t="n">
        <v>6075.9</v>
      </c>
      <c r="C1194" s="39">
        <f>(Table26[[#This Row],[M2 Money Stock, Billions of Dollars, Weekly, Seasonally Adjusted]]-B1193)/B1193</f>
        <v/>
      </c>
      <c r="D1194" s="40">
        <f>((1+Table26[[#This Row],[Weekly change]])^52)-1</f>
        <v/>
      </c>
      <c r="E1194" s="85">
        <f>(Table26[[#This Row],[M2 Money Stock, Billions of Dollars, Weekly, Seasonally Adjusted]]-B1142)/B1142</f>
        <v/>
      </c>
    </row>
    <row r="1195">
      <c r="A1195" s="37" t="n">
        <v>37844</v>
      </c>
      <c r="B1195" s="84" t="n">
        <v>6083.5</v>
      </c>
      <c r="C1195" s="39">
        <f>(Table26[[#This Row],[M2 Money Stock, Billions of Dollars, Weekly, Seasonally Adjusted]]-B1194)/B1194</f>
        <v/>
      </c>
      <c r="D1195" s="40">
        <f>((1+Table26[[#This Row],[Weekly change]])^52)-1</f>
        <v/>
      </c>
      <c r="E1195" s="85">
        <f>(Table26[[#This Row],[M2 Money Stock, Billions of Dollars, Weekly, Seasonally Adjusted]]-B1143)/B1143</f>
        <v/>
      </c>
    </row>
    <row r="1196">
      <c r="A1196" s="37" t="n">
        <v>37851</v>
      </c>
      <c r="B1196" s="84" t="n">
        <v>6118.7</v>
      </c>
      <c r="C1196" s="39">
        <f>(Table26[[#This Row],[M2 Money Stock, Billions of Dollars, Weekly, Seasonally Adjusted]]-B1195)/B1195</f>
        <v/>
      </c>
      <c r="D1196" s="40">
        <f>((1+Table26[[#This Row],[Weekly change]])^52)-1</f>
        <v/>
      </c>
      <c r="E1196" s="85">
        <f>(Table26[[#This Row],[M2 Money Stock, Billions of Dollars, Weekly, Seasonally Adjusted]]-B1144)/B1144</f>
        <v/>
      </c>
    </row>
    <row r="1197">
      <c r="A1197" s="37" t="n">
        <v>37858</v>
      </c>
      <c r="B1197" s="84" t="n">
        <v>6071.3</v>
      </c>
      <c r="C1197" s="39">
        <f>(Table26[[#This Row],[M2 Money Stock, Billions of Dollars, Weekly, Seasonally Adjusted]]-B1196)/B1196</f>
        <v/>
      </c>
      <c r="D1197" s="40">
        <f>((1+Table26[[#This Row],[Weekly change]])^52)-1</f>
        <v/>
      </c>
      <c r="E1197" s="85">
        <f>(Table26[[#This Row],[M2 Money Stock, Billions of Dollars, Weekly, Seasonally Adjusted]]-B1145)/B1145</f>
        <v/>
      </c>
    </row>
    <row r="1198">
      <c r="A1198" s="37" t="n">
        <v>37865</v>
      </c>
      <c r="B1198" s="84" t="n">
        <v>6085.7</v>
      </c>
      <c r="C1198" s="39">
        <f>(Table26[[#This Row],[M2 Money Stock, Billions of Dollars, Weekly, Seasonally Adjusted]]-B1197)/B1197</f>
        <v/>
      </c>
      <c r="D1198" s="40">
        <f>((1+Table26[[#This Row],[Weekly change]])^52)-1</f>
        <v/>
      </c>
      <c r="E1198" s="85">
        <f>(Table26[[#This Row],[M2 Money Stock, Billions of Dollars, Weekly, Seasonally Adjusted]]-B1146)/B1146</f>
        <v/>
      </c>
    </row>
    <row r="1199">
      <c r="A1199" s="37" t="n">
        <v>37872</v>
      </c>
      <c r="B1199" s="84" t="n">
        <v>6071.3</v>
      </c>
      <c r="C1199" s="39">
        <f>(Table26[[#This Row],[M2 Money Stock, Billions of Dollars, Weekly, Seasonally Adjusted]]-B1198)/B1198</f>
        <v/>
      </c>
      <c r="D1199" s="40">
        <f>((1+Table26[[#This Row],[Weekly change]])^52)-1</f>
        <v/>
      </c>
      <c r="E1199" s="85">
        <f>(Table26[[#This Row],[M2 Money Stock, Billions of Dollars, Weekly, Seasonally Adjusted]]-B1147)/B1147</f>
        <v/>
      </c>
    </row>
    <row r="1200">
      <c r="A1200" s="37" t="n">
        <v>37879</v>
      </c>
      <c r="B1200" s="84" t="n">
        <v>6066</v>
      </c>
      <c r="C1200" s="39">
        <f>(Table26[[#This Row],[M2 Money Stock, Billions of Dollars, Weekly, Seasonally Adjusted]]-B1199)/B1199</f>
        <v/>
      </c>
      <c r="D1200" s="40">
        <f>((1+Table26[[#This Row],[Weekly change]])^52)-1</f>
        <v/>
      </c>
      <c r="E1200" s="85">
        <f>(Table26[[#This Row],[M2 Money Stock, Billions of Dollars, Weekly, Seasonally Adjusted]]-B1148)/B1148</f>
        <v/>
      </c>
    </row>
    <row r="1201">
      <c r="A1201" s="37" t="n">
        <v>37886</v>
      </c>
      <c r="B1201" s="84" t="n">
        <v>6053.1</v>
      </c>
      <c r="C1201" s="39">
        <f>(Table26[[#This Row],[M2 Money Stock, Billions of Dollars, Weekly, Seasonally Adjusted]]-B1200)/B1200</f>
        <v/>
      </c>
      <c r="D1201" s="40">
        <f>((1+Table26[[#This Row],[Weekly change]])^52)-1</f>
        <v/>
      </c>
      <c r="E1201" s="85">
        <f>(Table26[[#This Row],[M2 Money Stock, Billions of Dollars, Weekly, Seasonally Adjusted]]-B1149)/B1149</f>
        <v/>
      </c>
    </row>
    <row r="1202">
      <c r="A1202" s="37" t="n">
        <v>37893</v>
      </c>
      <c r="B1202" s="84" t="n">
        <v>6048.8</v>
      </c>
      <c r="C1202" s="39">
        <f>(Table26[[#This Row],[M2 Money Stock, Billions of Dollars, Weekly, Seasonally Adjusted]]-B1201)/B1201</f>
        <v/>
      </c>
      <c r="D1202" s="40">
        <f>((1+Table26[[#This Row],[Weekly change]])^52)-1</f>
        <v/>
      </c>
      <c r="E1202" s="85">
        <f>(Table26[[#This Row],[M2 Money Stock, Billions of Dollars, Weekly, Seasonally Adjusted]]-B1150)/B1150</f>
        <v/>
      </c>
    </row>
    <row r="1203">
      <c r="A1203" s="37" t="n">
        <v>37900</v>
      </c>
      <c r="B1203" s="84" t="n">
        <v>6044.8</v>
      </c>
      <c r="C1203" s="39">
        <f>(Table26[[#This Row],[M2 Money Stock, Billions of Dollars, Weekly, Seasonally Adjusted]]-B1202)/B1202</f>
        <v/>
      </c>
      <c r="D1203" s="40">
        <f>((1+Table26[[#This Row],[Weekly change]])^52)-1</f>
        <v/>
      </c>
      <c r="E1203" s="85">
        <f>(Table26[[#This Row],[M2 Money Stock, Billions of Dollars, Weekly, Seasonally Adjusted]]-B1151)/B1151</f>
        <v/>
      </c>
    </row>
    <row r="1204">
      <c r="A1204" s="37" t="n">
        <v>37907</v>
      </c>
      <c r="B1204" s="84" t="n">
        <v>6051.1</v>
      </c>
      <c r="C1204" s="39">
        <f>(Table26[[#This Row],[M2 Money Stock, Billions of Dollars, Weekly, Seasonally Adjusted]]-B1203)/B1203</f>
        <v/>
      </c>
      <c r="D1204" s="40">
        <f>((1+Table26[[#This Row],[Weekly change]])^52)-1</f>
        <v/>
      </c>
      <c r="E1204" s="85">
        <f>(Table26[[#This Row],[M2 Money Stock, Billions of Dollars, Weekly, Seasonally Adjusted]]-B1152)/B1152</f>
        <v/>
      </c>
    </row>
    <row r="1205">
      <c r="A1205" s="37" t="n">
        <v>37914</v>
      </c>
      <c r="B1205" s="84" t="n">
        <v>6054.9</v>
      </c>
      <c r="C1205" s="39">
        <f>(Table26[[#This Row],[M2 Money Stock, Billions of Dollars, Weekly, Seasonally Adjusted]]-B1204)/B1204</f>
        <v/>
      </c>
      <c r="D1205" s="40">
        <f>((1+Table26[[#This Row],[Weekly change]])^52)-1</f>
        <v/>
      </c>
      <c r="E1205" s="85">
        <f>(Table26[[#This Row],[M2 Money Stock, Billions of Dollars, Weekly, Seasonally Adjusted]]-B1153)/B1153</f>
        <v/>
      </c>
    </row>
    <row r="1206">
      <c r="A1206" s="37" t="n">
        <v>37921</v>
      </c>
      <c r="B1206" s="84" t="n">
        <v>6055.7</v>
      </c>
      <c r="C1206" s="39">
        <f>(Table26[[#This Row],[M2 Money Stock, Billions of Dollars, Weekly, Seasonally Adjusted]]-B1205)/B1205</f>
        <v/>
      </c>
      <c r="D1206" s="40">
        <f>((1+Table26[[#This Row],[Weekly change]])^52)-1</f>
        <v/>
      </c>
      <c r="E1206" s="85">
        <f>(Table26[[#This Row],[M2 Money Stock, Billions of Dollars, Weekly, Seasonally Adjusted]]-B1154)/B1154</f>
        <v/>
      </c>
    </row>
    <row r="1207">
      <c r="A1207" s="37" t="n">
        <v>37928</v>
      </c>
      <c r="B1207" s="84" t="n">
        <v>6044.4</v>
      </c>
      <c r="C1207" s="39">
        <f>(Table26[[#This Row],[M2 Money Stock, Billions of Dollars, Weekly, Seasonally Adjusted]]-B1206)/B1206</f>
        <v/>
      </c>
      <c r="D1207" s="40">
        <f>((1+Table26[[#This Row],[Weekly change]])^52)-1</f>
        <v/>
      </c>
      <c r="E1207" s="85">
        <f>(Table26[[#This Row],[M2 Money Stock, Billions of Dollars, Weekly, Seasonally Adjusted]]-B1155)/B1155</f>
        <v/>
      </c>
    </row>
    <row r="1208">
      <c r="A1208" s="37" t="n">
        <v>37935</v>
      </c>
      <c r="B1208" s="84" t="n">
        <v>6057.5</v>
      </c>
      <c r="C1208" s="39">
        <f>(Table26[[#This Row],[M2 Money Stock, Billions of Dollars, Weekly, Seasonally Adjusted]]-B1207)/B1207</f>
        <v/>
      </c>
      <c r="D1208" s="40">
        <f>((1+Table26[[#This Row],[Weekly change]])^52)-1</f>
        <v/>
      </c>
      <c r="E1208" s="85">
        <f>(Table26[[#This Row],[M2 Money Stock, Billions of Dollars, Weekly, Seasonally Adjusted]]-B1156)/B1156</f>
        <v/>
      </c>
    </row>
    <row r="1209">
      <c r="A1209" s="37" t="n">
        <v>37942</v>
      </c>
      <c r="B1209" s="84" t="n">
        <v>6061.8</v>
      </c>
      <c r="C1209" s="39">
        <f>(Table26[[#This Row],[M2 Money Stock, Billions of Dollars, Weekly, Seasonally Adjusted]]-B1208)/B1208</f>
        <v/>
      </c>
      <c r="D1209" s="40">
        <f>((1+Table26[[#This Row],[Weekly change]])^52)-1</f>
        <v/>
      </c>
      <c r="E1209" s="85">
        <f>(Table26[[#This Row],[M2 Money Stock, Billions of Dollars, Weekly, Seasonally Adjusted]]-B1157)/B1157</f>
        <v/>
      </c>
    </row>
    <row r="1210">
      <c r="A1210" s="37" t="n">
        <v>37949</v>
      </c>
      <c r="B1210" s="84" t="n">
        <v>6049.6</v>
      </c>
      <c r="C1210" s="39">
        <f>(Table26[[#This Row],[M2 Money Stock, Billions of Dollars, Weekly, Seasonally Adjusted]]-B1209)/B1209</f>
        <v/>
      </c>
      <c r="D1210" s="40">
        <f>((1+Table26[[#This Row],[Weekly change]])^52)-1</f>
        <v/>
      </c>
      <c r="E1210" s="85">
        <f>(Table26[[#This Row],[M2 Money Stock, Billions of Dollars, Weekly, Seasonally Adjusted]]-B1158)/B1158</f>
        <v/>
      </c>
    </row>
    <row r="1211">
      <c r="A1211" s="37" t="n">
        <v>37956</v>
      </c>
      <c r="B1211" s="84" t="n">
        <v>6061.1</v>
      </c>
      <c r="C1211" s="39">
        <f>(Table26[[#This Row],[M2 Money Stock, Billions of Dollars, Weekly, Seasonally Adjusted]]-B1210)/B1210</f>
        <v/>
      </c>
      <c r="D1211" s="40">
        <f>((1+Table26[[#This Row],[Weekly change]])^52)-1</f>
        <v/>
      </c>
      <c r="E1211" s="85">
        <f>(Table26[[#This Row],[M2 Money Stock, Billions of Dollars, Weekly, Seasonally Adjusted]]-B1159)/B1159</f>
        <v/>
      </c>
    </row>
    <row r="1212">
      <c r="A1212" s="37" t="n">
        <v>37963</v>
      </c>
      <c r="B1212" s="84" t="n">
        <v>6052.5</v>
      </c>
      <c r="C1212" s="39">
        <f>(Table26[[#This Row],[M2 Money Stock, Billions of Dollars, Weekly, Seasonally Adjusted]]-B1211)/B1211</f>
        <v/>
      </c>
      <c r="D1212" s="40">
        <f>((1+Table26[[#This Row],[Weekly change]])^52)-1</f>
        <v/>
      </c>
      <c r="E1212" s="85">
        <f>(Table26[[#This Row],[M2 Money Stock, Billions of Dollars, Weekly, Seasonally Adjusted]]-B1160)/B1160</f>
        <v/>
      </c>
    </row>
    <row r="1213">
      <c r="A1213" s="37" t="n">
        <v>37970</v>
      </c>
      <c r="B1213" s="84" t="n">
        <v>6054.1</v>
      </c>
      <c r="C1213" s="39">
        <f>(Table26[[#This Row],[M2 Money Stock, Billions of Dollars, Weekly, Seasonally Adjusted]]-B1212)/B1212</f>
        <v/>
      </c>
      <c r="D1213" s="40">
        <f>((1+Table26[[#This Row],[Weekly change]])^52)-1</f>
        <v/>
      </c>
      <c r="E1213" s="85">
        <f>(Table26[[#This Row],[M2 Money Stock, Billions of Dollars, Weekly, Seasonally Adjusted]]-B1161)/B1161</f>
        <v/>
      </c>
    </row>
    <row r="1214">
      <c r="A1214" s="37" t="n">
        <v>37977</v>
      </c>
      <c r="B1214" s="84" t="n">
        <v>6056.4</v>
      </c>
      <c r="C1214" s="39">
        <f>(Table26[[#This Row],[M2 Money Stock, Billions of Dollars, Weekly, Seasonally Adjusted]]-B1213)/B1213</f>
        <v/>
      </c>
      <c r="D1214" s="40">
        <f>((1+Table26[[#This Row],[Weekly change]])^52)-1</f>
        <v/>
      </c>
      <c r="E1214" s="85">
        <f>(Table26[[#This Row],[M2 Money Stock, Billions of Dollars, Weekly, Seasonally Adjusted]]-B1162)/B1162</f>
        <v/>
      </c>
    </row>
    <row r="1215">
      <c r="A1215" s="37" t="n">
        <v>37984</v>
      </c>
      <c r="B1215" s="84" t="n">
        <v>6053.1</v>
      </c>
      <c r="C1215" s="39">
        <f>(Table26[[#This Row],[M2 Money Stock, Billions of Dollars, Weekly, Seasonally Adjusted]]-B1214)/B1214</f>
        <v/>
      </c>
      <c r="D1215" s="40">
        <f>((1+Table26[[#This Row],[Weekly change]])^52)-1</f>
        <v/>
      </c>
      <c r="E1215" s="85">
        <f>(Table26[[#This Row],[M2 Money Stock, Billions of Dollars, Weekly, Seasonally Adjusted]]-B1163)/B1163</f>
        <v/>
      </c>
    </row>
    <row r="1216">
      <c r="A1216" s="37" t="n">
        <v>37991</v>
      </c>
      <c r="B1216" s="84" t="n">
        <v>6053</v>
      </c>
      <c r="C1216" s="39">
        <f>(Table26[[#This Row],[M2 Money Stock, Billions of Dollars, Weekly, Seasonally Adjusted]]-B1215)/B1215</f>
        <v/>
      </c>
      <c r="D1216" s="40">
        <f>((1+Table26[[#This Row],[Weekly change]])^52)-1</f>
        <v/>
      </c>
      <c r="E1216" s="85">
        <f>(Table26[[#This Row],[M2 Money Stock, Billions of Dollars, Weekly, Seasonally Adjusted]]-B1164)/B1164</f>
        <v/>
      </c>
    </row>
    <row r="1217">
      <c r="A1217" s="37" t="n">
        <v>37998</v>
      </c>
      <c r="B1217" s="84" t="n">
        <v>6051.7</v>
      </c>
      <c r="C1217" s="39">
        <f>(Table26[[#This Row],[M2 Money Stock, Billions of Dollars, Weekly, Seasonally Adjusted]]-B1216)/B1216</f>
        <v/>
      </c>
      <c r="D1217" s="40">
        <f>((1+Table26[[#This Row],[Weekly change]])^52)-1</f>
        <v/>
      </c>
      <c r="E1217" s="85">
        <f>(Table26[[#This Row],[M2 Money Stock, Billions of Dollars, Weekly, Seasonally Adjusted]]-B1165)/B1165</f>
        <v/>
      </c>
    </row>
    <row r="1218">
      <c r="A1218" s="37" t="n">
        <v>38005</v>
      </c>
      <c r="B1218" s="84" t="n">
        <v>6056.6</v>
      </c>
      <c r="C1218" s="39">
        <f>(Table26[[#This Row],[M2 Money Stock, Billions of Dollars, Weekly, Seasonally Adjusted]]-B1217)/B1217</f>
        <v/>
      </c>
      <c r="D1218" s="40">
        <f>((1+Table26[[#This Row],[Weekly change]])^52)-1</f>
        <v/>
      </c>
      <c r="E1218" s="85">
        <f>(Table26[[#This Row],[M2 Money Stock, Billions of Dollars, Weekly, Seasonally Adjusted]]-B1166)/B1166</f>
        <v/>
      </c>
    </row>
    <row r="1219">
      <c r="A1219" s="37" t="n">
        <v>38012</v>
      </c>
      <c r="B1219" s="84" t="n">
        <v>6071</v>
      </c>
      <c r="C1219" s="39">
        <f>(Table26[[#This Row],[M2 Money Stock, Billions of Dollars, Weekly, Seasonally Adjusted]]-B1218)/B1218</f>
        <v/>
      </c>
      <c r="D1219" s="40">
        <f>((1+Table26[[#This Row],[Weekly change]])^52)-1</f>
        <v/>
      </c>
      <c r="E1219" s="85">
        <f>(Table26[[#This Row],[M2 Money Stock, Billions of Dollars, Weekly, Seasonally Adjusted]]-B1167)/B1167</f>
        <v/>
      </c>
    </row>
    <row r="1220">
      <c r="A1220" s="37" t="n">
        <v>38019</v>
      </c>
      <c r="B1220" s="84" t="n">
        <v>6084.8</v>
      </c>
      <c r="C1220" s="39">
        <f>(Table26[[#This Row],[M2 Money Stock, Billions of Dollars, Weekly, Seasonally Adjusted]]-B1219)/B1219</f>
        <v/>
      </c>
      <c r="D1220" s="40">
        <f>((1+Table26[[#This Row],[Weekly change]])^52)-1</f>
        <v/>
      </c>
      <c r="E1220" s="85">
        <f>(Table26[[#This Row],[M2 Money Stock, Billions of Dollars, Weekly, Seasonally Adjusted]]-B1168)/B1168</f>
        <v/>
      </c>
    </row>
    <row r="1221">
      <c r="A1221" s="37" t="n">
        <v>38026</v>
      </c>
      <c r="B1221" s="84" t="n">
        <v>6084.6</v>
      </c>
      <c r="C1221" s="39">
        <f>(Table26[[#This Row],[M2 Money Stock, Billions of Dollars, Weekly, Seasonally Adjusted]]-B1220)/B1220</f>
        <v/>
      </c>
      <c r="D1221" s="40">
        <f>((1+Table26[[#This Row],[Weekly change]])^52)-1</f>
        <v/>
      </c>
      <c r="E1221" s="85">
        <f>(Table26[[#This Row],[M2 Money Stock, Billions of Dollars, Weekly, Seasonally Adjusted]]-B1169)/B1169</f>
        <v/>
      </c>
    </row>
    <row r="1222">
      <c r="A1222" s="37" t="n">
        <v>38033</v>
      </c>
      <c r="B1222" s="84" t="n">
        <v>6103.4</v>
      </c>
      <c r="C1222" s="39">
        <f>(Table26[[#This Row],[M2 Money Stock, Billions of Dollars, Weekly, Seasonally Adjusted]]-B1221)/B1221</f>
        <v/>
      </c>
      <c r="D1222" s="40">
        <f>((1+Table26[[#This Row],[Weekly change]])^52)-1</f>
        <v/>
      </c>
      <c r="E1222" s="85">
        <f>(Table26[[#This Row],[M2 Money Stock, Billions of Dollars, Weekly, Seasonally Adjusted]]-B1170)/B1170</f>
        <v/>
      </c>
    </row>
    <row r="1223">
      <c r="A1223" s="37" t="n">
        <v>38040</v>
      </c>
      <c r="B1223" s="84" t="n">
        <v>6107.8</v>
      </c>
      <c r="C1223" s="39">
        <f>(Table26[[#This Row],[M2 Money Stock, Billions of Dollars, Weekly, Seasonally Adjusted]]-B1222)/B1222</f>
        <v/>
      </c>
      <c r="D1223" s="40">
        <f>((1+Table26[[#This Row],[Weekly change]])^52)-1</f>
        <v/>
      </c>
      <c r="E1223" s="85">
        <f>(Table26[[#This Row],[M2 Money Stock, Billions of Dollars, Weekly, Seasonally Adjusted]]-B1171)/B1171</f>
        <v/>
      </c>
    </row>
    <row r="1224">
      <c r="A1224" s="37" t="n">
        <v>38047</v>
      </c>
      <c r="B1224" s="84" t="n">
        <v>6117.5</v>
      </c>
      <c r="C1224" s="39">
        <f>(Table26[[#This Row],[M2 Money Stock, Billions of Dollars, Weekly, Seasonally Adjusted]]-B1223)/B1223</f>
        <v/>
      </c>
      <c r="D1224" s="40">
        <f>((1+Table26[[#This Row],[Weekly change]])^52)-1</f>
        <v/>
      </c>
      <c r="E1224" s="85">
        <f>(Table26[[#This Row],[M2 Money Stock, Billions of Dollars, Weekly, Seasonally Adjusted]]-B1172)/B1172</f>
        <v/>
      </c>
    </row>
    <row r="1225">
      <c r="A1225" s="37" t="n">
        <v>38054</v>
      </c>
      <c r="B1225" s="84" t="n">
        <v>6112.5</v>
      </c>
      <c r="C1225" s="39">
        <f>(Table26[[#This Row],[M2 Money Stock, Billions of Dollars, Weekly, Seasonally Adjusted]]-B1224)/B1224</f>
        <v/>
      </c>
      <c r="D1225" s="40">
        <f>((1+Table26[[#This Row],[Weekly change]])^52)-1</f>
        <v/>
      </c>
      <c r="E1225" s="85">
        <f>(Table26[[#This Row],[M2 Money Stock, Billions of Dollars, Weekly, Seasonally Adjusted]]-B1173)/B1173</f>
        <v/>
      </c>
    </row>
    <row r="1226">
      <c r="A1226" s="37" t="n">
        <v>38061</v>
      </c>
      <c r="B1226" s="84" t="n">
        <v>6128.3</v>
      </c>
      <c r="C1226" s="39">
        <f>(Table26[[#This Row],[M2 Money Stock, Billions of Dollars, Weekly, Seasonally Adjusted]]-B1225)/B1225</f>
        <v/>
      </c>
      <c r="D1226" s="40">
        <f>((1+Table26[[#This Row],[Weekly change]])^52)-1</f>
        <v/>
      </c>
      <c r="E1226" s="85">
        <f>(Table26[[#This Row],[M2 Money Stock, Billions of Dollars, Weekly, Seasonally Adjusted]]-B1174)/B1174</f>
        <v/>
      </c>
    </row>
    <row r="1227">
      <c r="A1227" s="37" t="n">
        <v>38068</v>
      </c>
      <c r="B1227" s="84" t="n">
        <v>6148.6</v>
      </c>
      <c r="C1227" s="39">
        <f>(Table26[[#This Row],[M2 Money Stock, Billions of Dollars, Weekly, Seasonally Adjusted]]-B1226)/B1226</f>
        <v/>
      </c>
      <c r="D1227" s="40">
        <f>((1+Table26[[#This Row],[Weekly change]])^52)-1</f>
        <v/>
      </c>
      <c r="E1227" s="85">
        <f>(Table26[[#This Row],[M2 Money Stock, Billions of Dollars, Weekly, Seasonally Adjusted]]-B1175)/B1175</f>
        <v/>
      </c>
    </row>
    <row r="1228">
      <c r="A1228" s="37" t="n">
        <v>38075</v>
      </c>
      <c r="B1228" s="84" t="n">
        <v>6156.1</v>
      </c>
      <c r="C1228" s="39">
        <f>(Table26[[#This Row],[M2 Money Stock, Billions of Dollars, Weekly, Seasonally Adjusted]]-B1227)/B1227</f>
        <v/>
      </c>
      <c r="D1228" s="40">
        <f>((1+Table26[[#This Row],[Weekly change]])^52)-1</f>
        <v/>
      </c>
      <c r="E1228" s="85">
        <f>(Table26[[#This Row],[M2 Money Stock, Billions of Dollars, Weekly, Seasonally Adjusted]]-B1176)/B1176</f>
        <v/>
      </c>
    </row>
    <row r="1229">
      <c r="A1229" s="37" t="n">
        <v>38082</v>
      </c>
      <c r="B1229" s="84" t="n">
        <v>6161.7</v>
      </c>
      <c r="C1229" s="39">
        <f>(Table26[[#This Row],[M2 Money Stock, Billions of Dollars, Weekly, Seasonally Adjusted]]-B1228)/B1228</f>
        <v/>
      </c>
      <c r="D1229" s="40">
        <f>((1+Table26[[#This Row],[Weekly change]])^52)-1</f>
        <v/>
      </c>
      <c r="E1229" s="85">
        <f>(Table26[[#This Row],[M2 Money Stock, Billions of Dollars, Weekly, Seasonally Adjusted]]-B1177)/B1177</f>
        <v/>
      </c>
    </row>
    <row r="1230">
      <c r="A1230" s="37" t="n">
        <v>38089</v>
      </c>
      <c r="B1230" s="84" t="n">
        <v>6160.2</v>
      </c>
      <c r="C1230" s="39">
        <f>(Table26[[#This Row],[M2 Money Stock, Billions of Dollars, Weekly, Seasonally Adjusted]]-B1229)/B1229</f>
        <v/>
      </c>
      <c r="D1230" s="40">
        <f>((1+Table26[[#This Row],[Weekly change]])^52)-1</f>
        <v/>
      </c>
      <c r="E1230" s="85">
        <f>(Table26[[#This Row],[M2 Money Stock, Billions of Dollars, Weekly, Seasonally Adjusted]]-B1178)/B1178</f>
        <v/>
      </c>
    </row>
    <row r="1231">
      <c r="A1231" s="37" t="n">
        <v>38096</v>
      </c>
      <c r="B1231" s="84" t="n">
        <v>6163.6</v>
      </c>
      <c r="C1231" s="39">
        <f>(Table26[[#This Row],[M2 Money Stock, Billions of Dollars, Weekly, Seasonally Adjusted]]-B1230)/B1230</f>
        <v/>
      </c>
      <c r="D1231" s="40">
        <f>((1+Table26[[#This Row],[Weekly change]])^52)-1</f>
        <v/>
      </c>
      <c r="E1231" s="85">
        <f>(Table26[[#This Row],[M2 Money Stock, Billions of Dollars, Weekly, Seasonally Adjusted]]-B1179)/B1179</f>
        <v/>
      </c>
    </row>
    <row r="1232">
      <c r="A1232" s="37" t="n">
        <v>38103</v>
      </c>
      <c r="B1232" s="84" t="n">
        <v>6195.8</v>
      </c>
      <c r="C1232" s="39">
        <f>(Table26[[#This Row],[M2 Money Stock, Billions of Dollars, Weekly, Seasonally Adjusted]]-B1231)/B1231</f>
        <v/>
      </c>
      <c r="D1232" s="40">
        <f>((1+Table26[[#This Row],[Weekly change]])^52)-1</f>
        <v/>
      </c>
      <c r="E1232" s="85">
        <f>(Table26[[#This Row],[M2 Money Stock, Billions of Dollars, Weekly, Seasonally Adjusted]]-B1180)/B1180</f>
        <v/>
      </c>
    </row>
    <row r="1233">
      <c r="A1233" s="37" t="n">
        <v>38110</v>
      </c>
      <c r="B1233" s="84" t="n">
        <v>6226.4</v>
      </c>
      <c r="C1233" s="39">
        <f>(Table26[[#This Row],[M2 Money Stock, Billions of Dollars, Weekly, Seasonally Adjusted]]-B1232)/B1232</f>
        <v/>
      </c>
      <c r="D1233" s="40">
        <f>((1+Table26[[#This Row],[Weekly change]])^52)-1</f>
        <v/>
      </c>
      <c r="E1233" s="85">
        <f>(Table26[[#This Row],[M2 Money Stock, Billions of Dollars, Weekly, Seasonally Adjusted]]-B1181)/B1181</f>
        <v/>
      </c>
    </row>
    <row r="1234">
      <c r="A1234" s="37" t="n">
        <v>38117</v>
      </c>
      <c r="B1234" s="84" t="n">
        <v>6247.5</v>
      </c>
      <c r="C1234" s="39">
        <f>(Table26[[#This Row],[M2 Money Stock, Billions of Dollars, Weekly, Seasonally Adjusted]]-B1233)/B1233</f>
        <v/>
      </c>
      <c r="D1234" s="40">
        <f>((1+Table26[[#This Row],[Weekly change]])^52)-1</f>
        <v/>
      </c>
      <c r="E1234" s="85">
        <f>(Table26[[#This Row],[M2 Money Stock, Billions of Dollars, Weekly, Seasonally Adjusted]]-B1182)/B1182</f>
        <v/>
      </c>
    </row>
    <row r="1235">
      <c r="A1235" s="37" t="n">
        <v>38124</v>
      </c>
      <c r="B1235" s="84" t="n">
        <v>6269.2</v>
      </c>
      <c r="C1235" s="39">
        <f>(Table26[[#This Row],[M2 Money Stock, Billions of Dollars, Weekly, Seasonally Adjusted]]-B1234)/B1234</f>
        <v/>
      </c>
      <c r="D1235" s="40">
        <f>((1+Table26[[#This Row],[Weekly change]])^52)-1</f>
        <v/>
      </c>
      <c r="E1235" s="85">
        <f>(Table26[[#This Row],[M2 Money Stock, Billions of Dollars, Weekly, Seasonally Adjusted]]-B1183)/B1183</f>
        <v/>
      </c>
    </row>
    <row r="1236">
      <c r="A1236" s="37" t="n">
        <v>38131</v>
      </c>
      <c r="B1236" s="84" t="n">
        <v>6256.2</v>
      </c>
      <c r="C1236" s="39">
        <f>(Table26[[#This Row],[M2 Money Stock, Billions of Dollars, Weekly, Seasonally Adjusted]]-B1235)/B1235</f>
        <v/>
      </c>
      <c r="D1236" s="40">
        <f>((1+Table26[[#This Row],[Weekly change]])^52)-1</f>
        <v/>
      </c>
      <c r="E1236" s="85">
        <f>(Table26[[#This Row],[M2 Money Stock, Billions of Dollars, Weekly, Seasonally Adjusted]]-B1184)/B1184</f>
        <v/>
      </c>
    </row>
    <row r="1237">
      <c r="A1237" s="37" t="n">
        <v>38138</v>
      </c>
      <c r="B1237" s="84" t="n">
        <v>6259.4</v>
      </c>
      <c r="C1237" s="39">
        <f>(Table26[[#This Row],[M2 Money Stock, Billions of Dollars, Weekly, Seasonally Adjusted]]-B1236)/B1236</f>
        <v/>
      </c>
      <c r="D1237" s="40">
        <f>((1+Table26[[#This Row],[Weekly change]])^52)-1</f>
        <v/>
      </c>
      <c r="E1237" s="85">
        <f>(Table26[[#This Row],[M2 Money Stock, Billions of Dollars, Weekly, Seasonally Adjusted]]-B1185)/B1185</f>
        <v/>
      </c>
    </row>
    <row r="1238">
      <c r="A1238" s="37" t="n">
        <v>38145</v>
      </c>
      <c r="B1238" s="84" t="n">
        <v>6250.1</v>
      </c>
      <c r="C1238" s="39">
        <f>(Table26[[#This Row],[M2 Money Stock, Billions of Dollars, Weekly, Seasonally Adjusted]]-B1237)/B1237</f>
        <v/>
      </c>
      <c r="D1238" s="40">
        <f>((1+Table26[[#This Row],[Weekly change]])^52)-1</f>
        <v/>
      </c>
      <c r="E1238" s="85">
        <f>(Table26[[#This Row],[M2 Money Stock, Billions of Dollars, Weekly, Seasonally Adjusted]]-B1186)/B1186</f>
        <v/>
      </c>
    </row>
    <row r="1239">
      <c r="A1239" s="37" t="n">
        <v>38152</v>
      </c>
      <c r="B1239" s="84" t="n">
        <v>6259.4</v>
      </c>
      <c r="C1239" s="39">
        <f>(Table26[[#This Row],[M2 Money Stock, Billions of Dollars, Weekly, Seasonally Adjusted]]-B1238)/B1238</f>
        <v/>
      </c>
      <c r="D1239" s="40">
        <f>((1+Table26[[#This Row],[Weekly change]])^52)-1</f>
        <v/>
      </c>
      <c r="E1239" s="85">
        <f>(Table26[[#This Row],[M2 Money Stock, Billions of Dollars, Weekly, Seasonally Adjusted]]-B1187)/B1187</f>
        <v/>
      </c>
    </row>
    <row r="1240">
      <c r="A1240" s="37" t="n">
        <v>38159</v>
      </c>
      <c r="B1240" s="84" t="n">
        <v>6260.6</v>
      </c>
      <c r="C1240" s="39">
        <f>(Table26[[#This Row],[M2 Money Stock, Billions of Dollars, Weekly, Seasonally Adjusted]]-B1239)/B1239</f>
        <v/>
      </c>
      <c r="D1240" s="40">
        <f>((1+Table26[[#This Row],[Weekly change]])^52)-1</f>
        <v/>
      </c>
      <c r="E1240" s="85">
        <f>(Table26[[#This Row],[M2 Money Stock, Billions of Dollars, Weekly, Seasonally Adjusted]]-B1188)/B1188</f>
        <v/>
      </c>
    </row>
    <row r="1241">
      <c r="A1241" s="37" t="n">
        <v>38166</v>
      </c>
      <c r="B1241" s="84" t="n">
        <v>6259.3</v>
      </c>
      <c r="C1241" s="39">
        <f>(Table26[[#This Row],[M2 Money Stock, Billions of Dollars, Weekly, Seasonally Adjusted]]-B1240)/B1240</f>
        <v/>
      </c>
      <c r="D1241" s="40">
        <f>((1+Table26[[#This Row],[Weekly change]])^52)-1</f>
        <v/>
      </c>
      <c r="E1241" s="85">
        <f>(Table26[[#This Row],[M2 Money Stock, Billions of Dollars, Weekly, Seasonally Adjusted]]-B1189)/B1189</f>
        <v/>
      </c>
    </row>
    <row r="1242">
      <c r="A1242" s="37" t="n">
        <v>38173</v>
      </c>
      <c r="B1242" s="84" t="n">
        <v>6256.5</v>
      </c>
      <c r="C1242" s="39">
        <f>(Table26[[#This Row],[M2 Money Stock, Billions of Dollars, Weekly, Seasonally Adjusted]]-B1241)/B1241</f>
        <v/>
      </c>
      <c r="D1242" s="40">
        <f>((1+Table26[[#This Row],[Weekly change]])^52)-1</f>
        <v/>
      </c>
      <c r="E1242" s="85">
        <f>(Table26[[#This Row],[M2 Money Stock, Billions of Dollars, Weekly, Seasonally Adjusted]]-B1190)/B1190</f>
        <v/>
      </c>
    </row>
    <row r="1243">
      <c r="A1243" s="37" t="n">
        <v>38180</v>
      </c>
      <c r="B1243" s="84" t="n">
        <v>6269.4</v>
      </c>
      <c r="C1243" s="39">
        <f>(Table26[[#This Row],[M2 Money Stock, Billions of Dollars, Weekly, Seasonally Adjusted]]-B1242)/B1242</f>
        <v/>
      </c>
      <c r="D1243" s="40">
        <f>((1+Table26[[#This Row],[Weekly change]])^52)-1</f>
        <v/>
      </c>
      <c r="E1243" s="85">
        <f>(Table26[[#This Row],[M2 Money Stock, Billions of Dollars, Weekly, Seasonally Adjusted]]-B1191)/B1191</f>
        <v/>
      </c>
    </row>
    <row r="1244">
      <c r="A1244" s="37" t="n">
        <v>38187</v>
      </c>
      <c r="B1244" s="84" t="n">
        <v>6268</v>
      </c>
      <c r="C1244" s="39">
        <f>(Table26[[#This Row],[M2 Money Stock, Billions of Dollars, Weekly, Seasonally Adjusted]]-B1243)/B1243</f>
        <v/>
      </c>
      <c r="D1244" s="40">
        <f>((1+Table26[[#This Row],[Weekly change]])^52)-1</f>
        <v/>
      </c>
      <c r="E1244" s="85">
        <f>(Table26[[#This Row],[M2 Money Stock, Billions of Dollars, Weekly, Seasonally Adjusted]]-B1192)/B1192</f>
        <v/>
      </c>
    </row>
    <row r="1245">
      <c r="A1245" s="37" t="n">
        <v>38194</v>
      </c>
      <c r="B1245" s="84" t="n">
        <v>6278.2</v>
      </c>
      <c r="C1245" s="39">
        <f>(Table26[[#This Row],[M2 Money Stock, Billions of Dollars, Weekly, Seasonally Adjusted]]-B1244)/B1244</f>
        <v/>
      </c>
      <c r="D1245" s="40">
        <f>((1+Table26[[#This Row],[Weekly change]])^52)-1</f>
        <v/>
      </c>
      <c r="E1245" s="85">
        <f>(Table26[[#This Row],[M2 Money Stock, Billions of Dollars, Weekly, Seasonally Adjusted]]-B1193)/B1193</f>
        <v/>
      </c>
    </row>
    <row r="1246">
      <c r="A1246" s="37" t="n">
        <v>38201</v>
      </c>
      <c r="B1246" s="84" t="n">
        <v>6281.8</v>
      </c>
      <c r="C1246" s="39">
        <f>(Table26[[#This Row],[M2 Money Stock, Billions of Dollars, Weekly, Seasonally Adjusted]]-B1245)/B1245</f>
        <v/>
      </c>
      <c r="D1246" s="40">
        <f>((1+Table26[[#This Row],[Weekly change]])^52)-1</f>
        <v/>
      </c>
      <c r="E1246" s="85">
        <f>(Table26[[#This Row],[M2 Money Stock, Billions of Dollars, Weekly, Seasonally Adjusted]]-B1194)/B1194</f>
        <v/>
      </c>
    </row>
    <row r="1247">
      <c r="A1247" s="37" t="n">
        <v>38208</v>
      </c>
      <c r="B1247" s="84" t="n">
        <v>6285.9</v>
      </c>
      <c r="C1247" s="39">
        <f>(Table26[[#This Row],[M2 Money Stock, Billions of Dollars, Weekly, Seasonally Adjusted]]-B1246)/B1246</f>
        <v/>
      </c>
      <c r="D1247" s="40">
        <f>((1+Table26[[#This Row],[Weekly change]])^52)-1</f>
        <v/>
      </c>
      <c r="E1247" s="85">
        <f>(Table26[[#This Row],[M2 Money Stock, Billions of Dollars, Weekly, Seasonally Adjusted]]-B1195)/B1195</f>
        <v/>
      </c>
    </row>
    <row r="1248">
      <c r="A1248" s="37" t="n">
        <v>38215</v>
      </c>
      <c r="B1248" s="84" t="n">
        <v>6301.5</v>
      </c>
      <c r="C1248" s="39">
        <f>(Table26[[#This Row],[M2 Money Stock, Billions of Dollars, Weekly, Seasonally Adjusted]]-B1247)/B1247</f>
        <v/>
      </c>
      <c r="D1248" s="40">
        <f>((1+Table26[[#This Row],[Weekly change]])^52)-1</f>
        <v/>
      </c>
      <c r="E1248" s="85">
        <f>(Table26[[#This Row],[M2 Money Stock, Billions of Dollars, Weekly, Seasonally Adjusted]]-B1196)/B1196</f>
        <v/>
      </c>
    </row>
    <row r="1249">
      <c r="A1249" s="37" t="n">
        <v>38222</v>
      </c>
      <c r="B1249" s="84" t="n">
        <v>6305.5</v>
      </c>
      <c r="C1249" s="39">
        <f>(Table26[[#This Row],[M2 Money Stock, Billions of Dollars, Weekly, Seasonally Adjusted]]-B1248)/B1248</f>
        <v/>
      </c>
      <c r="D1249" s="40">
        <f>((1+Table26[[#This Row],[Weekly change]])^52)-1</f>
        <v/>
      </c>
      <c r="E1249" s="85">
        <f>(Table26[[#This Row],[M2 Money Stock, Billions of Dollars, Weekly, Seasonally Adjusted]]-B1197)/B1197</f>
        <v/>
      </c>
    </row>
    <row r="1250">
      <c r="A1250" s="37" t="n">
        <v>38229</v>
      </c>
      <c r="B1250" s="84" t="n">
        <v>6298.2</v>
      </c>
      <c r="C1250" s="39">
        <f>(Table26[[#This Row],[M2 Money Stock, Billions of Dollars, Weekly, Seasonally Adjusted]]-B1249)/B1249</f>
        <v/>
      </c>
      <c r="D1250" s="40">
        <f>((1+Table26[[#This Row],[Weekly change]])^52)-1</f>
        <v/>
      </c>
      <c r="E1250" s="85">
        <f>(Table26[[#This Row],[M2 Money Stock, Billions of Dollars, Weekly, Seasonally Adjusted]]-B1198)/B1198</f>
        <v/>
      </c>
    </row>
    <row r="1251">
      <c r="A1251" s="37" t="n">
        <v>38236</v>
      </c>
      <c r="B1251" s="84" t="n">
        <v>6308.5</v>
      </c>
      <c r="C1251" s="39">
        <f>(Table26[[#This Row],[M2 Money Stock, Billions of Dollars, Weekly, Seasonally Adjusted]]-B1250)/B1250</f>
        <v/>
      </c>
      <c r="D1251" s="40">
        <f>((1+Table26[[#This Row],[Weekly change]])^52)-1</f>
        <v/>
      </c>
      <c r="E1251" s="85">
        <f>(Table26[[#This Row],[M2 Money Stock, Billions of Dollars, Weekly, Seasonally Adjusted]]-B1199)/B1199</f>
        <v/>
      </c>
    </row>
    <row r="1252">
      <c r="A1252" s="37" t="n">
        <v>38243</v>
      </c>
      <c r="B1252" s="84" t="n">
        <v>6320.8</v>
      </c>
      <c r="C1252" s="39">
        <f>(Table26[[#This Row],[M2 Money Stock, Billions of Dollars, Weekly, Seasonally Adjusted]]-B1251)/B1251</f>
        <v/>
      </c>
      <c r="D1252" s="40">
        <f>((1+Table26[[#This Row],[Weekly change]])^52)-1</f>
        <v/>
      </c>
      <c r="E1252" s="85">
        <f>(Table26[[#This Row],[M2 Money Stock, Billions of Dollars, Weekly, Seasonally Adjusted]]-B1200)/B1200</f>
        <v/>
      </c>
    </row>
    <row r="1253">
      <c r="A1253" s="37" t="n">
        <v>38250</v>
      </c>
      <c r="B1253" s="84" t="n">
        <v>6341.5</v>
      </c>
      <c r="C1253" s="39">
        <f>(Table26[[#This Row],[M2 Money Stock, Billions of Dollars, Weekly, Seasonally Adjusted]]-B1252)/B1252</f>
        <v/>
      </c>
      <c r="D1253" s="40">
        <f>((1+Table26[[#This Row],[Weekly change]])^52)-1</f>
        <v/>
      </c>
      <c r="E1253" s="85">
        <f>(Table26[[#This Row],[M2 Money Stock, Billions of Dollars, Weekly, Seasonally Adjusted]]-B1201)/B1201</f>
        <v/>
      </c>
    </row>
    <row r="1254">
      <c r="A1254" s="37" t="n">
        <v>38257</v>
      </c>
      <c r="B1254" s="84" t="n">
        <v>6348.8</v>
      </c>
      <c r="C1254" s="39">
        <f>(Table26[[#This Row],[M2 Money Stock, Billions of Dollars, Weekly, Seasonally Adjusted]]-B1253)/B1253</f>
        <v/>
      </c>
      <c r="D1254" s="40">
        <f>((1+Table26[[#This Row],[Weekly change]])^52)-1</f>
        <v/>
      </c>
      <c r="E1254" s="85">
        <f>(Table26[[#This Row],[M2 Money Stock, Billions of Dollars, Weekly, Seasonally Adjusted]]-B1202)/B1202</f>
        <v/>
      </c>
    </row>
    <row r="1255">
      <c r="A1255" s="37" t="n">
        <v>38264</v>
      </c>
      <c r="B1255" s="84" t="n">
        <v>6341.2</v>
      </c>
      <c r="C1255" s="39">
        <f>(Table26[[#This Row],[M2 Money Stock, Billions of Dollars, Weekly, Seasonally Adjusted]]-B1254)/B1254</f>
        <v/>
      </c>
      <c r="D1255" s="40">
        <f>((1+Table26[[#This Row],[Weekly change]])^52)-1</f>
        <v/>
      </c>
      <c r="E1255" s="85">
        <f>(Table26[[#This Row],[M2 Money Stock, Billions of Dollars, Weekly, Seasonally Adjusted]]-B1203)/B1203</f>
        <v/>
      </c>
    </row>
    <row r="1256">
      <c r="A1256" s="37" t="n">
        <v>38271</v>
      </c>
      <c r="B1256" s="84" t="n">
        <v>6348.6</v>
      </c>
      <c r="C1256" s="39">
        <f>(Table26[[#This Row],[M2 Money Stock, Billions of Dollars, Weekly, Seasonally Adjusted]]-B1255)/B1255</f>
        <v/>
      </c>
      <c r="D1256" s="40">
        <f>((1+Table26[[#This Row],[Weekly change]])^52)-1</f>
        <v/>
      </c>
      <c r="E1256" s="85">
        <f>(Table26[[#This Row],[M2 Money Stock, Billions of Dollars, Weekly, Seasonally Adjusted]]-B1204)/B1204</f>
        <v/>
      </c>
    </row>
    <row r="1257">
      <c r="A1257" s="37" t="n">
        <v>38278</v>
      </c>
      <c r="B1257" s="84" t="n">
        <v>6355.1</v>
      </c>
      <c r="C1257" s="39">
        <f>(Table26[[#This Row],[M2 Money Stock, Billions of Dollars, Weekly, Seasonally Adjusted]]-B1256)/B1256</f>
        <v/>
      </c>
      <c r="D1257" s="40">
        <f>((1+Table26[[#This Row],[Weekly change]])^52)-1</f>
        <v/>
      </c>
      <c r="E1257" s="85">
        <f>(Table26[[#This Row],[M2 Money Stock, Billions of Dollars, Weekly, Seasonally Adjusted]]-B1205)/B1205</f>
        <v/>
      </c>
    </row>
    <row r="1258">
      <c r="A1258" s="37" t="n">
        <v>38285</v>
      </c>
      <c r="B1258" s="84" t="n">
        <v>6368</v>
      </c>
      <c r="C1258" s="39">
        <f>(Table26[[#This Row],[M2 Money Stock, Billions of Dollars, Weekly, Seasonally Adjusted]]-B1257)/B1257</f>
        <v/>
      </c>
      <c r="D1258" s="40">
        <f>((1+Table26[[#This Row],[Weekly change]])^52)-1</f>
        <v/>
      </c>
      <c r="E1258" s="85">
        <f>(Table26[[#This Row],[M2 Money Stock, Billions of Dollars, Weekly, Seasonally Adjusted]]-B1206)/B1206</f>
        <v/>
      </c>
    </row>
    <row r="1259">
      <c r="A1259" s="37" t="n">
        <v>38292</v>
      </c>
      <c r="B1259" s="84" t="n">
        <v>6381.7</v>
      </c>
      <c r="C1259" s="39">
        <f>(Table26[[#This Row],[M2 Money Stock, Billions of Dollars, Weekly, Seasonally Adjusted]]-B1258)/B1258</f>
        <v/>
      </c>
      <c r="D1259" s="40">
        <f>((1+Table26[[#This Row],[Weekly change]])^52)-1</f>
        <v/>
      </c>
      <c r="E1259" s="85">
        <f>(Table26[[#This Row],[M2 Money Stock, Billions of Dollars, Weekly, Seasonally Adjusted]]-B1207)/B1207</f>
        <v/>
      </c>
    </row>
    <row r="1260">
      <c r="A1260" s="37" t="n">
        <v>38299</v>
      </c>
      <c r="B1260" s="84" t="n">
        <v>6374.6</v>
      </c>
      <c r="C1260" s="39">
        <f>(Table26[[#This Row],[M2 Money Stock, Billions of Dollars, Weekly, Seasonally Adjusted]]-B1259)/B1259</f>
        <v/>
      </c>
      <c r="D1260" s="40">
        <f>((1+Table26[[#This Row],[Weekly change]])^52)-1</f>
        <v/>
      </c>
      <c r="E1260" s="85">
        <f>(Table26[[#This Row],[M2 Money Stock, Billions of Dollars, Weekly, Seasonally Adjusted]]-B1208)/B1208</f>
        <v/>
      </c>
    </row>
    <row r="1261">
      <c r="A1261" s="37" t="n">
        <v>38306</v>
      </c>
      <c r="B1261" s="84" t="n">
        <v>6387.2</v>
      </c>
      <c r="C1261" s="39">
        <f>(Table26[[#This Row],[M2 Money Stock, Billions of Dollars, Weekly, Seasonally Adjusted]]-B1260)/B1260</f>
        <v/>
      </c>
      <c r="D1261" s="40">
        <f>((1+Table26[[#This Row],[Weekly change]])^52)-1</f>
        <v/>
      </c>
      <c r="E1261" s="85">
        <f>(Table26[[#This Row],[M2 Money Stock, Billions of Dollars, Weekly, Seasonally Adjusted]]-B1209)/B1209</f>
        <v/>
      </c>
    </row>
    <row r="1262">
      <c r="A1262" s="37" t="n">
        <v>38313</v>
      </c>
      <c r="B1262" s="84" t="n">
        <v>6393.6</v>
      </c>
      <c r="C1262" s="39">
        <f>(Table26[[#This Row],[M2 Money Stock, Billions of Dollars, Weekly, Seasonally Adjusted]]-B1261)/B1261</f>
        <v/>
      </c>
      <c r="D1262" s="40">
        <f>((1+Table26[[#This Row],[Weekly change]])^52)-1</f>
        <v/>
      </c>
      <c r="E1262" s="85">
        <f>(Table26[[#This Row],[M2 Money Stock, Billions of Dollars, Weekly, Seasonally Adjusted]]-B1210)/B1210</f>
        <v/>
      </c>
    </row>
    <row r="1263">
      <c r="A1263" s="37" t="n">
        <v>38320</v>
      </c>
      <c r="B1263" s="84" t="n">
        <v>6390</v>
      </c>
      <c r="C1263" s="39">
        <f>(Table26[[#This Row],[M2 Money Stock, Billions of Dollars, Weekly, Seasonally Adjusted]]-B1262)/B1262</f>
        <v/>
      </c>
      <c r="D1263" s="40">
        <f>((1+Table26[[#This Row],[Weekly change]])^52)-1</f>
        <v/>
      </c>
      <c r="E1263" s="85">
        <f>(Table26[[#This Row],[M2 Money Stock, Billions of Dollars, Weekly, Seasonally Adjusted]]-B1211)/B1211</f>
        <v/>
      </c>
    </row>
    <row r="1264">
      <c r="A1264" s="37" t="n">
        <v>38327</v>
      </c>
      <c r="B1264" s="84" t="n">
        <v>6392.9</v>
      </c>
      <c r="C1264" s="39">
        <f>(Table26[[#This Row],[M2 Money Stock, Billions of Dollars, Weekly, Seasonally Adjusted]]-B1263)/B1263</f>
        <v/>
      </c>
      <c r="D1264" s="40">
        <f>((1+Table26[[#This Row],[Weekly change]])^52)-1</f>
        <v/>
      </c>
      <c r="E1264" s="85">
        <f>(Table26[[#This Row],[M2 Money Stock, Billions of Dollars, Weekly, Seasonally Adjusted]]-B1212)/B1212</f>
        <v/>
      </c>
    </row>
    <row r="1265">
      <c r="A1265" s="37" t="n">
        <v>38334</v>
      </c>
      <c r="B1265" s="84" t="n">
        <v>6399.6</v>
      </c>
      <c r="C1265" s="39">
        <f>(Table26[[#This Row],[M2 Money Stock, Billions of Dollars, Weekly, Seasonally Adjusted]]-B1264)/B1264</f>
        <v/>
      </c>
      <c r="D1265" s="40">
        <f>((1+Table26[[#This Row],[Weekly change]])^52)-1</f>
        <v/>
      </c>
      <c r="E1265" s="85">
        <f>(Table26[[#This Row],[M2 Money Stock, Billions of Dollars, Weekly, Seasonally Adjusted]]-B1213)/B1213</f>
        <v/>
      </c>
    </row>
    <row r="1266">
      <c r="A1266" s="37" t="n">
        <v>38341</v>
      </c>
      <c r="B1266" s="84" t="n">
        <v>6416.1</v>
      </c>
      <c r="C1266" s="39">
        <f>(Table26[[#This Row],[M2 Money Stock, Billions of Dollars, Weekly, Seasonally Adjusted]]-B1265)/B1265</f>
        <v/>
      </c>
      <c r="D1266" s="40">
        <f>((1+Table26[[#This Row],[Weekly change]])^52)-1</f>
        <v/>
      </c>
      <c r="E1266" s="85">
        <f>(Table26[[#This Row],[M2 Money Stock, Billions of Dollars, Weekly, Seasonally Adjusted]]-B1214)/B1214</f>
        <v/>
      </c>
    </row>
    <row r="1267">
      <c r="A1267" s="37" t="n">
        <v>38348</v>
      </c>
      <c r="B1267" s="84" t="n">
        <v>6419.3</v>
      </c>
      <c r="C1267" s="39">
        <f>(Table26[[#This Row],[M2 Money Stock, Billions of Dollars, Weekly, Seasonally Adjusted]]-B1266)/B1266</f>
        <v/>
      </c>
      <c r="D1267" s="40">
        <f>((1+Table26[[#This Row],[Weekly change]])^52)-1</f>
        <v/>
      </c>
      <c r="E1267" s="85">
        <f>(Table26[[#This Row],[M2 Money Stock, Billions of Dollars, Weekly, Seasonally Adjusted]]-B1215)/B1215</f>
        <v/>
      </c>
    </row>
    <row r="1268">
      <c r="A1268" s="37" t="n">
        <v>38355</v>
      </c>
      <c r="B1268" s="84" t="n">
        <v>6374.9</v>
      </c>
      <c r="C1268" s="39">
        <f>(Table26[[#This Row],[M2 Money Stock, Billions of Dollars, Weekly, Seasonally Adjusted]]-B1267)/B1267</f>
        <v/>
      </c>
      <c r="D1268" s="40">
        <f>((1+Table26[[#This Row],[Weekly change]])^52)-1</f>
        <v/>
      </c>
      <c r="E1268" s="85">
        <f>(Table26[[#This Row],[M2 Money Stock, Billions of Dollars, Weekly, Seasonally Adjusted]]-B1216)/B1216</f>
        <v/>
      </c>
    </row>
    <row r="1269">
      <c r="A1269" s="37" t="n">
        <v>38362</v>
      </c>
      <c r="B1269" s="84" t="n">
        <v>6384.6</v>
      </c>
      <c r="C1269" s="39">
        <f>(Table26[[#This Row],[M2 Money Stock, Billions of Dollars, Weekly, Seasonally Adjusted]]-B1268)/B1268</f>
        <v/>
      </c>
      <c r="D1269" s="40">
        <f>((1+Table26[[#This Row],[Weekly change]])^52)-1</f>
        <v/>
      </c>
      <c r="E1269" s="85">
        <f>(Table26[[#This Row],[M2 Money Stock, Billions of Dollars, Weekly, Seasonally Adjusted]]-B1217)/B1217</f>
        <v/>
      </c>
    </row>
    <row r="1270">
      <c r="A1270" s="37" t="n">
        <v>38369</v>
      </c>
      <c r="B1270" s="84" t="n">
        <v>6403.5</v>
      </c>
      <c r="C1270" s="39">
        <f>(Table26[[#This Row],[M2 Money Stock, Billions of Dollars, Weekly, Seasonally Adjusted]]-B1269)/B1269</f>
        <v/>
      </c>
      <c r="D1270" s="40">
        <f>((1+Table26[[#This Row],[Weekly change]])^52)-1</f>
        <v/>
      </c>
      <c r="E1270" s="85">
        <f>(Table26[[#This Row],[M2 Money Stock, Billions of Dollars, Weekly, Seasonally Adjusted]]-B1218)/B1218</f>
        <v/>
      </c>
    </row>
    <row r="1271">
      <c r="A1271" s="37" t="n">
        <v>38376</v>
      </c>
      <c r="B1271" s="84" t="n">
        <v>6405.6</v>
      </c>
      <c r="C1271" s="39">
        <f>(Table26[[#This Row],[M2 Money Stock, Billions of Dollars, Weekly, Seasonally Adjusted]]-B1270)/B1270</f>
        <v/>
      </c>
      <c r="D1271" s="40">
        <f>((1+Table26[[#This Row],[Weekly change]])^52)-1</f>
        <v/>
      </c>
      <c r="E1271" s="85">
        <f>(Table26[[#This Row],[M2 Money Stock, Billions of Dollars, Weekly, Seasonally Adjusted]]-B1219)/B1219</f>
        <v/>
      </c>
    </row>
    <row r="1272">
      <c r="A1272" s="37" t="n">
        <v>38383</v>
      </c>
      <c r="B1272" s="84" t="n">
        <v>6402.4</v>
      </c>
      <c r="C1272" s="39">
        <f>(Table26[[#This Row],[M2 Money Stock, Billions of Dollars, Weekly, Seasonally Adjusted]]-B1271)/B1271</f>
        <v/>
      </c>
      <c r="D1272" s="40">
        <f>((1+Table26[[#This Row],[Weekly change]])^52)-1</f>
        <v/>
      </c>
      <c r="E1272" s="85">
        <f>(Table26[[#This Row],[M2 Money Stock, Billions of Dollars, Weekly, Seasonally Adjusted]]-B1220)/B1220</f>
        <v/>
      </c>
    </row>
    <row r="1273">
      <c r="A1273" s="37" t="n">
        <v>38390</v>
      </c>
      <c r="B1273" s="84" t="n">
        <v>6412.6</v>
      </c>
      <c r="C1273" s="39">
        <f>(Table26[[#This Row],[M2 Money Stock, Billions of Dollars, Weekly, Seasonally Adjusted]]-B1272)/B1272</f>
        <v/>
      </c>
      <c r="D1273" s="40">
        <f>((1+Table26[[#This Row],[Weekly change]])^52)-1</f>
        <v/>
      </c>
      <c r="E1273" s="85">
        <f>(Table26[[#This Row],[M2 Money Stock, Billions of Dollars, Weekly, Seasonally Adjusted]]-B1221)/B1221</f>
        <v/>
      </c>
    </row>
    <row r="1274">
      <c r="A1274" s="37" t="n">
        <v>38397</v>
      </c>
      <c r="B1274" s="84" t="n">
        <v>6413.2</v>
      </c>
      <c r="C1274" s="39">
        <f>(Table26[[#This Row],[M2 Money Stock, Billions of Dollars, Weekly, Seasonally Adjusted]]-B1273)/B1273</f>
        <v/>
      </c>
      <c r="D1274" s="40">
        <f>((1+Table26[[#This Row],[Weekly change]])^52)-1</f>
        <v/>
      </c>
      <c r="E1274" s="85">
        <f>(Table26[[#This Row],[M2 Money Stock, Billions of Dollars, Weekly, Seasonally Adjusted]]-B1222)/B1222</f>
        <v/>
      </c>
    </row>
    <row r="1275">
      <c r="A1275" s="37" t="n">
        <v>38404</v>
      </c>
      <c r="B1275" s="84" t="n">
        <v>6427.8</v>
      </c>
      <c r="C1275" s="39">
        <f>(Table26[[#This Row],[M2 Money Stock, Billions of Dollars, Weekly, Seasonally Adjusted]]-B1274)/B1274</f>
        <v/>
      </c>
      <c r="D1275" s="40">
        <f>((1+Table26[[#This Row],[Weekly change]])^52)-1</f>
        <v/>
      </c>
      <c r="E1275" s="85">
        <f>(Table26[[#This Row],[M2 Money Stock, Billions of Dollars, Weekly, Seasonally Adjusted]]-B1223)/B1223</f>
        <v/>
      </c>
    </row>
    <row r="1276">
      <c r="A1276" s="37" t="n">
        <v>38411</v>
      </c>
      <c r="B1276" s="84" t="n">
        <v>6424.7</v>
      </c>
      <c r="C1276" s="39">
        <f>(Table26[[#This Row],[M2 Money Stock, Billions of Dollars, Weekly, Seasonally Adjusted]]-B1275)/B1275</f>
        <v/>
      </c>
      <c r="D1276" s="40">
        <f>((1+Table26[[#This Row],[Weekly change]])^52)-1</f>
        <v/>
      </c>
      <c r="E1276" s="85">
        <f>(Table26[[#This Row],[M2 Money Stock, Billions of Dollars, Weekly, Seasonally Adjusted]]-B1224)/B1224</f>
        <v/>
      </c>
    </row>
    <row r="1277">
      <c r="A1277" s="37" t="n">
        <v>38418</v>
      </c>
      <c r="B1277" s="84" t="n">
        <v>6419.3</v>
      </c>
      <c r="C1277" s="39">
        <f>(Table26[[#This Row],[M2 Money Stock, Billions of Dollars, Weekly, Seasonally Adjusted]]-B1276)/B1276</f>
        <v/>
      </c>
      <c r="D1277" s="40">
        <f>((1+Table26[[#This Row],[Weekly change]])^52)-1</f>
        <v/>
      </c>
      <c r="E1277" s="85">
        <f>(Table26[[#This Row],[M2 Money Stock, Billions of Dollars, Weekly, Seasonally Adjusted]]-B1225)/B1225</f>
        <v/>
      </c>
    </row>
    <row r="1278">
      <c r="A1278" s="37" t="n">
        <v>38425</v>
      </c>
      <c r="B1278" s="84" t="n">
        <v>6422.4</v>
      </c>
      <c r="C1278" s="39">
        <f>(Table26[[#This Row],[M2 Money Stock, Billions of Dollars, Weekly, Seasonally Adjusted]]-B1277)/B1277</f>
        <v/>
      </c>
      <c r="D1278" s="40">
        <f>((1+Table26[[#This Row],[Weekly change]])^52)-1</f>
        <v/>
      </c>
      <c r="E1278" s="85">
        <f>(Table26[[#This Row],[M2 Money Stock, Billions of Dollars, Weekly, Seasonally Adjusted]]-B1226)/B1226</f>
        <v/>
      </c>
    </row>
    <row r="1279">
      <c r="A1279" s="37" t="n">
        <v>38432</v>
      </c>
      <c r="B1279" s="84" t="n">
        <v>6431.1</v>
      </c>
      <c r="C1279" s="39">
        <f>(Table26[[#This Row],[M2 Money Stock, Billions of Dollars, Weekly, Seasonally Adjusted]]-B1278)/B1278</f>
        <v/>
      </c>
      <c r="D1279" s="40">
        <f>((1+Table26[[#This Row],[Weekly change]])^52)-1</f>
        <v/>
      </c>
      <c r="E1279" s="85">
        <f>(Table26[[#This Row],[M2 Money Stock, Billions of Dollars, Weekly, Seasonally Adjusted]]-B1227)/B1227</f>
        <v/>
      </c>
    </row>
    <row r="1280">
      <c r="A1280" s="37" t="n">
        <v>38439</v>
      </c>
      <c r="B1280" s="84" t="n">
        <v>6438.1</v>
      </c>
      <c r="C1280" s="39">
        <f>(Table26[[#This Row],[M2 Money Stock, Billions of Dollars, Weekly, Seasonally Adjusted]]-B1279)/B1279</f>
        <v/>
      </c>
      <c r="D1280" s="40">
        <f>((1+Table26[[#This Row],[Weekly change]])^52)-1</f>
        <v/>
      </c>
      <c r="E1280" s="85">
        <f>(Table26[[#This Row],[M2 Money Stock, Billions of Dollars, Weekly, Seasonally Adjusted]]-B1228)/B1228</f>
        <v/>
      </c>
    </row>
    <row r="1281">
      <c r="A1281" s="37" t="n">
        <v>38446</v>
      </c>
      <c r="B1281" s="84" t="n">
        <v>6436.4</v>
      </c>
      <c r="C1281" s="39">
        <f>(Table26[[#This Row],[M2 Money Stock, Billions of Dollars, Weekly, Seasonally Adjusted]]-B1280)/B1280</f>
        <v/>
      </c>
      <c r="D1281" s="40">
        <f>((1+Table26[[#This Row],[Weekly change]])^52)-1</f>
        <v/>
      </c>
      <c r="E1281" s="85">
        <f>(Table26[[#This Row],[M2 Money Stock, Billions of Dollars, Weekly, Seasonally Adjusted]]-B1229)/B1229</f>
        <v/>
      </c>
    </row>
    <row r="1282">
      <c r="A1282" s="37" t="n">
        <v>38453</v>
      </c>
      <c r="B1282" s="84" t="n">
        <v>6435.8</v>
      </c>
      <c r="C1282" s="39">
        <f>(Table26[[#This Row],[M2 Money Stock, Billions of Dollars, Weekly, Seasonally Adjusted]]-B1281)/B1281</f>
        <v/>
      </c>
      <c r="D1282" s="40">
        <f>((1+Table26[[#This Row],[Weekly change]])^52)-1</f>
        <v/>
      </c>
      <c r="E1282" s="85">
        <f>(Table26[[#This Row],[M2 Money Stock, Billions of Dollars, Weekly, Seasonally Adjusted]]-B1230)/B1230</f>
        <v/>
      </c>
    </row>
    <row r="1283">
      <c r="A1283" s="37" t="n">
        <v>38460</v>
      </c>
      <c r="B1283" s="84" t="n">
        <v>6443.8</v>
      </c>
      <c r="C1283" s="39">
        <f>(Table26[[#This Row],[M2 Money Stock, Billions of Dollars, Weekly, Seasonally Adjusted]]-B1282)/B1282</f>
        <v/>
      </c>
      <c r="D1283" s="40">
        <f>((1+Table26[[#This Row],[Weekly change]])^52)-1</f>
        <v/>
      </c>
      <c r="E1283" s="85">
        <f>(Table26[[#This Row],[M2 Money Stock, Billions of Dollars, Weekly, Seasonally Adjusted]]-B1231)/B1231</f>
        <v/>
      </c>
    </row>
    <row r="1284">
      <c r="A1284" s="37" t="n">
        <v>38467</v>
      </c>
      <c r="B1284" s="84" t="n">
        <v>6445.5</v>
      </c>
      <c r="C1284" s="39">
        <f>(Table26[[#This Row],[M2 Money Stock, Billions of Dollars, Weekly, Seasonally Adjusted]]-B1283)/B1283</f>
        <v/>
      </c>
      <c r="D1284" s="40">
        <f>((1+Table26[[#This Row],[Weekly change]])^52)-1</f>
        <v/>
      </c>
      <c r="E1284" s="85">
        <f>(Table26[[#This Row],[M2 Money Stock, Billions of Dollars, Weekly, Seasonally Adjusted]]-B1232)/B1232</f>
        <v/>
      </c>
    </row>
    <row r="1285">
      <c r="A1285" s="37" t="n">
        <v>38474</v>
      </c>
      <c r="B1285" s="84" t="n">
        <v>6451.6</v>
      </c>
      <c r="C1285" s="39">
        <f>(Table26[[#This Row],[M2 Money Stock, Billions of Dollars, Weekly, Seasonally Adjusted]]-B1284)/B1284</f>
        <v/>
      </c>
      <c r="D1285" s="40">
        <f>((1+Table26[[#This Row],[Weekly change]])^52)-1</f>
        <v/>
      </c>
      <c r="E1285" s="85">
        <f>(Table26[[#This Row],[M2 Money Stock, Billions of Dollars, Weekly, Seasonally Adjusted]]-B1233)/B1233</f>
        <v/>
      </c>
    </row>
    <row r="1286">
      <c r="A1286" s="37" t="n">
        <v>38481</v>
      </c>
      <c r="B1286" s="84" t="n">
        <v>6459.6</v>
      </c>
      <c r="C1286" s="39">
        <f>(Table26[[#This Row],[M2 Money Stock, Billions of Dollars, Weekly, Seasonally Adjusted]]-B1285)/B1285</f>
        <v/>
      </c>
      <c r="D1286" s="40">
        <f>((1+Table26[[#This Row],[Weekly change]])^52)-1</f>
        <v/>
      </c>
      <c r="E1286" s="85">
        <f>(Table26[[#This Row],[M2 Money Stock, Billions of Dollars, Weekly, Seasonally Adjusted]]-B1234)/B1234</f>
        <v/>
      </c>
    </row>
    <row r="1287">
      <c r="A1287" s="37" t="n">
        <v>38488</v>
      </c>
      <c r="B1287" s="84" t="n">
        <v>6458.7</v>
      </c>
      <c r="C1287" s="39">
        <f>(Table26[[#This Row],[M2 Money Stock, Billions of Dollars, Weekly, Seasonally Adjusted]]-B1286)/B1286</f>
        <v/>
      </c>
      <c r="D1287" s="40">
        <f>((1+Table26[[#This Row],[Weekly change]])^52)-1</f>
        <v/>
      </c>
      <c r="E1287" s="85">
        <f>(Table26[[#This Row],[M2 Money Stock, Billions of Dollars, Weekly, Seasonally Adjusted]]-B1235)/B1235</f>
        <v/>
      </c>
    </row>
    <row r="1288">
      <c r="A1288" s="37" t="n">
        <v>38495</v>
      </c>
      <c r="B1288" s="84" t="n">
        <v>6462.7</v>
      </c>
      <c r="C1288" s="39">
        <f>(Table26[[#This Row],[M2 Money Stock, Billions of Dollars, Weekly, Seasonally Adjusted]]-B1287)/B1287</f>
        <v/>
      </c>
      <c r="D1288" s="40">
        <f>((1+Table26[[#This Row],[Weekly change]])^52)-1</f>
        <v/>
      </c>
      <c r="E1288" s="85">
        <f>(Table26[[#This Row],[M2 Money Stock, Billions of Dollars, Weekly, Seasonally Adjusted]]-B1236)/B1236</f>
        <v/>
      </c>
    </row>
    <row r="1289">
      <c r="A1289" s="37" t="n">
        <v>38502</v>
      </c>
      <c r="B1289" s="84" t="n">
        <v>6459.3</v>
      </c>
      <c r="C1289" s="39">
        <f>(Table26[[#This Row],[M2 Money Stock, Billions of Dollars, Weekly, Seasonally Adjusted]]-B1288)/B1288</f>
        <v/>
      </c>
      <c r="D1289" s="40">
        <f>((1+Table26[[#This Row],[Weekly change]])^52)-1</f>
        <v/>
      </c>
      <c r="E1289" s="85">
        <f>(Table26[[#This Row],[M2 Money Stock, Billions of Dollars, Weekly, Seasonally Adjusted]]-B1237)/B1237</f>
        <v/>
      </c>
    </row>
    <row r="1290">
      <c r="A1290" s="37" t="n">
        <v>38509</v>
      </c>
      <c r="B1290" s="84" t="n">
        <v>6470.9</v>
      </c>
      <c r="C1290" s="39">
        <f>(Table26[[#This Row],[M2 Money Stock, Billions of Dollars, Weekly, Seasonally Adjusted]]-B1289)/B1289</f>
        <v/>
      </c>
      <c r="D1290" s="40">
        <f>((1+Table26[[#This Row],[Weekly change]])^52)-1</f>
        <v/>
      </c>
      <c r="E1290" s="85">
        <f>(Table26[[#This Row],[M2 Money Stock, Billions of Dollars, Weekly, Seasonally Adjusted]]-B1238)/B1238</f>
        <v/>
      </c>
    </row>
    <row r="1291">
      <c r="A1291" s="37" t="n">
        <v>38516</v>
      </c>
      <c r="B1291" s="84" t="n">
        <v>6480.8</v>
      </c>
      <c r="C1291" s="39">
        <f>(Table26[[#This Row],[M2 Money Stock, Billions of Dollars, Weekly, Seasonally Adjusted]]-B1290)/B1290</f>
        <v/>
      </c>
      <c r="D1291" s="40">
        <f>((1+Table26[[#This Row],[Weekly change]])^52)-1</f>
        <v/>
      </c>
      <c r="E1291" s="85">
        <f>(Table26[[#This Row],[M2 Money Stock, Billions of Dollars, Weekly, Seasonally Adjusted]]-B1239)/B1239</f>
        <v/>
      </c>
    </row>
    <row r="1292">
      <c r="A1292" s="37" t="n">
        <v>38523</v>
      </c>
      <c r="B1292" s="84" t="n">
        <v>6501.5</v>
      </c>
      <c r="C1292" s="39">
        <f>(Table26[[#This Row],[M2 Money Stock, Billions of Dollars, Weekly, Seasonally Adjusted]]-B1291)/B1291</f>
        <v/>
      </c>
      <c r="D1292" s="40">
        <f>((1+Table26[[#This Row],[Weekly change]])^52)-1</f>
        <v/>
      </c>
      <c r="E1292" s="85">
        <f>(Table26[[#This Row],[M2 Money Stock, Billions of Dollars, Weekly, Seasonally Adjusted]]-B1240)/B1240</f>
        <v/>
      </c>
    </row>
    <row r="1293">
      <c r="A1293" s="37" t="n">
        <v>38530</v>
      </c>
      <c r="B1293" s="84" t="n">
        <v>6508.2</v>
      </c>
      <c r="C1293" s="39">
        <f>(Table26[[#This Row],[M2 Money Stock, Billions of Dollars, Weekly, Seasonally Adjusted]]-B1292)/B1292</f>
        <v/>
      </c>
      <c r="D1293" s="40">
        <f>((1+Table26[[#This Row],[Weekly change]])^52)-1</f>
        <v/>
      </c>
      <c r="E1293" s="85">
        <f>(Table26[[#This Row],[M2 Money Stock, Billions of Dollars, Weekly, Seasonally Adjusted]]-B1241)/B1241</f>
        <v/>
      </c>
    </row>
    <row r="1294">
      <c r="A1294" s="37" t="n">
        <v>38537</v>
      </c>
      <c r="B1294" s="84" t="n">
        <v>6503.1</v>
      </c>
      <c r="C1294" s="39">
        <f>(Table26[[#This Row],[M2 Money Stock, Billions of Dollars, Weekly, Seasonally Adjusted]]-B1293)/B1293</f>
        <v/>
      </c>
      <c r="D1294" s="40">
        <f>((1+Table26[[#This Row],[Weekly change]])^52)-1</f>
        <v/>
      </c>
      <c r="E1294" s="85">
        <f>(Table26[[#This Row],[M2 Money Stock, Billions of Dollars, Weekly, Seasonally Adjusted]]-B1242)/B1242</f>
        <v/>
      </c>
    </row>
    <row r="1295">
      <c r="A1295" s="37" t="n">
        <v>38544</v>
      </c>
      <c r="B1295" s="84" t="n">
        <v>6505.5</v>
      </c>
      <c r="C1295" s="39">
        <f>(Table26[[#This Row],[M2 Money Stock, Billions of Dollars, Weekly, Seasonally Adjusted]]-B1294)/B1294</f>
        <v/>
      </c>
      <c r="D1295" s="40">
        <f>((1+Table26[[#This Row],[Weekly change]])^52)-1</f>
        <v/>
      </c>
      <c r="E1295" s="85">
        <f>(Table26[[#This Row],[M2 Money Stock, Billions of Dollars, Weekly, Seasonally Adjusted]]-B1243)/B1243</f>
        <v/>
      </c>
    </row>
    <row r="1296">
      <c r="A1296" s="37" t="n">
        <v>38551</v>
      </c>
      <c r="B1296" s="84" t="n">
        <v>6521.6</v>
      </c>
      <c r="C1296" s="39">
        <f>(Table26[[#This Row],[M2 Money Stock, Billions of Dollars, Weekly, Seasonally Adjusted]]-B1295)/B1295</f>
        <v/>
      </c>
      <c r="D1296" s="40">
        <f>((1+Table26[[#This Row],[Weekly change]])^52)-1</f>
        <v/>
      </c>
      <c r="E1296" s="85">
        <f>(Table26[[#This Row],[M2 Money Stock, Billions of Dollars, Weekly, Seasonally Adjusted]]-B1244)/B1244</f>
        <v/>
      </c>
    </row>
    <row r="1297">
      <c r="A1297" s="37" t="n">
        <v>38558</v>
      </c>
      <c r="B1297" s="84" t="n">
        <v>6534.5</v>
      </c>
      <c r="C1297" s="39">
        <f>(Table26[[#This Row],[M2 Money Stock, Billions of Dollars, Weekly, Seasonally Adjusted]]-B1296)/B1296</f>
        <v/>
      </c>
      <c r="D1297" s="40">
        <f>((1+Table26[[#This Row],[Weekly change]])^52)-1</f>
        <v/>
      </c>
      <c r="E1297" s="85">
        <f>(Table26[[#This Row],[M2 Money Stock, Billions of Dollars, Weekly, Seasonally Adjusted]]-B1245)/B1245</f>
        <v/>
      </c>
    </row>
    <row r="1298">
      <c r="A1298" s="37" t="n">
        <v>38565</v>
      </c>
      <c r="B1298" s="84" t="n">
        <v>6549.3</v>
      </c>
      <c r="C1298" s="39">
        <f>(Table26[[#This Row],[M2 Money Stock, Billions of Dollars, Weekly, Seasonally Adjusted]]-B1297)/B1297</f>
        <v/>
      </c>
      <c r="D1298" s="40">
        <f>((1+Table26[[#This Row],[Weekly change]])^52)-1</f>
        <v/>
      </c>
      <c r="E1298" s="85">
        <f>(Table26[[#This Row],[M2 Money Stock, Billions of Dollars, Weekly, Seasonally Adjusted]]-B1246)/B1246</f>
        <v/>
      </c>
    </row>
    <row r="1299">
      <c r="A1299" s="37" t="n">
        <v>38572</v>
      </c>
      <c r="B1299" s="84" t="n">
        <v>6545.1</v>
      </c>
      <c r="C1299" s="39">
        <f>(Table26[[#This Row],[M2 Money Stock, Billions of Dollars, Weekly, Seasonally Adjusted]]-B1298)/B1298</f>
        <v/>
      </c>
      <c r="D1299" s="40">
        <f>((1+Table26[[#This Row],[Weekly change]])^52)-1</f>
        <v/>
      </c>
      <c r="E1299" s="85">
        <f>(Table26[[#This Row],[M2 Money Stock, Billions of Dollars, Weekly, Seasonally Adjusted]]-B1247)/B1247</f>
        <v/>
      </c>
    </row>
    <row r="1300">
      <c r="A1300" s="37" t="n">
        <v>38579</v>
      </c>
      <c r="B1300" s="84" t="n">
        <v>6552.8</v>
      </c>
      <c r="C1300" s="39">
        <f>(Table26[[#This Row],[M2 Money Stock, Billions of Dollars, Weekly, Seasonally Adjusted]]-B1299)/B1299</f>
        <v/>
      </c>
      <c r="D1300" s="40">
        <f>((1+Table26[[#This Row],[Weekly change]])^52)-1</f>
        <v/>
      </c>
      <c r="E1300" s="85">
        <f>(Table26[[#This Row],[M2 Money Stock, Billions of Dollars, Weekly, Seasonally Adjusted]]-B1248)/B1248</f>
        <v/>
      </c>
    </row>
    <row r="1301">
      <c r="A1301" s="37" t="n">
        <v>38586</v>
      </c>
      <c r="B1301" s="84" t="n">
        <v>6566.1</v>
      </c>
      <c r="C1301" s="39">
        <f>(Table26[[#This Row],[M2 Money Stock, Billions of Dollars, Weekly, Seasonally Adjusted]]-B1300)/B1300</f>
        <v/>
      </c>
      <c r="D1301" s="40">
        <f>((1+Table26[[#This Row],[Weekly change]])^52)-1</f>
        <v/>
      </c>
      <c r="E1301" s="85">
        <f>(Table26[[#This Row],[M2 Money Stock, Billions of Dollars, Weekly, Seasonally Adjusted]]-B1249)/B1249</f>
        <v/>
      </c>
    </row>
    <row r="1302">
      <c r="A1302" s="37" t="n">
        <v>38593</v>
      </c>
      <c r="B1302" s="84" t="n">
        <v>6558.8</v>
      </c>
      <c r="C1302" s="39">
        <f>(Table26[[#This Row],[M2 Money Stock, Billions of Dollars, Weekly, Seasonally Adjusted]]-B1301)/B1301</f>
        <v/>
      </c>
      <c r="D1302" s="40">
        <f>((1+Table26[[#This Row],[Weekly change]])^52)-1</f>
        <v/>
      </c>
      <c r="E1302" s="85">
        <f>(Table26[[#This Row],[M2 Money Stock, Billions of Dollars, Weekly, Seasonally Adjusted]]-B1250)/B1250</f>
        <v/>
      </c>
    </row>
    <row r="1303">
      <c r="A1303" s="37" t="n">
        <v>38600</v>
      </c>
      <c r="B1303" s="84" t="n">
        <v>6573.5</v>
      </c>
      <c r="C1303" s="39">
        <f>(Table26[[#This Row],[M2 Money Stock, Billions of Dollars, Weekly, Seasonally Adjusted]]-B1302)/B1302</f>
        <v/>
      </c>
      <c r="D1303" s="40">
        <f>((1+Table26[[#This Row],[Weekly change]])^52)-1</f>
        <v/>
      </c>
      <c r="E1303" s="85">
        <f>(Table26[[#This Row],[M2 Money Stock, Billions of Dollars, Weekly, Seasonally Adjusted]]-B1251)/B1251</f>
        <v/>
      </c>
    </row>
    <row r="1304">
      <c r="A1304" s="37" t="n">
        <v>38607</v>
      </c>
      <c r="B1304" s="84" t="n">
        <v>6578.5</v>
      </c>
      <c r="C1304" s="39">
        <f>(Table26[[#This Row],[M2 Money Stock, Billions of Dollars, Weekly, Seasonally Adjusted]]-B1303)/B1303</f>
        <v/>
      </c>
      <c r="D1304" s="40">
        <f>((1+Table26[[#This Row],[Weekly change]])^52)-1</f>
        <v/>
      </c>
      <c r="E1304" s="85">
        <f>(Table26[[#This Row],[M2 Money Stock, Billions of Dollars, Weekly, Seasonally Adjusted]]-B1252)/B1252</f>
        <v/>
      </c>
    </row>
    <row r="1305">
      <c r="A1305" s="37" t="n">
        <v>38614</v>
      </c>
      <c r="B1305" s="84" t="n">
        <v>6594.5</v>
      </c>
      <c r="C1305" s="39">
        <f>(Table26[[#This Row],[M2 Money Stock, Billions of Dollars, Weekly, Seasonally Adjusted]]-B1304)/B1304</f>
        <v/>
      </c>
      <c r="D1305" s="40">
        <f>((1+Table26[[#This Row],[Weekly change]])^52)-1</f>
        <v/>
      </c>
      <c r="E1305" s="85">
        <f>(Table26[[#This Row],[M2 Money Stock, Billions of Dollars, Weekly, Seasonally Adjusted]]-B1253)/B1253</f>
        <v/>
      </c>
    </row>
    <row r="1306">
      <c r="A1306" s="37" t="n">
        <v>38621</v>
      </c>
      <c r="B1306" s="84" t="n">
        <v>6603.6</v>
      </c>
      <c r="C1306" s="39">
        <f>(Table26[[#This Row],[M2 Money Stock, Billions of Dollars, Weekly, Seasonally Adjusted]]-B1305)/B1305</f>
        <v/>
      </c>
      <c r="D1306" s="40">
        <f>((1+Table26[[#This Row],[Weekly change]])^52)-1</f>
        <v/>
      </c>
      <c r="E1306" s="85">
        <f>(Table26[[#This Row],[M2 Money Stock, Billions of Dollars, Weekly, Seasonally Adjusted]]-B1254)/B1254</f>
        <v/>
      </c>
    </row>
    <row r="1307">
      <c r="A1307" s="37" t="n">
        <v>38628</v>
      </c>
      <c r="B1307" s="84" t="n">
        <v>6604.1</v>
      </c>
      <c r="C1307" s="39">
        <f>(Table26[[#This Row],[M2 Money Stock, Billions of Dollars, Weekly, Seasonally Adjusted]]-B1306)/B1306</f>
        <v/>
      </c>
      <c r="D1307" s="40">
        <f>((1+Table26[[#This Row],[Weekly change]])^52)-1</f>
        <v/>
      </c>
      <c r="E1307" s="85">
        <f>(Table26[[#This Row],[M2 Money Stock, Billions of Dollars, Weekly, Seasonally Adjusted]]-B1255)/B1255</f>
        <v/>
      </c>
    </row>
    <row r="1308">
      <c r="A1308" s="37" t="n">
        <v>38635</v>
      </c>
      <c r="B1308" s="84" t="n">
        <v>6614.4</v>
      </c>
      <c r="C1308" s="39">
        <f>(Table26[[#This Row],[M2 Money Stock, Billions of Dollars, Weekly, Seasonally Adjusted]]-B1307)/B1307</f>
        <v/>
      </c>
      <c r="D1308" s="40">
        <f>((1+Table26[[#This Row],[Weekly change]])^52)-1</f>
        <v/>
      </c>
      <c r="E1308" s="85">
        <f>(Table26[[#This Row],[M2 Money Stock, Billions of Dollars, Weekly, Seasonally Adjusted]]-B1256)/B1256</f>
        <v/>
      </c>
    </row>
    <row r="1309">
      <c r="A1309" s="37" t="n">
        <v>38642</v>
      </c>
      <c r="B1309" s="84" t="n">
        <v>6630.5</v>
      </c>
      <c r="C1309" s="39">
        <f>(Table26[[#This Row],[M2 Money Stock, Billions of Dollars, Weekly, Seasonally Adjusted]]-B1308)/B1308</f>
        <v/>
      </c>
      <c r="D1309" s="40">
        <f>((1+Table26[[#This Row],[Weekly change]])^52)-1</f>
        <v/>
      </c>
      <c r="E1309" s="85">
        <f>(Table26[[#This Row],[M2 Money Stock, Billions of Dollars, Weekly, Seasonally Adjusted]]-B1257)/B1257</f>
        <v/>
      </c>
    </row>
    <row r="1310">
      <c r="A1310" s="37" t="n">
        <v>38649</v>
      </c>
      <c r="B1310" s="84" t="n">
        <v>6634.8</v>
      </c>
      <c r="C1310" s="39">
        <f>(Table26[[#This Row],[M2 Money Stock, Billions of Dollars, Weekly, Seasonally Adjusted]]-B1309)/B1309</f>
        <v/>
      </c>
      <c r="D1310" s="40">
        <f>((1+Table26[[#This Row],[Weekly change]])^52)-1</f>
        <v/>
      </c>
      <c r="E1310" s="85">
        <f>(Table26[[#This Row],[M2 Money Stock, Billions of Dollars, Weekly, Seasonally Adjusted]]-B1258)/B1258</f>
        <v/>
      </c>
    </row>
    <row r="1311">
      <c r="A1311" s="37" t="n">
        <v>38656</v>
      </c>
      <c r="B1311" s="84" t="n">
        <v>6628</v>
      </c>
      <c r="C1311" s="39">
        <f>(Table26[[#This Row],[M2 Money Stock, Billions of Dollars, Weekly, Seasonally Adjusted]]-B1310)/B1310</f>
        <v/>
      </c>
      <c r="D1311" s="40">
        <f>((1+Table26[[#This Row],[Weekly change]])^52)-1</f>
        <v/>
      </c>
      <c r="E1311" s="85">
        <f>(Table26[[#This Row],[M2 Money Stock, Billions of Dollars, Weekly, Seasonally Adjusted]]-B1259)/B1259</f>
        <v/>
      </c>
    </row>
    <row r="1312">
      <c r="A1312" s="37" t="n">
        <v>38663</v>
      </c>
      <c r="B1312" s="84" t="n">
        <v>6629.5</v>
      </c>
      <c r="C1312" s="39">
        <f>(Table26[[#This Row],[M2 Money Stock, Billions of Dollars, Weekly, Seasonally Adjusted]]-B1311)/B1311</f>
        <v/>
      </c>
      <c r="D1312" s="40">
        <f>((1+Table26[[#This Row],[Weekly change]])^52)-1</f>
        <v/>
      </c>
      <c r="E1312" s="85">
        <f>(Table26[[#This Row],[M2 Money Stock, Billions of Dollars, Weekly, Seasonally Adjusted]]-B1260)/B1260</f>
        <v/>
      </c>
    </row>
    <row r="1313">
      <c r="A1313" s="37" t="n">
        <v>38670</v>
      </c>
      <c r="B1313" s="84" t="n">
        <v>6636.9</v>
      </c>
      <c r="C1313" s="39">
        <f>(Table26[[#This Row],[M2 Money Stock, Billions of Dollars, Weekly, Seasonally Adjusted]]-B1312)/B1312</f>
        <v/>
      </c>
      <c r="D1313" s="40">
        <f>((1+Table26[[#This Row],[Weekly change]])^52)-1</f>
        <v/>
      </c>
      <c r="E1313" s="85">
        <f>(Table26[[#This Row],[M2 Money Stock, Billions of Dollars, Weekly, Seasonally Adjusted]]-B1261)/B1261</f>
        <v/>
      </c>
    </row>
    <row r="1314">
      <c r="A1314" s="37" t="n">
        <v>38677</v>
      </c>
      <c r="B1314" s="84" t="n">
        <v>6652.7</v>
      </c>
      <c r="C1314" s="39">
        <f>(Table26[[#This Row],[M2 Money Stock, Billions of Dollars, Weekly, Seasonally Adjusted]]-B1313)/B1313</f>
        <v/>
      </c>
      <c r="D1314" s="40">
        <f>((1+Table26[[#This Row],[Weekly change]])^52)-1</f>
        <v/>
      </c>
      <c r="E1314" s="85">
        <f>(Table26[[#This Row],[M2 Money Stock, Billions of Dollars, Weekly, Seasonally Adjusted]]-B1262)/B1262</f>
        <v/>
      </c>
    </row>
    <row r="1315">
      <c r="A1315" s="37" t="n">
        <v>38684</v>
      </c>
      <c r="B1315" s="84" t="n">
        <v>6642.6</v>
      </c>
      <c r="C1315" s="39">
        <f>(Table26[[#This Row],[M2 Money Stock, Billions of Dollars, Weekly, Seasonally Adjusted]]-B1314)/B1314</f>
        <v/>
      </c>
      <c r="D1315" s="40">
        <f>((1+Table26[[#This Row],[Weekly change]])^52)-1</f>
        <v/>
      </c>
      <c r="E1315" s="85">
        <f>(Table26[[#This Row],[M2 Money Stock, Billions of Dollars, Weekly, Seasonally Adjusted]]-B1263)/B1263</f>
        <v/>
      </c>
    </row>
    <row r="1316">
      <c r="A1316" s="37" t="n">
        <v>38691</v>
      </c>
      <c r="B1316" s="84" t="n">
        <v>6651.7</v>
      </c>
      <c r="C1316" s="39">
        <f>(Table26[[#This Row],[M2 Money Stock, Billions of Dollars, Weekly, Seasonally Adjusted]]-B1315)/B1315</f>
        <v/>
      </c>
      <c r="D1316" s="40">
        <f>((1+Table26[[#This Row],[Weekly change]])^52)-1</f>
        <v/>
      </c>
      <c r="E1316" s="85">
        <f>(Table26[[#This Row],[M2 Money Stock, Billions of Dollars, Weekly, Seasonally Adjusted]]-B1264)/B1264</f>
        <v/>
      </c>
    </row>
    <row r="1317">
      <c r="A1317" s="37" t="n">
        <v>38698</v>
      </c>
      <c r="B1317" s="84" t="n">
        <v>6658.1</v>
      </c>
      <c r="C1317" s="39">
        <f>(Table26[[#This Row],[M2 Money Stock, Billions of Dollars, Weekly, Seasonally Adjusted]]-B1316)/B1316</f>
        <v/>
      </c>
      <c r="D1317" s="40">
        <f>((1+Table26[[#This Row],[Weekly change]])^52)-1</f>
        <v/>
      </c>
      <c r="E1317" s="85">
        <f>(Table26[[#This Row],[M2 Money Stock, Billions of Dollars, Weekly, Seasonally Adjusted]]-B1265)/B1265</f>
        <v/>
      </c>
    </row>
    <row r="1318">
      <c r="A1318" s="37" t="n">
        <v>38705</v>
      </c>
      <c r="B1318" s="84" t="n">
        <v>6669.9</v>
      </c>
      <c r="C1318" s="39">
        <f>(Table26[[#This Row],[M2 Money Stock, Billions of Dollars, Weekly, Seasonally Adjusted]]-B1317)/B1317</f>
        <v/>
      </c>
      <c r="D1318" s="40">
        <f>((1+Table26[[#This Row],[Weekly change]])^52)-1</f>
        <v/>
      </c>
      <c r="E1318" s="85">
        <f>(Table26[[#This Row],[M2 Money Stock, Billions of Dollars, Weekly, Seasonally Adjusted]]-B1266)/B1266</f>
        <v/>
      </c>
    </row>
    <row r="1319">
      <c r="A1319" s="37" t="n">
        <v>38712</v>
      </c>
      <c r="B1319" s="84" t="n">
        <v>6677.1</v>
      </c>
      <c r="C1319" s="39">
        <f>(Table26[[#This Row],[M2 Money Stock, Billions of Dollars, Weekly, Seasonally Adjusted]]-B1318)/B1318</f>
        <v/>
      </c>
      <c r="D1319" s="40">
        <f>((1+Table26[[#This Row],[Weekly change]])^52)-1</f>
        <v/>
      </c>
      <c r="E1319" s="85">
        <f>(Table26[[#This Row],[M2 Money Stock, Billions of Dollars, Weekly, Seasonally Adjusted]]-B1267)/B1267</f>
        <v/>
      </c>
    </row>
    <row r="1320">
      <c r="A1320" s="37" t="n">
        <v>38719</v>
      </c>
      <c r="B1320" s="84" t="n">
        <v>6682.9</v>
      </c>
      <c r="C1320" s="39">
        <f>(Table26[[#This Row],[M2 Money Stock, Billions of Dollars, Weekly, Seasonally Adjusted]]-B1319)/B1319</f>
        <v/>
      </c>
      <c r="D1320" s="40">
        <f>((1+Table26[[#This Row],[Weekly change]])^52)-1</f>
        <v/>
      </c>
      <c r="E1320" s="85">
        <f>(Table26[[#This Row],[M2 Money Stock, Billions of Dollars, Weekly, Seasonally Adjusted]]-B1268)/B1268</f>
        <v/>
      </c>
    </row>
    <row r="1321">
      <c r="A1321" s="37" t="n">
        <v>38726</v>
      </c>
      <c r="B1321" s="84" t="n">
        <v>6700.7</v>
      </c>
      <c r="C1321" s="39">
        <f>(Table26[[#This Row],[M2 Money Stock, Billions of Dollars, Weekly, Seasonally Adjusted]]-B1320)/B1320</f>
        <v/>
      </c>
      <c r="D1321" s="40">
        <f>((1+Table26[[#This Row],[Weekly change]])^52)-1</f>
        <v/>
      </c>
      <c r="E1321" s="85">
        <f>(Table26[[#This Row],[M2 Money Stock, Billions of Dollars, Weekly, Seasonally Adjusted]]-B1269)/B1269</f>
        <v/>
      </c>
    </row>
    <row r="1322">
      <c r="A1322" s="37" t="n">
        <v>38733</v>
      </c>
      <c r="B1322" s="84" t="n">
        <v>6713.1</v>
      </c>
      <c r="C1322" s="39">
        <f>(Table26[[#This Row],[M2 Money Stock, Billions of Dollars, Weekly, Seasonally Adjusted]]-B1321)/B1321</f>
        <v/>
      </c>
      <c r="D1322" s="40">
        <f>((1+Table26[[#This Row],[Weekly change]])^52)-1</f>
        <v/>
      </c>
      <c r="E1322" s="85">
        <f>(Table26[[#This Row],[M2 Money Stock, Billions of Dollars, Weekly, Seasonally Adjusted]]-B1270)/B1270</f>
        <v/>
      </c>
    </row>
    <row r="1323">
      <c r="A1323" s="37" t="n">
        <v>38740</v>
      </c>
      <c r="B1323" s="84" t="n">
        <v>6723.3</v>
      </c>
      <c r="C1323" s="39">
        <f>(Table26[[#This Row],[M2 Money Stock, Billions of Dollars, Weekly, Seasonally Adjusted]]-B1322)/B1322</f>
        <v/>
      </c>
      <c r="D1323" s="40">
        <f>((1+Table26[[#This Row],[Weekly change]])^52)-1</f>
        <v/>
      </c>
      <c r="E1323" s="85">
        <f>(Table26[[#This Row],[M2 Money Stock, Billions of Dollars, Weekly, Seasonally Adjusted]]-B1271)/B1271</f>
        <v/>
      </c>
    </row>
    <row r="1324">
      <c r="A1324" s="37" t="n">
        <v>38747</v>
      </c>
      <c r="B1324" s="84" t="n">
        <v>6712.3</v>
      </c>
      <c r="C1324" s="39">
        <f>(Table26[[#This Row],[M2 Money Stock, Billions of Dollars, Weekly, Seasonally Adjusted]]-B1323)/B1323</f>
        <v/>
      </c>
      <c r="D1324" s="40">
        <f>((1+Table26[[#This Row],[Weekly change]])^52)-1</f>
        <v/>
      </c>
      <c r="E1324" s="85">
        <f>(Table26[[#This Row],[M2 Money Stock, Billions of Dollars, Weekly, Seasonally Adjusted]]-B1272)/B1272</f>
        <v/>
      </c>
    </row>
    <row r="1325">
      <c r="A1325" s="37" t="n">
        <v>38754</v>
      </c>
      <c r="B1325" s="84" t="n">
        <v>6714.9</v>
      </c>
      <c r="C1325" s="39">
        <f>(Table26[[#This Row],[M2 Money Stock, Billions of Dollars, Weekly, Seasonally Adjusted]]-B1324)/B1324</f>
        <v/>
      </c>
      <c r="D1325" s="40">
        <f>((1+Table26[[#This Row],[Weekly change]])^52)-1</f>
        <v/>
      </c>
      <c r="E1325" s="85">
        <f>(Table26[[#This Row],[M2 Money Stock, Billions of Dollars, Weekly, Seasonally Adjusted]]-B1273)/B1273</f>
        <v/>
      </c>
    </row>
    <row r="1326">
      <c r="A1326" s="37" t="n">
        <v>38761</v>
      </c>
      <c r="B1326" s="84" t="n">
        <v>6720.4</v>
      </c>
      <c r="C1326" s="39">
        <f>(Table26[[#This Row],[M2 Money Stock, Billions of Dollars, Weekly, Seasonally Adjusted]]-B1325)/B1325</f>
        <v/>
      </c>
      <c r="D1326" s="40">
        <f>((1+Table26[[#This Row],[Weekly change]])^52)-1</f>
        <v/>
      </c>
      <c r="E1326" s="85">
        <f>(Table26[[#This Row],[M2 Money Stock, Billions of Dollars, Weekly, Seasonally Adjusted]]-B1274)/B1274</f>
        <v/>
      </c>
    </row>
    <row r="1327">
      <c r="A1327" s="37" t="n">
        <v>38768</v>
      </c>
      <c r="B1327" s="84" t="n">
        <v>6744</v>
      </c>
      <c r="C1327" s="39">
        <f>(Table26[[#This Row],[M2 Money Stock, Billions of Dollars, Weekly, Seasonally Adjusted]]-B1326)/B1326</f>
        <v/>
      </c>
      <c r="D1327" s="40">
        <f>((1+Table26[[#This Row],[Weekly change]])^52)-1</f>
        <v/>
      </c>
      <c r="E1327" s="85">
        <f>(Table26[[#This Row],[M2 Money Stock, Billions of Dollars, Weekly, Seasonally Adjusted]]-B1275)/B1275</f>
        <v/>
      </c>
    </row>
    <row r="1328">
      <c r="A1328" s="37" t="n">
        <v>38775</v>
      </c>
      <c r="B1328" s="84" t="n">
        <v>6754.5</v>
      </c>
      <c r="C1328" s="39">
        <f>(Table26[[#This Row],[M2 Money Stock, Billions of Dollars, Weekly, Seasonally Adjusted]]-B1327)/B1327</f>
        <v/>
      </c>
      <c r="D1328" s="40">
        <f>((1+Table26[[#This Row],[Weekly change]])^52)-1</f>
        <v/>
      </c>
      <c r="E1328" s="85">
        <f>(Table26[[#This Row],[M2 Money Stock, Billions of Dollars, Weekly, Seasonally Adjusted]]-B1276)/B1276</f>
        <v/>
      </c>
    </row>
    <row r="1329">
      <c r="A1329" s="37" t="n">
        <v>38782</v>
      </c>
      <c r="B1329" s="84" t="n">
        <v>6752</v>
      </c>
      <c r="C1329" s="39">
        <f>(Table26[[#This Row],[M2 Money Stock, Billions of Dollars, Weekly, Seasonally Adjusted]]-B1328)/B1328</f>
        <v/>
      </c>
      <c r="D1329" s="40">
        <f>((1+Table26[[#This Row],[Weekly change]])^52)-1</f>
        <v/>
      </c>
      <c r="E1329" s="85">
        <f>(Table26[[#This Row],[M2 Money Stock, Billions of Dollars, Weekly, Seasonally Adjusted]]-B1277)/B1277</f>
        <v/>
      </c>
    </row>
    <row r="1330">
      <c r="A1330" s="37" t="n">
        <v>38789</v>
      </c>
      <c r="B1330" s="84" t="n">
        <v>6737.7</v>
      </c>
      <c r="C1330" s="39">
        <f>(Table26[[#This Row],[M2 Money Stock, Billions of Dollars, Weekly, Seasonally Adjusted]]-B1329)/B1329</f>
        <v/>
      </c>
      <c r="D1330" s="40">
        <f>((1+Table26[[#This Row],[Weekly change]])^52)-1</f>
        <v/>
      </c>
      <c r="E1330" s="85">
        <f>(Table26[[#This Row],[M2 Money Stock, Billions of Dollars, Weekly, Seasonally Adjusted]]-B1278)/B1278</f>
        <v/>
      </c>
    </row>
    <row r="1331">
      <c r="A1331" s="37" t="n">
        <v>38796</v>
      </c>
      <c r="B1331" s="84" t="n">
        <v>6746.8</v>
      </c>
      <c r="C1331" s="39">
        <f>(Table26[[#This Row],[M2 Money Stock, Billions of Dollars, Weekly, Seasonally Adjusted]]-B1330)/B1330</f>
        <v/>
      </c>
      <c r="D1331" s="40">
        <f>((1+Table26[[#This Row],[Weekly change]])^52)-1</f>
        <v/>
      </c>
      <c r="E1331" s="85">
        <f>(Table26[[#This Row],[M2 Money Stock, Billions of Dollars, Weekly, Seasonally Adjusted]]-B1279)/B1279</f>
        <v/>
      </c>
    </row>
    <row r="1332">
      <c r="A1332" s="37" t="n">
        <v>38803</v>
      </c>
      <c r="B1332" s="84" t="n">
        <v>6756.9</v>
      </c>
      <c r="C1332" s="39">
        <f>(Table26[[#This Row],[M2 Money Stock, Billions of Dollars, Weekly, Seasonally Adjusted]]-B1331)/B1331</f>
        <v/>
      </c>
      <c r="D1332" s="40">
        <f>((1+Table26[[#This Row],[Weekly change]])^52)-1</f>
        <v/>
      </c>
      <c r="E1332" s="85">
        <f>(Table26[[#This Row],[M2 Money Stock, Billions of Dollars, Weekly, Seasonally Adjusted]]-B1280)/B1280</f>
        <v/>
      </c>
    </row>
    <row r="1333">
      <c r="A1333" s="37" t="n">
        <v>38810</v>
      </c>
      <c r="B1333" s="84" t="n">
        <v>6756.2</v>
      </c>
      <c r="C1333" s="39">
        <f>(Table26[[#This Row],[M2 Money Stock, Billions of Dollars, Weekly, Seasonally Adjusted]]-B1332)/B1332</f>
        <v/>
      </c>
      <c r="D1333" s="40">
        <f>((1+Table26[[#This Row],[Weekly change]])^52)-1</f>
        <v/>
      </c>
      <c r="E1333" s="85">
        <f>(Table26[[#This Row],[M2 Money Stock, Billions of Dollars, Weekly, Seasonally Adjusted]]-B1281)/B1281</f>
        <v/>
      </c>
    </row>
    <row r="1334">
      <c r="A1334" s="37" t="n">
        <v>38817</v>
      </c>
      <c r="B1334" s="84" t="n">
        <v>6772.1</v>
      </c>
      <c r="C1334" s="39">
        <f>(Table26[[#This Row],[M2 Money Stock, Billions of Dollars, Weekly, Seasonally Adjusted]]-B1333)/B1333</f>
        <v/>
      </c>
      <c r="D1334" s="40">
        <f>((1+Table26[[#This Row],[Weekly change]])^52)-1</f>
        <v/>
      </c>
      <c r="E1334" s="85">
        <f>(Table26[[#This Row],[M2 Money Stock, Billions of Dollars, Weekly, Seasonally Adjusted]]-B1282)/B1282</f>
        <v/>
      </c>
    </row>
    <row r="1335">
      <c r="A1335" s="37" t="n">
        <v>38824</v>
      </c>
      <c r="B1335" s="84" t="n">
        <v>6790.6</v>
      </c>
      <c r="C1335" s="39">
        <f>(Table26[[#This Row],[M2 Money Stock, Billions of Dollars, Weekly, Seasonally Adjusted]]-B1334)/B1334</f>
        <v/>
      </c>
      <c r="D1335" s="40">
        <f>((1+Table26[[#This Row],[Weekly change]])^52)-1</f>
        <v/>
      </c>
      <c r="E1335" s="85">
        <f>(Table26[[#This Row],[M2 Money Stock, Billions of Dollars, Weekly, Seasonally Adjusted]]-B1283)/B1283</f>
        <v/>
      </c>
    </row>
    <row r="1336">
      <c r="A1336" s="37" t="n">
        <v>38831</v>
      </c>
      <c r="B1336" s="84" t="n">
        <v>6801.6</v>
      </c>
      <c r="C1336" s="39">
        <f>(Table26[[#This Row],[M2 Money Stock, Billions of Dollars, Weekly, Seasonally Adjusted]]-B1335)/B1335</f>
        <v/>
      </c>
      <c r="D1336" s="40">
        <f>((1+Table26[[#This Row],[Weekly change]])^52)-1</f>
        <v/>
      </c>
      <c r="E1336" s="85">
        <f>(Table26[[#This Row],[M2 Money Stock, Billions of Dollars, Weekly, Seasonally Adjusted]]-B1284)/B1284</f>
        <v/>
      </c>
    </row>
    <row r="1337">
      <c r="A1337" s="37" t="n">
        <v>38838</v>
      </c>
      <c r="B1337" s="84" t="n">
        <v>6795.6</v>
      </c>
      <c r="C1337" s="39">
        <f>(Table26[[#This Row],[M2 Money Stock, Billions of Dollars, Weekly, Seasonally Adjusted]]-B1336)/B1336</f>
        <v/>
      </c>
      <c r="D1337" s="40">
        <f>((1+Table26[[#This Row],[Weekly change]])^52)-1</f>
        <v/>
      </c>
      <c r="E1337" s="85">
        <f>(Table26[[#This Row],[M2 Money Stock, Billions of Dollars, Weekly, Seasonally Adjusted]]-B1285)/B1285</f>
        <v/>
      </c>
    </row>
    <row r="1338">
      <c r="A1338" s="37" t="n">
        <v>38845</v>
      </c>
      <c r="B1338" s="84" t="n">
        <v>6775</v>
      </c>
      <c r="C1338" s="39">
        <f>(Table26[[#This Row],[M2 Money Stock, Billions of Dollars, Weekly, Seasonally Adjusted]]-B1337)/B1337</f>
        <v/>
      </c>
      <c r="D1338" s="40">
        <f>((1+Table26[[#This Row],[Weekly change]])^52)-1</f>
        <v/>
      </c>
      <c r="E1338" s="85">
        <f>(Table26[[#This Row],[M2 Money Stock, Billions of Dollars, Weekly, Seasonally Adjusted]]-B1286)/B1286</f>
        <v/>
      </c>
    </row>
    <row r="1339">
      <c r="A1339" s="37" t="n">
        <v>38852</v>
      </c>
      <c r="B1339" s="84" t="n">
        <v>6790.3</v>
      </c>
      <c r="C1339" s="39">
        <f>(Table26[[#This Row],[M2 Money Stock, Billions of Dollars, Weekly, Seasonally Adjusted]]-B1338)/B1338</f>
        <v/>
      </c>
      <c r="D1339" s="40">
        <f>((1+Table26[[#This Row],[Weekly change]])^52)-1</f>
        <v/>
      </c>
      <c r="E1339" s="85">
        <f>(Table26[[#This Row],[M2 Money Stock, Billions of Dollars, Weekly, Seasonally Adjusted]]-B1287)/B1287</f>
        <v/>
      </c>
    </row>
    <row r="1340">
      <c r="A1340" s="37" t="n">
        <v>38859</v>
      </c>
      <c r="B1340" s="84" t="n">
        <v>6802.5</v>
      </c>
      <c r="C1340" s="39">
        <f>(Table26[[#This Row],[M2 Money Stock, Billions of Dollars, Weekly, Seasonally Adjusted]]-B1339)/B1339</f>
        <v/>
      </c>
      <c r="D1340" s="40">
        <f>((1+Table26[[#This Row],[Weekly change]])^52)-1</f>
        <v/>
      </c>
      <c r="E1340" s="85">
        <f>(Table26[[#This Row],[M2 Money Stock, Billions of Dollars, Weekly, Seasonally Adjusted]]-B1288)/B1288</f>
        <v/>
      </c>
    </row>
    <row r="1341">
      <c r="A1341" s="37" t="n">
        <v>38866</v>
      </c>
      <c r="B1341" s="84" t="n">
        <v>6799.7</v>
      </c>
      <c r="C1341" s="39">
        <f>(Table26[[#This Row],[M2 Money Stock, Billions of Dollars, Weekly, Seasonally Adjusted]]-B1340)/B1340</f>
        <v/>
      </c>
      <c r="D1341" s="40">
        <f>((1+Table26[[#This Row],[Weekly change]])^52)-1</f>
        <v/>
      </c>
      <c r="E1341" s="85">
        <f>(Table26[[#This Row],[M2 Money Stock, Billions of Dollars, Weekly, Seasonally Adjusted]]-B1289)/B1289</f>
        <v/>
      </c>
    </row>
    <row r="1342">
      <c r="A1342" s="37" t="n">
        <v>38873</v>
      </c>
      <c r="B1342" s="84" t="n">
        <v>6807.3</v>
      </c>
      <c r="C1342" s="39">
        <f>(Table26[[#This Row],[M2 Money Stock, Billions of Dollars, Weekly, Seasonally Adjusted]]-B1341)/B1341</f>
        <v/>
      </c>
      <c r="D1342" s="40">
        <f>((1+Table26[[#This Row],[Weekly change]])^52)-1</f>
        <v/>
      </c>
      <c r="E1342" s="85">
        <f>(Table26[[#This Row],[M2 Money Stock, Billions of Dollars, Weekly, Seasonally Adjusted]]-B1290)/B1290</f>
        <v/>
      </c>
    </row>
    <row r="1343">
      <c r="A1343" s="37" t="n">
        <v>38880</v>
      </c>
      <c r="B1343" s="84" t="n">
        <v>6818.7</v>
      </c>
      <c r="C1343" s="39">
        <f>(Table26[[#This Row],[M2 Money Stock, Billions of Dollars, Weekly, Seasonally Adjusted]]-B1342)/B1342</f>
        <v/>
      </c>
      <c r="D1343" s="40">
        <f>((1+Table26[[#This Row],[Weekly change]])^52)-1</f>
        <v/>
      </c>
      <c r="E1343" s="85">
        <f>(Table26[[#This Row],[M2 Money Stock, Billions of Dollars, Weekly, Seasonally Adjusted]]-B1291)/B1291</f>
        <v/>
      </c>
    </row>
    <row r="1344">
      <c r="A1344" s="37" t="n">
        <v>38887</v>
      </c>
      <c r="B1344" s="84" t="n">
        <v>6830.3</v>
      </c>
      <c r="C1344" s="39">
        <f>(Table26[[#This Row],[M2 Money Stock, Billions of Dollars, Weekly, Seasonally Adjusted]]-B1343)/B1343</f>
        <v/>
      </c>
      <c r="D1344" s="40">
        <f>((1+Table26[[#This Row],[Weekly change]])^52)-1</f>
        <v/>
      </c>
      <c r="E1344" s="85">
        <f>(Table26[[#This Row],[M2 Money Stock, Billions of Dollars, Weekly, Seasonally Adjusted]]-B1292)/B1292</f>
        <v/>
      </c>
    </row>
    <row r="1345">
      <c r="A1345" s="37" t="n">
        <v>38894</v>
      </c>
      <c r="B1345" s="84" t="n">
        <v>6850.3</v>
      </c>
      <c r="C1345" s="39">
        <f>(Table26[[#This Row],[M2 Money Stock, Billions of Dollars, Weekly, Seasonally Adjusted]]-B1344)/B1344</f>
        <v/>
      </c>
      <c r="D1345" s="40">
        <f>((1+Table26[[#This Row],[Weekly change]])^52)-1</f>
        <v/>
      </c>
      <c r="E1345" s="85">
        <f>(Table26[[#This Row],[M2 Money Stock, Billions of Dollars, Weekly, Seasonally Adjusted]]-B1293)/B1293</f>
        <v/>
      </c>
    </row>
    <row r="1346">
      <c r="A1346" s="37" t="n">
        <v>38901</v>
      </c>
      <c r="B1346" s="84" t="n">
        <v>6849.8</v>
      </c>
      <c r="C1346" s="39">
        <f>(Table26[[#This Row],[M2 Money Stock, Billions of Dollars, Weekly, Seasonally Adjusted]]-B1345)/B1345</f>
        <v/>
      </c>
      <c r="D1346" s="40">
        <f>((1+Table26[[#This Row],[Weekly change]])^52)-1</f>
        <v/>
      </c>
      <c r="E1346" s="85">
        <f>(Table26[[#This Row],[M2 Money Stock, Billions of Dollars, Weekly, Seasonally Adjusted]]-B1294)/B1294</f>
        <v/>
      </c>
    </row>
    <row r="1347">
      <c r="A1347" s="37" t="n">
        <v>38908</v>
      </c>
      <c r="B1347" s="84" t="n">
        <v>6869.3</v>
      </c>
      <c r="C1347" s="39">
        <f>(Table26[[#This Row],[M2 Money Stock, Billions of Dollars, Weekly, Seasonally Adjusted]]-B1346)/B1346</f>
        <v/>
      </c>
      <c r="D1347" s="40">
        <f>((1+Table26[[#This Row],[Weekly change]])^52)-1</f>
        <v/>
      </c>
      <c r="E1347" s="85">
        <f>(Table26[[#This Row],[M2 Money Stock, Billions of Dollars, Weekly, Seasonally Adjusted]]-B1295)/B1295</f>
        <v/>
      </c>
    </row>
    <row r="1348">
      <c r="A1348" s="37" t="n">
        <v>38915</v>
      </c>
      <c r="B1348" s="84" t="n">
        <v>6877.2</v>
      </c>
      <c r="C1348" s="39">
        <f>(Table26[[#This Row],[M2 Money Stock, Billions of Dollars, Weekly, Seasonally Adjusted]]-B1347)/B1347</f>
        <v/>
      </c>
      <c r="D1348" s="40">
        <f>((1+Table26[[#This Row],[Weekly change]])^52)-1</f>
        <v/>
      </c>
      <c r="E1348" s="85">
        <f>(Table26[[#This Row],[M2 Money Stock, Billions of Dollars, Weekly, Seasonally Adjusted]]-B1296)/B1296</f>
        <v/>
      </c>
    </row>
    <row r="1349">
      <c r="A1349" s="37" t="n">
        <v>38922</v>
      </c>
      <c r="B1349" s="84" t="n">
        <v>6880.8</v>
      </c>
      <c r="C1349" s="39">
        <f>(Table26[[#This Row],[M2 Money Stock, Billions of Dollars, Weekly, Seasonally Adjusted]]-B1348)/B1348</f>
        <v/>
      </c>
      <c r="D1349" s="40">
        <f>((1+Table26[[#This Row],[Weekly change]])^52)-1</f>
        <v/>
      </c>
      <c r="E1349" s="85">
        <f>(Table26[[#This Row],[M2 Money Stock, Billions of Dollars, Weekly, Seasonally Adjusted]]-B1297)/B1297</f>
        <v/>
      </c>
    </row>
    <row r="1350">
      <c r="A1350" s="37" t="n">
        <v>38929</v>
      </c>
      <c r="B1350" s="84" t="n">
        <v>6872.3</v>
      </c>
      <c r="C1350" s="39">
        <f>(Table26[[#This Row],[M2 Money Stock, Billions of Dollars, Weekly, Seasonally Adjusted]]-B1349)/B1349</f>
        <v/>
      </c>
      <c r="D1350" s="40">
        <f>((1+Table26[[#This Row],[Weekly change]])^52)-1</f>
        <v/>
      </c>
      <c r="E1350" s="85">
        <f>(Table26[[#This Row],[M2 Money Stock, Billions of Dollars, Weekly, Seasonally Adjusted]]-B1298)/B1298</f>
        <v/>
      </c>
    </row>
    <row r="1351">
      <c r="A1351" s="37" t="n">
        <v>38936</v>
      </c>
      <c r="B1351" s="84" t="n">
        <v>6883.1</v>
      </c>
      <c r="C1351" s="39">
        <f>(Table26[[#This Row],[M2 Money Stock, Billions of Dollars, Weekly, Seasonally Adjusted]]-B1350)/B1350</f>
        <v/>
      </c>
      <c r="D1351" s="40">
        <f>((1+Table26[[#This Row],[Weekly change]])^52)-1</f>
        <v/>
      </c>
      <c r="E1351" s="85">
        <f>(Table26[[#This Row],[M2 Money Stock, Billions of Dollars, Weekly, Seasonally Adjusted]]-B1299)/B1299</f>
        <v/>
      </c>
    </row>
    <row r="1352">
      <c r="A1352" s="37" t="n">
        <v>38943</v>
      </c>
      <c r="B1352" s="84" t="n">
        <v>6891.5</v>
      </c>
      <c r="C1352" s="39">
        <f>(Table26[[#This Row],[M2 Money Stock, Billions of Dollars, Weekly, Seasonally Adjusted]]-B1351)/B1351</f>
        <v/>
      </c>
      <c r="D1352" s="40">
        <f>((1+Table26[[#This Row],[Weekly change]])^52)-1</f>
        <v/>
      </c>
      <c r="E1352" s="85">
        <f>(Table26[[#This Row],[M2 Money Stock, Billions of Dollars, Weekly, Seasonally Adjusted]]-B1300)/B1300</f>
        <v/>
      </c>
    </row>
    <row r="1353">
      <c r="A1353" s="37" t="n">
        <v>38950</v>
      </c>
      <c r="B1353" s="84" t="n">
        <v>6916.1</v>
      </c>
      <c r="C1353" s="39">
        <f>(Table26[[#This Row],[M2 Money Stock, Billions of Dollars, Weekly, Seasonally Adjusted]]-B1352)/B1352</f>
        <v/>
      </c>
      <c r="D1353" s="40">
        <f>((1+Table26[[#This Row],[Weekly change]])^52)-1</f>
        <v/>
      </c>
      <c r="E1353" s="85">
        <f>(Table26[[#This Row],[M2 Money Stock, Billions of Dollars, Weekly, Seasonally Adjusted]]-B1301)/B1301</f>
        <v/>
      </c>
    </row>
    <row r="1354">
      <c r="A1354" s="37" t="n">
        <v>38957</v>
      </c>
      <c r="B1354" s="84" t="n">
        <v>6914.3</v>
      </c>
      <c r="C1354" s="39">
        <f>(Table26[[#This Row],[M2 Money Stock, Billions of Dollars, Weekly, Seasonally Adjusted]]-B1353)/B1353</f>
        <v/>
      </c>
      <c r="D1354" s="40">
        <f>((1+Table26[[#This Row],[Weekly change]])^52)-1</f>
        <v/>
      </c>
      <c r="E1354" s="85">
        <f>(Table26[[#This Row],[M2 Money Stock, Billions of Dollars, Weekly, Seasonally Adjusted]]-B1302)/B1302</f>
        <v/>
      </c>
    </row>
    <row r="1355">
      <c r="A1355" s="37" t="n">
        <v>38964</v>
      </c>
      <c r="B1355" s="84" t="n">
        <v>6922.8</v>
      </c>
      <c r="C1355" s="39">
        <f>(Table26[[#This Row],[M2 Money Stock, Billions of Dollars, Weekly, Seasonally Adjusted]]-B1354)/B1354</f>
        <v/>
      </c>
      <c r="D1355" s="40">
        <f>((1+Table26[[#This Row],[Weekly change]])^52)-1</f>
        <v/>
      </c>
      <c r="E1355" s="85">
        <f>(Table26[[#This Row],[M2 Money Stock, Billions of Dollars, Weekly, Seasonally Adjusted]]-B1303)/B1303</f>
        <v/>
      </c>
    </row>
    <row r="1356">
      <c r="A1356" s="37" t="n">
        <v>38971</v>
      </c>
      <c r="B1356" s="84" t="n">
        <v>6922.2</v>
      </c>
      <c r="C1356" s="39">
        <f>(Table26[[#This Row],[M2 Money Stock, Billions of Dollars, Weekly, Seasonally Adjusted]]-B1355)/B1355</f>
        <v/>
      </c>
      <c r="D1356" s="40">
        <f>((1+Table26[[#This Row],[Weekly change]])^52)-1</f>
        <v/>
      </c>
      <c r="E1356" s="85">
        <f>(Table26[[#This Row],[M2 Money Stock, Billions of Dollars, Weekly, Seasonally Adjusted]]-B1304)/B1304</f>
        <v/>
      </c>
    </row>
    <row r="1357">
      <c r="A1357" s="37" t="n">
        <v>38978</v>
      </c>
      <c r="B1357" s="84" t="n">
        <v>6924.8</v>
      </c>
      <c r="C1357" s="39">
        <f>(Table26[[#This Row],[M2 Money Stock, Billions of Dollars, Weekly, Seasonally Adjusted]]-B1356)/B1356</f>
        <v/>
      </c>
      <c r="D1357" s="40">
        <f>((1+Table26[[#This Row],[Weekly change]])^52)-1</f>
        <v/>
      </c>
      <c r="E1357" s="85">
        <f>(Table26[[#This Row],[M2 Money Stock, Billions of Dollars, Weekly, Seasonally Adjusted]]-B1305)/B1305</f>
        <v/>
      </c>
    </row>
    <row r="1358">
      <c r="A1358" s="37" t="n">
        <v>38985</v>
      </c>
      <c r="B1358" s="84" t="n">
        <v>6936.3</v>
      </c>
      <c r="C1358" s="39">
        <f>(Table26[[#This Row],[M2 Money Stock, Billions of Dollars, Weekly, Seasonally Adjusted]]-B1357)/B1357</f>
        <v/>
      </c>
      <c r="D1358" s="40">
        <f>((1+Table26[[#This Row],[Weekly change]])^52)-1</f>
        <v/>
      </c>
      <c r="E1358" s="85">
        <f>(Table26[[#This Row],[M2 Money Stock, Billions of Dollars, Weekly, Seasonally Adjusted]]-B1306)/B1306</f>
        <v/>
      </c>
    </row>
    <row r="1359">
      <c r="A1359" s="37" t="n">
        <v>38992</v>
      </c>
      <c r="B1359" s="84" t="n">
        <v>6947.8</v>
      </c>
      <c r="C1359" s="39">
        <f>(Table26[[#This Row],[M2 Money Stock, Billions of Dollars, Weekly, Seasonally Adjusted]]-B1358)/B1358</f>
        <v/>
      </c>
      <c r="D1359" s="40">
        <f>((1+Table26[[#This Row],[Weekly change]])^52)-1</f>
        <v/>
      </c>
      <c r="E1359" s="85">
        <f>(Table26[[#This Row],[M2 Money Stock, Billions of Dollars, Weekly, Seasonally Adjusted]]-B1307)/B1307</f>
        <v/>
      </c>
    </row>
    <row r="1360">
      <c r="A1360" s="37" t="n">
        <v>38999</v>
      </c>
      <c r="B1360" s="84" t="n">
        <v>6972.7</v>
      </c>
      <c r="C1360" s="39">
        <f>(Table26[[#This Row],[M2 Money Stock, Billions of Dollars, Weekly, Seasonally Adjusted]]-B1359)/B1359</f>
        <v/>
      </c>
      <c r="D1360" s="40">
        <f>((1+Table26[[#This Row],[Weekly change]])^52)-1</f>
        <v/>
      </c>
      <c r="E1360" s="85">
        <f>(Table26[[#This Row],[M2 Money Stock, Billions of Dollars, Weekly, Seasonally Adjusted]]-B1308)/B1308</f>
        <v/>
      </c>
    </row>
    <row r="1361">
      <c r="A1361" s="37" t="n">
        <v>39006</v>
      </c>
      <c r="B1361" s="84" t="n">
        <v>6980.4</v>
      </c>
      <c r="C1361" s="39">
        <f>(Table26[[#This Row],[M2 Money Stock, Billions of Dollars, Weekly, Seasonally Adjusted]]-B1360)/B1360</f>
        <v/>
      </c>
      <c r="D1361" s="40">
        <f>((1+Table26[[#This Row],[Weekly change]])^52)-1</f>
        <v/>
      </c>
      <c r="E1361" s="85">
        <f>(Table26[[#This Row],[M2 Money Stock, Billions of Dollars, Weekly, Seasonally Adjusted]]-B1309)/B1309</f>
        <v/>
      </c>
    </row>
    <row r="1362">
      <c r="A1362" s="37" t="n">
        <v>39013</v>
      </c>
      <c r="B1362" s="84" t="n">
        <v>6987.2</v>
      </c>
      <c r="C1362" s="39">
        <f>(Table26[[#This Row],[M2 Money Stock, Billions of Dollars, Weekly, Seasonally Adjusted]]-B1361)/B1361</f>
        <v/>
      </c>
      <c r="D1362" s="40">
        <f>((1+Table26[[#This Row],[Weekly change]])^52)-1</f>
        <v/>
      </c>
      <c r="E1362" s="85">
        <f>(Table26[[#This Row],[M2 Money Stock, Billions of Dollars, Weekly, Seasonally Adjusted]]-B1310)/B1310</f>
        <v/>
      </c>
    </row>
    <row r="1363">
      <c r="A1363" s="37" t="n">
        <v>39020</v>
      </c>
      <c r="B1363" s="84" t="n">
        <v>6984.8</v>
      </c>
      <c r="C1363" s="39">
        <f>(Table26[[#This Row],[M2 Money Stock, Billions of Dollars, Weekly, Seasonally Adjusted]]-B1362)/B1362</f>
        <v/>
      </c>
      <c r="D1363" s="40">
        <f>((1+Table26[[#This Row],[Weekly change]])^52)-1</f>
        <v/>
      </c>
      <c r="E1363" s="85">
        <f>(Table26[[#This Row],[M2 Money Stock, Billions of Dollars, Weekly, Seasonally Adjusted]]-B1311)/B1311</f>
        <v/>
      </c>
    </row>
    <row r="1364">
      <c r="A1364" s="37" t="n">
        <v>39027</v>
      </c>
      <c r="B1364" s="84" t="n">
        <v>6994.5</v>
      </c>
      <c r="C1364" s="39">
        <f>(Table26[[#This Row],[M2 Money Stock, Billions of Dollars, Weekly, Seasonally Adjusted]]-B1363)/B1363</f>
        <v/>
      </c>
      <c r="D1364" s="40">
        <f>((1+Table26[[#This Row],[Weekly change]])^52)-1</f>
        <v/>
      </c>
      <c r="E1364" s="85">
        <f>(Table26[[#This Row],[M2 Money Stock, Billions of Dollars, Weekly, Seasonally Adjusted]]-B1312)/B1312</f>
        <v/>
      </c>
    </row>
    <row r="1365">
      <c r="A1365" s="37" t="n">
        <v>39034</v>
      </c>
      <c r="B1365" s="84" t="n">
        <v>6999.9</v>
      </c>
      <c r="C1365" s="39">
        <f>(Table26[[#This Row],[M2 Money Stock, Billions of Dollars, Weekly, Seasonally Adjusted]]-B1364)/B1364</f>
        <v/>
      </c>
      <c r="D1365" s="40">
        <f>((1+Table26[[#This Row],[Weekly change]])^52)-1</f>
        <v/>
      </c>
      <c r="E1365" s="85">
        <f>(Table26[[#This Row],[M2 Money Stock, Billions of Dollars, Weekly, Seasonally Adjusted]]-B1313)/B1313</f>
        <v/>
      </c>
    </row>
    <row r="1366">
      <c r="A1366" s="37" t="n">
        <v>39041</v>
      </c>
      <c r="B1366" s="84" t="n">
        <v>7014.5</v>
      </c>
      <c r="C1366" s="39">
        <f>(Table26[[#This Row],[M2 Money Stock, Billions of Dollars, Weekly, Seasonally Adjusted]]-B1365)/B1365</f>
        <v/>
      </c>
      <c r="D1366" s="40">
        <f>((1+Table26[[#This Row],[Weekly change]])^52)-1</f>
        <v/>
      </c>
      <c r="E1366" s="85">
        <f>(Table26[[#This Row],[M2 Money Stock, Billions of Dollars, Weekly, Seasonally Adjusted]]-B1314)/B1314</f>
        <v/>
      </c>
    </row>
    <row r="1367">
      <c r="A1367" s="37" t="n">
        <v>39048</v>
      </c>
      <c r="B1367" s="84" t="n">
        <v>7037.7</v>
      </c>
      <c r="C1367" s="39">
        <f>(Table26[[#This Row],[M2 Money Stock, Billions of Dollars, Weekly, Seasonally Adjusted]]-B1366)/B1366</f>
        <v/>
      </c>
      <c r="D1367" s="40">
        <f>((1+Table26[[#This Row],[Weekly change]])^52)-1</f>
        <v/>
      </c>
      <c r="E1367" s="85">
        <f>(Table26[[#This Row],[M2 Money Stock, Billions of Dollars, Weekly, Seasonally Adjusted]]-B1315)/B1315</f>
        <v/>
      </c>
    </row>
    <row r="1368">
      <c r="A1368" s="37" t="n">
        <v>39055</v>
      </c>
      <c r="B1368" s="84" t="n">
        <v>7033</v>
      </c>
      <c r="C1368" s="39">
        <f>(Table26[[#This Row],[M2 Money Stock, Billions of Dollars, Weekly, Seasonally Adjusted]]-B1367)/B1367</f>
        <v/>
      </c>
      <c r="D1368" s="40">
        <f>((1+Table26[[#This Row],[Weekly change]])^52)-1</f>
        <v/>
      </c>
      <c r="E1368" s="85">
        <f>(Table26[[#This Row],[M2 Money Stock, Billions of Dollars, Weekly, Seasonally Adjusted]]-B1316)/B1316</f>
        <v/>
      </c>
    </row>
    <row r="1369">
      <c r="A1369" s="37" t="n">
        <v>39062</v>
      </c>
      <c r="B1369" s="84" t="n">
        <v>7038.5</v>
      </c>
      <c r="C1369" s="39">
        <f>(Table26[[#This Row],[M2 Money Stock, Billions of Dollars, Weekly, Seasonally Adjusted]]-B1368)/B1368</f>
        <v/>
      </c>
      <c r="D1369" s="40">
        <f>((1+Table26[[#This Row],[Weekly change]])^52)-1</f>
        <v/>
      </c>
      <c r="E1369" s="85">
        <f>(Table26[[#This Row],[M2 Money Stock, Billions of Dollars, Weekly, Seasonally Adjusted]]-B1317)/B1317</f>
        <v/>
      </c>
    </row>
    <row r="1370">
      <c r="A1370" s="37" t="n">
        <v>39069</v>
      </c>
      <c r="B1370" s="84" t="n">
        <v>7049.4</v>
      </c>
      <c r="C1370" s="39">
        <f>(Table26[[#This Row],[M2 Money Stock, Billions of Dollars, Weekly, Seasonally Adjusted]]-B1369)/B1369</f>
        <v/>
      </c>
      <c r="D1370" s="40">
        <f>((1+Table26[[#This Row],[Weekly change]])^52)-1</f>
        <v/>
      </c>
      <c r="E1370" s="85">
        <f>(Table26[[#This Row],[M2 Money Stock, Billions of Dollars, Weekly, Seasonally Adjusted]]-B1318)/B1318</f>
        <v/>
      </c>
    </row>
    <row r="1371">
      <c r="A1371" s="37" t="n">
        <v>39076</v>
      </c>
      <c r="B1371" s="84" t="n">
        <v>7076</v>
      </c>
      <c r="C1371" s="39">
        <f>(Table26[[#This Row],[M2 Money Stock, Billions of Dollars, Weekly, Seasonally Adjusted]]-B1370)/B1370</f>
        <v/>
      </c>
      <c r="D1371" s="40">
        <f>((1+Table26[[#This Row],[Weekly change]])^52)-1</f>
        <v/>
      </c>
      <c r="E1371" s="85">
        <f>(Table26[[#This Row],[M2 Money Stock, Billions of Dollars, Weekly, Seasonally Adjusted]]-B1319)/B1319</f>
        <v/>
      </c>
    </row>
    <row r="1372">
      <c r="A1372" s="37" t="n">
        <v>39083</v>
      </c>
      <c r="B1372" s="84" t="n">
        <v>7083.9</v>
      </c>
      <c r="C1372" s="39">
        <f>(Table26[[#This Row],[M2 Money Stock, Billions of Dollars, Weekly, Seasonally Adjusted]]-B1371)/B1371</f>
        <v/>
      </c>
      <c r="D1372" s="40">
        <f>((1+Table26[[#This Row],[Weekly change]])^52)-1</f>
        <v/>
      </c>
      <c r="E1372" s="85">
        <f>(Table26[[#This Row],[M2 Money Stock, Billions of Dollars, Weekly, Seasonally Adjusted]]-B1320)/B1320</f>
        <v/>
      </c>
    </row>
    <row r="1373">
      <c r="A1373" s="37" t="n">
        <v>39090</v>
      </c>
      <c r="B1373" s="84" t="n">
        <v>7085.1</v>
      </c>
      <c r="C1373" s="39">
        <f>(Table26[[#This Row],[M2 Money Stock, Billions of Dollars, Weekly, Seasonally Adjusted]]-B1372)/B1372</f>
        <v/>
      </c>
      <c r="D1373" s="40">
        <f>((1+Table26[[#This Row],[Weekly change]])^52)-1</f>
        <v/>
      </c>
      <c r="E1373" s="85">
        <f>(Table26[[#This Row],[M2 Money Stock, Billions of Dollars, Weekly, Seasonally Adjusted]]-B1321)/B1321</f>
        <v/>
      </c>
    </row>
    <row r="1374">
      <c r="A1374" s="37" t="n">
        <v>39097</v>
      </c>
      <c r="B1374" s="84" t="n">
        <v>7102.8</v>
      </c>
      <c r="C1374" s="39">
        <f>(Table26[[#This Row],[M2 Money Stock, Billions of Dollars, Weekly, Seasonally Adjusted]]-B1373)/B1373</f>
        <v/>
      </c>
      <c r="D1374" s="40">
        <f>((1+Table26[[#This Row],[Weekly change]])^52)-1</f>
        <v/>
      </c>
      <c r="E1374" s="85">
        <f>(Table26[[#This Row],[M2 Money Stock, Billions of Dollars, Weekly, Seasonally Adjusted]]-B1322)/B1322</f>
        <v/>
      </c>
    </row>
    <row r="1375">
      <c r="A1375" s="37" t="n">
        <v>39104</v>
      </c>
      <c r="B1375" s="84" t="n">
        <v>7098.8</v>
      </c>
      <c r="C1375" s="39">
        <f>(Table26[[#This Row],[M2 Money Stock, Billions of Dollars, Weekly, Seasonally Adjusted]]-B1374)/B1374</f>
        <v/>
      </c>
      <c r="D1375" s="40">
        <f>((1+Table26[[#This Row],[Weekly change]])^52)-1</f>
        <v/>
      </c>
      <c r="E1375" s="85">
        <f>(Table26[[#This Row],[M2 Money Stock, Billions of Dollars, Weekly, Seasonally Adjusted]]-B1323)/B1323</f>
        <v/>
      </c>
    </row>
    <row r="1376">
      <c r="A1376" s="37" t="n">
        <v>39111</v>
      </c>
      <c r="B1376" s="84" t="n">
        <v>7094.8</v>
      </c>
      <c r="C1376" s="39">
        <f>(Table26[[#This Row],[M2 Money Stock, Billions of Dollars, Weekly, Seasonally Adjusted]]-B1375)/B1375</f>
        <v/>
      </c>
      <c r="D1376" s="40">
        <f>((1+Table26[[#This Row],[Weekly change]])^52)-1</f>
        <v/>
      </c>
      <c r="E1376" s="85">
        <f>(Table26[[#This Row],[M2 Money Stock, Billions of Dollars, Weekly, Seasonally Adjusted]]-B1324)/B1324</f>
        <v/>
      </c>
    </row>
    <row r="1377">
      <c r="A1377" s="37" t="n">
        <v>39118</v>
      </c>
      <c r="B1377" s="84" t="n">
        <v>7102.8</v>
      </c>
      <c r="C1377" s="39">
        <f>(Table26[[#This Row],[M2 Money Stock, Billions of Dollars, Weekly, Seasonally Adjusted]]-B1376)/B1376</f>
        <v/>
      </c>
      <c r="D1377" s="40">
        <f>((1+Table26[[#This Row],[Weekly change]])^52)-1</f>
        <v/>
      </c>
      <c r="E1377" s="85">
        <f>(Table26[[#This Row],[M2 Money Stock, Billions of Dollars, Weekly, Seasonally Adjusted]]-B1325)/B1325</f>
        <v/>
      </c>
    </row>
    <row r="1378">
      <c r="A1378" s="37" t="n">
        <v>39125</v>
      </c>
      <c r="B1378" s="84" t="n">
        <v>7103.8</v>
      </c>
      <c r="C1378" s="39">
        <f>(Table26[[#This Row],[M2 Money Stock, Billions of Dollars, Weekly, Seasonally Adjusted]]-B1377)/B1377</f>
        <v/>
      </c>
      <c r="D1378" s="40">
        <f>((1+Table26[[#This Row],[Weekly change]])^52)-1</f>
        <v/>
      </c>
      <c r="E1378" s="85">
        <f>(Table26[[#This Row],[M2 Money Stock, Billions of Dollars, Weekly, Seasonally Adjusted]]-B1326)/B1326</f>
        <v/>
      </c>
    </row>
    <row r="1379">
      <c r="A1379" s="37" t="n">
        <v>39132</v>
      </c>
      <c r="B1379" s="84" t="n">
        <v>7109.2</v>
      </c>
      <c r="C1379" s="39">
        <f>(Table26[[#This Row],[M2 Money Stock, Billions of Dollars, Weekly, Seasonally Adjusted]]-B1378)/B1378</f>
        <v/>
      </c>
      <c r="D1379" s="40">
        <f>((1+Table26[[#This Row],[Weekly change]])^52)-1</f>
        <v/>
      </c>
      <c r="E1379" s="85">
        <f>(Table26[[#This Row],[M2 Money Stock, Billions of Dollars, Weekly, Seasonally Adjusted]]-B1327)/B1327</f>
        <v/>
      </c>
    </row>
    <row r="1380">
      <c r="A1380" s="37" t="n">
        <v>39139</v>
      </c>
      <c r="B1380" s="84" t="n">
        <v>7127.2</v>
      </c>
      <c r="C1380" s="39">
        <f>(Table26[[#This Row],[M2 Money Stock, Billions of Dollars, Weekly, Seasonally Adjusted]]-B1379)/B1379</f>
        <v/>
      </c>
      <c r="D1380" s="40">
        <f>((1+Table26[[#This Row],[Weekly change]])^52)-1</f>
        <v/>
      </c>
      <c r="E1380" s="85">
        <f>(Table26[[#This Row],[M2 Money Stock, Billions of Dollars, Weekly, Seasonally Adjusted]]-B1328)/B1328</f>
        <v/>
      </c>
    </row>
    <row r="1381">
      <c r="A1381" s="37" t="n">
        <v>39146</v>
      </c>
      <c r="B1381" s="84" t="n">
        <v>7111</v>
      </c>
      <c r="C1381" s="39">
        <f>(Table26[[#This Row],[M2 Money Stock, Billions of Dollars, Weekly, Seasonally Adjusted]]-B1380)/B1380</f>
        <v/>
      </c>
      <c r="D1381" s="40">
        <f>((1+Table26[[#This Row],[Weekly change]])^52)-1</f>
        <v/>
      </c>
      <c r="E1381" s="85">
        <f>(Table26[[#This Row],[M2 Money Stock, Billions of Dollars, Weekly, Seasonally Adjusted]]-B1329)/B1329</f>
        <v/>
      </c>
    </row>
    <row r="1382">
      <c r="A1382" s="37" t="n">
        <v>39153</v>
      </c>
      <c r="B1382" s="84" t="n">
        <v>7121.2</v>
      </c>
      <c r="C1382" s="39">
        <f>(Table26[[#This Row],[M2 Money Stock, Billions of Dollars, Weekly, Seasonally Adjusted]]-B1381)/B1381</f>
        <v/>
      </c>
      <c r="D1382" s="40">
        <f>((1+Table26[[#This Row],[Weekly change]])^52)-1</f>
        <v/>
      </c>
      <c r="E1382" s="85">
        <f>(Table26[[#This Row],[M2 Money Stock, Billions of Dollars, Weekly, Seasonally Adjusted]]-B1330)/B1330</f>
        <v/>
      </c>
    </row>
    <row r="1383">
      <c r="A1383" s="37" t="n">
        <v>39160</v>
      </c>
      <c r="B1383" s="84" t="n">
        <v>7135.8</v>
      </c>
      <c r="C1383" s="39">
        <f>(Table26[[#This Row],[M2 Money Stock, Billions of Dollars, Weekly, Seasonally Adjusted]]-B1382)/B1382</f>
        <v/>
      </c>
      <c r="D1383" s="40">
        <f>((1+Table26[[#This Row],[Weekly change]])^52)-1</f>
        <v/>
      </c>
      <c r="E1383" s="85">
        <f>(Table26[[#This Row],[M2 Money Stock, Billions of Dollars, Weekly, Seasonally Adjusted]]-B1331)/B1331</f>
        <v/>
      </c>
    </row>
    <row r="1384">
      <c r="A1384" s="37" t="n">
        <v>39167</v>
      </c>
      <c r="B1384" s="84" t="n">
        <v>7173.4</v>
      </c>
      <c r="C1384" s="39">
        <f>(Table26[[#This Row],[M2 Money Stock, Billions of Dollars, Weekly, Seasonally Adjusted]]-B1383)/B1383</f>
        <v/>
      </c>
      <c r="D1384" s="40">
        <f>((1+Table26[[#This Row],[Weekly change]])^52)-1</f>
        <v/>
      </c>
      <c r="E1384" s="85">
        <f>(Table26[[#This Row],[M2 Money Stock, Billions of Dollars, Weekly, Seasonally Adjusted]]-B1332)/B1332</f>
        <v/>
      </c>
    </row>
    <row r="1385">
      <c r="A1385" s="37" t="n">
        <v>39174</v>
      </c>
      <c r="B1385" s="84" t="n">
        <v>7186.5</v>
      </c>
      <c r="C1385" s="39">
        <f>(Table26[[#This Row],[M2 Money Stock, Billions of Dollars, Weekly, Seasonally Adjusted]]-B1384)/B1384</f>
        <v/>
      </c>
      <c r="D1385" s="40">
        <f>((1+Table26[[#This Row],[Weekly change]])^52)-1</f>
        <v/>
      </c>
      <c r="E1385" s="85">
        <f>(Table26[[#This Row],[M2 Money Stock, Billions of Dollars, Weekly, Seasonally Adjusted]]-B1333)/B1333</f>
        <v/>
      </c>
    </row>
    <row r="1386">
      <c r="A1386" s="37" t="n">
        <v>39181</v>
      </c>
      <c r="B1386" s="84" t="n">
        <v>7202.4</v>
      </c>
      <c r="C1386" s="39">
        <f>(Table26[[#This Row],[M2 Money Stock, Billions of Dollars, Weekly, Seasonally Adjusted]]-B1385)/B1385</f>
        <v/>
      </c>
      <c r="D1386" s="40">
        <f>((1+Table26[[#This Row],[Weekly change]])^52)-1</f>
        <v/>
      </c>
      <c r="E1386" s="85">
        <f>(Table26[[#This Row],[M2 Money Stock, Billions of Dollars, Weekly, Seasonally Adjusted]]-B1334)/B1334</f>
        <v/>
      </c>
    </row>
    <row r="1387">
      <c r="A1387" s="37" t="n">
        <v>39188</v>
      </c>
      <c r="B1387" s="84" t="n">
        <v>7221.2</v>
      </c>
      <c r="C1387" s="39">
        <f>(Table26[[#This Row],[M2 Money Stock, Billions of Dollars, Weekly, Seasonally Adjusted]]-B1386)/B1386</f>
        <v/>
      </c>
      <c r="D1387" s="40">
        <f>((1+Table26[[#This Row],[Weekly change]])^52)-1</f>
        <v/>
      </c>
      <c r="E1387" s="85">
        <f>(Table26[[#This Row],[M2 Money Stock, Billions of Dollars, Weekly, Seasonally Adjusted]]-B1335)/B1335</f>
        <v/>
      </c>
    </row>
    <row r="1388">
      <c r="A1388" s="37" t="n">
        <v>39195</v>
      </c>
      <c r="B1388" s="84" t="n">
        <v>7236.1</v>
      </c>
      <c r="C1388" s="39">
        <f>(Table26[[#This Row],[M2 Money Stock, Billions of Dollars, Weekly, Seasonally Adjusted]]-B1387)/B1387</f>
        <v/>
      </c>
      <c r="D1388" s="40">
        <f>((1+Table26[[#This Row],[Weekly change]])^52)-1</f>
        <v/>
      </c>
      <c r="E1388" s="85">
        <f>(Table26[[#This Row],[M2 Money Stock, Billions of Dollars, Weekly, Seasonally Adjusted]]-B1336)/B1336</f>
        <v/>
      </c>
    </row>
    <row r="1389">
      <c r="A1389" s="37" t="n">
        <v>39202</v>
      </c>
      <c r="B1389" s="84" t="n">
        <v>7218.5</v>
      </c>
      <c r="C1389" s="39">
        <f>(Table26[[#This Row],[M2 Money Stock, Billions of Dollars, Weekly, Seasonally Adjusted]]-B1388)/B1388</f>
        <v/>
      </c>
      <c r="D1389" s="40">
        <f>((1+Table26[[#This Row],[Weekly change]])^52)-1</f>
        <v/>
      </c>
      <c r="E1389" s="85">
        <f>(Table26[[#This Row],[M2 Money Stock, Billions of Dollars, Weekly, Seasonally Adjusted]]-B1337)/B1337</f>
        <v/>
      </c>
    </row>
    <row r="1390">
      <c r="A1390" s="37" t="n">
        <v>39209</v>
      </c>
      <c r="B1390" s="84" t="n">
        <v>7222</v>
      </c>
      <c r="C1390" s="39">
        <f>(Table26[[#This Row],[M2 Money Stock, Billions of Dollars, Weekly, Seasonally Adjusted]]-B1389)/B1389</f>
        <v/>
      </c>
      <c r="D1390" s="40">
        <f>((1+Table26[[#This Row],[Weekly change]])^52)-1</f>
        <v/>
      </c>
      <c r="E1390" s="85">
        <f>(Table26[[#This Row],[M2 Money Stock, Billions of Dollars, Weekly, Seasonally Adjusted]]-B1338)/B1338</f>
        <v/>
      </c>
    </row>
    <row r="1391">
      <c r="A1391" s="37" t="n">
        <v>39216</v>
      </c>
      <c r="B1391" s="84" t="n">
        <v>7224.1</v>
      </c>
      <c r="C1391" s="39">
        <f>(Table26[[#This Row],[M2 Money Stock, Billions of Dollars, Weekly, Seasonally Adjusted]]-B1390)/B1390</f>
        <v/>
      </c>
      <c r="D1391" s="40">
        <f>((1+Table26[[#This Row],[Weekly change]])^52)-1</f>
        <v/>
      </c>
      <c r="E1391" s="85">
        <f>(Table26[[#This Row],[M2 Money Stock, Billions of Dollars, Weekly, Seasonally Adjusted]]-B1339)/B1339</f>
        <v/>
      </c>
    </row>
    <row r="1392">
      <c r="A1392" s="37" t="n">
        <v>39223</v>
      </c>
      <c r="B1392" s="84" t="n">
        <v>7236.4</v>
      </c>
      <c r="C1392" s="39">
        <f>(Table26[[#This Row],[M2 Money Stock, Billions of Dollars, Weekly, Seasonally Adjusted]]-B1391)/B1391</f>
        <v/>
      </c>
      <c r="D1392" s="40">
        <f>((1+Table26[[#This Row],[Weekly change]])^52)-1</f>
        <v/>
      </c>
      <c r="E1392" s="85">
        <f>(Table26[[#This Row],[M2 Money Stock, Billions of Dollars, Weekly, Seasonally Adjusted]]-B1340)/B1340</f>
        <v/>
      </c>
    </row>
    <row r="1393">
      <c r="A1393" s="37" t="n">
        <v>39230</v>
      </c>
      <c r="B1393" s="84" t="n">
        <v>7235.9</v>
      </c>
      <c r="C1393" s="39">
        <f>(Table26[[#This Row],[M2 Money Stock, Billions of Dollars, Weekly, Seasonally Adjusted]]-B1392)/B1392</f>
        <v/>
      </c>
      <c r="D1393" s="40">
        <f>((1+Table26[[#This Row],[Weekly change]])^52)-1</f>
        <v/>
      </c>
      <c r="E1393" s="85">
        <f>(Table26[[#This Row],[M2 Money Stock, Billions of Dollars, Weekly, Seasonally Adjusted]]-B1341)/B1341</f>
        <v/>
      </c>
    </row>
    <row r="1394">
      <c r="A1394" s="37" t="n">
        <v>39237</v>
      </c>
      <c r="B1394" s="84" t="n">
        <v>7244</v>
      </c>
      <c r="C1394" s="39">
        <f>(Table26[[#This Row],[M2 Money Stock, Billions of Dollars, Weekly, Seasonally Adjusted]]-B1393)/B1393</f>
        <v/>
      </c>
      <c r="D1394" s="40">
        <f>((1+Table26[[#This Row],[Weekly change]])^52)-1</f>
        <v/>
      </c>
      <c r="E1394" s="85">
        <f>(Table26[[#This Row],[M2 Money Stock, Billions of Dollars, Weekly, Seasonally Adjusted]]-B1342)/B1342</f>
        <v/>
      </c>
    </row>
    <row r="1395">
      <c r="A1395" s="37" t="n">
        <v>39244</v>
      </c>
      <c r="B1395" s="84" t="n">
        <v>7253.6</v>
      </c>
      <c r="C1395" s="39">
        <f>(Table26[[#This Row],[M2 Money Stock, Billions of Dollars, Weekly, Seasonally Adjusted]]-B1394)/B1394</f>
        <v/>
      </c>
      <c r="D1395" s="40">
        <f>((1+Table26[[#This Row],[Weekly change]])^52)-1</f>
        <v/>
      </c>
      <c r="E1395" s="85">
        <f>(Table26[[#This Row],[M2 Money Stock, Billions of Dollars, Weekly, Seasonally Adjusted]]-B1343)/B1343</f>
        <v/>
      </c>
    </row>
    <row r="1396">
      <c r="A1396" s="37" t="n">
        <v>39251</v>
      </c>
      <c r="B1396" s="84" t="n">
        <v>7263</v>
      </c>
      <c r="C1396" s="39">
        <f>(Table26[[#This Row],[M2 Money Stock, Billions of Dollars, Weekly, Seasonally Adjusted]]-B1395)/B1395</f>
        <v/>
      </c>
      <c r="D1396" s="40">
        <f>((1+Table26[[#This Row],[Weekly change]])^52)-1</f>
        <v/>
      </c>
      <c r="E1396" s="85">
        <f>(Table26[[#This Row],[M2 Money Stock, Billions of Dollars, Weekly, Seasonally Adjusted]]-B1344)/B1344</f>
        <v/>
      </c>
    </row>
    <row r="1397">
      <c r="A1397" s="37" t="n">
        <v>39258</v>
      </c>
      <c r="B1397" s="84" t="n">
        <v>7272.7</v>
      </c>
      <c r="C1397" s="39">
        <f>(Table26[[#This Row],[M2 Money Stock, Billions of Dollars, Weekly, Seasonally Adjusted]]-B1396)/B1396</f>
        <v/>
      </c>
      <c r="D1397" s="40">
        <f>((1+Table26[[#This Row],[Weekly change]])^52)-1</f>
        <v/>
      </c>
      <c r="E1397" s="85">
        <f>(Table26[[#This Row],[M2 Money Stock, Billions of Dollars, Weekly, Seasonally Adjusted]]-B1345)/B1345</f>
        <v/>
      </c>
    </row>
    <row r="1398">
      <c r="A1398" s="37" t="n">
        <v>39265</v>
      </c>
      <c r="B1398" s="84" t="n">
        <v>7284.9</v>
      </c>
      <c r="C1398" s="39">
        <f>(Table26[[#This Row],[M2 Money Stock, Billions of Dollars, Weekly, Seasonally Adjusted]]-B1397)/B1397</f>
        <v/>
      </c>
      <c r="D1398" s="40">
        <f>((1+Table26[[#This Row],[Weekly change]])^52)-1</f>
        <v/>
      </c>
      <c r="E1398" s="85">
        <f>(Table26[[#This Row],[M2 Money Stock, Billions of Dollars, Weekly, Seasonally Adjusted]]-B1346)/B1346</f>
        <v/>
      </c>
    </row>
    <row r="1399">
      <c r="A1399" s="37" t="n">
        <v>39272</v>
      </c>
      <c r="B1399" s="84" t="n">
        <v>7279.6</v>
      </c>
      <c r="C1399" s="39">
        <f>(Table26[[#This Row],[M2 Money Stock, Billions of Dollars, Weekly, Seasonally Adjusted]]-B1398)/B1398</f>
        <v/>
      </c>
      <c r="D1399" s="40">
        <f>((1+Table26[[#This Row],[Weekly change]])^52)-1</f>
        <v/>
      </c>
      <c r="E1399" s="85">
        <f>(Table26[[#This Row],[M2 Money Stock, Billions of Dollars, Weekly, Seasonally Adjusted]]-B1347)/B1347</f>
        <v/>
      </c>
    </row>
    <row r="1400">
      <c r="A1400" s="37" t="n">
        <v>39279</v>
      </c>
      <c r="B1400" s="84" t="n">
        <v>7291</v>
      </c>
      <c r="C1400" s="39">
        <f>(Table26[[#This Row],[M2 Money Stock, Billions of Dollars, Weekly, Seasonally Adjusted]]-B1399)/B1399</f>
        <v/>
      </c>
      <c r="D1400" s="40">
        <f>((1+Table26[[#This Row],[Weekly change]])^52)-1</f>
        <v/>
      </c>
      <c r="E1400" s="85">
        <f>(Table26[[#This Row],[M2 Money Stock, Billions of Dollars, Weekly, Seasonally Adjusted]]-B1348)/B1348</f>
        <v/>
      </c>
    </row>
    <row r="1401">
      <c r="A1401" s="37" t="n">
        <v>39286</v>
      </c>
      <c r="B1401" s="84" t="n">
        <v>7300</v>
      </c>
      <c r="C1401" s="39">
        <f>(Table26[[#This Row],[M2 Money Stock, Billions of Dollars, Weekly, Seasonally Adjusted]]-B1400)/B1400</f>
        <v/>
      </c>
      <c r="D1401" s="40">
        <f>((1+Table26[[#This Row],[Weekly change]])^52)-1</f>
        <v/>
      </c>
      <c r="E1401" s="85">
        <f>(Table26[[#This Row],[M2 Money Stock, Billions of Dollars, Weekly, Seasonally Adjusted]]-B1349)/B1349</f>
        <v/>
      </c>
    </row>
    <row r="1402">
      <c r="A1402" s="37" t="n">
        <v>39293</v>
      </c>
      <c r="B1402" s="84" t="n">
        <v>7306</v>
      </c>
      <c r="C1402" s="39">
        <f>(Table26[[#This Row],[M2 Money Stock, Billions of Dollars, Weekly, Seasonally Adjusted]]-B1401)/B1401</f>
        <v/>
      </c>
      <c r="D1402" s="40">
        <f>((1+Table26[[#This Row],[Weekly change]])^52)-1</f>
        <v/>
      </c>
      <c r="E1402" s="85">
        <f>(Table26[[#This Row],[M2 Money Stock, Billions of Dollars, Weekly, Seasonally Adjusted]]-B1350)/B1350</f>
        <v/>
      </c>
    </row>
    <row r="1403">
      <c r="A1403" s="37" t="n">
        <v>39300</v>
      </c>
      <c r="B1403" s="84" t="n">
        <v>7323</v>
      </c>
      <c r="C1403" s="39">
        <f>(Table26[[#This Row],[M2 Money Stock, Billions of Dollars, Weekly, Seasonally Adjusted]]-B1402)/B1402</f>
        <v/>
      </c>
      <c r="D1403" s="40">
        <f>((1+Table26[[#This Row],[Weekly change]])^52)-1</f>
        <v/>
      </c>
      <c r="E1403" s="85">
        <f>(Table26[[#This Row],[M2 Money Stock, Billions of Dollars, Weekly, Seasonally Adjusted]]-B1351)/B1351</f>
        <v/>
      </c>
    </row>
    <row r="1404">
      <c r="A1404" s="37" t="n">
        <v>39307</v>
      </c>
      <c r="B1404" s="84" t="n">
        <v>7342.7</v>
      </c>
      <c r="C1404" s="39">
        <f>(Table26[[#This Row],[M2 Money Stock, Billions of Dollars, Weekly, Seasonally Adjusted]]-B1403)/B1403</f>
        <v/>
      </c>
      <c r="D1404" s="40">
        <f>((1+Table26[[#This Row],[Weekly change]])^52)-1</f>
        <v/>
      </c>
      <c r="E1404" s="85">
        <f>(Table26[[#This Row],[M2 Money Stock, Billions of Dollars, Weekly, Seasonally Adjusted]]-B1352)/B1352</f>
        <v/>
      </c>
    </row>
    <row r="1405">
      <c r="A1405" s="37" t="n">
        <v>39314</v>
      </c>
      <c r="B1405" s="84" t="n">
        <v>7379.7</v>
      </c>
      <c r="C1405" s="39">
        <f>(Table26[[#This Row],[M2 Money Stock, Billions of Dollars, Weekly, Seasonally Adjusted]]-B1404)/B1404</f>
        <v/>
      </c>
      <c r="D1405" s="40">
        <f>((1+Table26[[#This Row],[Weekly change]])^52)-1</f>
        <v/>
      </c>
      <c r="E1405" s="85">
        <f>(Table26[[#This Row],[M2 Money Stock, Billions of Dollars, Weekly, Seasonally Adjusted]]-B1353)/B1353</f>
        <v/>
      </c>
    </row>
    <row r="1406">
      <c r="A1406" s="37" t="n">
        <v>39321</v>
      </c>
      <c r="B1406" s="84" t="n">
        <v>7416.9</v>
      </c>
      <c r="C1406" s="39">
        <f>(Table26[[#This Row],[M2 Money Stock, Billions of Dollars, Weekly, Seasonally Adjusted]]-B1405)/B1405</f>
        <v/>
      </c>
      <c r="D1406" s="40">
        <f>((1+Table26[[#This Row],[Weekly change]])^52)-1</f>
        <v/>
      </c>
      <c r="E1406" s="85">
        <f>(Table26[[#This Row],[M2 Money Stock, Billions of Dollars, Weekly, Seasonally Adjusted]]-B1354)/B1354</f>
        <v/>
      </c>
    </row>
    <row r="1407">
      <c r="A1407" s="37" t="n">
        <v>39328</v>
      </c>
      <c r="B1407" s="84" t="n">
        <v>7395.9</v>
      </c>
      <c r="C1407" s="39">
        <f>(Table26[[#This Row],[M2 Money Stock, Billions of Dollars, Weekly, Seasonally Adjusted]]-B1406)/B1406</f>
        <v/>
      </c>
      <c r="D1407" s="40">
        <f>((1+Table26[[#This Row],[Weekly change]])^52)-1</f>
        <v/>
      </c>
      <c r="E1407" s="85">
        <f>(Table26[[#This Row],[M2 Money Stock, Billions of Dollars, Weekly, Seasonally Adjusted]]-B1355)/B1355</f>
        <v/>
      </c>
    </row>
    <row r="1408">
      <c r="A1408" s="37" t="n">
        <v>39335</v>
      </c>
      <c r="B1408" s="84" t="n">
        <v>7384</v>
      </c>
      <c r="C1408" s="39">
        <f>(Table26[[#This Row],[M2 Money Stock, Billions of Dollars, Weekly, Seasonally Adjusted]]-B1407)/B1407</f>
        <v/>
      </c>
      <c r="D1408" s="40">
        <f>((1+Table26[[#This Row],[Weekly change]])^52)-1</f>
        <v/>
      </c>
      <c r="E1408" s="85">
        <f>(Table26[[#This Row],[M2 Money Stock, Billions of Dollars, Weekly, Seasonally Adjusted]]-B1356)/B1356</f>
        <v/>
      </c>
    </row>
    <row r="1409">
      <c r="A1409" s="37" t="n">
        <v>39342</v>
      </c>
      <c r="B1409" s="84" t="n">
        <v>7388.5</v>
      </c>
      <c r="C1409" s="39">
        <f>(Table26[[#This Row],[M2 Money Stock, Billions of Dollars, Weekly, Seasonally Adjusted]]-B1408)/B1408</f>
        <v/>
      </c>
      <c r="D1409" s="40">
        <f>((1+Table26[[#This Row],[Weekly change]])^52)-1</f>
        <v/>
      </c>
      <c r="E1409" s="85">
        <f>(Table26[[#This Row],[M2 Money Stock, Billions of Dollars, Weekly, Seasonally Adjusted]]-B1357)/B1357</f>
        <v/>
      </c>
    </row>
    <row r="1410">
      <c r="A1410" s="37" t="n">
        <v>39349</v>
      </c>
      <c r="B1410" s="84" t="n">
        <v>7386.3</v>
      </c>
      <c r="C1410" s="39">
        <f>(Table26[[#This Row],[M2 Money Stock, Billions of Dollars, Weekly, Seasonally Adjusted]]-B1409)/B1409</f>
        <v/>
      </c>
      <c r="D1410" s="40">
        <f>((1+Table26[[#This Row],[Weekly change]])^52)-1</f>
        <v/>
      </c>
      <c r="E1410" s="85">
        <f>(Table26[[#This Row],[M2 Money Stock, Billions of Dollars, Weekly, Seasonally Adjusted]]-B1358)/B1358</f>
        <v/>
      </c>
    </row>
    <row r="1411">
      <c r="A1411" s="37" t="n">
        <v>39356</v>
      </c>
      <c r="B1411" s="84" t="n">
        <v>7396.2</v>
      </c>
      <c r="C1411" s="39">
        <f>(Table26[[#This Row],[M2 Money Stock, Billions of Dollars, Weekly, Seasonally Adjusted]]-B1410)/B1410</f>
        <v/>
      </c>
      <c r="D1411" s="40">
        <f>((1+Table26[[#This Row],[Weekly change]])^52)-1</f>
        <v/>
      </c>
      <c r="E1411" s="85">
        <f>(Table26[[#This Row],[M2 Money Stock, Billions of Dollars, Weekly, Seasonally Adjusted]]-B1359)/B1359</f>
        <v/>
      </c>
    </row>
    <row r="1412">
      <c r="A1412" s="37" t="n">
        <v>39363</v>
      </c>
      <c r="B1412" s="84" t="n">
        <v>7402.6</v>
      </c>
      <c r="C1412" s="39">
        <f>(Table26[[#This Row],[M2 Money Stock, Billions of Dollars, Weekly, Seasonally Adjusted]]-B1411)/B1411</f>
        <v/>
      </c>
      <c r="D1412" s="40">
        <f>((1+Table26[[#This Row],[Weekly change]])^52)-1</f>
        <v/>
      </c>
      <c r="E1412" s="85">
        <f>(Table26[[#This Row],[M2 Money Stock, Billions of Dollars, Weekly, Seasonally Adjusted]]-B1360)/B1360</f>
        <v/>
      </c>
    </row>
    <row r="1413">
      <c r="A1413" s="37" t="n">
        <v>39370</v>
      </c>
      <c r="B1413" s="84" t="n">
        <v>7391.8</v>
      </c>
      <c r="C1413" s="39">
        <f>(Table26[[#This Row],[M2 Money Stock, Billions of Dollars, Weekly, Seasonally Adjusted]]-B1412)/B1412</f>
        <v/>
      </c>
      <c r="D1413" s="40">
        <f>((1+Table26[[#This Row],[Weekly change]])^52)-1</f>
        <v/>
      </c>
      <c r="E1413" s="85">
        <f>(Table26[[#This Row],[M2 Money Stock, Billions of Dollars, Weekly, Seasonally Adjusted]]-B1361)/B1361</f>
        <v/>
      </c>
    </row>
    <row r="1414">
      <c r="A1414" s="37" t="n">
        <v>39377</v>
      </c>
      <c r="B1414" s="84" t="n">
        <v>7392.9</v>
      </c>
      <c r="C1414" s="39">
        <f>(Table26[[#This Row],[M2 Money Stock, Billions of Dollars, Weekly, Seasonally Adjusted]]-B1413)/B1413</f>
        <v/>
      </c>
      <c r="D1414" s="40">
        <f>((1+Table26[[#This Row],[Weekly change]])^52)-1</f>
        <v/>
      </c>
      <c r="E1414" s="85">
        <f>(Table26[[#This Row],[M2 Money Stock, Billions of Dollars, Weekly, Seasonally Adjusted]]-B1362)/B1362</f>
        <v/>
      </c>
    </row>
    <row r="1415">
      <c r="A1415" s="37" t="n">
        <v>39384</v>
      </c>
      <c r="B1415" s="84" t="n">
        <v>7423.1</v>
      </c>
      <c r="C1415" s="39">
        <f>(Table26[[#This Row],[M2 Money Stock, Billions of Dollars, Weekly, Seasonally Adjusted]]-B1414)/B1414</f>
        <v/>
      </c>
      <c r="D1415" s="40">
        <f>((1+Table26[[#This Row],[Weekly change]])^52)-1</f>
        <v/>
      </c>
      <c r="E1415" s="85">
        <f>(Table26[[#This Row],[M2 Money Stock, Billions of Dollars, Weekly, Seasonally Adjusted]]-B1363)/B1363</f>
        <v/>
      </c>
    </row>
    <row r="1416">
      <c r="A1416" s="37" t="n">
        <v>39391</v>
      </c>
      <c r="B1416" s="84" t="n">
        <v>7409.2</v>
      </c>
      <c r="C1416" s="39">
        <f>(Table26[[#This Row],[M2 Money Stock, Billions of Dollars, Weekly, Seasonally Adjusted]]-B1415)/B1415</f>
        <v/>
      </c>
      <c r="D1416" s="40">
        <f>((1+Table26[[#This Row],[Weekly change]])^52)-1</f>
        <v/>
      </c>
      <c r="E1416" s="85">
        <f>(Table26[[#This Row],[M2 Money Stock, Billions of Dollars, Weekly, Seasonally Adjusted]]-B1364)/B1364</f>
        <v/>
      </c>
    </row>
    <row r="1417">
      <c r="A1417" s="37" t="n">
        <v>39398</v>
      </c>
      <c r="B1417" s="84" t="n">
        <v>7408.5</v>
      </c>
      <c r="C1417" s="39">
        <f>(Table26[[#This Row],[M2 Money Stock, Billions of Dollars, Weekly, Seasonally Adjusted]]-B1416)/B1416</f>
        <v/>
      </c>
      <c r="D1417" s="40">
        <f>((1+Table26[[#This Row],[Weekly change]])^52)-1</f>
        <v/>
      </c>
      <c r="E1417" s="85">
        <f>(Table26[[#This Row],[M2 Money Stock, Billions of Dollars, Weekly, Seasonally Adjusted]]-B1365)/B1365</f>
        <v/>
      </c>
    </row>
    <row r="1418">
      <c r="A1418" s="37" t="n">
        <v>39405</v>
      </c>
      <c r="B1418" s="84" t="n">
        <v>7427.4</v>
      </c>
      <c r="C1418" s="39">
        <f>(Table26[[#This Row],[M2 Money Stock, Billions of Dollars, Weekly, Seasonally Adjusted]]-B1417)/B1417</f>
        <v/>
      </c>
      <c r="D1418" s="40">
        <f>((1+Table26[[#This Row],[Weekly change]])^52)-1</f>
        <v/>
      </c>
      <c r="E1418" s="85">
        <f>(Table26[[#This Row],[M2 Money Stock, Billions of Dollars, Weekly, Seasonally Adjusted]]-B1366)/B1366</f>
        <v/>
      </c>
    </row>
    <row r="1419">
      <c r="A1419" s="37" t="n">
        <v>39412</v>
      </c>
      <c r="B1419" s="84" t="n">
        <v>7452.8</v>
      </c>
      <c r="C1419" s="39">
        <f>(Table26[[#This Row],[M2 Money Stock, Billions of Dollars, Weekly, Seasonally Adjusted]]-B1418)/B1418</f>
        <v/>
      </c>
      <c r="D1419" s="40">
        <f>((1+Table26[[#This Row],[Weekly change]])^52)-1</f>
        <v/>
      </c>
      <c r="E1419" s="85">
        <f>(Table26[[#This Row],[M2 Money Stock, Billions of Dollars, Weekly, Seasonally Adjusted]]-B1367)/B1367</f>
        <v/>
      </c>
    </row>
    <row r="1420">
      <c r="A1420" s="37" t="n">
        <v>39419</v>
      </c>
      <c r="B1420" s="84" t="n">
        <v>7441.4</v>
      </c>
      <c r="C1420" s="39">
        <f>(Table26[[#This Row],[M2 Money Stock, Billions of Dollars, Weekly, Seasonally Adjusted]]-B1419)/B1419</f>
        <v/>
      </c>
      <c r="D1420" s="40">
        <f>((1+Table26[[#This Row],[Weekly change]])^52)-1</f>
        <v/>
      </c>
      <c r="E1420" s="85">
        <f>(Table26[[#This Row],[M2 Money Stock, Billions of Dollars, Weekly, Seasonally Adjusted]]-B1368)/B1368</f>
        <v/>
      </c>
    </row>
    <row r="1421">
      <c r="A1421" s="37" t="n">
        <v>39426</v>
      </c>
      <c r="B1421" s="84" t="n">
        <v>7453.4</v>
      </c>
      <c r="C1421" s="39">
        <f>(Table26[[#This Row],[M2 Money Stock, Billions of Dollars, Weekly, Seasonally Adjusted]]-B1420)/B1420</f>
        <v/>
      </c>
      <c r="D1421" s="40">
        <f>((1+Table26[[#This Row],[Weekly change]])^52)-1</f>
        <v/>
      </c>
      <c r="E1421" s="85">
        <f>(Table26[[#This Row],[M2 Money Stock, Billions of Dollars, Weekly, Seasonally Adjusted]]-B1369)/B1369</f>
        <v/>
      </c>
    </row>
    <row r="1422">
      <c r="A1422" s="37" t="n">
        <v>39433</v>
      </c>
      <c r="B1422" s="84" t="n">
        <v>7456.6</v>
      </c>
      <c r="C1422" s="39">
        <f>(Table26[[#This Row],[M2 Money Stock, Billions of Dollars, Weekly, Seasonally Adjusted]]-B1421)/B1421</f>
        <v/>
      </c>
      <c r="D1422" s="40">
        <f>((1+Table26[[#This Row],[Weekly change]])^52)-1</f>
        <v/>
      </c>
      <c r="E1422" s="85">
        <f>(Table26[[#This Row],[M2 Money Stock, Billions of Dollars, Weekly, Seasonally Adjusted]]-B1370)/B1370</f>
        <v/>
      </c>
    </row>
    <row r="1423">
      <c r="A1423" s="37" t="n">
        <v>39440</v>
      </c>
      <c r="B1423" s="84" t="n">
        <v>7460.9</v>
      </c>
      <c r="C1423" s="39">
        <f>(Table26[[#This Row],[M2 Money Stock, Billions of Dollars, Weekly, Seasonally Adjusted]]-B1422)/B1422</f>
        <v/>
      </c>
      <c r="D1423" s="40">
        <f>((1+Table26[[#This Row],[Weekly change]])^52)-1</f>
        <v/>
      </c>
      <c r="E1423" s="85">
        <f>(Table26[[#This Row],[M2 Money Stock, Billions of Dollars, Weekly, Seasonally Adjusted]]-B1371)/B1371</f>
        <v/>
      </c>
    </row>
    <row r="1424">
      <c r="A1424" s="37" t="n">
        <v>39447</v>
      </c>
      <c r="B1424" s="84" t="n">
        <v>7468.2</v>
      </c>
      <c r="C1424" s="39">
        <f>(Table26[[#This Row],[M2 Money Stock, Billions of Dollars, Weekly, Seasonally Adjusted]]-B1423)/B1423</f>
        <v/>
      </c>
      <c r="D1424" s="40">
        <f>((1+Table26[[#This Row],[Weekly change]])^52)-1</f>
        <v/>
      </c>
      <c r="E1424" s="85">
        <f>(Table26[[#This Row],[M2 Money Stock, Billions of Dollars, Weekly, Seasonally Adjusted]]-B1372)/B1372</f>
        <v/>
      </c>
    </row>
    <row r="1425">
      <c r="A1425" s="37" t="n">
        <v>39454</v>
      </c>
      <c r="B1425" s="84" t="n">
        <v>7464.4</v>
      </c>
      <c r="C1425" s="39">
        <f>(Table26[[#This Row],[M2 Money Stock, Billions of Dollars, Weekly, Seasonally Adjusted]]-B1424)/B1424</f>
        <v/>
      </c>
      <c r="D1425" s="40">
        <f>((1+Table26[[#This Row],[Weekly change]])^52)-1</f>
        <v/>
      </c>
      <c r="E1425" s="85">
        <f>(Table26[[#This Row],[M2 Money Stock, Billions of Dollars, Weekly, Seasonally Adjusted]]-B1373)/B1373</f>
        <v/>
      </c>
    </row>
    <row r="1426">
      <c r="A1426" s="37" t="n">
        <v>39461</v>
      </c>
      <c r="B1426" s="84" t="n">
        <v>7459.6</v>
      </c>
      <c r="C1426" s="39">
        <f>(Table26[[#This Row],[M2 Money Stock, Billions of Dollars, Weekly, Seasonally Adjusted]]-B1425)/B1425</f>
        <v/>
      </c>
      <c r="D1426" s="40">
        <f>((1+Table26[[#This Row],[Weekly change]])^52)-1</f>
        <v/>
      </c>
      <c r="E1426" s="85">
        <f>(Table26[[#This Row],[M2 Money Stock, Billions of Dollars, Weekly, Seasonally Adjusted]]-B1374)/B1374</f>
        <v/>
      </c>
    </row>
    <row r="1427">
      <c r="A1427" s="37" t="n">
        <v>39468</v>
      </c>
      <c r="B1427" s="84" t="n">
        <v>7491.2</v>
      </c>
      <c r="C1427" s="39">
        <f>(Table26[[#This Row],[M2 Money Stock, Billions of Dollars, Weekly, Seasonally Adjusted]]-B1426)/B1426</f>
        <v/>
      </c>
      <c r="D1427" s="40">
        <f>((1+Table26[[#This Row],[Weekly change]])^52)-1</f>
        <v/>
      </c>
      <c r="E1427" s="85">
        <f>(Table26[[#This Row],[M2 Money Stock, Billions of Dollars, Weekly, Seasonally Adjusted]]-B1375)/B1375</f>
        <v/>
      </c>
    </row>
    <row r="1428">
      <c r="A1428" s="37" t="n">
        <v>39475</v>
      </c>
      <c r="B1428" s="84" t="n">
        <v>7525.5</v>
      </c>
      <c r="C1428" s="39">
        <f>(Table26[[#This Row],[M2 Money Stock, Billions of Dollars, Weekly, Seasonally Adjusted]]-B1427)/B1427</f>
        <v/>
      </c>
      <c r="D1428" s="40">
        <f>((1+Table26[[#This Row],[Weekly change]])^52)-1</f>
        <v/>
      </c>
      <c r="E1428" s="85">
        <f>(Table26[[#This Row],[M2 Money Stock, Billions of Dollars, Weekly, Seasonally Adjusted]]-B1376)/B1376</f>
        <v/>
      </c>
    </row>
    <row r="1429">
      <c r="A1429" s="37" t="n">
        <v>39482</v>
      </c>
      <c r="B1429" s="84" t="n">
        <v>7554</v>
      </c>
      <c r="C1429" s="39">
        <f>(Table26[[#This Row],[M2 Money Stock, Billions of Dollars, Weekly, Seasonally Adjusted]]-B1428)/B1428</f>
        <v/>
      </c>
      <c r="D1429" s="40">
        <f>((1+Table26[[#This Row],[Weekly change]])^52)-1</f>
        <v/>
      </c>
      <c r="E1429" s="85">
        <f>(Table26[[#This Row],[M2 Money Stock, Billions of Dollars, Weekly, Seasonally Adjusted]]-B1377)/B1377</f>
        <v/>
      </c>
    </row>
    <row r="1430">
      <c r="A1430" s="37" t="n">
        <v>39489</v>
      </c>
      <c r="B1430" s="84" t="n">
        <v>7563</v>
      </c>
      <c r="C1430" s="39">
        <f>(Table26[[#This Row],[M2 Money Stock, Billions of Dollars, Weekly, Seasonally Adjusted]]-B1429)/B1429</f>
        <v/>
      </c>
      <c r="D1430" s="40">
        <f>((1+Table26[[#This Row],[Weekly change]])^52)-1</f>
        <v/>
      </c>
      <c r="E1430" s="85">
        <f>(Table26[[#This Row],[M2 Money Stock, Billions of Dollars, Weekly, Seasonally Adjusted]]-B1378)/B1378</f>
        <v/>
      </c>
    </row>
    <row r="1431">
      <c r="A1431" s="37" t="n">
        <v>39496</v>
      </c>
      <c r="B1431" s="84" t="n">
        <v>7565.3</v>
      </c>
      <c r="C1431" s="39">
        <f>(Table26[[#This Row],[M2 Money Stock, Billions of Dollars, Weekly, Seasonally Adjusted]]-B1430)/B1430</f>
        <v/>
      </c>
      <c r="D1431" s="40">
        <f>((1+Table26[[#This Row],[Weekly change]])^52)-1</f>
        <v/>
      </c>
      <c r="E1431" s="85">
        <f>(Table26[[#This Row],[M2 Money Stock, Billions of Dollars, Weekly, Seasonally Adjusted]]-B1379)/B1379</f>
        <v/>
      </c>
    </row>
    <row r="1432">
      <c r="A1432" s="37" t="n">
        <v>39503</v>
      </c>
      <c r="B1432" s="84" t="n">
        <v>7596.9</v>
      </c>
      <c r="C1432" s="39">
        <f>(Table26[[#This Row],[M2 Money Stock, Billions of Dollars, Weekly, Seasonally Adjusted]]-B1431)/B1431</f>
        <v/>
      </c>
      <c r="D1432" s="40">
        <f>((1+Table26[[#This Row],[Weekly change]])^52)-1</f>
        <v/>
      </c>
      <c r="E1432" s="85">
        <f>(Table26[[#This Row],[M2 Money Stock, Billions of Dollars, Weekly, Seasonally Adjusted]]-B1380)/B1380</f>
        <v/>
      </c>
    </row>
    <row r="1433">
      <c r="A1433" s="37" t="n">
        <v>39510</v>
      </c>
      <c r="B1433" s="84" t="n">
        <v>7606.9</v>
      </c>
      <c r="C1433" s="39">
        <f>(Table26[[#This Row],[M2 Money Stock, Billions of Dollars, Weekly, Seasonally Adjusted]]-B1432)/B1432</f>
        <v/>
      </c>
      <c r="D1433" s="40">
        <f>((1+Table26[[#This Row],[Weekly change]])^52)-1</f>
        <v/>
      </c>
      <c r="E1433" s="85">
        <f>(Table26[[#This Row],[M2 Money Stock, Billions of Dollars, Weekly, Seasonally Adjusted]]-B1381)/B1381</f>
        <v/>
      </c>
    </row>
    <row r="1434">
      <c r="A1434" s="37" t="n">
        <v>39517</v>
      </c>
      <c r="B1434" s="84" t="n">
        <v>7619.8</v>
      </c>
      <c r="C1434" s="39">
        <f>(Table26[[#This Row],[M2 Money Stock, Billions of Dollars, Weekly, Seasonally Adjusted]]-B1433)/B1433</f>
        <v/>
      </c>
      <c r="D1434" s="40">
        <f>((1+Table26[[#This Row],[Weekly change]])^52)-1</f>
        <v/>
      </c>
      <c r="E1434" s="85">
        <f>(Table26[[#This Row],[M2 Money Stock, Billions of Dollars, Weekly, Seasonally Adjusted]]-B1382)/B1382</f>
        <v/>
      </c>
    </row>
    <row r="1435">
      <c r="A1435" s="37" t="n">
        <v>39524</v>
      </c>
      <c r="B1435" s="84" t="n">
        <v>7644.7</v>
      </c>
      <c r="C1435" s="39">
        <f>(Table26[[#This Row],[M2 Money Stock, Billions of Dollars, Weekly, Seasonally Adjusted]]-B1434)/B1434</f>
        <v/>
      </c>
      <c r="D1435" s="40">
        <f>((1+Table26[[#This Row],[Weekly change]])^52)-1</f>
        <v/>
      </c>
      <c r="E1435" s="85">
        <f>(Table26[[#This Row],[M2 Money Stock, Billions of Dollars, Weekly, Seasonally Adjusted]]-B1383)/B1383</f>
        <v/>
      </c>
    </row>
    <row r="1436">
      <c r="A1436" s="37" t="n">
        <v>39531</v>
      </c>
      <c r="B1436" s="84" t="n">
        <v>7659.7</v>
      </c>
      <c r="C1436" s="39">
        <f>(Table26[[#This Row],[M2 Money Stock, Billions of Dollars, Weekly, Seasonally Adjusted]]-B1435)/B1435</f>
        <v/>
      </c>
      <c r="D1436" s="40">
        <f>((1+Table26[[#This Row],[Weekly change]])^52)-1</f>
        <v/>
      </c>
      <c r="E1436" s="85">
        <f>(Table26[[#This Row],[M2 Money Stock, Billions of Dollars, Weekly, Seasonally Adjusted]]-B1384)/B1384</f>
        <v/>
      </c>
    </row>
    <row r="1437">
      <c r="A1437" s="37" t="n">
        <v>39538</v>
      </c>
      <c r="B1437" s="84" t="n">
        <v>7661</v>
      </c>
      <c r="C1437" s="39">
        <f>(Table26[[#This Row],[M2 Money Stock, Billions of Dollars, Weekly, Seasonally Adjusted]]-B1436)/B1436</f>
        <v/>
      </c>
      <c r="D1437" s="40">
        <f>((1+Table26[[#This Row],[Weekly change]])^52)-1</f>
        <v/>
      </c>
      <c r="E1437" s="85">
        <f>(Table26[[#This Row],[M2 Money Stock, Billions of Dollars, Weekly, Seasonally Adjusted]]-B1385)/B1385</f>
        <v/>
      </c>
    </row>
    <row r="1438">
      <c r="A1438" s="37" t="n">
        <v>39545</v>
      </c>
      <c r="B1438" s="84" t="n">
        <v>7679.9</v>
      </c>
      <c r="C1438" s="39">
        <f>(Table26[[#This Row],[M2 Money Stock, Billions of Dollars, Weekly, Seasonally Adjusted]]-B1437)/B1437</f>
        <v/>
      </c>
      <c r="D1438" s="40">
        <f>((1+Table26[[#This Row],[Weekly change]])^52)-1</f>
        <v/>
      </c>
      <c r="E1438" s="85">
        <f>(Table26[[#This Row],[M2 Money Stock, Billions of Dollars, Weekly, Seasonally Adjusted]]-B1386)/B1386</f>
        <v/>
      </c>
    </row>
    <row r="1439">
      <c r="A1439" s="37" t="n">
        <v>39552</v>
      </c>
      <c r="B1439" s="84" t="n">
        <v>7681.9</v>
      </c>
      <c r="C1439" s="39">
        <f>(Table26[[#This Row],[M2 Money Stock, Billions of Dollars, Weekly, Seasonally Adjusted]]-B1438)/B1438</f>
        <v/>
      </c>
      <c r="D1439" s="40">
        <f>((1+Table26[[#This Row],[Weekly change]])^52)-1</f>
        <v/>
      </c>
      <c r="E1439" s="85">
        <f>(Table26[[#This Row],[M2 Money Stock, Billions of Dollars, Weekly, Seasonally Adjusted]]-B1387)/B1387</f>
        <v/>
      </c>
    </row>
    <row r="1440">
      <c r="A1440" s="37" t="n">
        <v>39559</v>
      </c>
      <c r="B1440" s="84" t="n">
        <v>7706.7</v>
      </c>
      <c r="C1440" s="39">
        <f>(Table26[[#This Row],[M2 Money Stock, Billions of Dollars, Weekly, Seasonally Adjusted]]-B1439)/B1439</f>
        <v/>
      </c>
      <c r="D1440" s="40">
        <f>((1+Table26[[#This Row],[Weekly change]])^52)-1</f>
        <v/>
      </c>
      <c r="E1440" s="85">
        <f>(Table26[[#This Row],[M2 Money Stock, Billions of Dollars, Weekly, Seasonally Adjusted]]-B1388)/B1388</f>
        <v/>
      </c>
    </row>
    <row r="1441">
      <c r="A1441" s="37" t="n">
        <v>39566</v>
      </c>
      <c r="B1441" s="84" t="n">
        <v>7675.6</v>
      </c>
      <c r="C1441" s="39">
        <f>(Table26[[#This Row],[M2 Money Stock, Billions of Dollars, Weekly, Seasonally Adjusted]]-B1440)/B1440</f>
        <v/>
      </c>
      <c r="D1441" s="40">
        <f>((1+Table26[[#This Row],[Weekly change]])^52)-1</f>
        <v/>
      </c>
      <c r="E1441" s="85">
        <f>(Table26[[#This Row],[M2 Money Stock, Billions of Dollars, Weekly, Seasonally Adjusted]]-B1389)/B1389</f>
        <v/>
      </c>
    </row>
    <row r="1442">
      <c r="A1442" s="37" t="n">
        <v>39573</v>
      </c>
      <c r="B1442" s="84" t="n">
        <v>7673.9</v>
      </c>
      <c r="C1442" s="39">
        <f>(Table26[[#This Row],[M2 Money Stock, Billions of Dollars, Weekly, Seasonally Adjusted]]-B1441)/B1441</f>
        <v/>
      </c>
      <c r="D1442" s="40">
        <f>((1+Table26[[#This Row],[Weekly change]])^52)-1</f>
        <v/>
      </c>
      <c r="E1442" s="85">
        <f>(Table26[[#This Row],[M2 Money Stock, Billions of Dollars, Weekly, Seasonally Adjusted]]-B1390)/B1390</f>
        <v/>
      </c>
    </row>
    <row r="1443">
      <c r="A1443" s="37" t="n">
        <v>39580</v>
      </c>
      <c r="B1443" s="84" t="n">
        <v>7687.7</v>
      </c>
      <c r="C1443" s="39">
        <f>(Table26[[#This Row],[M2 Money Stock, Billions of Dollars, Weekly, Seasonally Adjusted]]-B1442)/B1442</f>
        <v/>
      </c>
      <c r="D1443" s="40">
        <f>((1+Table26[[#This Row],[Weekly change]])^52)-1</f>
        <v/>
      </c>
      <c r="E1443" s="85">
        <f>(Table26[[#This Row],[M2 Money Stock, Billions of Dollars, Weekly, Seasonally Adjusted]]-B1391)/B1391</f>
        <v/>
      </c>
    </row>
    <row r="1444">
      <c r="A1444" s="37" t="n">
        <v>39587</v>
      </c>
      <c r="B1444" s="84" t="n">
        <v>7694.6</v>
      </c>
      <c r="C1444" s="39">
        <f>(Table26[[#This Row],[M2 Money Stock, Billions of Dollars, Weekly, Seasonally Adjusted]]-B1443)/B1443</f>
        <v/>
      </c>
      <c r="D1444" s="40">
        <f>((1+Table26[[#This Row],[Weekly change]])^52)-1</f>
        <v/>
      </c>
      <c r="E1444" s="85">
        <f>(Table26[[#This Row],[M2 Money Stock, Billions of Dollars, Weekly, Seasonally Adjusted]]-B1392)/B1392</f>
        <v/>
      </c>
    </row>
    <row r="1445">
      <c r="A1445" s="37" t="n">
        <v>39594</v>
      </c>
      <c r="B1445" s="84" t="n">
        <v>7715</v>
      </c>
      <c r="C1445" s="39">
        <f>(Table26[[#This Row],[M2 Money Stock, Billions of Dollars, Weekly, Seasonally Adjusted]]-B1444)/B1444</f>
        <v/>
      </c>
      <c r="D1445" s="40">
        <f>((1+Table26[[#This Row],[Weekly change]])^52)-1</f>
        <v/>
      </c>
      <c r="E1445" s="85">
        <f>(Table26[[#This Row],[M2 Money Stock, Billions of Dollars, Weekly, Seasonally Adjusted]]-B1393)/B1393</f>
        <v/>
      </c>
    </row>
    <row r="1446">
      <c r="A1446" s="37" t="n">
        <v>39601</v>
      </c>
      <c r="B1446" s="84" t="n">
        <v>7711.9</v>
      </c>
      <c r="C1446" s="39">
        <f>(Table26[[#This Row],[M2 Money Stock, Billions of Dollars, Weekly, Seasonally Adjusted]]-B1445)/B1445</f>
        <v/>
      </c>
      <c r="D1446" s="40">
        <f>((1+Table26[[#This Row],[Weekly change]])^52)-1</f>
        <v/>
      </c>
      <c r="E1446" s="85">
        <f>(Table26[[#This Row],[M2 Money Stock, Billions of Dollars, Weekly, Seasonally Adjusted]]-B1394)/B1394</f>
        <v/>
      </c>
    </row>
    <row r="1447">
      <c r="A1447" s="37" t="n">
        <v>39608</v>
      </c>
      <c r="B1447" s="84" t="n">
        <v>7709.6</v>
      </c>
      <c r="C1447" s="39">
        <f>(Table26[[#This Row],[M2 Money Stock, Billions of Dollars, Weekly, Seasonally Adjusted]]-B1446)/B1446</f>
        <v/>
      </c>
      <c r="D1447" s="40">
        <f>((1+Table26[[#This Row],[Weekly change]])^52)-1</f>
        <v/>
      </c>
      <c r="E1447" s="85">
        <f>(Table26[[#This Row],[M2 Money Stock, Billions of Dollars, Weekly, Seasonally Adjusted]]-B1395)/B1395</f>
        <v/>
      </c>
    </row>
    <row r="1448">
      <c r="A1448" s="37" t="n">
        <v>39615</v>
      </c>
      <c r="B1448" s="84" t="n">
        <v>7711.9</v>
      </c>
      <c r="C1448" s="39">
        <f>(Table26[[#This Row],[M2 Money Stock, Billions of Dollars, Weekly, Seasonally Adjusted]]-B1447)/B1447</f>
        <v/>
      </c>
      <c r="D1448" s="40">
        <f>((1+Table26[[#This Row],[Weekly change]])^52)-1</f>
        <v/>
      </c>
      <c r="E1448" s="85">
        <f>(Table26[[#This Row],[M2 Money Stock, Billions of Dollars, Weekly, Seasonally Adjusted]]-B1396)/B1396</f>
        <v/>
      </c>
    </row>
    <row r="1449">
      <c r="A1449" s="37" t="n">
        <v>39622</v>
      </c>
      <c r="B1449" s="84" t="n">
        <v>7721.2</v>
      </c>
      <c r="C1449" s="39">
        <f>(Table26[[#This Row],[M2 Money Stock, Billions of Dollars, Weekly, Seasonally Adjusted]]-B1448)/B1448</f>
        <v/>
      </c>
      <c r="D1449" s="40">
        <f>((1+Table26[[#This Row],[Weekly change]])^52)-1</f>
        <v/>
      </c>
      <c r="E1449" s="85">
        <f>(Table26[[#This Row],[M2 Money Stock, Billions of Dollars, Weekly, Seasonally Adjusted]]-B1397)/B1397</f>
        <v/>
      </c>
    </row>
    <row r="1450">
      <c r="A1450" s="37" t="n">
        <v>39629</v>
      </c>
      <c r="B1450" s="84" t="n">
        <v>7716.6</v>
      </c>
      <c r="C1450" s="39">
        <f>(Table26[[#This Row],[M2 Money Stock, Billions of Dollars, Weekly, Seasonally Adjusted]]-B1449)/B1449</f>
        <v/>
      </c>
      <c r="D1450" s="40">
        <f>((1+Table26[[#This Row],[Weekly change]])^52)-1</f>
        <v/>
      </c>
      <c r="E1450" s="85">
        <f>(Table26[[#This Row],[M2 Money Stock, Billions of Dollars, Weekly, Seasonally Adjusted]]-B1398)/B1398</f>
        <v/>
      </c>
    </row>
    <row r="1451">
      <c r="A1451" s="37" t="n">
        <v>39636</v>
      </c>
      <c r="B1451" s="84" t="n">
        <v>7738.4</v>
      </c>
      <c r="C1451" s="39">
        <f>(Table26[[#This Row],[M2 Money Stock, Billions of Dollars, Weekly, Seasonally Adjusted]]-B1450)/B1450</f>
        <v/>
      </c>
      <c r="D1451" s="40">
        <f>((1+Table26[[#This Row],[Weekly change]])^52)-1</f>
        <v/>
      </c>
      <c r="E1451" s="85">
        <f>(Table26[[#This Row],[M2 Money Stock, Billions of Dollars, Weekly, Seasonally Adjusted]]-B1399)/B1399</f>
        <v/>
      </c>
    </row>
    <row r="1452">
      <c r="A1452" s="37" t="n">
        <v>39643</v>
      </c>
      <c r="B1452" s="84" t="n">
        <v>7749.4</v>
      </c>
      <c r="C1452" s="39">
        <f>(Table26[[#This Row],[M2 Money Stock, Billions of Dollars, Weekly, Seasonally Adjusted]]-B1451)/B1451</f>
        <v/>
      </c>
      <c r="D1452" s="40">
        <f>((1+Table26[[#This Row],[Weekly change]])^52)-1</f>
        <v/>
      </c>
      <c r="E1452" s="85">
        <f>(Table26[[#This Row],[M2 Money Stock, Billions of Dollars, Weekly, Seasonally Adjusted]]-B1400)/B1400</f>
        <v/>
      </c>
    </row>
    <row r="1453">
      <c r="A1453" s="37" t="n">
        <v>39650</v>
      </c>
      <c r="B1453" s="84" t="n">
        <v>7776</v>
      </c>
      <c r="C1453" s="39">
        <f>(Table26[[#This Row],[M2 Money Stock, Billions of Dollars, Weekly, Seasonally Adjusted]]-B1452)/B1452</f>
        <v/>
      </c>
      <c r="D1453" s="40">
        <f>((1+Table26[[#This Row],[Weekly change]])^52)-1</f>
        <v/>
      </c>
      <c r="E1453" s="85">
        <f>(Table26[[#This Row],[M2 Money Stock, Billions of Dollars, Weekly, Seasonally Adjusted]]-B1401)/B1401</f>
        <v/>
      </c>
    </row>
    <row r="1454">
      <c r="A1454" s="37" t="n">
        <v>39657</v>
      </c>
      <c r="B1454" s="84" t="n">
        <v>7773.8</v>
      </c>
      <c r="C1454" s="39">
        <f>(Table26[[#This Row],[M2 Money Stock, Billions of Dollars, Weekly, Seasonally Adjusted]]-B1453)/B1453</f>
        <v/>
      </c>
      <c r="D1454" s="40">
        <f>((1+Table26[[#This Row],[Weekly change]])^52)-1</f>
        <v/>
      </c>
      <c r="E1454" s="85">
        <f>(Table26[[#This Row],[M2 Money Stock, Billions of Dollars, Weekly, Seasonally Adjusted]]-B1402)/B1402</f>
        <v/>
      </c>
    </row>
    <row r="1455">
      <c r="A1455" s="37" t="n">
        <v>39664</v>
      </c>
      <c r="B1455" s="84" t="n">
        <v>7775.7</v>
      </c>
      <c r="C1455" s="39">
        <f>(Table26[[#This Row],[M2 Money Stock, Billions of Dollars, Weekly, Seasonally Adjusted]]-B1454)/B1454</f>
        <v/>
      </c>
      <c r="D1455" s="40">
        <f>((1+Table26[[#This Row],[Weekly change]])^52)-1</f>
        <v/>
      </c>
      <c r="E1455" s="85">
        <f>(Table26[[#This Row],[M2 Money Stock, Billions of Dollars, Weekly, Seasonally Adjusted]]-B1403)/B1403</f>
        <v/>
      </c>
    </row>
    <row r="1456">
      <c r="A1456" s="37" t="n">
        <v>39671</v>
      </c>
      <c r="B1456" s="84" t="n">
        <v>7781.6</v>
      </c>
      <c r="C1456" s="39">
        <f>(Table26[[#This Row],[M2 Money Stock, Billions of Dollars, Weekly, Seasonally Adjusted]]-B1455)/B1455</f>
        <v/>
      </c>
      <c r="D1456" s="40">
        <f>((1+Table26[[#This Row],[Weekly change]])^52)-1</f>
        <v/>
      </c>
      <c r="E1456" s="85">
        <f>(Table26[[#This Row],[M2 Money Stock, Billions of Dollars, Weekly, Seasonally Adjusted]]-B1404)/B1404</f>
        <v/>
      </c>
    </row>
    <row r="1457">
      <c r="A1457" s="37" t="n">
        <v>39678</v>
      </c>
      <c r="B1457" s="84" t="n">
        <v>7771.7</v>
      </c>
      <c r="C1457" s="39">
        <f>(Table26[[#This Row],[M2 Money Stock, Billions of Dollars, Weekly, Seasonally Adjusted]]-B1456)/B1456</f>
        <v/>
      </c>
      <c r="D1457" s="40">
        <f>((1+Table26[[#This Row],[Weekly change]])^52)-1</f>
        <v/>
      </c>
      <c r="E1457" s="85">
        <f>(Table26[[#This Row],[M2 Money Stock, Billions of Dollars, Weekly, Seasonally Adjusted]]-B1405)/B1405</f>
        <v/>
      </c>
    </row>
    <row r="1458">
      <c r="A1458" s="37" t="n">
        <v>39685</v>
      </c>
      <c r="B1458" s="84" t="n">
        <v>7778.6</v>
      </c>
      <c r="C1458" s="39">
        <f>(Table26[[#This Row],[M2 Money Stock, Billions of Dollars, Weekly, Seasonally Adjusted]]-B1457)/B1457</f>
        <v/>
      </c>
      <c r="D1458" s="40">
        <f>((1+Table26[[#This Row],[Weekly change]])^52)-1</f>
        <v/>
      </c>
      <c r="E1458" s="85">
        <f>(Table26[[#This Row],[M2 Money Stock, Billions of Dollars, Weekly, Seasonally Adjusted]]-B1406)/B1406</f>
        <v/>
      </c>
    </row>
    <row r="1459">
      <c r="A1459" s="37" t="n">
        <v>39692</v>
      </c>
      <c r="B1459" s="84" t="n">
        <v>7771.6</v>
      </c>
      <c r="C1459" s="39">
        <f>(Table26[[#This Row],[M2 Money Stock, Billions of Dollars, Weekly, Seasonally Adjusted]]-B1458)/B1458</f>
        <v/>
      </c>
      <c r="D1459" s="40">
        <f>((1+Table26[[#This Row],[Weekly change]])^52)-1</f>
        <v/>
      </c>
      <c r="E1459" s="85">
        <f>(Table26[[#This Row],[M2 Money Stock, Billions of Dollars, Weekly, Seasonally Adjusted]]-B1407)/B1407</f>
        <v/>
      </c>
    </row>
    <row r="1460">
      <c r="A1460" s="37" t="n">
        <v>39699</v>
      </c>
      <c r="B1460" s="84" t="n">
        <v>7752.5</v>
      </c>
      <c r="C1460" s="39">
        <f>(Table26[[#This Row],[M2 Money Stock, Billions of Dollars, Weekly, Seasonally Adjusted]]-B1459)/B1459</f>
        <v/>
      </c>
      <c r="D1460" s="40">
        <f>((1+Table26[[#This Row],[Weekly change]])^52)-1</f>
        <v/>
      </c>
      <c r="E1460" s="85">
        <f>(Table26[[#This Row],[M2 Money Stock, Billions of Dollars, Weekly, Seasonally Adjusted]]-B1408)/B1408</f>
        <v/>
      </c>
    </row>
    <row r="1461">
      <c r="A1461" s="37" t="n">
        <v>39706</v>
      </c>
      <c r="B1461" s="84" t="n">
        <v>7768.3</v>
      </c>
      <c r="C1461" s="39">
        <f>(Table26[[#This Row],[M2 Money Stock, Billions of Dollars, Weekly, Seasonally Adjusted]]-B1460)/B1460</f>
        <v/>
      </c>
      <c r="D1461" s="40">
        <f>((1+Table26[[#This Row],[Weekly change]])^52)-1</f>
        <v/>
      </c>
      <c r="E1461" s="85">
        <f>(Table26[[#This Row],[M2 Money Stock, Billions of Dollars, Weekly, Seasonally Adjusted]]-B1409)/B1409</f>
        <v/>
      </c>
    </row>
    <row r="1462">
      <c r="A1462" s="37" t="n">
        <v>39713</v>
      </c>
      <c r="B1462" s="84" t="n">
        <v>7929</v>
      </c>
      <c r="C1462" s="39">
        <f>(Table26[[#This Row],[M2 Money Stock, Billions of Dollars, Weekly, Seasonally Adjusted]]-B1461)/B1461</f>
        <v/>
      </c>
      <c r="D1462" s="40">
        <f>((1+Table26[[#This Row],[Weekly change]])^52)-1</f>
        <v/>
      </c>
      <c r="E1462" s="85">
        <f>(Table26[[#This Row],[M2 Money Stock, Billions of Dollars, Weekly, Seasonally Adjusted]]-B1410)/B1410</f>
        <v/>
      </c>
    </row>
    <row r="1463">
      <c r="A1463" s="37" t="n">
        <v>39720</v>
      </c>
      <c r="B1463" s="84" t="n">
        <v>7936.1</v>
      </c>
      <c r="C1463" s="39">
        <f>(Table26[[#This Row],[M2 Money Stock, Billions of Dollars, Weekly, Seasonally Adjusted]]-B1462)/B1462</f>
        <v/>
      </c>
      <c r="D1463" s="40">
        <f>((1+Table26[[#This Row],[Weekly change]])^52)-1</f>
        <v/>
      </c>
      <c r="E1463" s="85">
        <f>(Table26[[#This Row],[M2 Money Stock, Billions of Dollars, Weekly, Seasonally Adjusted]]-B1411)/B1411</f>
        <v/>
      </c>
    </row>
    <row r="1464">
      <c r="A1464" s="37" t="n">
        <v>39727</v>
      </c>
      <c r="B1464" s="84" t="n">
        <v>7905</v>
      </c>
      <c r="C1464" s="39">
        <f>(Table26[[#This Row],[M2 Money Stock, Billions of Dollars, Weekly, Seasonally Adjusted]]-B1463)/B1463</f>
        <v/>
      </c>
      <c r="D1464" s="40">
        <f>((1+Table26[[#This Row],[Weekly change]])^52)-1</f>
        <v/>
      </c>
      <c r="E1464" s="85">
        <f>(Table26[[#This Row],[M2 Money Stock, Billions of Dollars, Weekly, Seasonally Adjusted]]-B1412)/B1412</f>
        <v/>
      </c>
    </row>
    <row r="1465">
      <c r="A1465" s="37" t="n">
        <v>39734</v>
      </c>
      <c r="B1465" s="84" t="n">
        <v>7947.6</v>
      </c>
      <c r="C1465" s="39">
        <f>(Table26[[#This Row],[M2 Money Stock, Billions of Dollars, Weekly, Seasonally Adjusted]]-B1464)/B1464</f>
        <v/>
      </c>
      <c r="D1465" s="40">
        <f>((1+Table26[[#This Row],[Weekly change]])^52)-1</f>
        <v/>
      </c>
      <c r="E1465" s="85">
        <f>(Table26[[#This Row],[M2 Money Stock, Billions of Dollars, Weekly, Seasonally Adjusted]]-B1413)/B1413</f>
        <v/>
      </c>
    </row>
    <row r="1466">
      <c r="A1466" s="37" t="n">
        <v>39741</v>
      </c>
      <c r="B1466" s="84" t="n">
        <v>7991.2</v>
      </c>
      <c r="C1466" s="39">
        <f>(Table26[[#This Row],[M2 Money Stock, Billions of Dollars, Weekly, Seasonally Adjusted]]-B1465)/B1465</f>
        <v/>
      </c>
      <c r="D1466" s="40">
        <f>((1+Table26[[#This Row],[Weekly change]])^52)-1</f>
        <v/>
      </c>
      <c r="E1466" s="85">
        <f>(Table26[[#This Row],[M2 Money Stock, Billions of Dollars, Weekly, Seasonally Adjusted]]-B1414)/B1414</f>
        <v/>
      </c>
    </row>
    <row r="1467">
      <c r="A1467" s="37" t="n">
        <v>39748</v>
      </c>
      <c r="B1467" s="84" t="n">
        <v>7963.6</v>
      </c>
      <c r="C1467" s="39">
        <f>(Table26[[#This Row],[M2 Money Stock, Billions of Dollars, Weekly, Seasonally Adjusted]]-B1466)/B1466</f>
        <v/>
      </c>
      <c r="D1467" s="40">
        <f>((1+Table26[[#This Row],[Weekly change]])^52)-1</f>
        <v/>
      </c>
      <c r="E1467" s="85">
        <f>(Table26[[#This Row],[M2 Money Stock, Billions of Dollars, Weekly, Seasonally Adjusted]]-B1415)/B1415</f>
        <v/>
      </c>
    </row>
    <row r="1468">
      <c r="A1468" s="37" t="n">
        <v>39755</v>
      </c>
      <c r="B1468" s="84" t="n">
        <v>7956.5</v>
      </c>
      <c r="C1468" s="39">
        <f>(Table26[[#This Row],[M2 Money Stock, Billions of Dollars, Weekly, Seasonally Adjusted]]-B1467)/B1467</f>
        <v/>
      </c>
      <c r="D1468" s="40">
        <f>((1+Table26[[#This Row],[Weekly change]])^52)-1</f>
        <v/>
      </c>
      <c r="E1468" s="85">
        <f>(Table26[[#This Row],[M2 Money Stock, Billions of Dollars, Weekly, Seasonally Adjusted]]-B1416)/B1416</f>
        <v/>
      </c>
    </row>
    <row r="1469">
      <c r="A1469" s="37" t="n">
        <v>39762</v>
      </c>
      <c r="B1469" s="84" t="n">
        <v>7970.2</v>
      </c>
      <c r="C1469" s="39">
        <f>(Table26[[#This Row],[M2 Money Stock, Billions of Dollars, Weekly, Seasonally Adjusted]]-B1468)/B1468</f>
        <v/>
      </c>
      <c r="D1469" s="40">
        <f>((1+Table26[[#This Row],[Weekly change]])^52)-1</f>
        <v/>
      </c>
      <c r="E1469" s="85">
        <f>(Table26[[#This Row],[M2 Money Stock, Billions of Dollars, Weekly, Seasonally Adjusted]]-B1417)/B1417</f>
        <v/>
      </c>
    </row>
    <row r="1470">
      <c r="A1470" s="37" t="n">
        <v>39769</v>
      </c>
      <c r="B1470" s="84" t="n">
        <v>7988.3</v>
      </c>
      <c r="C1470" s="39">
        <f>(Table26[[#This Row],[M2 Money Stock, Billions of Dollars, Weekly, Seasonally Adjusted]]-B1469)/B1469</f>
        <v/>
      </c>
      <c r="D1470" s="40">
        <f>((1+Table26[[#This Row],[Weekly change]])^52)-1</f>
        <v/>
      </c>
      <c r="E1470" s="85">
        <f>(Table26[[#This Row],[M2 Money Stock, Billions of Dollars, Weekly, Seasonally Adjusted]]-B1418)/B1418</f>
        <v/>
      </c>
    </row>
    <row r="1471">
      <c r="A1471" s="37" t="n">
        <v>39776</v>
      </c>
      <c r="B1471" s="84" t="n">
        <v>8017.1</v>
      </c>
      <c r="C1471" s="39">
        <f>(Table26[[#This Row],[M2 Money Stock, Billions of Dollars, Weekly, Seasonally Adjusted]]-B1470)/B1470</f>
        <v/>
      </c>
      <c r="D1471" s="40">
        <f>((1+Table26[[#This Row],[Weekly change]])^52)-1</f>
        <v/>
      </c>
      <c r="E1471" s="85">
        <f>(Table26[[#This Row],[M2 Money Stock, Billions of Dollars, Weekly, Seasonally Adjusted]]-B1419)/B1419</f>
        <v/>
      </c>
    </row>
    <row r="1472">
      <c r="A1472" s="37" t="n">
        <v>39783</v>
      </c>
      <c r="B1472" s="84" t="n">
        <v>8073.5</v>
      </c>
      <c r="C1472" s="39">
        <f>(Table26[[#This Row],[M2 Money Stock, Billions of Dollars, Weekly, Seasonally Adjusted]]-B1471)/B1471</f>
        <v/>
      </c>
      <c r="D1472" s="40">
        <f>((1+Table26[[#This Row],[Weekly change]])^52)-1</f>
        <v/>
      </c>
      <c r="E1472" s="85">
        <f>(Table26[[#This Row],[M2 Money Stock, Billions of Dollars, Weekly, Seasonally Adjusted]]-B1420)/B1420</f>
        <v/>
      </c>
    </row>
    <row r="1473">
      <c r="A1473" s="37" t="n">
        <v>39790</v>
      </c>
      <c r="B1473" s="84" t="n">
        <v>8130.8</v>
      </c>
      <c r="C1473" s="39">
        <f>(Table26[[#This Row],[M2 Money Stock, Billions of Dollars, Weekly, Seasonally Adjusted]]-B1472)/B1472</f>
        <v/>
      </c>
      <c r="D1473" s="40">
        <f>((1+Table26[[#This Row],[Weekly change]])^52)-1</f>
        <v/>
      </c>
      <c r="E1473" s="85">
        <f>(Table26[[#This Row],[M2 Money Stock, Billions of Dollars, Weekly, Seasonally Adjusted]]-B1421)/B1421</f>
        <v/>
      </c>
    </row>
    <row r="1474">
      <c r="A1474" s="37" t="n">
        <v>39797</v>
      </c>
      <c r="B1474" s="84" t="n">
        <v>8171.7</v>
      </c>
      <c r="C1474" s="39">
        <f>(Table26[[#This Row],[M2 Money Stock, Billions of Dollars, Weekly, Seasonally Adjusted]]-B1473)/B1473</f>
        <v/>
      </c>
      <c r="D1474" s="40">
        <f>((1+Table26[[#This Row],[Weekly change]])^52)-1</f>
        <v/>
      </c>
      <c r="E1474" s="85">
        <f>(Table26[[#This Row],[M2 Money Stock, Billions of Dollars, Weekly, Seasonally Adjusted]]-B1422)/B1422</f>
        <v/>
      </c>
    </row>
    <row r="1475">
      <c r="A1475" s="37" t="n">
        <v>39804</v>
      </c>
      <c r="B1475" s="84" t="n">
        <v>8201.1</v>
      </c>
      <c r="C1475" s="39">
        <f>(Table26[[#This Row],[M2 Money Stock, Billions of Dollars, Weekly, Seasonally Adjusted]]-B1474)/B1474</f>
        <v/>
      </c>
      <c r="D1475" s="40">
        <f>((1+Table26[[#This Row],[Weekly change]])^52)-1</f>
        <v/>
      </c>
      <c r="E1475" s="85">
        <f>(Table26[[#This Row],[M2 Money Stock, Billions of Dollars, Weekly, Seasonally Adjusted]]-B1423)/B1423</f>
        <v/>
      </c>
    </row>
    <row r="1476">
      <c r="A1476" s="37" t="n">
        <v>39811</v>
      </c>
      <c r="B1476" s="84" t="n">
        <v>8216.5</v>
      </c>
      <c r="C1476" s="39">
        <f>(Table26[[#This Row],[M2 Money Stock, Billions of Dollars, Weekly, Seasonally Adjusted]]-B1475)/B1475</f>
        <v/>
      </c>
      <c r="D1476" s="40">
        <f>((1+Table26[[#This Row],[Weekly change]])^52)-1</f>
        <v/>
      </c>
      <c r="E1476" s="85">
        <f>(Table26[[#This Row],[M2 Money Stock, Billions of Dollars, Weekly, Seasonally Adjusted]]-B1424)/B1424</f>
        <v/>
      </c>
    </row>
    <row r="1477">
      <c r="A1477" s="37" t="n">
        <v>39818</v>
      </c>
      <c r="B1477" s="84" t="n">
        <v>8248.5</v>
      </c>
      <c r="C1477" s="39">
        <f>(Table26[[#This Row],[M2 Money Stock, Billions of Dollars, Weekly, Seasonally Adjusted]]-B1476)/B1476</f>
        <v/>
      </c>
      <c r="D1477" s="40">
        <f>((1+Table26[[#This Row],[Weekly change]])^52)-1</f>
        <v/>
      </c>
      <c r="E1477" s="85">
        <f>(Table26[[#This Row],[M2 Money Stock, Billions of Dollars, Weekly, Seasonally Adjusted]]-B1425)/B1425</f>
        <v/>
      </c>
    </row>
    <row r="1478">
      <c r="A1478" s="37" t="n">
        <v>39825</v>
      </c>
      <c r="B1478" s="84" t="n">
        <v>8243.9</v>
      </c>
      <c r="C1478" s="39">
        <f>(Table26[[#This Row],[M2 Money Stock, Billions of Dollars, Weekly, Seasonally Adjusted]]-B1477)/B1477</f>
        <v/>
      </c>
      <c r="D1478" s="40">
        <f>((1+Table26[[#This Row],[Weekly change]])^52)-1</f>
        <v/>
      </c>
      <c r="E1478" s="85">
        <f>(Table26[[#This Row],[M2 Money Stock, Billions of Dollars, Weekly, Seasonally Adjusted]]-B1426)/B1426</f>
        <v/>
      </c>
    </row>
    <row r="1479">
      <c r="A1479" s="37" t="n">
        <v>39832</v>
      </c>
      <c r="B1479" s="84" t="n">
        <v>8257.5</v>
      </c>
      <c r="C1479" s="39">
        <f>(Table26[[#This Row],[M2 Money Stock, Billions of Dollars, Weekly, Seasonally Adjusted]]-B1478)/B1478</f>
        <v/>
      </c>
      <c r="D1479" s="40">
        <f>((1+Table26[[#This Row],[Weekly change]])^52)-1</f>
        <v/>
      </c>
      <c r="E1479" s="85">
        <f>(Table26[[#This Row],[M2 Money Stock, Billions of Dollars, Weekly, Seasonally Adjusted]]-B1427)/B1427</f>
        <v/>
      </c>
    </row>
    <row r="1480">
      <c r="A1480" s="37" t="n">
        <v>39839</v>
      </c>
      <c r="B1480" s="84" t="n">
        <v>8283</v>
      </c>
      <c r="C1480" s="39">
        <f>(Table26[[#This Row],[M2 Money Stock, Billions of Dollars, Weekly, Seasonally Adjusted]]-B1479)/B1479</f>
        <v/>
      </c>
      <c r="D1480" s="40">
        <f>((1+Table26[[#This Row],[Weekly change]])^52)-1</f>
        <v/>
      </c>
      <c r="E1480" s="85">
        <f>(Table26[[#This Row],[M2 Money Stock, Billions of Dollars, Weekly, Seasonally Adjusted]]-B1428)/B1428</f>
        <v/>
      </c>
    </row>
    <row r="1481">
      <c r="A1481" s="37" t="n">
        <v>39846</v>
      </c>
      <c r="B1481" s="84" t="n">
        <v>8280.1</v>
      </c>
      <c r="C1481" s="39">
        <f>(Table26[[#This Row],[M2 Money Stock, Billions of Dollars, Weekly, Seasonally Adjusted]]-B1480)/B1480</f>
        <v/>
      </c>
      <c r="D1481" s="40">
        <f>((1+Table26[[#This Row],[Weekly change]])^52)-1</f>
        <v/>
      </c>
      <c r="E1481" s="85">
        <f>(Table26[[#This Row],[M2 Money Stock, Billions of Dollars, Weekly, Seasonally Adjusted]]-B1429)/B1429</f>
        <v/>
      </c>
    </row>
    <row r="1482">
      <c r="A1482" s="37" t="n">
        <v>39853</v>
      </c>
      <c r="B1482" s="84" t="n">
        <v>8283.6</v>
      </c>
      <c r="C1482" s="39">
        <f>(Table26[[#This Row],[M2 Money Stock, Billions of Dollars, Weekly, Seasonally Adjusted]]-B1481)/B1481</f>
        <v/>
      </c>
      <c r="D1482" s="40">
        <f>((1+Table26[[#This Row],[Weekly change]])^52)-1</f>
        <v/>
      </c>
      <c r="E1482" s="85">
        <f>(Table26[[#This Row],[M2 Money Stock, Billions of Dollars, Weekly, Seasonally Adjusted]]-B1430)/B1430</f>
        <v/>
      </c>
    </row>
    <row r="1483">
      <c r="A1483" s="37" t="n">
        <v>39860</v>
      </c>
      <c r="B1483" s="84" t="n">
        <v>8288.200000000001</v>
      </c>
      <c r="C1483" s="39">
        <f>(Table26[[#This Row],[M2 Money Stock, Billions of Dollars, Weekly, Seasonally Adjusted]]-B1482)/B1482</f>
        <v/>
      </c>
      <c r="D1483" s="40">
        <f>((1+Table26[[#This Row],[Weekly change]])^52)-1</f>
        <v/>
      </c>
      <c r="E1483" s="85">
        <f>(Table26[[#This Row],[M2 Money Stock, Billions of Dollars, Weekly, Seasonally Adjusted]]-B1431)/B1431</f>
        <v/>
      </c>
    </row>
    <row r="1484">
      <c r="A1484" s="37" t="n">
        <v>39867</v>
      </c>
      <c r="B1484" s="84" t="n">
        <v>8291</v>
      </c>
      <c r="C1484" s="39">
        <f>(Table26[[#This Row],[M2 Money Stock, Billions of Dollars, Weekly, Seasonally Adjusted]]-B1483)/B1483</f>
        <v/>
      </c>
      <c r="D1484" s="40">
        <f>((1+Table26[[#This Row],[Weekly change]])^52)-1</f>
        <v/>
      </c>
      <c r="E1484" s="85">
        <f>(Table26[[#This Row],[M2 Money Stock, Billions of Dollars, Weekly, Seasonally Adjusted]]-B1432)/B1432</f>
        <v/>
      </c>
    </row>
    <row r="1485">
      <c r="A1485" s="37" t="n">
        <v>39874</v>
      </c>
      <c r="B1485" s="84" t="n">
        <v>8313.200000000001</v>
      </c>
      <c r="C1485" s="39">
        <f>(Table26[[#This Row],[M2 Money Stock, Billions of Dollars, Weekly, Seasonally Adjusted]]-B1484)/B1484</f>
        <v/>
      </c>
      <c r="D1485" s="40">
        <f>((1+Table26[[#This Row],[Weekly change]])^52)-1</f>
        <v/>
      </c>
      <c r="E1485" s="85">
        <f>(Table26[[#This Row],[M2 Money Stock, Billions of Dollars, Weekly, Seasonally Adjusted]]-B1433)/B1433</f>
        <v/>
      </c>
    </row>
    <row r="1486">
      <c r="A1486" s="37" t="n">
        <v>39881</v>
      </c>
      <c r="B1486" s="84" t="n">
        <v>8350</v>
      </c>
      <c r="C1486" s="39">
        <f>(Table26[[#This Row],[M2 Money Stock, Billions of Dollars, Weekly, Seasonally Adjusted]]-B1485)/B1485</f>
        <v/>
      </c>
      <c r="D1486" s="40">
        <f>((1+Table26[[#This Row],[Weekly change]])^52)-1</f>
        <v/>
      </c>
      <c r="E1486" s="85">
        <f>(Table26[[#This Row],[M2 Money Stock, Billions of Dollars, Weekly, Seasonally Adjusted]]-B1434)/B1434</f>
        <v/>
      </c>
    </row>
    <row r="1487">
      <c r="A1487" s="37" t="n">
        <v>39888</v>
      </c>
      <c r="B1487" s="84" t="n">
        <v>8384.200000000001</v>
      </c>
      <c r="C1487" s="39">
        <f>(Table26[[#This Row],[M2 Money Stock, Billions of Dollars, Weekly, Seasonally Adjusted]]-B1486)/B1486</f>
        <v/>
      </c>
      <c r="D1487" s="40">
        <f>((1+Table26[[#This Row],[Weekly change]])^52)-1</f>
        <v/>
      </c>
      <c r="E1487" s="85">
        <f>(Table26[[#This Row],[M2 Money Stock, Billions of Dollars, Weekly, Seasonally Adjusted]]-B1435)/B1435</f>
        <v/>
      </c>
    </row>
    <row r="1488">
      <c r="A1488" s="37" t="n">
        <v>39895</v>
      </c>
      <c r="B1488" s="84" t="n">
        <v>8372.1</v>
      </c>
      <c r="C1488" s="39">
        <f>(Table26[[#This Row],[M2 Money Stock, Billions of Dollars, Weekly, Seasonally Adjusted]]-B1487)/B1487</f>
        <v/>
      </c>
      <c r="D1488" s="40">
        <f>((1+Table26[[#This Row],[Weekly change]])^52)-1</f>
        <v/>
      </c>
      <c r="E1488" s="85">
        <f>(Table26[[#This Row],[M2 Money Stock, Billions of Dollars, Weekly, Seasonally Adjusted]]-B1436)/B1436</f>
        <v/>
      </c>
    </row>
    <row r="1489">
      <c r="A1489" s="37" t="n">
        <v>39902</v>
      </c>
      <c r="B1489" s="84" t="n">
        <v>8339.6</v>
      </c>
      <c r="C1489" s="39">
        <f>(Table26[[#This Row],[M2 Money Stock, Billions of Dollars, Weekly, Seasonally Adjusted]]-B1488)/B1488</f>
        <v/>
      </c>
      <c r="D1489" s="40">
        <f>((1+Table26[[#This Row],[Weekly change]])^52)-1</f>
        <v/>
      </c>
      <c r="E1489" s="85">
        <f>(Table26[[#This Row],[M2 Money Stock, Billions of Dollars, Weekly, Seasonally Adjusted]]-B1437)/B1437</f>
        <v/>
      </c>
    </row>
    <row r="1490">
      <c r="A1490" s="37" t="n">
        <v>39909</v>
      </c>
      <c r="B1490" s="84" t="n">
        <v>8340.799999999999</v>
      </c>
      <c r="C1490" s="39">
        <f>(Table26[[#This Row],[M2 Money Stock, Billions of Dollars, Weekly, Seasonally Adjusted]]-B1489)/B1489</f>
        <v/>
      </c>
      <c r="D1490" s="40">
        <f>((1+Table26[[#This Row],[Weekly change]])^52)-1</f>
        <v/>
      </c>
      <c r="E1490" s="85">
        <f>(Table26[[#This Row],[M2 Money Stock, Billions of Dollars, Weekly, Seasonally Adjusted]]-B1438)/B1438</f>
        <v/>
      </c>
    </row>
    <row r="1491">
      <c r="A1491" s="37" t="n">
        <v>39916</v>
      </c>
      <c r="B1491" s="84" t="n">
        <v>8350.200000000001</v>
      </c>
      <c r="C1491" s="39">
        <f>(Table26[[#This Row],[M2 Money Stock, Billions of Dollars, Weekly, Seasonally Adjusted]]-B1490)/B1490</f>
        <v/>
      </c>
      <c r="D1491" s="40">
        <f>((1+Table26[[#This Row],[Weekly change]])^52)-1</f>
        <v/>
      </c>
      <c r="E1491" s="85">
        <f>(Table26[[#This Row],[M2 Money Stock, Billions of Dollars, Weekly, Seasonally Adjusted]]-B1439)/B1439</f>
        <v/>
      </c>
    </row>
    <row r="1492">
      <c r="A1492" s="37" t="n">
        <v>39923</v>
      </c>
      <c r="B1492" s="84" t="n">
        <v>8362.5</v>
      </c>
      <c r="C1492" s="39">
        <f>(Table26[[#This Row],[M2 Money Stock, Billions of Dollars, Weekly, Seasonally Adjusted]]-B1491)/B1491</f>
        <v/>
      </c>
      <c r="D1492" s="40">
        <f>((1+Table26[[#This Row],[Weekly change]])^52)-1</f>
        <v/>
      </c>
      <c r="E1492" s="85">
        <f>(Table26[[#This Row],[M2 Money Stock, Billions of Dollars, Weekly, Seasonally Adjusted]]-B1440)/B1440</f>
        <v/>
      </c>
    </row>
    <row r="1493">
      <c r="A1493" s="37" t="n">
        <v>39930</v>
      </c>
      <c r="B1493" s="84" t="n">
        <v>8370.200000000001</v>
      </c>
      <c r="C1493" s="39">
        <f>(Table26[[#This Row],[M2 Money Stock, Billions of Dollars, Weekly, Seasonally Adjusted]]-B1492)/B1492</f>
        <v/>
      </c>
      <c r="D1493" s="40">
        <f>((1+Table26[[#This Row],[Weekly change]])^52)-1</f>
        <v/>
      </c>
      <c r="E1493" s="85">
        <f>(Table26[[#This Row],[M2 Money Stock, Billions of Dollars, Weekly, Seasonally Adjusted]]-B1441)/B1441</f>
        <v/>
      </c>
    </row>
    <row r="1494">
      <c r="A1494" s="37" t="n">
        <v>39937</v>
      </c>
      <c r="B1494" s="84" t="n">
        <v>8398.799999999999</v>
      </c>
      <c r="C1494" s="39">
        <f>(Table26[[#This Row],[M2 Money Stock, Billions of Dollars, Weekly, Seasonally Adjusted]]-B1493)/B1493</f>
        <v/>
      </c>
      <c r="D1494" s="40">
        <f>((1+Table26[[#This Row],[Weekly change]])^52)-1</f>
        <v/>
      </c>
      <c r="E1494" s="85">
        <f>(Table26[[#This Row],[M2 Money Stock, Billions of Dollars, Weekly, Seasonally Adjusted]]-B1442)/B1442</f>
        <v/>
      </c>
    </row>
    <row r="1495">
      <c r="A1495" s="37" t="n">
        <v>39944</v>
      </c>
      <c r="B1495" s="84" t="n">
        <v>8413.5</v>
      </c>
      <c r="C1495" s="39">
        <f>(Table26[[#This Row],[M2 Money Stock, Billions of Dollars, Weekly, Seasonally Adjusted]]-B1494)/B1494</f>
        <v/>
      </c>
      <c r="D1495" s="40">
        <f>((1+Table26[[#This Row],[Weekly change]])^52)-1</f>
        <v/>
      </c>
      <c r="E1495" s="85">
        <f>(Table26[[#This Row],[M2 Money Stock, Billions of Dollars, Weekly, Seasonally Adjusted]]-B1443)/B1443</f>
        <v/>
      </c>
    </row>
    <row r="1496">
      <c r="A1496" s="37" t="n">
        <v>39951</v>
      </c>
      <c r="B1496" s="84" t="n">
        <v>8414.700000000001</v>
      </c>
      <c r="C1496" s="39">
        <f>(Table26[[#This Row],[M2 Money Stock, Billions of Dollars, Weekly, Seasonally Adjusted]]-B1495)/B1495</f>
        <v/>
      </c>
      <c r="D1496" s="40">
        <f>((1+Table26[[#This Row],[Weekly change]])^52)-1</f>
        <v/>
      </c>
      <c r="E1496" s="85">
        <f>(Table26[[#This Row],[M2 Money Stock, Billions of Dollars, Weekly, Seasonally Adjusted]]-B1444)/B1444</f>
        <v/>
      </c>
    </row>
    <row r="1497">
      <c r="A1497" s="37" t="n">
        <v>39958</v>
      </c>
      <c r="B1497" s="84" t="n">
        <v>8428.200000000001</v>
      </c>
      <c r="C1497" s="39">
        <f>(Table26[[#This Row],[M2 Money Stock, Billions of Dollars, Weekly, Seasonally Adjusted]]-B1496)/B1496</f>
        <v/>
      </c>
      <c r="D1497" s="40">
        <f>((1+Table26[[#This Row],[Weekly change]])^52)-1</f>
        <v/>
      </c>
      <c r="E1497" s="85">
        <f>(Table26[[#This Row],[M2 Money Stock, Billions of Dollars, Weekly, Seasonally Adjusted]]-B1445)/B1445</f>
        <v/>
      </c>
    </row>
    <row r="1498">
      <c r="A1498" s="37" t="n">
        <v>39965</v>
      </c>
      <c r="B1498" s="84" t="n">
        <v>8429.1</v>
      </c>
      <c r="C1498" s="39">
        <f>(Table26[[#This Row],[M2 Money Stock, Billions of Dollars, Weekly, Seasonally Adjusted]]-B1497)/B1497</f>
        <v/>
      </c>
      <c r="D1498" s="40">
        <f>((1+Table26[[#This Row],[Weekly change]])^52)-1</f>
        <v/>
      </c>
      <c r="E1498" s="85">
        <f>(Table26[[#This Row],[M2 Money Stock, Billions of Dollars, Weekly, Seasonally Adjusted]]-B1446)/B1446</f>
        <v/>
      </c>
    </row>
    <row r="1499">
      <c r="A1499" s="37" t="n">
        <v>39972</v>
      </c>
      <c r="B1499" s="84" t="n">
        <v>8439.299999999999</v>
      </c>
      <c r="C1499" s="39">
        <f>(Table26[[#This Row],[M2 Money Stock, Billions of Dollars, Weekly, Seasonally Adjusted]]-B1498)/B1498</f>
        <v/>
      </c>
      <c r="D1499" s="40">
        <f>((1+Table26[[#This Row],[Weekly change]])^52)-1</f>
        <v/>
      </c>
      <c r="E1499" s="85">
        <f>(Table26[[#This Row],[M2 Money Stock, Billions of Dollars, Weekly, Seasonally Adjusted]]-B1447)/B1447</f>
        <v/>
      </c>
    </row>
    <row r="1500">
      <c r="A1500" s="37" t="n">
        <v>39979</v>
      </c>
      <c r="B1500" s="84" t="n">
        <v>8439</v>
      </c>
      <c r="C1500" s="39">
        <f>(Table26[[#This Row],[M2 Money Stock, Billions of Dollars, Weekly, Seasonally Adjusted]]-B1499)/B1499</f>
        <v/>
      </c>
      <c r="D1500" s="40">
        <f>((1+Table26[[#This Row],[Weekly change]])^52)-1</f>
        <v/>
      </c>
      <c r="E1500" s="85">
        <f>(Table26[[#This Row],[M2 Money Stock, Billions of Dollars, Weekly, Seasonally Adjusted]]-B1448)/B1448</f>
        <v/>
      </c>
    </row>
    <row r="1501">
      <c r="A1501" s="37" t="n">
        <v>39986</v>
      </c>
      <c r="B1501" s="84" t="n">
        <v>8430.4</v>
      </c>
      <c r="C1501" s="39">
        <f>(Table26[[#This Row],[M2 Money Stock, Billions of Dollars, Weekly, Seasonally Adjusted]]-B1500)/B1500</f>
        <v/>
      </c>
      <c r="D1501" s="40">
        <f>((1+Table26[[#This Row],[Weekly change]])^52)-1</f>
        <v/>
      </c>
      <c r="E1501" s="85">
        <f>(Table26[[#This Row],[M2 Money Stock, Billions of Dollars, Weekly, Seasonally Adjusted]]-B1449)/B1449</f>
        <v/>
      </c>
    </row>
    <row r="1502">
      <c r="A1502" s="37" t="n">
        <v>39993</v>
      </c>
      <c r="B1502" s="84" t="n">
        <v>8403.4</v>
      </c>
      <c r="C1502" s="39">
        <f>(Table26[[#This Row],[M2 Money Stock, Billions of Dollars, Weekly, Seasonally Adjusted]]-B1501)/B1501</f>
        <v/>
      </c>
      <c r="D1502" s="40">
        <f>((1+Table26[[#This Row],[Weekly change]])^52)-1</f>
        <v/>
      </c>
      <c r="E1502" s="85">
        <f>(Table26[[#This Row],[M2 Money Stock, Billions of Dollars, Weekly, Seasonally Adjusted]]-B1450)/B1450</f>
        <v/>
      </c>
    </row>
    <row r="1503">
      <c r="A1503" s="37" t="n">
        <v>40000</v>
      </c>
      <c r="B1503" s="84" t="n">
        <v>8419.299999999999</v>
      </c>
      <c r="C1503" s="39">
        <f>(Table26[[#This Row],[M2 Money Stock, Billions of Dollars, Weekly, Seasonally Adjusted]]-B1502)/B1502</f>
        <v/>
      </c>
      <c r="D1503" s="40">
        <f>((1+Table26[[#This Row],[Weekly change]])^52)-1</f>
        <v/>
      </c>
      <c r="E1503" s="85">
        <f>(Table26[[#This Row],[M2 Money Stock, Billions of Dollars, Weekly, Seasonally Adjusted]]-B1451)/B1451</f>
        <v/>
      </c>
    </row>
    <row r="1504">
      <c r="A1504" s="37" t="n">
        <v>40007</v>
      </c>
      <c r="B1504" s="84" t="n">
        <v>8422.5</v>
      </c>
      <c r="C1504" s="39">
        <f>(Table26[[#This Row],[M2 Money Stock, Billions of Dollars, Weekly, Seasonally Adjusted]]-B1503)/B1503</f>
        <v/>
      </c>
      <c r="D1504" s="40">
        <f>((1+Table26[[#This Row],[Weekly change]])^52)-1</f>
        <v/>
      </c>
      <c r="E1504" s="85">
        <f>(Table26[[#This Row],[M2 Money Stock, Billions of Dollars, Weekly, Seasonally Adjusted]]-B1452)/B1452</f>
        <v/>
      </c>
    </row>
    <row r="1505">
      <c r="A1505" s="37" t="n">
        <v>40014</v>
      </c>
      <c r="B1505" s="84" t="n">
        <v>8434.700000000001</v>
      </c>
      <c r="C1505" s="39">
        <f>(Table26[[#This Row],[M2 Money Stock, Billions of Dollars, Weekly, Seasonally Adjusted]]-B1504)/B1504</f>
        <v/>
      </c>
      <c r="D1505" s="40">
        <f>((1+Table26[[#This Row],[Weekly change]])^52)-1</f>
        <v/>
      </c>
      <c r="E1505" s="85">
        <f>(Table26[[#This Row],[M2 Money Stock, Billions of Dollars, Weekly, Seasonally Adjusted]]-B1453)/B1453</f>
        <v/>
      </c>
    </row>
    <row r="1506">
      <c r="A1506" s="37" t="n">
        <v>40021</v>
      </c>
      <c r="B1506" s="84" t="n">
        <v>8450.5</v>
      </c>
      <c r="C1506" s="39">
        <f>(Table26[[#This Row],[M2 Money Stock, Billions of Dollars, Weekly, Seasonally Adjusted]]-B1505)/B1505</f>
        <v/>
      </c>
      <c r="D1506" s="40">
        <f>((1+Table26[[#This Row],[Weekly change]])^52)-1</f>
        <v/>
      </c>
      <c r="E1506" s="85">
        <f>(Table26[[#This Row],[M2 Money Stock, Billions of Dollars, Weekly, Seasonally Adjusted]]-B1454)/B1454</f>
        <v/>
      </c>
    </row>
    <row r="1507">
      <c r="A1507" s="37" t="n">
        <v>40028</v>
      </c>
      <c r="B1507" s="84" t="n">
        <v>8434.700000000001</v>
      </c>
      <c r="C1507" s="39">
        <f>(Table26[[#This Row],[M2 Money Stock, Billions of Dollars, Weekly, Seasonally Adjusted]]-B1506)/B1506</f>
        <v/>
      </c>
      <c r="D1507" s="40">
        <f>((1+Table26[[#This Row],[Weekly change]])^52)-1</f>
        <v/>
      </c>
      <c r="E1507" s="85">
        <f>(Table26[[#This Row],[M2 Money Stock, Billions of Dollars, Weekly, Seasonally Adjusted]]-B1455)/B1455</f>
        <v/>
      </c>
    </row>
    <row r="1508">
      <c r="A1508" s="37" t="n">
        <v>40035</v>
      </c>
      <c r="B1508" s="84" t="n">
        <v>8442.9</v>
      </c>
      <c r="C1508" s="39">
        <f>(Table26[[#This Row],[M2 Money Stock, Billions of Dollars, Weekly, Seasonally Adjusted]]-B1507)/B1507</f>
        <v/>
      </c>
      <c r="D1508" s="40">
        <f>((1+Table26[[#This Row],[Weekly change]])^52)-1</f>
        <v/>
      </c>
      <c r="E1508" s="85">
        <f>(Table26[[#This Row],[M2 Money Stock, Billions of Dollars, Weekly, Seasonally Adjusted]]-B1456)/B1456</f>
        <v/>
      </c>
    </row>
    <row r="1509">
      <c r="A1509" s="37" t="n">
        <v>40042</v>
      </c>
      <c r="B1509" s="84" t="n">
        <v>8444.299999999999</v>
      </c>
      <c r="C1509" s="39">
        <f>(Table26[[#This Row],[M2 Money Stock, Billions of Dollars, Weekly, Seasonally Adjusted]]-B1508)/B1508</f>
        <v/>
      </c>
      <c r="D1509" s="40">
        <f>((1+Table26[[#This Row],[Weekly change]])^52)-1</f>
        <v/>
      </c>
      <c r="E1509" s="85">
        <f>(Table26[[#This Row],[M2 Money Stock, Billions of Dollars, Weekly, Seasonally Adjusted]]-B1457)/B1457</f>
        <v/>
      </c>
    </row>
    <row r="1510">
      <c r="A1510" s="37" t="n">
        <v>40049</v>
      </c>
      <c r="B1510" s="84" t="n">
        <v>8417.9</v>
      </c>
      <c r="C1510" s="39">
        <f>(Table26[[#This Row],[M2 Money Stock, Billions of Dollars, Weekly, Seasonally Adjusted]]-B1509)/B1509</f>
        <v/>
      </c>
      <c r="D1510" s="40">
        <f>((1+Table26[[#This Row],[Weekly change]])^52)-1</f>
        <v/>
      </c>
      <c r="E1510" s="85">
        <f>(Table26[[#This Row],[M2 Money Stock, Billions of Dollars, Weekly, Seasonally Adjusted]]-B1458)/B1458</f>
        <v/>
      </c>
    </row>
    <row r="1511">
      <c r="A1511" s="37" t="n">
        <v>40056</v>
      </c>
      <c r="B1511" s="84" t="n">
        <v>8422.5</v>
      </c>
      <c r="C1511" s="39">
        <f>(Table26[[#This Row],[M2 Money Stock, Billions of Dollars, Weekly, Seasonally Adjusted]]-B1510)/B1510</f>
        <v/>
      </c>
      <c r="D1511" s="40">
        <f>((1+Table26[[#This Row],[Weekly change]])^52)-1</f>
        <v/>
      </c>
      <c r="E1511" s="85">
        <f>(Table26[[#This Row],[M2 Money Stock, Billions of Dollars, Weekly, Seasonally Adjusted]]-B1459)/B1459</f>
        <v/>
      </c>
    </row>
    <row r="1512">
      <c r="A1512" s="37" t="n">
        <v>40063</v>
      </c>
      <c r="B1512" s="84" t="n">
        <v>8423.799999999999</v>
      </c>
      <c r="C1512" s="39">
        <f>(Table26[[#This Row],[M2 Money Stock, Billions of Dollars, Weekly, Seasonally Adjusted]]-B1511)/B1511</f>
        <v/>
      </c>
      <c r="D1512" s="40">
        <f>((1+Table26[[#This Row],[Weekly change]])^52)-1</f>
        <v/>
      </c>
      <c r="E1512" s="85">
        <f>(Table26[[#This Row],[M2 Money Stock, Billions of Dollars, Weekly, Seasonally Adjusted]]-B1460)/B1460</f>
        <v/>
      </c>
    </row>
    <row r="1513">
      <c r="A1513" s="37" t="n">
        <v>40070</v>
      </c>
      <c r="B1513" s="84" t="n">
        <v>8436</v>
      </c>
      <c r="C1513" s="39">
        <f>(Table26[[#This Row],[M2 Money Stock, Billions of Dollars, Weekly, Seasonally Adjusted]]-B1512)/B1512</f>
        <v/>
      </c>
      <c r="D1513" s="40">
        <f>((1+Table26[[#This Row],[Weekly change]])^52)-1</f>
        <v/>
      </c>
      <c r="E1513" s="85">
        <f>(Table26[[#This Row],[M2 Money Stock, Billions of Dollars, Weekly, Seasonally Adjusted]]-B1461)/B1461</f>
        <v/>
      </c>
    </row>
    <row r="1514">
      <c r="A1514" s="37" t="n">
        <v>40077</v>
      </c>
      <c r="B1514" s="84" t="n">
        <v>8434</v>
      </c>
      <c r="C1514" s="39">
        <f>(Table26[[#This Row],[M2 Money Stock, Billions of Dollars, Weekly, Seasonally Adjusted]]-B1513)/B1513</f>
        <v/>
      </c>
      <c r="D1514" s="40">
        <f>((1+Table26[[#This Row],[Weekly change]])^52)-1</f>
        <v/>
      </c>
      <c r="E1514" s="85">
        <f>(Table26[[#This Row],[M2 Money Stock, Billions of Dollars, Weekly, Seasonally Adjusted]]-B1462)/B1462</f>
        <v/>
      </c>
    </row>
    <row r="1515">
      <c r="A1515" s="37" t="n">
        <v>40084</v>
      </c>
      <c r="B1515" s="84" t="n">
        <v>8431.1</v>
      </c>
      <c r="C1515" s="39">
        <f>(Table26[[#This Row],[M2 Money Stock, Billions of Dollars, Weekly, Seasonally Adjusted]]-B1514)/B1514</f>
        <v/>
      </c>
      <c r="D1515" s="40">
        <f>((1+Table26[[#This Row],[Weekly change]])^52)-1</f>
        <v/>
      </c>
      <c r="E1515" s="85">
        <f>(Table26[[#This Row],[M2 Money Stock, Billions of Dollars, Weekly, Seasonally Adjusted]]-B1463)/B1463</f>
        <v/>
      </c>
    </row>
    <row r="1516">
      <c r="A1516" s="37" t="n">
        <v>40091</v>
      </c>
      <c r="B1516" s="84" t="n">
        <v>8435.1</v>
      </c>
      <c r="C1516" s="39">
        <f>(Table26[[#This Row],[M2 Money Stock, Billions of Dollars, Weekly, Seasonally Adjusted]]-B1515)/B1515</f>
        <v/>
      </c>
      <c r="D1516" s="40">
        <f>((1+Table26[[#This Row],[Weekly change]])^52)-1</f>
        <v/>
      </c>
      <c r="E1516" s="85">
        <f>(Table26[[#This Row],[M2 Money Stock, Billions of Dollars, Weekly, Seasonally Adjusted]]-B1464)/B1464</f>
        <v/>
      </c>
    </row>
    <row r="1517">
      <c r="A1517" s="37" t="n">
        <v>40098</v>
      </c>
      <c r="B1517" s="84" t="n">
        <v>8448.799999999999</v>
      </c>
      <c r="C1517" s="39">
        <f>(Table26[[#This Row],[M2 Money Stock, Billions of Dollars, Weekly, Seasonally Adjusted]]-B1516)/B1516</f>
        <v/>
      </c>
      <c r="D1517" s="40">
        <f>((1+Table26[[#This Row],[Weekly change]])^52)-1</f>
        <v/>
      </c>
      <c r="E1517" s="85">
        <f>(Table26[[#This Row],[M2 Money Stock, Billions of Dollars, Weekly, Seasonally Adjusted]]-B1465)/B1465</f>
        <v/>
      </c>
    </row>
    <row r="1518">
      <c r="A1518" s="37" t="n">
        <v>40105</v>
      </c>
      <c r="B1518" s="84" t="n">
        <v>8464.1</v>
      </c>
      <c r="C1518" s="39">
        <f>(Table26[[#This Row],[M2 Money Stock, Billions of Dollars, Weekly, Seasonally Adjusted]]-B1517)/B1517</f>
        <v/>
      </c>
      <c r="D1518" s="40">
        <f>((1+Table26[[#This Row],[Weekly change]])^52)-1</f>
        <v/>
      </c>
      <c r="E1518" s="85">
        <f>(Table26[[#This Row],[M2 Money Stock, Billions of Dollars, Weekly, Seasonally Adjusted]]-B1466)/B1466</f>
        <v/>
      </c>
    </row>
    <row r="1519">
      <c r="A1519" s="37" t="n">
        <v>40112</v>
      </c>
      <c r="B1519" s="84" t="n">
        <v>8470.700000000001</v>
      </c>
      <c r="C1519" s="39">
        <f>(Table26[[#This Row],[M2 Money Stock, Billions of Dollars, Weekly, Seasonally Adjusted]]-B1518)/B1518</f>
        <v/>
      </c>
      <c r="D1519" s="40">
        <f>((1+Table26[[#This Row],[Weekly change]])^52)-1</f>
        <v/>
      </c>
      <c r="E1519" s="85">
        <f>(Table26[[#This Row],[M2 Money Stock, Billions of Dollars, Weekly, Seasonally Adjusted]]-B1467)/B1467</f>
        <v/>
      </c>
    </row>
    <row r="1520">
      <c r="A1520" s="37" t="n">
        <v>40119</v>
      </c>
      <c r="B1520" s="84" t="n">
        <v>8469.299999999999</v>
      </c>
      <c r="C1520" s="39">
        <f>(Table26[[#This Row],[M2 Money Stock, Billions of Dollars, Weekly, Seasonally Adjusted]]-B1519)/B1519</f>
        <v/>
      </c>
      <c r="D1520" s="40">
        <f>((1+Table26[[#This Row],[Weekly change]])^52)-1</f>
        <v/>
      </c>
      <c r="E1520" s="85">
        <f>(Table26[[#This Row],[M2 Money Stock, Billions of Dollars, Weekly, Seasonally Adjusted]]-B1468)/B1468</f>
        <v/>
      </c>
    </row>
    <row r="1521">
      <c r="A1521" s="37" t="n">
        <v>40126</v>
      </c>
      <c r="B1521" s="84" t="n">
        <v>8484.700000000001</v>
      </c>
      <c r="C1521" s="39">
        <f>(Table26[[#This Row],[M2 Money Stock, Billions of Dollars, Weekly, Seasonally Adjusted]]-B1520)/B1520</f>
        <v/>
      </c>
      <c r="D1521" s="40">
        <f>((1+Table26[[#This Row],[Weekly change]])^52)-1</f>
        <v/>
      </c>
      <c r="E1521" s="85">
        <f>(Table26[[#This Row],[M2 Money Stock, Billions of Dollars, Weekly, Seasonally Adjusted]]-B1469)/B1469</f>
        <v/>
      </c>
    </row>
    <row r="1522">
      <c r="A1522" s="37" t="n">
        <v>40133</v>
      </c>
      <c r="B1522" s="84" t="n">
        <v>8490.799999999999</v>
      </c>
      <c r="C1522" s="39">
        <f>(Table26[[#This Row],[M2 Money Stock, Billions of Dollars, Weekly, Seasonally Adjusted]]-B1521)/B1521</f>
        <v/>
      </c>
      <c r="D1522" s="40">
        <f>((1+Table26[[#This Row],[Weekly change]])^52)-1</f>
        <v/>
      </c>
      <c r="E1522" s="85">
        <f>(Table26[[#This Row],[M2 Money Stock, Billions of Dollars, Weekly, Seasonally Adjusted]]-B1470)/B1470</f>
        <v/>
      </c>
    </row>
    <row r="1523">
      <c r="A1523" s="37" t="n">
        <v>40140</v>
      </c>
      <c r="B1523" s="84" t="n">
        <v>8491.799999999999</v>
      </c>
      <c r="C1523" s="39">
        <f>(Table26[[#This Row],[M2 Money Stock, Billions of Dollars, Weekly, Seasonally Adjusted]]-B1522)/B1522</f>
        <v/>
      </c>
      <c r="D1523" s="40">
        <f>((1+Table26[[#This Row],[Weekly change]])^52)-1</f>
        <v/>
      </c>
      <c r="E1523" s="85">
        <f>(Table26[[#This Row],[M2 Money Stock, Billions of Dollars, Weekly, Seasonally Adjusted]]-B1471)/B1471</f>
        <v/>
      </c>
    </row>
    <row r="1524">
      <c r="A1524" s="37" t="n">
        <v>40147</v>
      </c>
      <c r="B1524" s="84" t="n">
        <v>8491.799999999999</v>
      </c>
      <c r="C1524" s="39">
        <f>(Table26[[#This Row],[M2 Money Stock, Billions of Dollars, Weekly, Seasonally Adjusted]]-B1523)/B1523</f>
        <v/>
      </c>
      <c r="D1524" s="40">
        <f>((1+Table26[[#This Row],[Weekly change]])^52)-1</f>
        <v/>
      </c>
      <c r="E1524" s="85">
        <f>(Table26[[#This Row],[M2 Money Stock, Billions of Dollars, Weekly, Seasonally Adjusted]]-B1472)/B1472</f>
        <v/>
      </c>
    </row>
    <row r="1525">
      <c r="A1525" s="37" t="n">
        <v>40154</v>
      </c>
      <c r="B1525" s="84" t="n">
        <v>8505.5</v>
      </c>
      <c r="C1525" s="39">
        <f>(Table26[[#This Row],[M2 Money Stock, Billions of Dollars, Weekly, Seasonally Adjusted]]-B1524)/B1524</f>
        <v/>
      </c>
      <c r="D1525" s="40">
        <f>((1+Table26[[#This Row],[Weekly change]])^52)-1</f>
        <v/>
      </c>
      <c r="E1525" s="85">
        <f>(Table26[[#This Row],[M2 Money Stock, Billions of Dollars, Weekly, Seasonally Adjusted]]-B1473)/B1473</f>
        <v/>
      </c>
    </row>
    <row r="1526">
      <c r="A1526" s="37" t="n">
        <v>40161</v>
      </c>
      <c r="B1526" s="84" t="n">
        <v>8495.6</v>
      </c>
      <c r="C1526" s="39">
        <f>(Table26[[#This Row],[M2 Money Stock, Billions of Dollars, Weekly, Seasonally Adjusted]]-B1525)/B1525</f>
        <v/>
      </c>
      <c r="D1526" s="40">
        <f>((1+Table26[[#This Row],[Weekly change]])^52)-1</f>
        <v/>
      </c>
      <c r="E1526" s="85">
        <f>(Table26[[#This Row],[M2 Money Stock, Billions of Dollars, Weekly, Seasonally Adjusted]]-B1474)/B1474</f>
        <v/>
      </c>
    </row>
    <row r="1527">
      <c r="A1527" s="37" t="n">
        <v>40168</v>
      </c>
      <c r="B1527" s="84" t="n">
        <v>8482.4</v>
      </c>
      <c r="C1527" s="39">
        <f>(Table26[[#This Row],[M2 Money Stock, Billions of Dollars, Weekly, Seasonally Adjusted]]-B1526)/B1526</f>
        <v/>
      </c>
      <c r="D1527" s="40">
        <f>((1+Table26[[#This Row],[Weekly change]])^52)-1</f>
        <v/>
      </c>
      <c r="E1527" s="85">
        <f>(Table26[[#This Row],[M2 Money Stock, Billions of Dollars, Weekly, Seasonally Adjusted]]-B1475)/B1475</f>
        <v/>
      </c>
    </row>
    <row r="1528">
      <c r="A1528" s="37" t="n">
        <v>40175</v>
      </c>
      <c r="B1528" s="84" t="n">
        <v>8469.299999999999</v>
      </c>
      <c r="C1528" s="39">
        <f>(Table26[[#This Row],[M2 Money Stock, Billions of Dollars, Weekly, Seasonally Adjusted]]-B1527)/B1527</f>
        <v/>
      </c>
      <c r="D1528" s="40">
        <f>((1+Table26[[#This Row],[Weekly change]])^52)-1</f>
        <v/>
      </c>
      <c r="E1528" s="85">
        <f>(Table26[[#This Row],[M2 Money Stock, Billions of Dollars, Weekly, Seasonally Adjusted]]-B1476)/B1476</f>
        <v/>
      </c>
    </row>
    <row r="1529">
      <c r="A1529" s="37" t="n">
        <v>40182</v>
      </c>
      <c r="B1529" s="84" t="n">
        <v>8438.700000000001</v>
      </c>
      <c r="C1529" s="39">
        <f>(Table26[[#This Row],[M2 Money Stock, Billions of Dollars, Weekly, Seasonally Adjusted]]-B1528)/B1528</f>
        <v/>
      </c>
      <c r="D1529" s="40">
        <f>((1+Table26[[#This Row],[Weekly change]])^52)-1</f>
        <v/>
      </c>
      <c r="E1529" s="85">
        <f>(Table26[[#This Row],[M2 Money Stock, Billions of Dollars, Weekly, Seasonally Adjusted]]-B1477)/B1477</f>
        <v/>
      </c>
    </row>
    <row r="1530">
      <c r="A1530" s="37" t="n">
        <v>40189</v>
      </c>
      <c r="B1530" s="84" t="n">
        <v>8432</v>
      </c>
      <c r="C1530" s="39">
        <f>(Table26[[#This Row],[M2 Money Stock, Billions of Dollars, Weekly, Seasonally Adjusted]]-B1529)/B1529</f>
        <v/>
      </c>
      <c r="D1530" s="40">
        <f>((1+Table26[[#This Row],[Weekly change]])^52)-1</f>
        <v/>
      </c>
      <c r="E1530" s="85">
        <f>(Table26[[#This Row],[M2 Money Stock, Billions of Dollars, Weekly, Seasonally Adjusted]]-B1478)/B1478</f>
        <v/>
      </c>
    </row>
    <row r="1531">
      <c r="A1531" s="37" t="n">
        <v>40196</v>
      </c>
      <c r="B1531" s="84" t="n">
        <v>8435.6</v>
      </c>
      <c r="C1531" s="39">
        <f>(Table26[[#This Row],[M2 Money Stock, Billions of Dollars, Weekly, Seasonally Adjusted]]-B1530)/B1530</f>
        <v/>
      </c>
      <c r="D1531" s="40">
        <f>((1+Table26[[#This Row],[Weekly change]])^52)-1</f>
        <v/>
      </c>
      <c r="E1531" s="85">
        <f>(Table26[[#This Row],[M2 Money Stock, Billions of Dollars, Weekly, Seasonally Adjusted]]-B1479)/B1479</f>
        <v/>
      </c>
    </row>
    <row r="1532">
      <c r="A1532" s="37" t="n">
        <v>40203</v>
      </c>
      <c r="B1532" s="84" t="n">
        <v>8454</v>
      </c>
      <c r="C1532" s="39">
        <f>(Table26[[#This Row],[M2 Money Stock, Billions of Dollars, Weekly, Seasonally Adjusted]]-B1531)/B1531</f>
        <v/>
      </c>
      <c r="D1532" s="40">
        <f>((1+Table26[[#This Row],[Weekly change]])^52)-1</f>
        <v/>
      </c>
      <c r="E1532" s="85">
        <f>(Table26[[#This Row],[M2 Money Stock, Billions of Dollars, Weekly, Seasonally Adjusted]]-B1480)/B1480</f>
        <v/>
      </c>
    </row>
    <row r="1533">
      <c r="A1533" s="37" t="n">
        <v>40210</v>
      </c>
      <c r="B1533" s="84" t="n">
        <v>8468.4</v>
      </c>
      <c r="C1533" s="39">
        <f>(Table26[[#This Row],[M2 Money Stock, Billions of Dollars, Weekly, Seasonally Adjusted]]-B1532)/B1532</f>
        <v/>
      </c>
      <c r="D1533" s="40">
        <f>((1+Table26[[#This Row],[Weekly change]])^52)-1</f>
        <v/>
      </c>
      <c r="E1533" s="85">
        <f>(Table26[[#This Row],[M2 Money Stock, Billions of Dollars, Weekly, Seasonally Adjusted]]-B1481)/B1481</f>
        <v/>
      </c>
    </row>
    <row r="1534">
      <c r="A1534" s="37" t="n">
        <v>40217</v>
      </c>
      <c r="B1534" s="84" t="n">
        <v>8474</v>
      </c>
      <c r="C1534" s="39">
        <f>(Table26[[#This Row],[M2 Money Stock, Billions of Dollars, Weekly, Seasonally Adjusted]]-B1533)/B1533</f>
        <v/>
      </c>
      <c r="D1534" s="40">
        <f>((1+Table26[[#This Row],[Weekly change]])^52)-1</f>
        <v/>
      </c>
      <c r="E1534" s="85">
        <f>(Table26[[#This Row],[M2 Money Stock, Billions of Dollars, Weekly, Seasonally Adjusted]]-B1482)/B1482</f>
        <v/>
      </c>
    </row>
    <row r="1535">
      <c r="A1535" s="37" t="n">
        <v>40224</v>
      </c>
      <c r="B1535" s="84" t="n">
        <v>8508.5</v>
      </c>
      <c r="C1535" s="39">
        <f>(Table26[[#This Row],[M2 Money Stock, Billions of Dollars, Weekly, Seasonally Adjusted]]-B1534)/B1534</f>
        <v/>
      </c>
      <c r="D1535" s="40">
        <f>((1+Table26[[#This Row],[Weekly change]])^52)-1</f>
        <v/>
      </c>
      <c r="E1535" s="85">
        <f>(Table26[[#This Row],[M2 Money Stock, Billions of Dollars, Weekly, Seasonally Adjusted]]-B1483)/B1483</f>
        <v/>
      </c>
    </row>
    <row r="1536">
      <c r="A1536" s="37" t="n">
        <v>40231</v>
      </c>
      <c r="B1536" s="84" t="n">
        <v>8507.700000000001</v>
      </c>
      <c r="C1536" s="39">
        <f>(Table26[[#This Row],[M2 Money Stock, Billions of Dollars, Weekly, Seasonally Adjusted]]-B1535)/B1535</f>
        <v/>
      </c>
      <c r="D1536" s="40">
        <f>((1+Table26[[#This Row],[Weekly change]])^52)-1</f>
        <v/>
      </c>
      <c r="E1536" s="85">
        <f>(Table26[[#This Row],[M2 Money Stock, Billions of Dollars, Weekly, Seasonally Adjusted]]-B1484)/B1484</f>
        <v/>
      </c>
    </row>
    <row r="1537">
      <c r="A1537" s="37" t="n">
        <v>40238</v>
      </c>
      <c r="B1537" s="84" t="n">
        <v>8495.1</v>
      </c>
      <c r="C1537" s="39">
        <f>(Table26[[#This Row],[M2 Money Stock, Billions of Dollars, Weekly, Seasonally Adjusted]]-B1536)/B1536</f>
        <v/>
      </c>
      <c r="D1537" s="40">
        <f>((1+Table26[[#This Row],[Weekly change]])^52)-1</f>
        <v/>
      </c>
      <c r="E1537" s="85">
        <f>(Table26[[#This Row],[M2 Money Stock, Billions of Dollars, Weekly, Seasonally Adjusted]]-B1485)/B1485</f>
        <v/>
      </c>
    </row>
    <row r="1538">
      <c r="A1538" s="37" t="n">
        <v>40245</v>
      </c>
      <c r="B1538" s="84" t="n">
        <v>8486.1</v>
      </c>
      <c r="C1538" s="39">
        <f>(Table26[[#This Row],[M2 Money Stock, Billions of Dollars, Weekly, Seasonally Adjusted]]-B1537)/B1537</f>
        <v/>
      </c>
      <c r="D1538" s="40">
        <f>((1+Table26[[#This Row],[Weekly change]])^52)-1</f>
        <v/>
      </c>
      <c r="E1538" s="85">
        <f>(Table26[[#This Row],[M2 Money Stock, Billions of Dollars, Weekly, Seasonally Adjusted]]-B1486)/B1486</f>
        <v/>
      </c>
    </row>
    <row r="1539">
      <c r="A1539" s="37" t="n">
        <v>40252</v>
      </c>
      <c r="B1539" s="84" t="n">
        <v>8491</v>
      </c>
      <c r="C1539" s="39">
        <f>(Table26[[#This Row],[M2 Money Stock, Billions of Dollars, Weekly, Seasonally Adjusted]]-B1538)/B1538</f>
        <v/>
      </c>
      <c r="D1539" s="40">
        <f>((1+Table26[[#This Row],[Weekly change]])^52)-1</f>
        <v/>
      </c>
      <c r="E1539" s="85">
        <f>(Table26[[#This Row],[M2 Money Stock, Billions of Dollars, Weekly, Seasonally Adjusted]]-B1487)/B1487</f>
        <v/>
      </c>
    </row>
    <row r="1540">
      <c r="A1540" s="37" t="n">
        <v>40259</v>
      </c>
      <c r="B1540" s="84" t="n">
        <v>8490.1</v>
      </c>
      <c r="C1540" s="39">
        <f>(Table26[[#This Row],[M2 Money Stock, Billions of Dollars, Weekly, Seasonally Adjusted]]-B1539)/B1539</f>
        <v/>
      </c>
      <c r="D1540" s="40">
        <f>((1+Table26[[#This Row],[Weekly change]])^52)-1</f>
        <v/>
      </c>
      <c r="E1540" s="85">
        <f>(Table26[[#This Row],[M2 Money Stock, Billions of Dollars, Weekly, Seasonally Adjusted]]-B1488)/B1488</f>
        <v/>
      </c>
    </row>
    <row r="1541">
      <c r="A1541" s="37" t="n">
        <v>40266</v>
      </c>
      <c r="B1541" s="84" t="n">
        <v>8497.6</v>
      </c>
      <c r="C1541" s="39">
        <f>(Table26[[#This Row],[M2 Money Stock, Billions of Dollars, Weekly, Seasonally Adjusted]]-B1540)/B1540</f>
        <v/>
      </c>
      <c r="D1541" s="40">
        <f>((1+Table26[[#This Row],[Weekly change]])^52)-1</f>
        <v/>
      </c>
      <c r="E1541" s="85">
        <f>(Table26[[#This Row],[M2 Money Stock, Billions of Dollars, Weekly, Seasonally Adjusted]]-B1489)/B1489</f>
        <v/>
      </c>
    </row>
    <row r="1542">
      <c r="A1542" s="37" t="n">
        <v>40273</v>
      </c>
      <c r="B1542" s="84" t="n">
        <v>8507.9</v>
      </c>
      <c r="C1542" s="39">
        <f>(Table26[[#This Row],[M2 Money Stock, Billions of Dollars, Weekly, Seasonally Adjusted]]-B1541)/B1541</f>
        <v/>
      </c>
      <c r="D1542" s="40">
        <f>((1+Table26[[#This Row],[Weekly change]])^52)-1</f>
        <v/>
      </c>
      <c r="E1542" s="85">
        <f>(Table26[[#This Row],[M2 Money Stock, Billions of Dollars, Weekly, Seasonally Adjusted]]-B1490)/B1490</f>
        <v/>
      </c>
    </row>
    <row r="1543">
      <c r="A1543" s="37" t="n">
        <v>40280</v>
      </c>
      <c r="B1543" s="84" t="n">
        <v>8515.1</v>
      </c>
      <c r="C1543" s="39">
        <f>(Table26[[#This Row],[M2 Money Stock, Billions of Dollars, Weekly, Seasonally Adjusted]]-B1542)/B1542</f>
        <v/>
      </c>
      <c r="D1543" s="40">
        <f>((1+Table26[[#This Row],[Weekly change]])^52)-1</f>
        <v/>
      </c>
      <c r="E1543" s="85">
        <f>(Table26[[#This Row],[M2 Money Stock, Billions of Dollars, Weekly, Seasonally Adjusted]]-B1491)/B1491</f>
        <v/>
      </c>
    </row>
    <row r="1544">
      <c r="A1544" s="37" t="n">
        <v>40287</v>
      </c>
      <c r="B1544" s="84" t="n">
        <v>8509.299999999999</v>
      </c>
      <c r="C1544" s="39">
        <f>(Table26[[#This Row],[M2 Money Stock, Billions of Dollars, Weekly, Seasonally Adjusted]]-B1543)/B1543</f>
        <v/>
      </c>
      <c r="D1544" s="40">
        <f>((1+Table26[[#This Row],[Weekly change]])^52)-1</f>
        <v/>
      </c>
      <c r="E1544" s="85">
        <f>(Table26[[#This Row],[M2 Money Stock, Billions of Dollars, Weekly, Seasonally Adjusted]]-B1492)/B1492</f>
        <v/>
      </c>
    </row>
    <row r="1545">
      <c r="A1545" s="37" t="n">
        <v>40294</v>
      </c>
      <c r="B1545" s="84" t="n">
        <v>8537</v>
      </c>
      <c r="C1545" s="39">
        <f>(Table26[[#This Row],[M2 Money Stock, Billions of Dollars, Weekly, Seasonally Adjusted]]-B1544)/B1544</f>
        <v/>
      </c>
      <c r="D1545" s="40">
        <f>((1+Table26[[#This Row],[Weekly change]])^52)-1</f>
        <v/>
      </c>
      <c r="E1545" s="85">
        <f>(Table26[[#This Row],[M2 Money Stock, Billions of Dollars, Weekly, Seasonally Adjusted]]-B1493)/B1493</f>
        <v/>
      </c>
    </row>
    <row r="1546">
      <c r="A1546" s="37" t="n">
        <v>40301</v>
      </c>
      <c r="B1546" s="84" t="n">
        <v>8553.299999999999</v>
      </c>
      <c r="C1546" s="39">
        <f>(Table26[[#This Row],[M2 Money Stock, Billions of Dollars, Weekly, Seasonally Adjusted]]-B1545)/B1545</f>
        <v/>
      </c>
      <c r="D1546" s="40">
        <f>((1+Table26[[#This Row],[Weekly change]])^52)-1</f>
        <v/>
      </c>
      <c r="E1546" s="85">
        <f>(Table26[[#This Row],[M2 Money Stock, Billions of Dollars, Weekly, Seasonally Adjusted]]-B1494)/B1494</f>
        <v/>
      </c>
    </row>
    <row r="1547">
      <c r="A1547" s="37" t="n">
        <v>40308</v>
      </c>
      <c r="B1547" s="84" t="n">
        <v>8563.700000000001</v>
      </c>
      <c r="C1547" s="39">
        <f>(Table26[[#This Row],[M2 Money Stock, Billions of Dollars, Weekly, Seasonally Adjusted]]-B1546)/B1546</f>
        <v/>
      </c>
      <c r="D1547" s="40">
        <f>((1+Table26[[#This Row],[Weekly change]])^52)-1</f>
        <v/>
      </c>
      <c r="E1547" s="85">
        <f>(Table26[[#This Row],[M2 Money Stock, Billions of Dollars, Weekly, Seasonally Adjusted]]-B1495)/B1495</f>
        <v/>
      </c>
    </row>
    <row r="1548">
      <c r="A1548" s="37" t="n">
        <v>40315</v>
      </c>
      <c r="B1548" s="84" t="n">
        <v>8586.9</v>
      </c>
      <c r="C1548" s="39">
        <f>(Table26[[#This Row],[M2 Money Stock, Billions of Dollars, Weekly, Seasonally Adjusted]]-B1547)/B1547</f>
        <v/>
      </c>
      <c r="D1548" s="40">
        <f>((1+Table26[[#This Row],[Weekly change]])^52)-1</f>
        <v/>
      </c>
      <c r="E1548" s="85">
        <f>(Table26[[#This Row],[M2 Money Stock, Billions of Dollars, Weekly, Seasonally Adjusted]]-B1496)/B1496</f>
        <v/>
      </c>
    </row>
    <row r="1549">
      <c r="A1549" s="37" t="n">
        <v>40322</v>
      </c>
      <c r="B1549" s="84" t="n">
        <v>8572.9</v>
      </c>
      <c r="C1549" s="39">
        <f>(Table26[[#This Row],[M2 Money Stock, Billions of Dollars, Weekly, Seasonally Adjusted]]-B1548)/B1548</f>
        <v/>
      </c>
      <c r="D1549" s="40">
        <f>((1+Table26[[#This Row],[Weekly change]])^52)-1</f>
        <v/>
      </c>
      <c r="E1549" s="85">
        <f>(Table26[[#This Row],[M2 Money Stock, Billions of Dollars, Weekly, Seasonally Adjusted]]-B1497)/B1497</f>
        <v/>
      </c>
    </row>
    <row r="1550">
      <c r="A1550" s="37" t="n">
        <v>40329</v>
      </c>
      <c r="B1550" s="84" t="n">
        <v>8596.6</v>
      </c>
      <c r="C1550" s="39">
        <f>(Table26[[#This Row],[M2 Money Stock, Billions of Dollars, Weekly, Seasonally Adjusted]]-B1549)/B1549</f>
        <v/>
      </c>
      <c r="D1550" s="40">
        <f>((1+Table26[[#This Row],[Weekly change]])^52)-1</f>
        <v/>
      </c>
      <c r="E1550" s="85">
        <f>(Table26[[#This Row],[M2 Money Stock, Billions of Dollars, Weekly, Seasonally Adjusted]]-B1498)/B1498</f>
        <v/>
      </c>
    </row>
    <row r="1551">
      <c r="A1551" s="37" t="n">
        <v>40336</v>
      </c>
      <c r="B1551" s="84" t="n">
        <v>8596.299999999999</v>
      </c>
      <c r="C1551" s="39">
        <f>(Table26[[#This Row],[M2 Money Stock, Billions of Dollars, Weekly, Seasonally Adjusted]]-B1550)/B1550</f>
        <v/>
      </c>
      <c r="D1551" s="40">
        <f>((1+Table26[[#This Row],[Weekly change]])^52)-1</f>
        <v/>
      </c>
      <c r="E1551" s="85">
        <f>(Table26[[#This Row],[M2 Money Stock, Billions of Dollars, Weekly, Seasonally Adjusted]]-B1499)/B1499</f>
        <v/>
      </c>
    </row>
    <row r="1552">
      <c r="A1552" s="37" t="n">
        <v>40343</v>
      </c>
      <c r="B1552" s="84" t="n">
        <v>8584.5</v>
      </c>
      <c r="C1552" s="39">
        <f>(Table26[[#This Row],[M2 Money Stock, Billions of Dollars, Weekly, Seasonally Adjusted]]-B1551)/B1551</f>
        <v/>
      </c>
      <c r="D1552" s="40">
        <f>((1+Table26[[#This Row],[Weekly change]])^52)-1</f>
        <v/>
      </c>
      <c r="E1552" s="85">
        <f>(Table26[[#This Row],[M2 Money Stock, Billions of Dollars, Weekly, Seasonally Adjusted]]-B1500)/B1500</f>
        <v/>
      </c>
    </row>
    <row r="1553">
      <c r="A1553" s="37" t="n">
        <v>40350</v>
      </c>
      <c r="B1553" s="84" t="n">
        <v>8606.299999999999</v>
      </c>
      <c r="C1553" s="39">
        <f>(Table26[[#This Row],[M2 Money Stock, Billions of Dollars, Weekly, Seasonally Adjusted]]-B1552)/B1552</f>
        <v/>
      </c>
      <c r="D1553" s="40">
        <f>((1+Table26[[#This Row],[Weekly change]])^52)-1</f>
        <v/>
      </c>
      <c r="E1553" s="85">
        <f>(Table26[[#This Row],[M2 Money Stock, Billions of Dollars, Weekly, Seasonally Adjusted]]-B1501)/B1501</f>
        <v/>
      </c>
    </row>
    <row r="1554">
      <c r="A1554" s="37" t="n">
        <v>40357</v>
      </c>
      <c r="B1554" s="84" t="n">
        <v>8605.799999999999</v>
      </c>
      <c r="C1554" s="39">
        <f>(Table26[[#This Row],[M2 Money Stock, Billions of Dollars, Weekly, Seasonally Adjusted]]-B1553)/B1553</f>
        <v/>
      </c>
      <c r="D1554" s="40">
        <f>((1+Table26[[#This Row],[Weekly change]])^52)-1</f>
        <v/>
      </c>
      <c r="E1554" s="85">
        <f>(Table26[[#This Row],[M2 Money Stock, Billions of Dollars, Weekly, Seasonally Adjusted]]-B1502)/B1502</f>
        <v/>
      </c>
    </row>
    <row r="1555">
      <c r="A1555" s="37" t="n">
        <v>40364</v>
      </c>
      <c r="B1555" s="84" t="n">
        <v>8573.5</v>
      </c>
      <c r="C1555" s="39">
        <f>(Table26[[#This Row],[M2 Money Stock, Billions of Dollars, Weekly, Seasonally Adjusted]]-B1554)/B1554</f>
        <v/>
      </c>
      <c r="D1555" s="40">
        <f>((1+Table26[[#This Row],[Weekly change]])^52)-1</f>
        <v/>
      </c>
      <c r="E1555" s="85">
        <f>(Table26[[#This Row],[M2 Money Stock, Billions of Dollars, Weekly, Seasonally Adjusted]]-B1503)/B1503</f>
        <v/>
      </c>
    </row>
    <row r="1556">
      <c r="A1556" s="37" t="n">
        <v>40371</v>
      </c>
      <c r="B1556" s="84" t="n">
        <v>8595.5</v>
      </c>
      <c r="C1556" s="39">
        <f>(Table26[[#This Row],[M2 Money Stock, Billions of Dollars, Weekly, Seasonally Adjusted]]-B1555)/B1555</f>
        <v/>
      </c>
      <c r="D1556" s="40">
        <f>((1+Table26[[#This Row],[Weekly change]])^52)-1</f>
        <v/>
      </c>
      <c r="E1556" s="85">
        <f>(Table26[[#This Row],[M2 Money Stock, Billions of Dollars, Weekly, Seasonally Adjusted]]-B1504)/B1504</f>
        <v/>
      </c>
    </row>
    <row r="1557">
      <c r="A1557" s="37" t="n">
        <v>40378</v>
      </c>
      <c r="B1557" s="84" t="n">
        <v>8602.1</v>
      </c>
      <c r="C1557" s="39">
        <f>(Table26[[#This Row],[M2 Money Stock, Billions of Dollars, Weekly, Seasonally Adjusted]]-B1556)/B1556</f>
        <v/>
      </c>
      <c r="D1557" s="40">
        <f>((1+Table26[[#This Row],[Weekly change]])^52)-1</f>
        <v/>
      </c>
      <c r="E1557" s="85">
        <f>(Table26[[#This Row],[M2 Money Stock, Billions of Dollars, Weekly, Seasonally Adjusted]]-B1505)/B1505</f>
        <v/>
      </c>
    </row>
    <row r="1558">
      <c r="A1558" s="37" t="n">
        <v>40385</v>
      </c>
      <c r="B1558" s="84" t="n">
        <v>8623.6</v>
      </c>
      <c r="C1558" s="39">
        <f>(Table26[[#This Row],[M2 Money Stock, Billions of Dollars, Weekly, Seasonally Adjusted]]-B1557)/B1557</f>
        <v/>
      </c>
      <c r="D1558" s="40">
        <f>((1+Table26[[#This Row],[Weekly change]])^52)-1</f>
        <v/>
      </c>
      <c r="E1558" s="85">
        <f>(Table26[[#This Row],[M2 Money Stock, Billions of Dollars, Weekly, Seasonally Adjusted]]-B1506)/B1506</f>
        <v/>
      </c>
    </row>
    <row r="1559">
      <c r="A1559" s="37" t="n">
        <v>40392</v>
      </c>
      <c r="B1559" s="84" t="n">
        <v>8635.4</v>
      </c>
      <c r="C1559" s="39">
        <f>(Table26[[#This Row],[M2 Money Stock, Billions of Dollars, Weekly, Seasonally Adjusted]]-B1558)/B1558</f>
        <v/>
      </c>
      <c r="D1559" s="40">
        <f>((1+Table26[[#This Row],[Weekly change]])^52)-1</f>
        <v/>
      </c>
      <c r="E1559" s="85">
        <f>(Table26[[#This Row],[M2 Money Stock, Billions of Dollars, Weekly, Seasonally Adjusted]]-B1507)/B1507</f>
        <v/>
      </c>
    </row>
    <row r="1560">
      <c r="A1560" s="37" t="n">
        <v>40399</v>
      </c>
      <c r="B1560" s="84" t="n">
        <v>8648.5</v>
      </c>
      <c r="C1560" s="39">
        <f>(Table26[[#This Row],[M2 Money Stock, Billions of Dollars, Weekly, Seasonally Adjusted]]-B1559)/B1559</f>
        <v/>
      </c>
      <c r="D1560" s="40">
        <f>((1+Table26[[#This Row],[Weekly change]])^52)-1</f>
        <v/>
      </c>
      <c r="E1560" s="85">
        <f>(Table26[[#This Row],[M2 Money Stock, Billions of Dollars, Weekly, Seasonally Adjusted]]-B1508)/B1508</f>
        <v/>
      </c>
    </row>
    <row r="1561">
      <c r="A1561" s="37" t="n">
        <v>40406</v>
      </c>
      <c r="B1561" s="84" t="n">
        <v>8656.200000000001</v>
      </c>
      <c r="C1561" s="39">
        <f>(Table26[[#This Row],[M2 Money Stock, Billions of Dollars, Weekly, Seasonally Adjusted]]-B1560)/B1560</f>
        <v/>
      </c>
      <c r="D1561" s="40">
        <f>((1+Table26[[#This Row],[Weekly change]])^52)-1</f>
        <v/>
      </c>
      <c r="E1561" s="85">
        <f>(Table26[[#This Row],[M2 Money Stock, Billions of Dollars, Weekly, Seasonally Adjusted]]-B1509)/B1509</f>
        <v/>
      </c>
    </row>
    <row r="1562">
      <c r="A1562" s="37" t="n">
        <v>40413</v>
      </c>
      <c r="B1562" s="84" t="n">
        <v>8656.799999999999</v>
      </c>
      <c r="C1562" s="39">
        <f>(Table26[[#This Row],[M2 Money Stock, Billions of Dollars, Weekly, Seasonally Adjusted]]-B1561)/B1561</f>
        <v/>
      </c>
      <c r="D1562" s="40">
        <f>((1+Table26[[#This Row],[Weekly change]])^52)-1</f>
        <v/>
      </c>
      <c r="E1562" s="85">
        <f>(Table26[[#This Row],[M2 Money Stock, Billions of Dollars, Weekly, Seasonally Adjusted]]-B1510)/B1510</f>
        <v/>
      </c>
    </row>
    <row r="1563">
      <c r="A1563" s="37" t="n">
        <v>40420</v>
      </c>
      <c r="B1563" s="84" t="n">
        <v>8668.299999999999</v>
      </c>
      <c r="C1563" s="39">
        <f>(Table26[[#This Row],[M2 Money Stock, Billions of Dollars, Weekly, Seasonally Adjusted]]-B1562)/B1562</f>
        <v/>
      </c>
      <c r="D1563" s="40">
        <f>((1+Table26[[#This Row],[Weekly change]])^52)-1</f>
        <v/>
      </c>
      <c r="E1563" s="85">
        <f>(Table26[[#This Row],[M2 Money Stock, Billions of Dollars, Weekly, Seasonally Adjusted]]-B1511)/B1511</f>
        <v/>
      </c>
    </row>
    <row r="1564">
      <c r="A1564" s="37" t="n">
        <v>40427</v>
      </c>
      <c r="B1564" s="84" t="n">
        <v>8673.5</v>
      </c>
      <c r="C1564" s="39">
        <f>(Table26[[#This Row],[M2 Money Stock, Billions of Dollars, Weekly, Seasonally Adjusted]]-B1563)/B1563</f>
        <v/>
      </c>
      <c r="D1564" s="40">
        <f>((1+Table26[[#This Row],[Weekly change]])^52)-1</f>
        <v/>
      </c>
      <c r="E1564" s="85">
        <f>(Table26[[#This Row],[M2 Money Stock, Billions of Dollars, Weekly, Seasonally Adjusted]]-B1512)/B1512</f>
        <v/>
      </c>
    </row>
    <row r="1565">
      <c r="A1565" s="37" t="n">
        <v>40434</v>
      </c>
      <c r="B1565" s="84" t="n">
        <v>8683.700000000001</v>
      </c>
      <c r="C1565" s="39">
        <f>(Table26[[#This Row],[M2 Money Stock, Billions of Dollars, Weekly, Seasonally Adjusted]]-B1564)/B1564</f>
        <v/>
      </c>
      <c r="D1565" s="40">
        <f>((1+Table26[[#This Row],[Weekly change]])^52)-1</f>
        <v/>
      </c>
      <c r="E1565" s="85">
        <f>(Table26[[#This Row],[M2 Money Stock, Billions of Dollars, Weekly, Seasonally Adjusted]]-B1513)/B1513</f>
        <v/>
      </c>
    </row>
    <row r="1566">
      <c r="A1566" s="37" t="n">
        <v>40441</v>
      </c>
      <c r="B1566" s="84" t="n">
        <v>8683.200000000001</v>
      </c>
      <c r="C1566" s="39">
        <f>(Table26[[#This Row],[M2 Money Stock, Billions of Dollars, Weekly, Seasonally Adjusted]]-B1565)/B1565</f>
        <v/>
      </c>
      <c r="D1566" s="40">
        <f>((1+Table26[[#This Row],[Weekly change]])^52)-1</f>
        <v/>
      </c>
      <c r="E1566" s="85">
        <f>(Table26[[#This Row],[M2 Money Stock, Billions of Dollars, Weekly, Seasonally Adjusted]]-B1514)/B1514</f>
        <v/>
      </c>
    </row>
    <row r="1567">
      <c r="A1567" s="37" t="n">
        <v>40448</v>
      </c>
      <c r="B1567" s="84" t="n">
        <v>8697.1</v>
      </c>
      <c r="C1567" s="39">
        <f>(Table26[[#This Row],[M2 Money Stock, Billions of Dollars, Weekly, Seasonally Adjusted]]-B1566)/B1566</f>
        <v/>
      </c>
      <c r="D1567" s="40">
        <f>((1+Table26[[#This Row],[Weekly change]])^52)-1</f>
        <v/>
      </c>
      <c r="E1567" s="85">
        <f>(Table26[[#This Row],[M2 Money Stock, Billions of Dollars, Weekly, Seasonally Adjusted]]-B1515)/B1515</f>
        <v/>
      </c>
    </row>
    <row r="1568">
      <c r="A1568" s="37" t="n">
        <v>40455</v>
      </c>
      <c r="B1568" s="84" t="n">
        <v>8713.700000000001</v>
      </c>
      <c r="C1568" s="39">
        <f>(Table26[[#This Row],[M2 Money Stock, Billions of Dollars, Weekly, Seasonally Adjusted]]-B1567)/B1567</f>
        <v/>
      </c>
      <c r="D1568" s="40">
        <f>((1+Table26[[#This Row],[Weekly change]])^52)-1</f>
        <v/>
      </c>
      <c r="E1568" s="85">
        <f>(Table26[[#This Row],[M2 Money Stock, Billions of Dollars, Weekly, Seasonally Adjusted]]-B1516)/B1516</f>
        <v/>
      </c>
    </row>
    <row r="1569">
      <c r="A1569" s="37" t="n">
        <v>40462</v>
      </c>
      <c r="B1569" s="84" t="n">
        <v>8733.6</v>
      </c>
      <c r="C1569" s="39">
        <f>(Table26[[#This Row],[M2 Money Stock, Billions of Dollars, Weekly, Seasonally Adjusted]]-B1568)/B1568</f>
        <v/>
      </c>
      <c r="D1569" s="40">
        <f>((1+Table26[[#This Row],[Weekly change]])^52)-1</f>
        <v/>
      </c>
      <c r="E1569" s="85">
        <f>(Table26[[#This Row],[M2 Money Stock, Billions of Dollars, Weekly, Seasonally Adjusted]]-B1517)/B1517</f>
        <v/>
      </c>
    </row>
    <row r="1570">
      <c r="A1570" s="37" t="n">
        <v>40469</v>
      </c>
      <c r="B1570" s="84" t="n">
        <v>8740</v>
      </c>
      <c r="C1570" s="39">
        <f>(Table26[[#This Row],[M2 Money Stock, Billions of Dollars, Weekly, Seasonally Adjusted]]-B1569)/B1569</f>
        <v/>
      </c>
      <c r="D1570" s="40">
        <f>((1+Table26[[#This Row],[Weekly change]])^52)-1</f>
        <v/>
      </c>
      <c r="E1570" s="85">
        <f>(Table26[[#This Row],[M2 Money Stock, Billions of Dollars, Weekly, Seasonally Adjusted]]-B1518)/B1518</f>
        <v/>
      </c>
    </row>
    <row r="1571">
      <c r="A1571" s="37" t="n">
        <v>40476</v>
      </c>
      <c r="B1571" s="84" t="n">
        <v>8741.299999999999</v>
      </c>
      <c r="C1571" s="39">
        <f>(Table26[[#This Row],[M2 Money Stock, Billions of Dollars, Weekly, Seasonally Adjusted]]-B1570)/B1570</f>
        <v/>
      </c>
      <c r="D1571" s="40">
        <f>((1+Table26[[#This Row],[Weekly change]])^52)-1</f>
        <v/>
      </c>
      <c r="E1571" s="85">
        <f>(Table26[[#This Row],[M2 Money Stock, Billions of Dollars, Weekly, Seasonally Adjusted]]-B1519)/B1519</f>
        <v/>
      </c>
    </row>
    <row r="1572">
      <c r="A1572" s="37" t="n">
        <v>40483</v>
      </c>
      <c r="B1572" s="84" t="n">
        <v>8746.4</v>
      </c>
      <c r="C1572" s="39">
        <f>(Table26[[#This Row],[M2 Money Stock, Billions of Dollars, Weekly, Seasonally Adjusted]]-B1571)/B1571</f>
        <v/>
      </c>
      <c r="D1572" s="40">
        <f>((1+Table26[[#This Row],[Weekly change]])^52)-1</f>
        <v/>
      </c>
      <c r="E1572" s="85">
        <f>(Table26[[#This Row],[M2 Money Stock, Billions of Dollars, Weekly, Seasonally Adjusted]]-B1520)/B1520</f>
        <v/>
      </c>
    </row>
    <row r="1573">
      <c r="A1573" s="37" t="n">
        <v>40490</v>
      </c>
      <c r="B1573" s="84" t="n">
        <v>8744.4</v>
      </c>
      <c r="C1573" s="39">
        <f>(Table26[[#This Row],[M2 Money Stock, Billions of Dollars, Weekly, Seasonally Adjusted]]-B1572)/B1572</f>
        <v/>
      </c>
      <c r="D1573" s="40">
        <f>((1+Table26[[#This Row],[Weekly change]])^52)-1</f>
        <v/>
      </c>
      <c r="E1573" s="85">
        <f>(Table26[[#This Row],[M2 Money Stock, Billions of Dollars, Weekly, Seasonally Adjusted]]-B1521)/B1521</f>
        <v/>
      </c>
    </row>
    <row r="1574">
      <c r="A1574" s="37" t="n">
        <v>40497</v>
      </c>
      <c r="B1574" s="84" t="n">
        <v>8749.700000000001</v>
      </c>
      <c r="C1574" s="39">
        <f>(Table26[[#This Row],[M2 Money Stock, Billions of Dollars, Weekly, Seasonally Adjusted]]-B1573)/B1573</f>
        <v/>
      </c>
      <c r="D1574" s="40">
        <f>((1+Table26[[#This Row],[Weekly change]])^52)-1</f>
        <v/>
      </c>
      <c r="E1574" s="85">
        <f>(Table26[[#This Row],[M2 Money Stock, Billions of Dollars, Weekly, Seasonally Adjusted]]-B1522)/B1522</f>
        <v/>
      </c>
    </row>
    <row r="1575">
      <c r="A1575" s="37" t="n">
        <v>40504</v>
      </c>
      <c r="B1575" s="84" t="n">
        <v>8761.1</v>
      </c>
      <c r="C1575" s="39">
        <f>(Table26[[#This Row],[M2 Money Stock, Billions of Dollars, Weekly, Seasonally Adjusted]]-B1574)/B1574</f>
        <v/>
      </c>
      <c r="D1575" s="40">
        <f>((1+Table26[[#This Row],[Weekly change]])^52)-1</f>
        <v/>
      </c>
      <c r="E1575" s="85">
        <f>(Table26[[#This Row],[M2 Money Stock, Billions of Dollars, Weekly, Seasonally Adjusted]]-B1523)/B1523</f>
        <v/>
      </c>
    </row>
    <row r="1576">
      <c r="A1576" s="37" t="n">
        <v>40511</v>
      </c>
      <c r="B1576" s="84" t="n">
        <v>8774</v>
      </c>
      <c r="C1576" s="39">
        <f>(Table26[[#This Row],[M2 Money Stock, Billions of Dollars, Weekly, Seasonally Adjusted]]-B1575)/B1575</f>
        <v/>
      </c>
      <c r="D1576" s="40">
        <f>((1+Table26[[#This Row],[Weekly change]])^52)-1</f>
        <v/>
      </c>
      <c r="E1576" s="85">
        <f>(Table26[[#This Row],[M2 Money Stock, Billions of Dollars, Weekly, Seasonally Adjusted]]-B1524)/B1524</f>
        <v/>
      </c>
    </row>
    <row r="1577">
      <c r="A1577" s="37" t="n">
        <v>40518</v>
      </c>
      <c r="B1577" s="84" t="n">
        <v>8771</v>
      </c>
      <c r="C1577" s="39">
        <f>(Table26[[#This Row],[M2 Money Stock, Billions of Dollars, Weekly, Seasonally Adjusted]]-B1576)/B1576</f>
        <v/>
      </c>
      <c r="D1577" s="40">
        <f>((1+Table26[[#This Row],[Weekly change]])^52)-1</f>
        <v/>
      </c>
      <c r="E1577" s="85">
        <f>(Table26[[#This Row],[M2 Money Stock, Billions of Dollars, Weekly, Seasonally Adjusted]]-B1525)/B1525</f>
        <v/>
      </c>
    </row>
    <row r="1578">
      <c r="A1578" s="37" t="n">
        <v>40525</v>
      </c>
      <c r="B1578" s="84" t="n">
        <v>8783.700000000001</v>
      </c>
      <c r="C1578" s="39">
        <f>(Table26[[#This Row],[M2 Money Stock, Billions of Dollars, Weekly, Seasonally Adjusted]]-B1577)/B1577</f>
        <v/>
      </c>
      <c r="D1578" s="40">
        <f>((1+Table26[[#This Row],[Weekly change]])^52)-1</f>
        <v/>
      </c>
      <c r="E1578" s="85">
        <f>(Table26[[#This Row],[M2 Money Stock, Billions of Dollars, Weekly, Seasonally Adjusted]]-B1526)/B1526</f>
        <v/>
      </c>
    </row>
    <row r="1579">
      <c r="A1579" s="37" t="n">
        <v>40532</v>
      </c>
      <c r="B1579" s="84" t="n">
        <v>8790.4</v>
      </c>
      <c r="C1579" s="39">
        <f>(Table26[[#This Row],[M2 Money Stock, Billions of Dollars, Weekly, Seasonally Adjusted]]-B1578)/B1578</f>
        <v/>
      </c>
      <c r="D1579" s="40">
        <f>((1+Table26[[#This Row],[Weekly change]])^52)-1</f>
        <v/>
      </c>
      <c r="E1579" s="85">
        <f>(Table26[[#This Row],[M2 Money Stock, Billions of Dollars, Weekly, Seasonally Adjusted]]-B1527)/B1527</f>
        <v/>
      </c>
    </row>
    <row r="1580">
      <c r="A1580" s="37" t="n">
        <v>40539</v>
      </c>
      <c r="B1580" s="84" t="n">
        <v>8810.700000000001</v>
      </c>
      <c r="C1580" s="39">
        <f>(Table26[[#This Row],[M2 Money Stock, Billions of Dollars, Weekly, Seasonally Adjusted]]-B1579)/B1579</f>
        <v/>
      </c>
      <c r="D1580" s="40">
        <f>((1+Table26[[#This Row],[Weekly change]])^52)-1</f>
        <v/>
      </c>
      <c r="E1580" s="85">
        <f>(Table26[[#This Row],[M2 Money Stock, Billions of Dollars, Weekly, Seasonally Adjusted]]-B1528)/B1528</f>
        <v/>
      </c>
    </row>
    <row r="1581">
      <c r="A1581" s="37" t="n">
        <v>40546</v>
      </c>
      <c r="B1581" s="84" t="n">
        <v>8787.299999999999</v>
      </c>
      <c r="C1581" s="39">
        <f>(Table26[[#This Row],[M2 Money Stock, Billions of Dollars, Weekly, Seasonally Adjusted]]-B1580)/B1580</f>
        <v/>
      </c>
      <c r="D1581" s="40">
        <f>((1+Table26[[#This Row],[Weekly change]])^52)-1</f>
        <v/>
      </c>
      <c r="E1581" s="85">
        <f>(Table26[[#This Row],[M2 Money Stock, Billions of Dollars, Weekly, Seasonally Adjusted]]-B1529)/B1529</f>
        <v/>
      </c>
    </row>
    <row r="1582">
      <c r="A1582" s="37" t="n">
        <v>40553</v>
      </c>
      <c r="B1582" s="84" t="n">
        <v>8809</v>
      </c>
      <c r="C1582" s="39">
        <f>(Table26[[#This Row],[M2 Money Stock, Billions of Dollars, Weekly, Seasonally Adjusted]]-B1581)/B1581</f>
        <v/>
      </c>
      <c r="D1582" s="40">
        <f>((1+Table26[[#This Row],[Weekly change]])^52)-1</f>
        <v/>
      </c>
      <c r="E1582" s="85">
        <f>(Table26[[#This Row],[M2 Money Stock, Billions of Dollars, Weekly, Seasonally Adjusted]]-B1530)/B1530</f>
        <v/>
      </c>
    </row>
    <row r="1583">
      <c r="A1583" s="37" t="n">
        <v>40560</v>
      </c>
      <c r="B1583" s="84" t="n">
        <v>8853.200000000001</v>
      </c>
      <c r="C1583" s="39">
        <f>(Table26[[#This Row],[M2 Money Stock, Billions of Dollars, Weekly, Seasonally Adjusted]]-B1582)/B1582</f>
        <v/>
      </c>
      <c r="D1583" s="40">
        <f>((1+Table26[[#This Row],[Weekly change]])^52)-1</f>
        <v/>
      </c>
      <c r="E1583" s="85">
        <f>(Table26[[#This Row],[M2 Money Stock, Billions of Dollars, Weekly, Seasonally Adjusted]]-B1531)/B1531</f>
        <v/>
      </c>
    </row>
    <row r="1584">
      <c r="A1584" s="37" t="n">
        <v>40567</v>
      </c>
      <c r="B1584" s="84" t="n">
        <v>8820.700000000001</v>
      </c>
      <c r="C1584" s="39">
        <f>(Table26[[#This Row],[M2 Money Stock, Billions of Dollars, Weekly, Seasonally Adjusted]]-B1583)/B1583</f>
        <v/>
      </c>
      <c r="D1584" s="40">
        <f>((1+Table26[[#This Row],[Weekly change]])^52)-1</f>
        <v/>
      </c>
      <c r="E1584" s="85">
        <f>(Table26[[#This Row],[M2 Money Stock, Billions of Dollars, Weekly, Seasonally Adjusted]]-B1532)/B1532</f>
        <v/>
      </c>
    </row>
    <row r="1585">
      <c r="A1585" s="37" t="n">
        <v>40574</v>
      </c>
      <c r="B1585" s="84" t="n">
        <v>8837.200000000001</v>
      </c>
      <c r="C1585" s="39">
        <f>(Table26[[#This Row],[M2 Money Stock, Billions of Dollars, Weekly, Seasonally Adjusted]]-B1584)/B1584</f>
        <v/>
      </c>
      <c r="D1585" s="40">
        <f>((1+Table26[[#This Row],[Weekly change]])^52)-1</f>
        <v/>
      </c>
      <c r="E1585" s="85">
        <f>(Table26[[#This Row],[M2 Money Stock, Billions of Dollars, Weekly, Seasonally Adjusted]]-B1533)/B1533</f>
        <v/>
      </c>
    </row>
    <row r="1586">
      <c r="A1586" s="37" t="n">
        <v>40581</v>
      </c>
      <c r="B1586" s="84" t="n">
        <v>8856.5</v>
      </c>
      <c r="C1586" s="39">
        <f>(Table26[[#This Row],[M2 Money Stock, Billions of Dollars, Weekly, Seasonally Adjusted]]-B1585)/B1585</f>
        <v/>
      </c>
      <c r="D1586" s="40">
        <f>((1+Table26[[#This Row],[Weekly change]])^52)-1</f>
        <v/>
      </c>
      <c r="E1586" s="85">
        <f>(Table26[[#This Row],[M2 Money Stock, Billions of Dollars, Weekly, Seasonally Adjusted]]-B1534)/B1534</f>
        <v/>
      </c>
    </row>
    <row r="1587">
      <c r="A1587" s="37" t="n">
        <v>40588</v>
      </c>
      <c r="B1587" s="84" t="n">
        <v>8864.5</v>
      </c>
      <c r="C1587" s="39">
        <f>(Table26[[#This Row],[M2 Money Stock, Billions of Dollars, Weekly, Seasonally Adjusted]]-B1586)/B1586</f>
        <v/>
      </c>
      <c r="D1587" s="40">
        <f>((1+Table26[[#This Row],[Weekly change]])^52)-1</f>
        <v/>
      </c>
      <c r="E1587" s="85">
        <f>(Table26[[#This Row],[M2 Money Stock, Billions of Dollars, Weekly, Seasonally Adjusted]]-B1535)/B1535</f>
        <v/>
      </c>
    </row>
    <row r="1588">
      <c r="A1588" s="37" t="n">
        <v>40595</v>
      </c>
      <c r="B1588" s="84" t="n">
        <v>8878.6</v>
      </c>
      <c r="C1588" s="39">
        <f>(Table26[[#This Row],[M2 Money Stock, Billions of Dollars, Weekly, Seasonally Adjusted]]-B1587)/B1587</f>
        <v/>
      </c>
      <c r="D1588" s="40">
        <f>((1+Table26[[#This Row],[Weekly change]])^52)-1</f>
        <v/>
      </c>
      <c r="E1588" s="85">
        <f>(Table26[[#This Row],[M2 Money Stock, Billions of Dollars, Weekly, Seasonally Adjusted]]-B1536)/B1536</f>
        <v/>
      </c>
    </row>
    <row r="1589">
      <c r="A1589" s="37" t="n">
        <v>40602</v>
      </c>
      <c r="B1589" s="84" t="n">
        <v>8885.9</v>
      </c>
      <c r="C1589" s="39">
        <f>(Table26[[#This Row],[M2 Money Stock, Billions of Dollars, Weekly, Seasonally Adjusted]]-B1588)/B1588</f>
        <v/>
      </c>
      <c r="D1589" s="40">
        <f>((1+Table26[[#This Row],[Weekly change]])^52)-1</f>
        <v/>
      </c>
      <c r="E1589" s="85">
        <f>(Table26[[#This Row],[M2 Money Stock, Billions of Dollars, Weekly, Seasonally Adjusted]]-B1537)/B1537</f>
        <v/>
      </c>
    </row>
    <row r="1590">
      <c r="A1590" s="37" t="n">
        <v>40609</v>
      </c>
      <c r="B1590" s="84" t="n">
        <v>8898.6</v>
      </c>
      <c r="C1590" s="39">
        <f>(Table26[[#This Row],[M2 Money Stock, Billions of Dollars, Weekly, Seasonally Adjusted]]-B1589)/B1589</f>
        <v/>
      </c>
      <c r="D1590" s="40">
        <f>((1+Table26[[#This Row],[Weekly change]])^52)-1</f>
        <v/>
      </c>
      <c r="E1590" s="85">
        <f>(Table26[[#This Row],[M2 Money Stock, Billions of Dollars, Weekly, Seasonally Adjusted]]-B1538)/B1538</f>
        <v/>
      </c>
    </row>
    <row r="1591">
      <c r="A1591" s="37" t="n">
        <v>40616</v>
      </c>
      <c r="B1591" s="84" t="n">
        <v>8901.4</v>
      </c>
      <c r="C1591" s="39">
        <f>(Table26[[#This Row],[M2 Money Stock, Billions of Dollars, Weekly, Seasonally Adjusted]]-B1590)/B1590</f>
        <v/>
      </c>
      <c r="D1591" s="40">
        <f>((1+Table26[[#This Row],[Weekly change]])^52)-1</f>
        <v/>
      </c>
      <c r="E1591" s="85">
        <f>(Table26[[#This Row],[M2 Money Stock, Billions of Dollars, Weekly, Seasonally Adjusted]]-B1539)/B1539</f>
        <v/>
      </c>
    </row>
    <row r="1592">
      <c r="A1592" s="37" t="n">
        <v>40623</v>
      </c>
      <c r="B1592" s="84" t="n">
        <v>8920.6</v>
      </c>
      <c r="C1592" s="39">
        <f>(Table26[[#This Row],[M2 Money Stock, Billions of Dollars, Weekly, Seasonally Adjusted]]-B1591)/B1591</f>
        <v/>
      </c>
      <c r="D1592" s="40">
        <f>((1+Table26[[#This Row],[Weekly change]])^52)-1</f>
        <v/>
      </c>
      <c r="E1592" s="85">
        <f>(Table26[[#This Row],[M2 Money Stock, Billions of Dollars, Weekly, Seasonally Adjusted]]-B1540)/B1540</f>
        <v/>
      </c>
    </row>
    <row r="1593">
      <c r="A1593" s="37" t="n">
        <v>40630</v>
      </c>
      <c r="B1593" s="84" t="n">
        <v>8931.5</v>
      </c>
      <c r="C1593" s="39">
        <f>(Table26[[#This Row],[M2 Money Stock, Billions of Dollars, Weekly, Seasonally Adjusted]]-B1592)/B1592</f>
        <v/>
      </c>
      <c r="D1593" s="40">
        <f>((1+Table26[[#This Row],[Weekly change]])^52)-1</f>
        <v/>
      </c>
      <c r="E1593" s="85">
        <f>(Table26[[#This Row],[M2 Money Stock, Billions of Dollars, Weekly, Seasonally Adjusted]]-B1541)/B1541</f>
        <v/>
      </c>
    </row>
    <row r="1594">
      <c r="A1594" s="37" t="n">
        <v>40637</v>
      </c>
      <c r="B1594" s="84" t="n">
        <v>8940.6</v>
      </c>
      <c r="C1594" s="39">
        <f>(Table26[[#This Row],[M2 Money Stock, Billions of Dollars, Weekly, Seasonally Adjusted]]-B1593)/B1593</f>
        <v/>
      </c>
      <c r="D1594" s="40">
        <f>((1+Table26[[#This Row],[Weekly change]])^52)-1</f>
        <v/>
      </c>
      <c r="E1594" s="85">
        <f>(Table26[[#This Row],[M2 Money Stock, Billions of Dollars, Weekly, Seasonally Adjusted]]-B1542)/B1542</f>
        <v/>
      </c>
    </row>
    <row r="1595">
      <c r="A1595" s="37" t="n">
        <v>40644</v>
      </c>
      <c r="B1595" s="84" t="n">
        <v>8950.700000000001</v>
      </c>
      <c r="C1595" s="39">
        <f>(Table26[[#This Row],[M2 Money Stock, Billions of Dollars, Weekly, Seasonally Adjusted]]-B1594)/B1594</f>
        <v/>
      </c>
      <c r="D1595" s="40">
        <f>((1+Table26[[#This Row],[Weekly change]])^52)-1</f>
        <v/>
      </c>
      <c r="E1595" s="85">
        <f>(Table26[[#This Row],[M2 Money Stock, Billions of Dollars, Weekly, Seasonally Adjusted]]-B1543)/B1543</f>
        <v/>
      </c>
    </row>
    <row r="1596">
      <c r="A1596" s="37" t="n">
        <v>40651</v>
      </c>
      <c r="B1596" s="84" t="n">
        <v>8970.4</v>
      </c>
      <c r="C1596" s="39">
        <f>(Table26[[#This Row],[M2 Money Stock, Billions of Dollars, Weekly, Seasonally Adjusted]]-B1595)/B1595</f>
        <v/>
      </c>
      <c r="D1596" s="40">
        <f>((1+Table26[[#This Row],[Weekly change]])^52)-1</f>
        <v/>
      </c>
      <c r="E1596" s="85">
        <f>(Table26[[#This Row],[M2 Money Stock, Billions of Dollars, Weekly, Seasonally Adjusted]]-B1544)/B1544</f>
        <v/>
      </c>
    </row>
    <row r="1597">
      <c r="A1597" s="37" t="n">
        <v>40658</v>
      </c>
      <c r="B1597" s="84" t="n">
        <v>9005.200000000001</v>
      </c>
      <c r="C1597" s="39">
        <f>(Table26[[#This Row],[M2 Money Stock, Billions of Dollars, Weekly, Seasonally Adjusted]]-B1596)/B1596</f>
        <v/>
      </c>
      <c r="D1597" s="40">
        <f>((1+Table26[[#This Row],[Weekly change]])^52)-1</f>
        <v/>
      </c>
      <c r="E1597" s="85">
        <f>(Table26[[#This Row],[M2 Money Stock, Billions of Dollars, Weekly, Seasonally Adjusted]]-B1545)/B1545</f>
        <v/>
      </c>
    </row>
    <row r="1598">
      <c r="A1598" s="37" t="n">
        <v>40665</v>
      </c>
      <c r="B1598" s="84" t="n">
        <v>9018.4</v>
      </c>
      <c r="C1598" s="39">
        <f>(Table26[[#This Row],[M2 Money Stock, Billions of Dollars, Weekly, Seasonally Adjusted]]-B1597)/B1597</f>
        <v/>
      </c>
      <c r="D1598" s="40">
        <f>((1+Table26[[#This Row],[Weekly change]])^52)-1</f>
        <v/>
      </c>
      <c r="E1598" s="85">
        <f>(Table26[[#This Row],[M2 Money Stock, Billions of Dollars, Weekly, Seasonally Adjusted]]-B1546)/B1546</f>
        <v/>
      </c>
    </row>
    <row r="1599">
      <c r="A1599" s="37" t="n">
        <v>40672</v>
      </c>
      <c r="B1599" s="84" t="n">
        <v>9017</v>
      </c>
      <c r="C1599" s="39">
        <f>(Table26[[#This Row],[M2 Money Stock, Billions of Dollars, Weekly, Seasonally Adjusted]]-B1598)/B1598</f>
        <v/>
      </c>
      <c r="D1599" s="40">
        <f>((1+Table26[[#This Row],[Weekly change]])^52)-1</f>
        <v/>
      </c>
      <c r="E1599" s="85">
        <f>(Table26[[#This Row],[M2 Money Stock, Billions of Dollars, Weekly, Seasonally Adjusted]]-B1547)/B1547</f>
        <v/>
      </c>
    </row>
    <row r="1600">
      <c r="A1600" s="37" t="n">
        <v>40679</v>
      </c>
      <c r="B1600" s="84" t="n">
        <v>9026.9</v>
      </c>
      <c r="C1600" s="39">
        <f>(Table26[[#This Row],[M2 Money Stock, Billions of Dollars, Weekly, Seasonally Adjusted]]-B1599)/B1599</f>
        <v/>
      </c>
      <c r="D1600" s="40">
        <f>((1+Table26[[#This Row],[Weekly change]])^52)-1</f>
        <v/>
      </c>
      <c r="E1600" s="85">
        <f>(Table26[[#This Row],[M2 Money Stock, Billions of Dollars, Weekly, Seasonally Adjusted]]-B1548)/B1548</f>
        <v/>
      </c>
    </row>
    <row r="1601">
      <c r="A1601" s="37" t="n">
        <v>40686</v>
      </c>
      <c r="B1601" s="84" t="n">
        <v>9029.299999999999</v>
      </c>
      <c r="C1601" s="39">
        <f>(Table26[[#This Row],[M2 Money Stock, Billions of Dollars, Weekly, Seasonally Adjusted]]-B1600)/B1600</f>
        <v/>
      </c>
      <c r="D1601" s="40">
        <f>((1+Table26[[#This Row],[Weekly change]])^52)-1</f>
        <v/>
      </c>
      <c r="E1601" s="85">
        <f>(Table26[[#This Row],[M2 Money Stock, Billions of Dollars, Weekly, Seasonally Adjusted]]-B1549)/B1549</f>
        <v/>
      </c>
    </row>
    <row r="1602">
      <c r="A1602" s="37" t="n">
        <v>40693</v>
      </c>
      <c r="B1602" s="84" t="n">
        <v>9044.4</v>
      </c>
      <c r="C1602" s="39">
        <f>(Table26[[#This Row],[M2 Money Stock, Billions of Dollars, Weekly, Seasonally Adjusted]]-B1601)/B1601</f>
        <v/>
      </c>
      <c r="D1602" s="40">
        <f>((1+Table26[[#This Row],[Weekly change]])^52)-1</f>
        <v/>
      </c>
      <c r="E1602" s="85">
        <f>(Table26[[#This Row],[M2 Money Stock, Billions of Dollars, Weekly, Seasonally Adjusted]]-B1550)/B1550</f>
        <v/>
      </c>
    </row>
    <row r="1603">
      <c r="A1603" s="37" t="n">
        <v>40700</v>
      </c>
      <c r="B1603" s="84" t="n">
        <v>9046</v>
      </c>
      <c r="C1603" s="39">
        <f>(Table26[[#This Row],[M2 Money Stock, Billions of Dollars, Weekly, Seasonally Adjusted]]-B1602)/B1602</f>
        <v/>
      </c>
      <c r="D1603" s="40">
        <f>((1+Table26[[#This Row],[Weekly change]])^52)-1</f>
        <v/>
      </c>
      <c r="E1603" s="85">
        <f>(Table26[[#This Row],[M2 Money Stock, Billions of Dollars, Weekly, Seasonally Adjusted]]-B1551)/B1551</f>
        <v/>
      </c>
    </row>
    <row r="1604">
      <c r="A1604" s="37" t="n">
        <v>40707</v>
      </c>
      <c r="B1604" s="84" t="n">
        <v>9061</v>
      </c>
      <c r="C1604" s="39">
        <f>(Table26[[#This Row],[M2 Money Stock, Billions of Dollars, Weekly, Seasonally Adjusted]]-B1603)/B1603</f>
        <v/>
      </c>
      <c r="D1604" s="40">
        <f>((1+Table26[[#This Row],[Weekly change]])^52)-1</f>
        <v/>
      </c>
      <c r="E1604" s="85">
        <f>(Table26[[#This Row],[M2 Money Stock, Billions of Dollars, Weekly, Seasonally Adjusted]]-B1552)/B1552</f>
        <v/>
      </c>
    </row>
    <row r="1605">
      <c r="A1605" s="37" t="n">
        <v>40714</v>
      </c>
      <c r="B1605" s="84" t="n">
        <v>9103.9</v>
      </c>
      <c r="C1605" s="39">
        <f>(Table26[[#This Row],[M2 Money Stock, Billions of Dollars, Weekly, Seasonally Adjusted]]-B1604)/B1604</f>
        <v/>
      </c>
      <c r="D1605" s="40">
        <f>((1+Table26[[#This Row],[Weekly change]])^52)-1</f>
        <v/>
      </c>
      <c r="E1605" s="85">
        <f>(Table26[[#This Row],[M2 Money Stock, Billions of Dollars, Weekly, Seasonally Adjusted]]-B1553)/B1553</f>
        <v/>
      </c>
    </row>
    <row r="1606">
      <c r="A1606" s="37" t="n">
        <v>40721</v>
      </c>
      <c r="B1606" s="84" t="n">
        <v>9183</v>
      </c>
      <c r="C1606" s="39">
        <f>(Table26[[#This Row],[M2 Money Stock, Billions of Dollars, Weekly, Seasonally Adjusted]]-B1605)/B1605</f>
        <v/>
      </c>
      <c r="D1606" s="40">
        <f>((1+Table26[[#This Row],[Weekly change]])^52)-1</f>
        <v/>
      </c>
      <c r="E1606" s="85">
        <f>(Table26[[#This Row],[M2 Money Stock, Billions of Dollars, Weekly, Seasonally Adjusted]]-B1554)/B1554</f>
        <v/>
      </c>
    </row>
    <row r="1607">
      <c r="A1607" s="37" t="n">
        <v>40728</v>
      </c>
      <c r="B1607" s="84" t="n">
        <v>9229.6</v>
      </c>
      <c r="C1607" s="39">
        <f>(Table26[[#This Row],[M2 Money Stock, Billions of Dollars, Weekly, Seasonally Adjusted]]-B1606)/B1606</f>
        <v/>
      </c>
      <c r="D1607" s="40">
        <f>((1+Table26[[#This Row],[Weekly change]])^52)-1</f>
        <v/>
      </c>
      <c r="E1607" s="85">
        <f>(Table26[[#This Row],[M2 Money Stock, Billions of Dollars, Weekly, Seasonally Adjusted]]-B1555)/B1555</f>
        <v/>
      </c>
    </row>
    <row r="1608">
      <c r="A1608" s="37" t="n">
        <v>40735</v>
      </c>
      <c r="B1608" s="84" t="n">
        <v>9240.5</v>
      </c>
      <c r="C1608" s="39">
        <f>(Table26[[#This Row],[M2 Money Stock, Billions of Dollars, Weekly, Seasonally Adjusted]]-B1607)/B1607</f>
        <v/>
      </c>
      <c r="D1608" s="40">
        <f>((1+Table26[[#This Row],[Weekly change]])^52)-1</f>
        <v/>
      </c>
      <c r="E1608" s="85">
        <f>(Table26[[#This Row],[M2 Money Stock, Billions of Dollars, Weekly, Seasonally Adjusted]]-B1556)/B1556</f>
        <v/>
      </c>
    </row>
    <row r="1609">
      <c r="A1609" s="37" t="n">
        <v>40742</v>
      </c>
      <c r="B1609" s="84" t="n">
        <v>9266.9</v>
      </c>
      <c r="C1609" s="39">
        <f>(Table26[[#This Row],[M2 Money Stock, Billions of Dollars, Weekly, Seasonally Adjusted]]-B1608)/B1608</f>
        <v/>
      </c>
      <c r="D1609" s="40">
        <f>((1+Table26[[#This Row],[Weekly change]])^52)-1</f>
        <v/>
      </c>
      <c r="E1609" s="85">
        <f>(Table26[[#This Row],[M2 Money Stock, Billions of Dollars, Weekly, Seasonally Adjusted]]-B1557)/B1557</f>
        <v/>
      </c>
    </row>
    <row r="1610">
      <c r="A1610" s="37" t="n">
        <v>40749</v>
      </c>
      <c r="B1610" s="84" t="n">
        <v>9307.4</v>
      </c>
      <c r="C1610" s="39">
        <f>(Table26[[#This Row],[M2 Money Stock, Billions of Dollars, Weekly, Seasonally Adjusted]]-B1609)/B1609</f>
        <v/>
      </c>
      <c r="D1610" s="40">
        <f>((1+Table26[[#This Row],[Weekly change]])^52)-1</f>
        <v/>
      </c>
      <c r="E1610" s="85">
        <f>(Table26[[#This Row],[M2 Money Stock, Billions of Dollars, Weekly, Seasonally Adjusted]]-B1558)/B1558</f>
        <v/>
      </c>
    </row>
    <row r="1611">
      <c r="A1611" s="37" t="n">
        <v>40756</v>
      </c>
      <c r="B1611" s="84" t="n">
        <v>9453.9</v>
      </c>
      <c r="C1611" s="39">
        <f>(Table26[[#This Row],[M2 Money Stock, Billions of Dollars, Weekly, Seasonally Adjusted]]-B1610)/B1610</f>
        <v/>
      </c>
      <c r="D1611" s="40">
        <f>((1+Table26[[#This Row],[Weekly change]])^52)-1</f>
        <v/>
      </c>
      <c r="E1611" s="85">
        <f>(Table26[[#This Row],[M2 Money Stock, Billions of Dollars, Weekly, Seasonally Adjusted]]-B1559)/B1559</f>
        <v/>
      </c>
    </row>
    <row r="1612">
      <c r="A1612" s="37" t="n">
        <v>40763</v>
      </c>
      <c r="B1612" s="84" t="n">
        <v>9480</v>
      </c>
      <c r="C1612" s="39">
        <f>(Table26[[#This Row],[M2 Money Stock, Billions of Dollars, Weekly, Seasonally Adjusted]]-B1611)/B1611</f>
        <v/>
      </c>
      <c r="D1612" s="40">
        <f>((1+Table26[[#This Row],[Weekly change]])^52)-1</f>
        <v/>
      </c>
      <c r="E1612" s="85">
        <f>(Table26[[#This Row],[M2 Money Stock, Billions of Dollars, Weekly, Seasonally Adjusted]]-B1560)/B1560</f>
        <v/>
      </c>
    </row>
    <row r="1613">
      <c r="A1613" s="37" t="n">
        <v>40770</v>
      </c>
      <c r="B1613" s="84" t="n">
        <v>9509</v>
      </c>
      <c r="C1613" s="39">
        <f>(Table26[[#This Row],[M2 Money Stock, Billions of Dollars, Weekly, Seasonally Adjusted]]-B1612)/B1612</f>
        <v/>
      </c>
      <c r="D1613" s="40">
        <f>((1+Table26[[#This Row],[Weekly change]])^52)-1</f>
        <v/>
      </c>
      <c r="E1613" s="85">
        <f>(Table26[[#This Row],[M2 Money Stock, Billions of Dollars, Weekly, Seasonally Adjusted]]-B1561)/B1561</f>
        <v/>
      </c>
    </row>
    <row r="1614">
      <c r="A1614" s="37" t="n">
        <v>40777</v>
      </c>
      <c r="B1614" s="84" t="n">
        <v>9537.299999999999</v>
      </c>
      <c r="C1614" s="39">
        <f>(Table26[[#This Row],[M2 Money Stock, Billions of Dollars, Weekly, Seasonally Adjusted]]-B1613)/B1613</f>
        <v/>
      </c>
      <c r="D1614" s="40">
        <f>((1+Table26[[#This Row],[Weekly change]])^52)-1</f>
        <v/>
      </c>
      <c r="E1614" s="85">
        <f>(Table26[[#This Row],[M2 Money Stock, Billions of Dollars, Weekly, Seasonally Adjusted]]-B1562)/B1562</f>
        <v/>
      </c>
    </row>
    <row r="1615">
      <c r="A1615" s="37" t="n">
        <v>40784</v>
      </c>
      <c r="B1615" s="84" t="n">
        <v>9537</v>
      </c>
      <c r="C1615" s="39">
        <f>(Table26[[#This Row],[M2 Money Stock, Billions of Dollars, Weekly, Seasonally Adjusted]]-B1614)/B1614</f>
        <v/>
      </c>
      <c r="D1615" s="40">
        <f>((1+Table26[[#This Row],[Weekly change]])^52)-1</f>
        <v/>
      </c>
      <c r="E1615" s="85">
        <f>(Table26[[#This Row],[M2 Money Stock, Billions of Dollars, Weekly, Seasonally Adjusted]]-B1563)/B1563</f>
        <v/>
      </c>
    </row>
    <row r="1616">
      <c r="A1616" s="37" t="n">
        <v>40791</v>
      </c>
      <c r="B1616" s="84" t="n">
        <v>9535.1</v>
      </c>
      <c r="C1616" s="39">
        <f>(Table26[[#This Row],[M2 Money Stock, Billions of Dollars, Weekly, Seasonally Adjusted]]-B1615)/B1615</f>
        <v/>
      </c>
      <c r="D1616" s="40">
        <f>((1+Table26[[#This Row],[Weekly change]])^52)-1</f>
        <v/>
      </c>
      <c r="E1616" s="85">
        <f>(Table26[[#This Row],[M2 Money Stock, Billions of Dollars, Weekly, Seasonally Adjusted]]-B1564)/B1564</f>
        <v/>
      </c>
    </row>
    <row r="1617">
      <c r="A1617" s="37" t="n">
        <v>40798</v>
      </c>
      <c r="B1617" s="84" t="n">
        <v>9529.799999999999</v>
      </c>
      <c r="C1617" s="39">
        <f>(Table26[[#This Row],[M2 Money Stock, Billions of Dollars, Weekly, Seasonally Adjusted]]-B1616)/B1616</f>
        <v/>
      </c>
      <c r="D1617" s="40">
        <f>((1+Table26[[#This Row],[Weekly change]])^52)-1</f>
        <v/>
      </c>
      <c r="E1617" s="85">
        <f>(Table26[[#This Row],[M2 Money Stock, Billions of Dollars, Weekly, Seasonally Adjusted]]-B1565)/B1565</f>
        <v/>
      </c>
    </row>
    <row r="1618">
      <c r="A1618" s="37" t="n">
        <v>40805</v>
      </c>
      <c r="B1618" s="84" t="n">
        <v>9526</v>
      </c>
      <c r="C1618" s="39">
        <f>(Table26[[#This Row],[M2 Money Stock, Billions of Dollars, Weekly, Seasonally Adjusted]]-B1617)/B1617</f>
        <v/>
      </c>
      <c r="D1618" s="40">
        <f>((1+Table26[[#This Row],[Weekly change]])^52)-1</f>
        <v/>
      </c>
      <c r="E1618" s="85">
        <f>(Table26[[#This Row],[M2 Money Stock, Billions of Dollars, Weekly, Seasonally Adjusted]]-B1566)/B1566</f>
        <v/>
      </c>
    </row>
    <row r="1619">
      <c r="A1619" s="37" t="n">
        <v>40812</v>
      </c>
      <c r="B1619" s="84" t="n">
        <v>9553.4</v>
      </c>
      <c r="C1619" s="39">
        <f>(Table26[[#This Row],[M2 Money Stock, Billions of Dollars, Weekly, Seasonally Adjusted]]-B1618)/B1618</f>
        <v/>
      </c>
      <c r="D1619" s="40">
        <f>((1+Table26[[#This Row],[Weekly change]])^52)-1</f>
        <v/>
      </c>
      <c r="E1619" s="85">
        <f>(Table26[[#This Row],[M2 Money Stock, Billions of Dollars, Weekly, Seasonally Adjusted]]-B1567)/B1567</f>
        <v/>
      </c>
    </row>
    <row r="1620">
      <c r="A1620" s="37" t="n">
        <v>40819</v>
      </c>
      <c r="B1620" s="84" t="n">
        <v>9563</v>
      </c>
      <c r="C1620" s="39">
        <f>(Table26[[#This Row],[M2 Money Stock, Billions of Dollars, Weekly, Seasonally Adjusted]]-B1619)/B1619</f>
        <v/>
      </c>
      <c r="D1620" s="40">
        <f>((1+Table26[[#This Row],[Weekly change]])^52)-1</f>
        <v/>
      </c>
      <c r="E1620" s="85">
        <f>(Table26[[#This Row],[M2 Money Stock, Billions of Dollars, Weekly, Seasonally Adjusted]]-B1568)/B1568</f>
        <v/>
      </c>
    </row>
    <row r="1621">
      <c r="A1621" s="37" t="n">
        <v>40826</v>
      </c>
      <c r="B1621" s="84" t="n">
        <v>9570.700000000001</v>
      </c>
      <c r="C1621" s="39">
        <f>(Table26[[#This Row],[M2 Money Stock, Billions of Dollars, Weekly, Seasonally Adjusted]]-B1620)/B1620</f>
        <v/>
      </c>
      <c r="D1621" s="40">
        <f>((1+Table26[[#This Row],[Weekly change]])^52)-1</f>
        <v/>
      </c>
      <c r="E1621" s="85">
        <f>(Table26[[#This Row],[M2 Money Stock, Billions of Dollars, Weekly, Seasonally Adjusted]]-B1569)/B1569</f>
        <v/>
      </c>
    </row>
    <row r="1622">
      <c r="A1622" s="37" t="n">
        <v>40833</v>
      </c>
      <c r="B1622" s="84" t="n">
        <v>9579.6</v>
      </c>
      <c r="C1622" s="39">
        <f>(Table26[[#This Row],[M2 Money Stock, Billions of Dollars, Weekly, Seasonally Adjusted]]-B1621)/B1621</f>
        <v/>
      </c>
      <c r="D1622" s="40">
        <f>((1+Table26[[#This Row],[Weekly change]])^52)-1</f>
        <v/>
      </c>
      <c r="E1622" s="85">
        <f>(Table26[[#This Row],[M2 Money Stock, Billions of Dollars, Weekly, Seasonally Adjusted]]-B1570)/B1570</f>
        <v/>
      </c>
    </row>
    <row r="1623">
      <c r="A1623" s="37" t="n">
        <v>40840</v>
      </c>
      <c r="B1623" s="84" t="n">
        <v>9560</v>
      </c>
      <c r="C1623" s="39">
        <f>(Table26[[#This Row],[M2 Money Stock, Billions of Dollars, Weekly, Seasonally Adjusted]]-B1622)/B1622</f>
        <v/>
      </c>
      <c r="D1623" s="40">
        <f>((1+Table26[[#This Row],[Weekly change]])^52)-1</f>
        <v/>
      </c>
      <c r="E1623" s="85">
        <f>(Table26[[#This Row],[M2 Money Stock, Billions of Dollars, Weekly, Seasonally Adjusted]]-B1571)/B1571</f>
        <v/>
      </c>
    </row>
    <row r="1624">
      <c r="A1624" s="37" t="n">
        <v>40847</v>
      </c>
      <c r="B1624" s="84" t="n">
        <v>9578.700000000001</v>
      </c>
      <c r="C1624" s="39">
        <f>(Table26[[#This Row],[M2 Money Stock, Billions of Dollars, Weekly, Seasonally Adjusted]]-B1623)/B1623</f>
        <v/>
      </c>
      <c r="D1624" s="40">
        <f>((1+Table26[[#This Row],[Weekly change]])^52)-1</f>
        <v/>
      </c>
      <c r="E1624" s="85">
        <f>(Table26[[#This Row],[M2 Money Stock, Billions of Dollars, Weekly, Seasonally Adjusted]]-B1572)/B1572</f>
        <v/>
      </c>
    </row>
    <row r="1625">
      <c r="A1625" s="37" t="n">
        <v>40854</v>
      </c>
      <c r="B1625" s="84" t="n">
        <v>9602.4</v>
      </c>
      <c r="C1625" s="39">
        <f>(Table26[[#This Row],[M2 Money Stock, Billions of Dollars, Weekly, Seasonally Adjusted]]-B1624)/B1624</f>
        <v/>
      </c>
      <c r="D1625" s="40">
        <f>((1+Table26[[#This Row],[Weekly change]])^52)-1</f>
        <v/>
      </c>
      <c r="E1625" s="85">
        <f>(Table26[[#This Row],[M2 Money Stock, Billions of Dollars, Weekly, Seasonally Adjusted]]-B1573)/B1573</f>
        <v/>
      </c>
    </row>
    <row r="1626">
      <c r="A1626" s="37" t="n">
        <v>40861</v>
      </c>
      <c r="B1626" s="84" t="n">
        <v>9620.5</v>
      </c>
      <c r="C1626" s="39">
        <f>(Table26[[#This Row],[M2 Money Stock, Billions of Dollars, Weekly, Seasonally Adjusted]]-B1625)/B1625</f>
        <v/>
      </c>
      <c r="D1626" s="40">
        <f>((1+Table26[[#This Row],[Weekly change]])^52)-1</f>
        <v/>
      </c>
      <c r="E1626" s="85">
        <f>(Table26[[#This Row],[M2 Money Stock, Billions of Dollars, Weekly, Seasonally Adjusted]]-B1574)/B1574</f>
        <v/>
      </c>
    </row>
    <row r="1627">
      <c r="A1627" s="37" t="n">
        <v>40868</v>
      </c>
      <c r="B1627" s="84" t="n">
        <v>9607.799999999999</v>
      </c>
      <c r="C1627" s="39">
        <f>(Table26[[#This Row],[M2 Money Stock, Billions of Dollars, Weekly, Seasonally Adjusted]]-B1626)/B1626</f>
        <v/>
      </c>
      <c r="D1627" s="40">
        <f>((1+Table26[[#This Row],[Weekly change]])^52)-1</f>
        <v/>
      </c>
      <c r="E1627" s="85">
        <f>(Table26[[#This Row],[M2 Money Stock, Billions of Dollars, Weekly, Seasonally Adjusted]]-B1575)/B1575</f>
        <v/>
      </c>
    </row>
    <row r="1628">
      <c r="A1628" s="37" t="n">
        <v>40875</v>
      </c>
      <c r="B1628" s="84" t="n">
        <v>9614.9</v>
      </c>
      <c r="C1628" s="39">
        <f>(Table26[[#This Row],[M2 Money Stock, Billions of Dollars, Weekly, Seasonally Adjusted]]-B1627)/B1627</f>
        <v/>
      </c>
      <c r="D1628" s="40">
        <f>((1+Table26[[#This Row],[Weekly change]])^52)-1</f>
        <v/>
      </c>
      <c r="E1628" s="85">
        <f>(Table26[[#This Row],[M2 Money Stock, Billions of Dollars, Weekly, Seasonally Adjusted]]-B1576)/B1576</f>
        <v/>
      </c>
    </row>
    <row r="1629">
      <c r="A1629" s="37" t="n">
        <v>40882</v>
      </c>
      <c r="B1629" s="84" t="n">
        <v>9625.4</v>
      </c>
      <c r="C1629" s="39">
        <f>(Table26[[#This Row],[M2 Money Stock, Billions of Dollars, Weekly, Seasonally Adjusted]]-B1628)/B1628</f>
        <v/>
      </c>
      <c r="D1629" s="40">
        <f>((1+Table26[[#This Row],[Weekly change]])^52)-1</f>
        <v/>
      </c>
      <c r="E1629" s="85">
        <f>(Table26[[#This Row],[M2 Money Stock, Billions of Dollars, Weekly, Seasonally Adjusted]]-B1577)/B1577</f>
        <v/>
      </c>
    </row>
    <row r="1630">
      <c r="A1630" s="37" t="n">
        <v>40889</v>
      </c>
      <c r="B1630" s="84" t="n">
        <v>9646.799999999999</v>
      </c>
      <c r="C1630" s="39">
        <f>(Table26[[#This Row],[M2 Money Stock, Billions of Dollars, Weekly, Seasonally Adjusted]]-B1629)/B1629</f>
        <v/>
      </c>
      <c r="D1630" s="40">
        <f>((1+Table26[[#This Row],[Weekly change]])^52)-1</f>
        <v/>
      </c>
      <c r="E1630" s="85">
        <f>(Table26[[#This Row],[M2 Money Stock, Billions of Dollars, Weekly, Seasonally Adjusted]]-B1578)/B1578</f>
        <v/>
      </c>
    </row>
    <row r="1631">
      <c r="A1631" s="37" t="n">
        <v>40896</v>
      </c>
      <c r="B1631" s="84" t="n">
        <v>9638.6</v>
      </c>
      <c r="C1631" s="39">
        <f>(Table26[[#This Row],[M2 Money Stock, Billions of Dollars, Weekly, Seasonally Adjusted]]-B1630)/B1630</f>
        <v/>
      </c>
      <c r="D1631" s="40">
        <f>((1+Table26[[#This Row],[Weekly change]])^52)-1</f>
        <v/>
      </c>
      <c r="E1631" s="85">
        <f>(Table26[[#This Row],[M2 Money Stock, Billions of Dollars, Weekly, Seasonally Adjusted]]-B1579)/B1579</f>
        <v/>
      </c>
    </row>
    <row r="1632">
      <c r="A1632" s="37" t="n">
        <v>40903</v>
      </c>
      <c r="B1632" s="84" t="n">
        <v>9639.4</v>
      </c>
      <c r="C1632" s="39">
        <f>(Table26[[#This Row],[M2 Money Stock, Billions of Dollars, Weekly, Seasonally Adjusted]]-B1631)/B1631</f>
        <v/>
      </c>
      <c r="D1632" s="40">
        <f>((1+Table26[[#This Row],[Weekly change]])^52)-1</f>
        <v/>
      </c>
      <c r="E1632" s="85">
        <f>(Table26[[#This Row],[M2 Money Stock, Billions of Dollars, Weekly, Seasonally Adjusted]]-B1580)/B1580</f>
        <v/>
      </c>
    </row>
    <row r="1633">
      <c r="A1633" s="37" t="n">
        <v>40910</v>
      </c>
      <c r="B1633" s="84" t="n">
        <v>9716.5</v>
      </c>
      <c r="C1633" s="39">
        <f>(Table26[[#This Row],[M2 Money Stock, Billions of Dollars, Weekly, Seasonally Adjusted]]-B1632)/B1632</f>
        <v/>
      </c>
      <c r="D1633" s="40">
        <f>((1+Table26[[#This Row],[Weekly change]])^52)-1</f>
        <v/>
      </c>
      <c r="E1633" s="85">
        <f>(Table26[[#This Row],[M2 Money Stock, Billions of Dollars, Weekly, Seasonally Adjusted]]-B1581)/B1581</f>
        <v/>
      </c>
    </row>
    <row r="1634">
      <c r="A1634" s="37" t="n">
        <v>40917</v>
      </c>
      <c r="B1634" s="84" t="n">
        <v>9723.9</v>
      </c>
      <c r="C1634" s="39">
        <f>(Table26[[#This Row],[M2 Money Stock, Billions of Dollars, Weekly, Seasonally Adjusted]]-B1633)/B1633</f>
        <v/>
      </c>
      <c r="D1634" s="40">
        <f>((1+Table26[[#This Row],[Weekly change]])^52)-1</f>
        <v/>
      </c>
      <c r="E1634" s="85">
        <f>(Table26[[#This Row],[M2 Money Stock, Billions of Dollars, Weekly, Seasonally Adjusted]]-B1582)/B1582</f>
        <v/>
      </c>
    </row>
    <row r="1635">
      <c r="A1635" s="37" t="n">
        <v>40924</v>
      </c>
      <c r="B1635" s="84" t="n">
        <v>9733.200000000001</v>
      </c>
      <c r="C1635" s="39">
        <f>(Table26[[#This Row],[M2 Money Stock, Billions of Dollars, Weekly, Seasonally Adjusted]]-B1634)/B1634</f>
        <v/>
      </c>
      <c r="D1635" s="40">
        <f>((1+Table26[[#This Row],[Weekly change]])^52)-1</f>
        <v/>
      </c>
      <c r="E1635" s="85">
        <f>(Table26[[#This Row],[M2 Money Stock, Billions of Dollars, Weekly, Seasonally Adjusted]]-B1583)/B1583</f>
        <v/>
      </c>
    </row>
    <row r="1636">
      <c r="A1636" s="37" t="n">
        <v>40931</v>
      </c>
      <c r="B1636" s="84" t="n">
        <v>9729</v>
      </c>
      <c r="C1636" s="39">
        <f>(Table26[[#This Row],[M2 Money Stock, Billions of Dollars, Weekly, Seasonally Adjusted]]-B1635)/B1635</f>
        <v/>
      </c>
      <c r="D1636" s="40">
        <f>((1+Table26[[#This Row],[Weekly change]])^52)-1</f>
        <v/>
      </c>
      <c r="E1636" s="85">
        <f>(Table26[[#This Row],[M2 Money Stock, Billions of Dollars, Weekly, Seasonally Adjusted]]-B1584)/B1584</f>
        <v/>
      </c>
    </row>
    <row r="1637">
      <c r="A1637" s="37" t="n">
        <v>40938</v>
      </c>
      <c r="B1637" s="84" t="n">
        <v>9736</v>
      </c>
      <c r="C1637" s="39">
        <f>(Table26[[#This Row],[M2 Money Stock, Billions of Dollars, Weekly, Seasonally Adjusted]]-B1636)/B1636</f>
        <v/>
      </c>
      <c r="D1637" s="40">
        <f>((1+Table26[[#This Row],[Weekly change]])^52)-1</f>
        <v/>
      </c>
      <c r="E1637" s="85">
        <f>(Table26[[#This Row],[M2 Money Stock, Billions of Dollars, Weekly, Seasonally Adjusted]]-B1585)/B1585</f>
        <v/>
      </c>
    </row>
    <row r="1638">
      <c r="A1638" s="37" t="n">
        <v>40945</v>
      </c>
      <c r="B1638" s="84" t="n">
        <v>9751.5</v>
      </c>
      <c r="C1638" s="39">
        <f>(Table26[[#This Row],[M2 Money Stock, Billions of Dollars, Weekly, Seasonally Adjusted]]-B1637)/B1637</f>
        <v/>
      </c>
      <c r="D1638" s="40">
        <f>((1+Table26[[#This Row],[Weekly change]])^52)-1</f>
        <v/>
      </c>
      <c r="E1638" s="85">
        <f>(Table26[[#This Row],[M2 Money Stock, Billions of Dollars, Weekly, Seasonally Adjusted]]-B1586)/B1586</f>
        <v/>
      </c>
    </row>
    <row r="1639">
      <c r="A1639" s="37" t="n">
        <v>40952</v>
      </c>
      <c r="B1639" s="84" t="n">
        <v>9772</v>
      </c>
      <c r="C1639" s="39">
        <f>(Table26[[#This Row],[M2 Money Stock, Billions of Dollars, Weekly, Seasonally Adjusted]]-B1638)/B1638</f>
        <v/>
      </c>
      <c r="D1639" s="40">
        <f>((1+Table26[[#This Row],[Weekly change]])^52)-1</f>
        <v/>
      </c>
      <c r="E1639" s="85">
        <f>(Table26[[#This Row],[M2 Money Stock, Billions of Dollars, Weekly, Seasonally Adjusted]]-B1587)/B1587</f>
        <v/>
      </c>
    </row>
    <row r="1640">
      <c r="A1640" s="37" t="n">
        <v>40959</v>
      </c>
      <c r="B1640" s="84" t="n">
        <v>9778.1</v>
      </c>
      <c r="C1640" s="39">
        <f>(Table26[[#This Row],[M2 Money Stock, Billions of Dollars, Weekly, Seasonally Adjusted]]-B1639)/B1639</f>
        <v/>
      </c>
      <c r="D1640" s="40">
        <f>((1+Table26[[#This Row],[Weekly change]])^52)-1</f>
        <v/>
      </c>
      <c r="E1640" s="85">
        <f>(Table26[[#This Row],[M2 Money Stock, Billions of Dollars, Weekly, Seasonally Adjusted]]-B1588)/B1588</f>
        <v/>
      </c>
    </row>
    <row r="1641">
      <c r="A1641" s="37" t="n">
        <v>40966</v>
      </c>
      <c r="B1641" s="84" t="n">
        <v>9779.700000000001</v>
      </c>
      <c r="C1641" s="39">
        <f>(Table26[[#This Row],[M2 Money Stock, Billions of Dollars, Weekly, Seasonally Adjusted]]-B1640)/B1640</f>
        <v/>
      </c>
      <c r="D1641" s="40">
        <f>((1+Table26[[#This Row],[Weekly change]])^52)-1</f>
        <v/>
      </c>
      <c r="E1641" s="85">
        <f>(Table26[[#This Row],[M2 Money Stock, Billions of Dollars, Weekly, Seasonally Adjusted]]-B1589)/B1589</f>
        <v/>
      </c>
    </row>
    <row r="1642">
      <c r="A1642" s="37" t="n">
        <v>40973</v>
      </c>
      <c r="B1642" s="84" t="n">
        <v>9801.200000000001</v>
      </c>
      <c r="C1642" s="39">
        <f>(Table26[[#This Row],[M2 Money Stock, Billions of Dollars, Weekly, Seasonally Adjusted]]-B1641)/B1641</f>
        <v/>
      </c>
      <c r="D1642" s="40">
        <f>((1+Table26[[#This Row],[Weekly change]])^52)-1</f>
        <v/>
      </c>
      <c r="E1642" s="85">
        <f>(Table26[[#This Row],[M2 Money Stock, Billions of Dollars, Weekly, Seasonally Adjusted]]-B1590)/B1590</f>
        <v/>
      </c>
    </row>
    <row r="1643">
      <c r="A1643" s="37" t="n">
        <v>40980</v>
      </c>
      <c r="B1643" s="84" t="n">
        <v>9810.9</v>
      </c>
      <c r="C1643" s="39">
        <f>(Table26[[#This Row],[M2 Money Stock, Billions of Dollars, Weekly, Seasonally Adjusted]]-B1642)/B1642</f>
        <v/>
      </c>
      <c r="D1643" s="40">
        <f>((1+Table26[[#This Row],[Weekly change]])^52)-1</f>
        <v/>
      </c>
      <c r="E1643" s="85">
        <f>(Table26[[#This Row],[M2 Money Stock, Billions of Dollars, Weekly, Seasonally Adjusted]]-B1591)/B1591</f>
        <v/>
      </c>
    </row>
    <row r="1644">
      <c r="A1644" s="37" t="n">
        <v>40987</v>
      </c>
      <c r="B1644" s="84" t="n">
        <v>9805.4</v>
      </c>
      <c r="C1644" s="39">
        <f>(Table26[[#This Row],[M2 Money Stock, Billions of Dollars, Weekly, Seasonally Adjusted]]-B1643)/B1643</f>
        <v/>
      </c>
      <c r="D1644" s="40">
        <f>((1+Table26[[#This Row],[Weekly change]])^52)-1</f>
        <v/>
      </c>
      <c r="E1644" s="85">
        <f>(Table26[[#This Row],[M2 Money Stock, Billions of Dollars, Weekly, Seasonally Adjusted]]-B1592)/B1592</f>
        <v/>
      </c>
    </row>
    <row r="1645">
      <c r="A1645" s="37" t="n">
        <v>40994</v>
      </c>
      <c r="B1645" s="84" t="n">
        <v>9826.299999999999</v>
      </c>
      <c r="C1645" s="39">
        <f>(Table26[[#This Row],[M2 Money Stock, Billions of Dollars, Weekly, Seasonally Adjusted]]-B1644)/B1644</f>
        <v/>
      </c>
      <c r="D1645" s="40">
        <f>((1+Table26[[#This Row],[Weekly change]])^52)-1</f>
        <v/>
      </c>
      <c r="E1645" s="85">
        <f>(Table26[[#This Row],[M2 Money Stock, Billions of Dollars, Weekly, Seasonally Adjusted]]-B1593)/B1593</f>
        <v/>
      </c>
    </row>
    <row r="1646">
      <c r="A1646" s="37" t="n">
        <v>41001</v>
      </c>
      <c r="B1646" s="84" t="n">
        <v>9849.200000000001</v>
      </c>
      <c r="C1646" s="39">
        <f>(Table26[[#This Row],[M2 Money Stock, Billions of Dollars, Weekly, Seasonally Adjusted]]-B1645)/B1645</f>
        <v/>
      </c>
      <c r="D1646" s="40">
        <f>((1+Table26[[#This Row],[Weekly change]])^52)-1</f>
        <v/>
      </c>
      <c r="E1646" s="85">
        <f>(Table26[[#This Row],[M2 Money Stock, Billions of Dollars, Weekly, Seasonally Adjusted]]-B1594)/B1594</f>
        <v/>
      </c>
    </row>
    <row r="1647">
      <c r="A1647" s="37" t="n">
        <v>41008</v>
      </c>
      <c r="B1647" s="84" t="n">
        <v>9865.700000000001</v>
      </c>
      <c r="C1647" s="39">
        <f>(Table26[[#This Row],[M2 Money Stock, Billions of Dollars, Weekly, Seasonally Adjusted]]-B1646)/B1646</f>
        <v/>
      </c>
      <c r="D1647" s="40">
        <f>((1+Table26[[#This Row],[Weekly change]])^52)-1</f>
        <v/>
      </c>
      <c r="E1647" s="85">
        <f>(Table26[[#This Row],[M2 Money Stock, Billions of Dollars, Weekly, Seasonally Adjusted]]-B1595)/B1595</f>
        <v/>
      </c>
    </row>
    <row r="1648">
      <c r="A1648" s="37" t="n">
        <v>41015</v>
      </c>
      <c r="B1648" s="84" t="n">
        <v>9880.299999999999</v>
      </c>
      <c r="C1648" s="39">
        <f>(Table26[[#This Row],[M2 Money Stock, Billions of Dollars, Weekly, Seasonally Adjusted]]-B1647)/B1647</f>
        <v/>
      </c>
      <c r="D1648" s="40">
        <f>((1+Table26[[#This Row],[Weekly change]])^52)-1</f>
        <v/>
      </c>
      <c r="E1648" s="85">
        <f>(Table26[[#This Row],[M2 Money Stock, Billions of Dollars, Weekly, Seasonally Adjusted]]-B1596)/B1596</f>
        <v/>
      </c>
    </row>
    <row r="1649">
      <c r="A1649" s="37" t="n">
        <v>41022</v>
      </c>
      <c r="B1649" s="84" t="n">
        <v>9864</v>
      </c>
      <c r="C1649" s="39">
        <f>(Table26[[#This Row],[M2 Money Stock, Billions of Dollars, Weekly, Seasonally Adjusted]]-B1648)/B1648</f>
        <v/>
      </c>
      <c r="D1649" s="40">
        <f>((1+Table26[[#This Row],[Weekly change]])^52)-1</f>
        <v/>
      </c>
      <c r="E1649" s="85">
        <f>(Table26[[#This Row],[M2 Money Stock, Billions of Dollars, Weekly, Seasonally Adjusted]]-B1597)/B1597</f>
        <v/>
      </c>
    </row>
    <row r="1650">
      <c r="A1650" s="37" t="n">
        <v>41029</v>
      </c>
      <c r="B1650" s="84" t="n">
        <v>9885.1</v>
      </c>
      <c r="C1650" s="39">
        <f>(Table26[[#This Row],[M2 Money Stock, Billions of Dollars, Weekly, Seasonally Adjusted]]-B1649)/B1649</f>
        <v/>
      </c>
      <c r="D1650" s="40">
        <f>((1+Table26[[#This Row],[Weekly change]])^52)-1</f>
        <v/>
      </c>
      <c r="E1650" s="85">
        <f>(Table26[[#This Row],[M2 Money Stock, Billions of Dollars, Weekly, Seasonally Adjusted]]-B1598)/B1598</f>
        <v/>
      </c>
    </row>
    <row r="1651">
      <c r="A1651" s="37" t="n">
        <v>41036</v>
      </c>
      <c r="B1651" s="84" t="n">
        <v>9899.4</v>
      </c>
      <c r="C1651" s="39">
        <f>(Table26[[#This Row],[M2 Money Stock, Billions of Dollars, Weekly, Seasonally Adjusted]]-B1650)/B1650</f>
        <v/>
      </c>
      <c r="D1651" s="40">
        <f>((1+Table26[[#This Row],[Weekly change]])^52)-1</f>
        <v/>
      </c>
      <c r="E1651" s="85">
        <f>(Table26[[#This Row],[M2 Money Stock, Billions of Dollars, Weekly, Seasonally Adjusted]]-B1599)/B1599</f>
        <v/>
      </c>
    </row>
    <row r="1652">
      <c r="A1652" s="37" t="n">
        <v>41043</v>
      </c>
      <c r="B1652" s="84" t="n">
        <v>9897.200000000001</v>
      </c>
      <c r="C1652" s="39">
        <f>(Table26[[#This Row],[M2 Money Stock, Billions of Dollars, Weekly, Seasonally Adjusted]]-B1651)/B1651</f>
        <v/>
      </c>
      <c r="D1652" s="40">
        <f>((1+Table26[[#This Row],[Weekly change]])^52)-1</f>
        <v/>
      </c>
      <c r="E1652" s="85">
        <f>(Table26[[#This Row],[M2 Money Stock, Billions of Dollars, Weekly, Seasonally Adjusted]]-B1600)/B1600</f>
        <v/>
      </c>
    </row>
    <row r="1653">
      <c r="A1653" s="37" t="n">
        <v>41050</v>
      </c>
      <c r="B1653" s="84" t="n">
        <v>9905.700000000001</v>
      </c>
      <c r="C1653" s="39">
        <f>(Table26[[#This Row],[M2 Money Stock, Billions of Dollars, Weekly, Seasonally Adjusted]]-B1652)/B1652</f>
        <v/>
      </c>
      <c r="D1653" s="40">
        <f>((1+Table26[[#This Row],[Weekly change]])^52)-1</f>
        <v/>
      </c>
      <c r="E1653" s="85">
        <f>(Table26[[#This Row],[M2 Money Stock, Billions of Dollars, Weekly, Seasonally Adjusted]]-B1601)/B1601</f>
        <v/>
      </c>
    </row>
    <row r="1654">
      <c r="A1654" s="37" t="n">
        <v>41057</v>
      </c>
      <c r="B1654" s="84" t="n">
        <v>9905.799999999999</v>
      </c>
      <c r="C1654" s="39">
        <f>(Table26[[#This Row],[M2 Money Stock, Billions of Dollars, Weekly, Seasonally Adjusted]]-B1653)/B1653</f>
        <v/>
      </c>
      <c r="D1654" s="40">
        <f>((1+Table26[[#This Row],[Weekly change]])^52)-1</f>
        <v/>
      </c>
      <c r="E1654" s="85">
        <f>(Table26[[#This Row],[M2 Money Stock, Billions of Dollars, Weekly, Seasonally Adjusted]]-B1602)/B1602</f>
        <v/>
      </c>
    </row>
    <row r="1655">
      <c r="A1655" s="37" t="n">
        <v>41064</v>
      </c>
      <c r="B1655" s="84" t="n">
        <v>9919.6</v>
      </c>
      <c r="C1655" s="39">
        <f>(Table26[[#This Row],[M2 Money Stock, Billions of Dollars, Weekly, Seasonally Adjusted]]-B1654)/B1654</f>
        <v/>
      </c>
      <c r="D1655" s="40">
        <f>((1+Table26[[#This Row],[Weekly change]])^52)-1</f>
        <v/>
      </c>
      <c r="E1655" s="85">
        <f>(Table26[[#This Row],[M2 Money Stock, Billions of Dollars, Weekly, Seasonally Adjusted]]-B1603)/B1603</f>
        <v/>
      </c>
    </row>
    <row r="1656">
      <c r="A1656" s="37" t="n">
        <v>41071</v>
      </c>
      <c r="B1656" s="84" t="n">
        <v>9971.700000000001</v>
      </c>
      <c r="C1656" s="39">
        <f>(Table26[[#This Row],[M2 Money Stock, Billions of Dollars, Weekly, Seasonally Adjusted]]-B1655)/B1655</f>
        <v/>
      </c>
      <c r="D1656" s="40">
        <f>((1+Table26[[#This Row],[Weekly change]])^52)-1</f>
        <v/>
      </c>
      <c r="E1656" s="85">
        <f>(Table26[[#This Row],[M2 Money Stock, Billions of Dollars, Weekly, Seasonally Adjusted]]-B1604)/B1604</f>
        <v/>
      </c>
    </row>
    <row r="1657">
      <c r="A1657" s="37" t="n">
        <v>41078</v>
      </c>
      <c r="B1657" s="84" t="n">
        <v>9974.5</v>
      </c>
      <c r="C1657" s="39">
        <f>(Table26[[#This Row],[M2 Money Stock, Billions of Dollars, Weekly, Seasonally Adjusted]]-B1656)/B1656</f>
        <v/>
      </c>
      <c r="D1657" s="40">
        <f>((1+Table26[[#This Row],[Weekly change]])^52)-1</f>
        <v/>
      </c>
      <c r="E1657" s="85">
        <f>(Table26[[#This Row],[M2 Money Stock, Billions of Dollars, Weekly, Seasonally Adjusted]]-B1605)/B1605</f>
        <v/>
      </c>
    </row>
    <row r="1658">
      <c r="A1658" s="37" t="n">
        <v>41085</v>
      </c>
      <c r="B1658" s="84" t="n">
        <v>9981.1</v>
      </c>
      <c r="C1658" s="39">
        <f>(Table26[[#This Row],[M2 Money Stock, Billions of Dollars, Weekly, Seasonally Adjusted]]-B1657)/B1657</f>
        <v/>
      </c>
      <c r="D1658" s="40">
        <f>((1+Table26[[#This Row],[Weekly change]])^52)-1</f>
        <v/>
      </c>
      <c r="E1658" s="85">
        <f>(Table26[[#This Row],[M2 Money Stock, Billions of Dollars, Weekly, Seasonally Adjusted]]-B1606)/B1606</f>
        <v/>
      </c>
    </row>
    <row r="1659">
      <c r="A1659" s="37" t="n">
        <v>41092</v>
      </c>
      <c r="B1659" s="84" t="n">
        <v>10007.4</v>
      </c>
      <c r="C1659" s="39">
        <f>(Table26[[#This Row],[M2 Money Stock, Billions of Dollars, Weekly, Seasonally Adjusted]]-B1658)/B1658</f>
        <v/>
      </c>
      <c r="D1659" s="40">
        <f>((1+Table26[[#This Row],[Weekly change]])^52)-1</f>
        <v/>
      </c>
      <c r="E1659" s="85">
        <f>(Table26[[#This Row],[M2 Money Stock, Billions of Dollars, Weekly, Seasonally Adjusted]]-B1607)/B1607</f>
        <v/>
      </c>
    </row>
    <row r="1660">
      <c r="A1660" s="37" t="n">
        <v>41099</v>
      </c>
      <c r="B1660" s="84" t="n">
        <v>10030.4</v>
      </c>
      <c r="C1660" s="39">
        <f>(Table26[[#This Row],[M2 Money Stock, Billions of Dollars, Weekly, Seasonally Adjusted]]-B1659)/B1659</f>
        <v/>
      </c>
      <c r="D1660" s="40">
        <f>((1+Table26[[#This Row],[Weekly change]])^52)-1</f>
        <v/>
      </c>
      <c r="E1660" s="85">
        <f>(Table26[[#This Row],[M2 Money Stock, Billions of Dollars, Weekly, Seasonally Adjusted]]-B1608)/B1608</f>
        <v/>
      </c>
    </row>
    <row r="1661">
      <c r="A1661" s="37" t="n">
        <v>41106</v>
      </c>
      <c r="B1661" s="84" t="n">
        <v>10051.2</v>
      </c>
      <c r="C1661" s="39">
        <f>(Table26[[#This Row],[M2 Money Stock, Billions of Dollars, Weekly, Seasonally Adjusted]]-B1660)/B1660</f>
        <v/>
      </c>
      <c r="D1661" s="40">
        <f>((1+Table26[[#This Row],[Weekly change]])^52)-1</f>
        <v/>
      </c>
      <c r="E1661" s="85">
        <f>(Table26[[#This Row],[M2 Money Stock, Billions of Dollars, Weekly, Seasonally Adjusted]]-B1609)/B1609</f>
        <v/>
      </c>
    </row>
    <row r="1662">
      <c r="A1662" s="37" t="n">
        <v>41113</v>
      </c>
      <c r="B1662" s="84" t="n">
        <v>10047</v>
      </c>
      <c r="C1662" s="39">
        <f>(Table26[[#This Row],[M2 Money Stock, Billions of Dollars, Weekly, Seasonally Adjusted]]-B1661)/B1661</f>
        <v/>
      </c>
      <c r="D1662" s="40">
        <f>((1+Table26[[#This Row],[Weekly change]])^52)-1</f>
        <v/>
      </c>
      <c r="E1662" s="85">
        <f>(Table26[[#This Row],[M2 Money Stock, Billions of Dollars, Weekly, Seasonally Adjusted]]-B1610)/B1610</f>
        <v/>
      </c>
    </row>
    <row r="1663">
      <c r="A1663" s="37" t="n">
        <v>41120</v>
      </c>
      <c r="B1663" s="84" t="n">
        <v>10065.3</v>
      </c>
      <c r="C1663" s="39">
        <f>(Table26[[#This Row],[M2 Money Stock, Billions of Dollars, Weekly, Seasonally Adjusted]]-B1662)/B1662</f>
        <v/>
      </c>
      <c r="D1663" s="40">
        <f>((1+Table26[[#This Row],[Weekly change]])^52)-1</f>
        <v/>
      </c>
      <c r="E1663" s="85">
        <f>(Table26[[#This Row],[M2 Money Stock, Billions of Dollars, Weekly, Seasonally Adjusted]]-B1611)/B1611</f>
        <v/>
      </c>
    </row>
    <row r="1664">
      <c r="A1664" s="37" t="n">
        <v>41127</v>
      </c>
      <c r="B1664" s="84" t="n">
        <v>10078.1</v>
      </c>
      <c r="C1664" s="39">
        <f>(Table26[[#This Row],[M2 Money Stock, Billions of Dollars, Weekly, Seasonally Adjusted]]-B1663)/B1663</f>
        <v/>
      </c>
      <c r="D1664" s="40">
        <f>((1+Table26[[#This Row],[Weekly change]])^52)-1</f>
        <v/>
      </c>
      <c r="E1664" s="85">
        <f>(Table26[[#This Row],[M2 Money Stock, Billions of Dollars, Weekly, Seasonally Adjusted]]-B1612)/B1612</f>
        <v/>
      </c>
    </row>
    <row r="1665">
      <c r="A1665" s="37" t="n">
        <v>41134</v>
      </c>
      <c r="B1665" s="84" t="n">
        <v>10115.2</v>
      </c>
      <c r="C1665" s="39">
        <f>(Table26[[#This Row],[M2 Money Stock, Billions of Dollars, Weekly, Seasonally Adjusted]]-B1664)/B1664</f>
        <v/>
      </c>
      <c r="D1665" s="40">
        <f>((1+Table26[[#This Row],[Weekly change]])^52)-1</f>
        <v/>
      </c>
      <c r="E1665" s="85">
        <f>(Table26[[#This Row],[M2 Money Stock, Billions of Dollars, Weekly, Seasonally Adjusted]]-B1613)/B1613</f>
        <v/>
      </c>
    </row>
    <row r="1666">
      <c r="A1666" s="37" t="n">
        <v>41141</v>
      </c>
      <c r="B1666" s="84" t="n">
        <v>10112.6</v>
      </c>
      <c r="C1666" s="39">
        <f>(Table26[[#This Row],[M2 Money Stock, Billions of Dollars, Weekly, Seasonally Adjusted]]-B1665)/B1665</f>
        <v/>
      </c>
      <c r="D1666" s="40">
        <f>((1+Table26[[#This Row],[Weekly change]])^52)-1</f>
        <v/>
      </c>
      <c r="E1666" s="85">
        <f>(Table26[[#This Row],[M2 Money Stock, Billions of Dollars, Weekly, Seasonally Adjusted]]-B1614)/B1614</f>
        <v/>
      </c>
    </row>
    <row r="1667">
      <c r="A1667" s="37" t="n">
        <v>41148</v>
      </c>
      <c r="B1667" s="84" t="n">
        <v>10134.8</v>
      </c>
      <c r="C1667" s="39">
        <f>(Table26[[#This Row],[M2 Money Stock, Billions of Dollars, Weekly, Seasonally Adjusted]]-B1666)/B1666</f>
        <v/>
      </c>
      <c r="D1667" s="40">
        <f>((1+Table26[[#This Row],[Weekly change]])^52)-1</f>
        <v/>
      </c>
      <c r="E1667" s="85">
        <f>(Table26[[#This Row],[M2 Money Stock, Billions of Dollars, Weekly, Seasonally Adjusted]]-B1615)/B1615</f>
        <v/>
      </c>
    </row>
    <row r="1668">
      <c r="A1668" s="37" t="n">
        <v>41155</v>
      </c>
      <c r="B1668" s="84" t="n">
        <v>10161.9</v>
      </c>
      <c r="C1668" s="39">
        <f>(Table26[[#This Row],[M2 Money Stock, Billions of Dollars, Weekly, Seasonally Adjusted]]-B1667)/B1667</f>
        <v/>
      </c>
      <c r="D1668" s="40">
        <f>((1+Table26[[#This Row],[Weekly change]])^52)-1</f>
        <v/>
      </c>
      <c r="E1668" s="85">
        <f>(Table26[[#This Row],[M2 Money Stock, Billions of Dollars, Weekly, Seasonally Adjusted]]-B1616)/B1616</f>
        <v/>
      </c>
    </row>
    <row r="1669">
      <c r="A1669" s="37" t="n">
        <v>41162</v>
      </c>
      <c r="B1669" s="84" t="n">
        <v>10180.1</v>
      </c>
      <c r="C1669" s="39">
        <f>(Table26[[#This Row],[M2 Money Stock, Billions of Dollars, Weekly, Seasonally Adjusted]]-B1668)/B1668</f>
        <v/>
      </c>
      <c r="D1669" s="40">
        <f>((1+Table26[[#This Row],[Weekly change]])^52)-1</f>
        <v/>
      </c>
      <c r="E1669" s="85">
        <f>(Table26[[#This Row],[M2 Money Stock, Billions of Dollars, Weekly, Seasonally Adjusted]]-B1617)/B1617</f>
        <v/>
      </c>
    </row>
    <row r="1670">
      <c r="A1670" s="37" t="n">
        <v>41169</v>
      </c>
      <c r="B1670" s="84" t="n">
        <v>10201.3</v>
      </c>
      <c r="C1670" s="39">
        <f>(Table26[[#This Row],[M2 Money Stock, Billions of Dollars, Weekly, Seasonally Adjusted]]-B1669)/B1669</f>
        <v/>
      </c>
      <c r="D1670" s="40">
        <f>((1+Table26[[#This Row],[Weekly change]])^52)-1</f>
        <v/>
      </c>
      <c r="E1670" s="85">
        <f>(Table26[[#This Row],[M2 Money Stock, Billions of Dollars, Weekly, Seasonally Adjusted]]-B1618)/B1618</f>
        <v/>
      </c>
    </row>
    <row r="1671">
      <c r="A1671" s="37" t="n">
        <v>41176</v>
      </c>
      <c r="B1671" s="84" t="n">
        <v>10196.7</v>
      </c>
      <c r="C1671" s="39">
        <f>(Table26[[#This Row],[M2 Money Stock, Billions of Dollars, Weekly, Seasonally Adjusted]]-B1670)/B1670</f>
        <v/>
      </c>
      <c r="D1671" s="40">
        <f>((1+Table26[[#This Row],[Weekly change]])^52)-1</f>
        <v/>
      </c>
      <c r="E1671" s="85">
        <f>(Table26[[#This Row],[M2 Money Stock, Billions of Dollars, Weekly, Seasonally Adjusted]]-B1619)/B1619</f>
        <v/>
      </c>
    </row>
    <row r="1672">
      <c r="A1672" s="37" t="n">
        <v>41183</v>
      </c>
      <c r="B1672" s="84" t="n">
        <v>10245.4</v>
      </c>
      <c r="C1672" s="39">
        <f>(Table26[[#This Row],[M2 Money Stock, Billions of Dollars, Weekly, Seasonally Adjusted]]-B1671)/B1671</f>
        <v/>
      </c>
      <c r="D1672" s="40">
        <f>((1+Table26[[#This Row],[Weekly change]])^52)-1</f>
        <v/>
      </c>
      <c r="E1672" s="85">
        <f>(Table26[[#This Row],[M2 Money Stock, Billions of Dollars, Weekly, Seasonally Adjusted]]-B1620)/B1620</f>
        <v/>
      </c>
    </row>
    <row r="1673">
      <c r="A1673" s="37" t="n">
        <v>41190</v>
      </c>
      <c r="B1673" s="84" t="n">
        <v>10243.9</v>
      </c>
      <c r="C1673" s="39">
        <f>(Table26[[#This Row],[M2 Money Stock, Billions of Dollars, Weekly, Seasonally Adjusted]]-B1672)/B1672</f>
        <v/>
      </c>
      <c r="D1673" s="40">
        <f>((1+Table26[[#This Row],[Weekly change]])^52)-1</f>
        <v/>
      </c>
      <c r="E1673" s="85">
        <f>(Table26[[#This Row],[M2 Money Stock, Billions of Dollars, Weekly, Seasonally Adjusted]]-B1621)/B1621</f>
        <v/>
      </c>
    </row>
    <row r="1674">
      <c r="A1674" s="37" t="n">
        <v>41197</v>
      </c>
      <c r="B1674" s="84" t="n">
        <v>10251.3</v>
      </c>
      <c r="C1674" s="39">
        <f>(Table26[[#This Row],[M2 Money Stock, Billions of Dollars, Weekly, Seasonally Adjusted]]-B1673)/B1673</f>
        <v/>
      </c>
      <c r="D1674" s="40">
        <f>((1+Table26[[#This Row],[Weekly change]])^52)-1</f>
        <v/>
      </c>
      <c r="E1674" s="85">
        <f>(Table26[[#This Row],[M2 Money Stock, Billions of Dollars, Weekly, Seasonally Adjusted]]-B1622)/B1622</f>
        <v/>
      </c>
    </row>
    <row r="1675">
      <c r="A1675" s="37" t="n">
        <v>41204</v>
      </c>
      <c r="B1675" s="84" t="n">
        <v>10243.6</v>
      </c>
      <c r="C1675" s="39">
        <f>(Table26[[#This Row],[M2 Money Stock, Billions of Dollars, Weekly, Seasonally Adjusted]]-B1674)/B1674</f>
        <v/>
      </c>
      <c r="D1675" s="40">
        <f>((1+Table26[[#This Row],[Weekly change]])^52)-1</f>
        <v/>
      </c>
      <c r="E1675" s="85">
        <f>(Table26[[#This Row],[M2 Money Stock, Billions of Dollars, Weekly, Seasonally Adjusted]]-B1623)/B1623</f>
        <v/>
      </c>
    </row>
    <row r="1676">
      <c r="A1676" s="37" t="n">
        <v>41211</v>
      </c>
      <c r="B1676" s="84" t="n">
        <v>10287.7</v>
      </c>
      <c r="C1676" s="39">
        <f>(Table26[[#This Row],[M2 Money Stock, Billions of Dollars, Weekly, Seasonally Adjusted]]-B1675)/B1675</f>
        <v/>
      </c>
      <c r="D1676" s="40">
        <f>((1+Table26[[#This Row],[Weekly change]])^52)-1</f>
        <v/>
      </c>
      <c r="E1676" s="85">
        <f>(Table26[[#This Row],[M2 Money Stock, Billions of Dollars, Weekly, Seasonally Adjusted]]-B1624)/B1624</f>
        <v/>
      </c>
    </row>
    <row r="1677">
      <c r="A1677" s="37" t="n">
        <v>41218</v>
      </c>
      <c r="B1677" s="84" t="n">
        <v>10336</v>
      </c>
      <c r="C1677" s="39">
        <f>(Table26[[#This Row],[M2 Money Stock, Billions of Dollars, Weekly, Seasonally Adjusted]]-B1676)/B1676</f>
        <v/>
      </c>
      <c r="D1677" s="40">
        <f>((1+Table26[[#This Row],[Weekly change]])^52)-1</f>
        <v/>
      </c>
      <c r="E1677" s="85">
        <f>(Table26[[#This Row],[M2 Money Stock, Billions of Dollars, Weekly, Seasonally Adjusted]]-B1625)/B1625</f>
        <v/>
      </c>
    </row>
    <row r="1678">
      <c r="A1678" s="37" t="n">
        <v>41225</v>
      </c>
      <c r="B1678" s="84" t="n">
        <v>10306.6</v>
      </c>
      <c r="C1678" s="39">
        <f>(Table26[[#This Row],[M2 Money Stock, Billions of Dollars, Weekly, Seasonally Adjusted]]-B1677)/B1677</f>
        <v/>
      </c>
      <c r="D1678" s="40">
        <f>((1+Table26[[#This Row],[Weekly change]])^52)-1</f>
        <v/>
      </c>
      <c r="E1678" s="85">
        <f>(Table26[[#This Row],[M2 Money Stock, Billions of Dollars, Weekly, Seasonally Adjusted]]-B1626)/B1626</f>
        <v/>
      </c>
    </row>
    <row r="1679">
      <c r="A1679" s="37" t="n">
        <v>41232</v>
      </c>
      <c r="B1679" s="84" t="n">
        <v>10297</v>
      </c>
      <c r="C1679" s="39">
        <f>(Table26[[#This Row],[M2 Money Stock, Billions of Dollars, Weekly, Seasonally Adjusted]]-B1678)/B1678</f>
        <v/>
      </c>
      <c r="D1679" s="40">
        <f>((1+Table26[[#This Row],[Weekly change]])^52)-1</f>
        <v/>
      </c>
      <c r="E1679" s="85">
        <f>(Table26[[#This Row],[M2 Money Stock, Billions of Dollars, Weekly, Seasonally Adjusted]]-B1627)/B1627</f>
        <v/>
      </c>
    </row>
    <row r="1680">
      <c r="A1680" s="37" t="n">
        <v>41239</v>
      </c>
      <c r="B1680" s="84" t="n">
        <v>10321</v>
      </c>
      <c r="C1680" s="39">
        <f>(Table26[[#This Row],[M2 Money Stock, Billions of Dollars, Weekly, Seasonally Adjusted]]-B1679)/B1679</f>
        <v/>
      </c>
      <c r="D1680" s="40">
        <f>((1+Table26[[#This Row],[Weekly change]])^52)-1</f>
        <v/>
      </c>
      <c r="E1680" s="85">
        <f>(Table26[[#This Row],[M2 Money Stock, Billions of Dollars, Weekly, Seasonally Adjusted]]-B1628)/B1628</f>
        <v/>
      </c>
    </row>
    <row r="1681">
      <c r="A1681" s="37" t="n">
        <v>41246</v>
      </c>
      <c r="B1681" s="84" t="n">
        <v>10361.2</v>
      </c>
      <c r="C1681" s="39">
        <f>(Table26[[#This Row],[M2 Money Stock, Billions of Dollars, Weekly, Seasonally Adjusted]]-B1680)/B1680</f>
        <v/>
      </c>
      <c r="D1681" s="40">
        <f>((1+Table26[[#This Row],[Weekly change]])^52)-1</f>
        <v/>
      </c>
      <c r="E1681" s="85">
        <f>(Table26[[#This Row],[M2 Money Stock, Billions of Dollars, Weekly, Seasonally Adjusted]]-B1629)/B1629</f>
        <v/>
      </c>
    </row>
    <row r="1682">
      <c r="A1682" s="37" t="n">
        <v>41253</v>
      </c>
      <c r="B1682" s="84" t="n">
        <v>10393.5</v>
      </c>
      <c r="C1682" s="39">
        <f>(Table26[[#This Row],[M2 Money Stock, Billions of Dollars, Weekly, Seasonally Adjusted]]-B1681)/B1681</f>
        <v/>
      </c>
      <c r="D1682" s="40">
        <f>((1+Table26[[#This Row],[Weekly change]])^52)-1</f>
        <v/>
      </c>
      <c r="E1682" s="85">
        <f>(Table26[[#This Row],[M2 Money Stock, Billions of Dollars, Weekly, Seasonally Adjusted]]-B1630)/B1630</f>
        <v/>
      </c>
    </row>
    <row r="1683">
      <c r="A1683" s="37" t="n">
        <v>41260</v>
      </c>
      <c r="B1683" s="84" t="n">
        <v>10440.3</v>
      </c>
      <c r="C1683" s="39">
        <f>(Table26[[#This Row],[M2 Money Stock, Billions of Dollars, Weekly, Seasonally Adjusted]]-B1682)/B1682</f>
        <v/>
      </c>
      <c r="D1683" s="40">
        <f>((1+Table26[[#This Row],[Weekly change]])^52)-1</f>
        <v/>
      </c>
      <c r="E1683" s="85">
        <f>(Table26[[#This Row],[M2 Money Stock, Billions of Dollars, Weekly, Seasonally Adjusted]]-B1631)/B1631</f>
        <v/>
      </c>
    </row>
    <row r="1684">
      <c r="A1684" s="37" t="n">
        <v>41267</v>
      </c>
      <c r="B1684" s="84" t="n">
        <v>10470.8</v>
      </c>
      <c r="C1684" s="39">
        <f>(Table26[[#This Row],[M2 Money Stock, Billions of Dollars, Weekly, Seasonally Adjusted]]-B1683)/B1683</f>
        <v/>
      </c>
      <c r="D1684" s="40">
        <f>((1+Table26[[#This Row],[Weekly change]])^52)-1</f>
        <v/>
      </c>
      <c r="E1684" s="85">
        <f>(Table26[[#This Row],[M2 Money Stock, Billions of Dollars, Weekly, Seasonally Adjusted]]-B1632)/B1632</f>
        <v/>
      </c>
    </row>
    <row r="1685">
      <c r="A1685" s="37" t="n">
        <v>41274</v>
      </c>
      <c r="B1685" s="84" t="n">
        <v>10514.4</v>
      </c>
      <c r="C1685" s="39">
        <f>(Table26[[#This Row],[M2 Money Stock, Billions of Dollars, Weekly, Seasonally Adjusted]]-B1684)/B1684</f>
        <v/>
      </c>
      <c r="D1685" s="40">
        <f>((1+Table26[[#This Row],[Weekly change]])^52)-1</f>
        <v/>
      </c>
      <c r="E1685" s="85">
        <f>(Table26[[#This Row],[M2 Money Stock, Billions of Dollars, Weekly, Seasonally Adjusted]]-B1633)/B1633</f>
        <v/>
      </c>
    </row>
    <row r="1686">
      <c r="A1686" s="37" t="n">
        <v>41281</v>
      </c>
      <c r="B1686" s="84" t="n">
        <v>10500.5</v>
      </c>
      <c r="C1686" s="39">
        <f>(Table26[[#This Row],[M2 Money Stock, Billions of Dollars, Weekly, Seasonally Adjusted]]-B1685)/B1685</f>
        <v/>
      </c>
      <c r="D1686" s="40">
        <f>((1+Table26[[#This Row],[Weekly change]])^52)-1</f>
        <v/>
      </c>
      <c r="E1686" s="85">
        <f>(Table26[[#This Row],[M2 Money Stock, Billions of Dollars, Weekly, Seasonally Adjusted]]-B1634)/B1634</f>
        <v/>
      </c>
    </row>
    <row r="1687">
      <c r="A1687" s="37" t="n">
        <v>41288</v>
      </c>
      <c r="B1687" s="84" t="n">
        <v>10472.7</v>
      </c>
      <c r="C1687" s="39">
        <f>(Table26[[#This Row],[M2 Money Stock, Billions of Dollars, Weekly, Seasonally Adjusted]]-B1686)/B1686</f>
        <v/>
      </c>
      <c r="D1687" s="40">
        <f>((1+Table26[[#This Row],[Weekly change]])^52)-1</f>
        <v/>
      </c>
      <c r="E1687" s="85">
        <f>(Table26[[#This Row],[M2 Money Stock, Billions of Dollars, Weekly, Seasonally Adjusted]]-B1635)/B1635</f>
        <v/>
      </c>
    </row>
    <row r="1688">
      <c r="A1688" s="37" t="n">
        <v>41295</v>
      </c>
      <c r="B1688" s="84" t="n">
        <v>10454.5</v>
      </c>
      <c r="C1688" s="39">
        <f>(Table26[[#This Row],[M2 Money Stock, Billions of Dollars, Weekly, Seasonally Adjusted]]-B1687)/B1687</f>
        <v/>
      </c>
      <c r="D1688" s="40">
        <f>((1+Table26[[#This Row],[Weekly change]])^52)-1</f>
        <v/>
      </c>
      <c r="E1688" s="85">
        <f>(Table26[[#This Row],[M2 Money Stock, Billions of Dollars, Weekly, Seasonally Adjusted]]-B1636)/B1636</f>
        <v/>
      </c>
    </row>
    <row r="1689">
      <c r="A1689" s="37" t="n">
        <v>41302</v>
      </c>
      <c r="B1689" s="84" t="n">
        <v>10462.2</v>
      </c>
      <c r="C1689" s="39">
        <f>(Table26[[#This Row],[M2 Money Stock, Billions of Dollars, Weekly, Seasonally Adjusted]]-B1688)/B1688</f>
        <v/>
      </c>
      <c r="D1689" s="40">
        <f>((1+Table26[[#This Row],[Weekly change]])^52)-1</f>
        <v/>
      </c>
      <c r="E1689" s="85">
        <f>(Table26[[#This Row],[M2 Money Stock, Billions of Dollars, Weekly, Seasonally Adjusted]]-B1637)/B1637</f>
        <v/>
      </c>
    </row>
    <row r="1690">
      <c r="A1690" s="37" t="n">
        <v>41309</v>
      </c>
      <c r="B1690" s="84" t="n">
        <v>10458.9</v>
      </c>
      <c r="C1690" s="39">
        <f>(Table26[[#This Row],[M2 Money Stock, Billions of Dollars, Weekly, Seasonally Adjusted]]-B1689)/B1689</f>
        <v/>
      </c>
      <c r="D1690" s="40">
        <f>((1+Table26[[#This Row],[Weekly change]])^52)-1</f>
        <v/>
      </c>
      <c r="E1690" s="85">
        <f>(Table26[[#This Row],[M2 Money Stock, Billions of Dollars, Weekly, Seasonally Adjusted]]-B1638)/B1638</f>
        <v/>
      </c>
    </row>
    <row r="1691">
      <c r="A1691" s="37" t="n">
        <v>41316</v>
      </c>
      <c r="B1691" s="84" t="n">
        <v>10472.4</v>
      </c>
      <c r="C1691" s="39">
        <f>(Table26[[#This Row],[M2 Money Stock, Billions of Dollars, Weekly, Seasonally Adjusted]]-B1690)/B1690</f>
        <v/>
      </c>
      <c r="D1691" s="40">
        <f>((1+Table26[[#This Row],[Weekly change]])^52)-1</f>
        <v/>
      </c>
      <c r="E1691" s="85">
        <f>(Table26[[#This Row],[M2 Money Stock, Billions of Dollars, Weekly, Seasonally Adjusted]]-B1639)/B1639</f>
        <v/>
      </c>
    </row>
    <row r="1692">
      <c r="A1692" s="37" t="n">
        <v>41323</v>
      </c>
      <c r="B1692" s="84" t="n">
        <v>10455.4</v>
      </c>
      <c r="C1692" s="39">
        <f>(Table26[[#This Row],[M2 Money Stock, Billions of Dollars, Weekly, Seasonally Adjusted]]-B1691)/B1691</f>
        <v/>
      </c>
      <c r="D1692" s="40">
        <f>((1+Table26[[#This Row],[Weekly change]])^52)-1</f>
        <v/>
      </c>
      <c r="E1692" s="85">
        <f>(Table26[[#This Row],[M2 Money Stock, Billions of Dollars, Weekly, Seasonally Adjusted]]-B1640)/B1640</f>
        <v/>
      </c>
    </row>
    <row r="1693">
      <c r="A1693" s="37" t="n">
        <v>41330</v>
      </c>
      <c r="B1693" s="84" t="n">
        <v>10467.6</v>
      </c>
      <c r="C1693" s="39">
        <f>(Table26[[#This Row],[M2 Money Stock, Billions of Dollars, Weekly, Seasonally Adjusted]]-B1692)/B1692</f>
        <v/>
      </c>
      <c r="D1693" s="40">
        <f>((1+Table26[[#This Row],[Weekly change]])^52)-1</f>
        <v/>
      </c>
      <c r="E1693" s="85">
        <f>(Table26[[#This Row],[M2 Money Stock, Billions of Dollars, Weekly, Seasonally Adjusted]]-B1641)/B1641</f>
        <v/>
      </c>
    </row>
    <row r="1694">
      <c r="A1694" s="37" t="n">
        <v>41337</v>
      </c>
      <c r="B1694" s="84" t="n">
        <v>10502.1</v>
      </c>
      <c r="C1694" s="39">
        <f>(Table26[[#This Row],[M2 Money Stock, Billions of Dollars, Weekly, Seasonally Adjusted]]-B1693)/B1693</f>
        <v/>
      </c>
      <c r="D1694" s="40">
        <f>((1+Table26[[#This Row],[Weekly change]])^52)-1</f>
        <v/>
      </c>
      <c r="E1694" s="85">
        <f>(Table26[[#This Row],[M2 Money Stock, Billions of Dollars, Weekly, Seasonally Adjusted]]-B1642)/B1642</f>
        <v/>
      </c>
    </row>
    <row r="1695">
      <c r="A1695" s="37" t="n">
        <v>41344</v>
      </c>
      <c r="B1695" s="84" t="n">
        <v>10512.6</v>
      </c>
      <c r="C1695" s="39">
        <f>(Table26[[#This Row],[M2 Money Stock, Billions of Dollars, Weekly, Seasonally Adjusted]]-B1694)/B1694</f>
        <v/>
      </c>
      <c r="D1695" s="40">
        <f>((1+Table26[[#This Row],[Weekly change]])^52)-1</f>
        <v/>
      </c>
      <c r="E1695" s="85">
        <f>(Table26[[#This Row],[M2 Money Stock, Billions of Dollars, Weekly, Seasonally Adjusted]]-B1643)/B1643</f>
        <v/>
      </c>
    </row>
    <row r="1696">
      <c r="A1696" s="37" t="n">
        <v>41351</v>
      </c>
      <c r="B1696" s="84" t="n">
        <v>10530.7</v>
      </c>
      <c r="C1696" s="39">
        <f>(Table26[[#This Row],[M2 Money Stock, Billions of Dollars, Weekly, Seasonally Adjusted]]-B1695)/B1695</f>
        <v/>
      </c>
      <c r="D1696" s="40">
        <f>((1+Table26[[#This Row],[Weekly change]])^52)-1</f>
        <v/>
      </c>
      <c r="E1696" s="85">
        <f>(Table26[[#This Row],[M2 Money Stock, Billions of Dollars, Weekly, Seasonally Adjusted]]-B1644)/B1644</f>
        <v/>
      </c>
    </row>
    <row r="1697">
      <c r="A1697" s="37" t="n">
        <v>41358</v>
      </c>
      <c r="B1697" s="84" t="n">
        <v>10548.2</v>
      </c>
      <c r="C1697" s="39">
        <f>(Table26[[#This Row],[M2 Money Stock, Billions of Dollars, Weekly, Seasonally Adjusted]]-B1696)/B1696</f>
        <v/>
      </c>
      <c r="D1697" s="40">
        <f>((1+Table26[[#This Row],[Weekly change]])^52)-1</f>
        <v/>
      </c>
      <c r="E1697" s="85">
        <f>(Table26[[#This Row],[M2 Money Stock, Billions of Dollars, Weekly, Seasonally Adjusted]]-B1645)/B1645</f>
        <v/>
      </c>
    </row>
    <row r="1698">
      <c r="A1698" s="37" t="n">
        <v>41365</v>
      </c>
      <c r="B1698" s="84" t="n">
        <v>10597</v>
      </c>
      <c r="C1698" s="39">
        <f>(Table26[[#This Row],[M2 Money Stock, Billions of Dollars, Weekly, Seasonally Adjusted]]-B1697)/B1697</f>
        <v/>
      </c>
      <c r="D1698" s="40">
        <f>((1+Table26[[#This Row],[Weekly change]])^52)-1</f>
        <v/>
      </c>
      <c r="E1698" s="85">
        <f>(Table26[[#This Row],[M2 Money Stock, Billions of Dollars, Weekly, Seasonally Adjusted]]-B1646)/B1646</f>
        <v/>
      </c>
    </row>
    <row r="1699">
      <c r="A1699" s="37" t="n">
        <v>41372</v>
      </c>
      <c r="B1699" s="84" t="n">
        <v>10564.5</v>
      </c>
      <c r="C1699" s="39">
        <f>(Table26[[#This Row],[M2 Money Stock, Billions of Dollars, Weekly, Seasonally Adjusted]]-B1698)/B1698</f>
        <v/>
      </c>
      <c r="D1699" s="40">
        <f>((1+Table26[[#This Row],[Weekly change]])^52)-1</f>
        <v/>
      </c>
      <c r="E1699" s="85">
        <f>(Table26[[#This Row],[M2 Money Stock, Billions of Dollars, Weekly, Seasonally Adjusted]]-B1647)/B1647</f>
        <v/>
      </c>
    </row>
    <row r="1700">
      <c r="A1700" s="37" t="n">
        <v>41379</v>
      </c>
      <c r="B1700" s="84" t="n">
        <v>10574.3</v>
      </c>
      <c r="C1700" s="39">
        <f>(Table26[[#This Row],[M2 Money Stock, Billions of Dollars, Weekly, Seasonally Adjusted]]-B1699)/B1699</f>
        <v/>
      </c>
      <c r="D1700" s="40">
        <f>((1+Table26[[#This Row],[Weekly change]])^52)-1</f>
        <v/>
      </c>
      <c r="E1700" s="85">
        <f>(Table26[[#This Row],[M2 Money Stock, Billions of Dollars, Weekly, Seasonally Adjusted]]-B1648)/B1648</f>
        <v/>
      </c>
    </row>
    <row r="1701">
      <c r="A1701" s="37" t="n">
        <v>41386</v>
      </c>
      <c r="B1701" s="84" t="n">
        <v>10572.2</v>
      </c>
      <c r="C1701" s="39">
        <f>(Table26[[#This Row],[M2 Money Stock, Billions of Dollars, Weekly, Seasonally Adjusted]]-B1700)/B1700</f>
        <v/>
      </c>
      <c r="D1701" s="40">
        <f>((1+Table26[[#This Row],[Weekly change]])^52)-1</f>
        <v/>
      </c>
      <c r="E1701" s="85">
        <f>(Table26[[#This Row],[M2 Money Stock, Billions of Dollars, Weekly, Seasonally Adjusted]]-B1649)/B1649</f>
        <v/>
      </c>
    </row>
    <row r="1702">
      <c r="A1702" s="37" t="n">
        <v>41393</v>
      </c>
      <c r="B1702" s="84" t="n">
        <v>10583.6</v>
      </c>
      <c r="C1702" s="39">
        <f>(Table26[[#This Row],[M2 Money Stock, Billions of Dollars, Weekly, Seasonally Adjusted]]-B1701)/B1701</f>
        <v/>
      </c>
      <c r="D1702" s="40">
        <f>((1+Table26[[#This Row],[Weekly change]])^52)-1</f>
        <v/>
      </c>
      <c r="E1702" s="85">
        <f>(Table26[[#This Row],[M2 Money Stock, Billions of Dollars, Weekly, Seasonally Adjusted]]-B1650)/B1650</f>
        <v/>
      </c>
    </row>
    <row r="1703">
      <c r="A1703" s="37" t="n">
        <v>41400</v>
      </c>
      <c r="B1703" s="84" t="n">
        <v>10592.4</v>
      </c>
      <c r="C1703" s="39">
        <f>(Table26[[#This Row],[M2 Money Stock, Billions of Dollars, Weekly, Seasonally Adjusted]]-B1702)/B1702</f>
        <v/>
      </c>
      <c r="D1703" s="40">
        <f>((1+Table26[[#This Row],[Weekly change]])^52)-1</f>
        <v/>
      </c>
      <c r="E1703" s="85">
        <f>(Table26[[#This Row],[M2 Money Stock, Billions of Dollars, Weekly, Seasonally Adjusted]]-B1651)/B1651</f>
        <v/>
      </c>
    </row>
    <row r="1704">
      <c r="A1704" s="37" t="n">
        <v>41407</v>
      </c>
      <c r="B1704" s="84" t="n">
        <v>10607.6</v>
      </c>
      <c r="C1704" s="39">
        <f>(Table26[[#This Row],[M2 Money Stock, Billions of Dollars, Weekly, Seasonally Adjusted]]-B1703)/B1703</f>
        <v/>
      </c>
      <c r="D1704" s="40">
        <f>((1+Table26[[#This Row],[Weekly change]])^52)-1</f>
        <v/>
      </c>
      <c r="E1704" s="85">
        <f>(Table26[[#This Row],[M2 Money Stock, Billions of Dollars, Weekly, Seasonally Adjusted]]-B1652)/B1652</f>
        <v/>
      </c>
    </row>
    <row r="1705">
      <c r="A1705" s="37" t="n">
        <v>41414</v>
      </c>
      <c r="B1705" s="84" t="n">
        <v>10604.1</v>
      </c>
      <c r="C1705" s="39">
        <f>(Table26[[#This Row],[M2 Money Stock, Billions of Dollars, Weekly, Seasonally Adjusted]]-B1704)/B1704</f>
        <v/>
      </c>
      <c r="D1705" s="40">
        <f>((1+Table26[[#This Row],[Weekly change]])^52)-1</f>
        <v/>
      </c>
      <c r="E1705" s="85">
        <f>(Table26[[#This Row],[M2 Money Stock, Billions of Dollars, Weekly, Seasonally Adjusted]]-B1653)/B1653</f>
        <v/>
      </c>
    </row>
    <row r="1706">
      <c r="A1706" s="37" t="n">
        <v>41421</v>
      </c>
      <c r="B1706" s="84" t="n">
        <v>10622</v>
      </c>
      <c r="C1706" s="39">
        <f>(Table26[[#This Row],[M2 Money Stock, Billions of Dollars, Weekly, Seasonally Adjusted]]-B1705)/B1705</f>
        <v/>
      </c>
      <c r="D1706" s="40">
        <f>((1+Table26[[#This Row],[Weekly change]])^52)-1</f>
        <v/>
      </c>
      <c r="E1706" s="85">
        <f>(Table26[[#This Row],[M2 Money Stock, Billions of Dollars, Weekly, Seasonally Adjusted]]-B1654)/B1654</f>
        <v/>
      </c>
    </row>
    <row r="1707">
      <c r="A1707" s="37" t="n">
        <v>41428</v>
      </c>
      <c r="B1707" s="84" t="n">
        <v>10640.2</v>
      </c>
      <c r="C1707" s="39">
        <f>(Table26[[#This Row],[M2 Money Stock, Billions of Dollars, Weekly, Seasonally Adjusted]]-B1706)/B1706</f>
        <v/>
      </c>
      <c r="D1707" s="40">
        <f>((1+Table26[[#This Row],[Weekly change]])^52)-1</f>
        <v/>
      </c>
      <c r="E1707" s="85">
        <f>(Table26[[#This Row],[M2 Money Stock, Billions of Dollars, Weekly, Seasonally Adjusted]]-B1655)/B1655</f>
        <v/>
      </c>
    </row>
    <row r="1708">
      <c r="A1708" s="37" t="n">
        <v>41435</v>
      </c>
      <c r="B1708" s="84" t="n">
        <v>10658.9</v>
      </c>
      <c r="C1708" s="39">
        <f>(Table26[[#This Row],[M2 Money Stock, Billions of Dollars, Weekly, Seasonally Adjusted]]-B1707)/B1707</f>
        <v/>
      </c>
      <c r="D1708" s="40">
        <f>((1+Table26[[#This Row],[Weekly change]])^52)-1</f>
        <v/>
      </c>
      <c r="E1708" s="85">
        <f>(Table26[[#This Row],[M2 Money Stock, Billions of Dollars, Weekly, Seasonally Adjusted]]-B1656)/B1656</f>
        <v/>
      </c>
    </row>
    <row r="1709">
      <c r="A1709" s="37" t="n">
        <v>41442</v>
      </c>
      <c r="B1709" s="84" t="n">
        <v>10659.1</v>
      </c>
      <c r="C1709" s="39">
        <f>(Table26[[#This Row],[M2 Money Stock, Billions of Dollars, Weekly, Seasonally Adjusted]]-B1708)/B1708</f>
        <v/>
      </c>
      <c r="D1709" s="40">
        <f>((1+Table26[[#This Row],[Weekly change]])^52)-1</f>
        <v/>
      </c>
      <c r="E1709" s="85">
        <f>(Table26[[#This Row],[M2 Money Stock, Billions of Dollars, Weekly, Seasonally Adjusted]]-B1657)/B1657</f>
        <v/>
      </c>
    </row>
    <row r="1710">
      <c r="A1710" s="37" t="n">
        <v>41449</v>
      </c>
      <c r="B1710" s="84" t="n">
        <v>10655.1</v>
      </c>
      <c r="C1710" s="39">
        <f>(Table26[[#This Row],[M2 Money Stock, Billions of Dollars, Weekly, Seasonally Adjusted]]-B1709)/B1709</f>
        <v/>
      </c>
      <c r="D1710" s="40">
        <f>((1+Table26[[#This Row],[Weekly change]])^52)-1</f>
        <v/>
      </c>
      <c r="E1710" s="85">
        <f>(Table26[[#This Row],[M2 Money Stock, Billions of Dollars, Weekly, Seasonally Adjusted]]-B1658)/B1658</f>
        <v/>
      </c>
    </row>
    <row r="1711">
      <c r="A1711" s="37" t="n">
        <v>41456</v>
      </c>
      <c r="B1711" s="84" t="n">
        <v>10707.1</v>
      </c>
      <c r="C1711" s="39">
        <f>(Table26[[#This Row],[M2 Money Stock, Billions of Dollars, Weekly, Seasonally Adjusted]]-B1710)/B1710</f>
        <v/>
      </c>
      <c r="D1711" s="40">
        <f>((1+Table26[[#This Row],[Weekly change]])^52)-1</f>
        <v/>
      </c>
      <c r="E1711" s="85">
        <f>(Table26[[#This Row],[M2 Money Stock, Billions of Dollars, Weekly, Seasonally Adjusted]]-B1659)/B1659</f>
        <v/>
      </c>
    </row>
    <row r="1712">
      <c r="A1712" s="37" t="n">
        <v>41463</v>
      </c>
      <c r="B1712" s="84" t="n">
        <v>10683.9</v>
      </c>
      <c r="C1712" s="39">
        <f>(Table26[[#This Row],[M2 Money Stock, Billions of Dollars, Weekly, Seasonally Adjusted]]-B1711)/B1711</f>
        <v/>
      </c>
      <c r="D1712" s="40">
        <f>((1+Table26[[#This Row],[Weekly change]])^52)-1</f>
        <v/>
      </c>
      <c r="E1712" s="85">
        <f>(Table26[[#This Row],[M2 Money Stock, Billions of Dollars, Weekly, Seasonally Adjusted]]-B1660)/B1660</f>
        <v/>
      </c>
    </row>
    <row r="1713">
      <c r="A1713" s="37" t="n">
        <v>41470</v>
      </c>
      <c r="B1713" s="84" t="n">
        <v>10711.6</v>
      </c>
      <c r="C1713" s="39">
        <f>(Table26[[#This Row],[M2 Money Stock, Billions of Dollars, Weekly, Seasonally Adjusted]]-B1712)/B1712</f>
        <v/>
      </c>
      <c r="D1713" s="40">
        <f>((1+Table26[[#This Row],[Weekly change]])^52)-1</f>
        <v/>
      </c>
      <c r="E1713" s="85">
        <f>(Table26[[#This Row],[M2 Money Stock, Billions of Dollars, Weekly, Seasonally Adjusted]]-B1661)/B1661</f>
        <v/>
      </c>
    </row>
    <row r="1714">
      <c r="A1714" s="37" t="n">
        <v>41477</v>
      </c>
      <c r="B1714" s="84" t="n">
        <v>10736.8</v>
      </c>
      <c r="C1714" s="39">
        <f>(Table26[[#This Row],[M2 Money Stock, Billions of Dollars, Weekly, Seasonally Adjusted]]-B1713)/B1713</f>
        <v/>
      </c>
      <c r="D1714" s="40">
        <f>((1+Table26[[#This Row],[Weekly change]])^52)-1</f>
        <v/>
      </c>
      <c r="E1714" s="85">
        <f>(Table26[[#This Row],[M2 Money Stock, Billions of Dollars, Weekly, Seasonally Adjusted]]-B1662)/B1662</f>
        <v/>
      </c>
    </row>
    <row r="1715">
      <c r="A1715" s="37" t="n">
        <v>41484</v>
      </c>
      <c r="B1715" s="84" t="n">
        <v>10747</v>
      </c>
      <c r="C1715" s="39">
        <f>(Table26[[#This Row],[M2 Money Stock, Billions of Dollars, Weekly, Seasonally Adjusted]]-B1714)/B1714</f>
        <v/>
      </c>
      <c r="D1715" s="40">
        <f>((1+Table26[[#This Row],[Weekly change]])^52)-1</f>
        <v/>
      </c>
      <c r="E1715" s="85">
        <f>(Table26[[#This Row],[M2 Money Stock, Billions of Dollars, Weekly, Seasonally Adjusted]]-B1663)/B1663</f>
        <v/>
      </c>
    </row>
    <row r="1716">
      <c r="A1716" s="37" t="n">
        <v>41491</v>
      </c>
      <c r="B1716" s="84" t="n">
        <v>10758.7</v>
      </c>
      <c r="C1716" s="39">
        <f>(Table26[[#This Row],[M2 Money Stock, Billions of Dollars, Weekly, Seasonally Adjusted]]-B1715)/B1715</f>
        <v/>
      </c>
      <c r="D1716" s="40">
        <f>((1+Table26[[#This Row],[Weekly change]])^52)-1</f>
        <v/>
      </c>
      <c r="E1716" s="85">
        <f>(Table26[[#This Row],[M2 Money Stock, Billions of Dollars, Weekly, Seasonally Adjusted]]-B1664)/B1664</f>
        <v/>
      </c>
    </row>
    <row r="1717">
      <c r="A1717" s="37" t="n">
        <v>41498</v>
      </c>
      <c r="B1717" s="84" t="n">
        <v>10773.7</v>
      </c>
      <c r="C1717" s="39">
        <f>(Table26[[#This Row],[M2 Money Stock, Billions of Dollars, Weekly, Seasonally Adjusted]]-B1716)/B1716</f>
        <v/>
      </c>
      <c r="D1717" s="40">
        <f>((1+Table26[[#This Row],[Weekly change]])^52)-1</f>
        <v/>
      </c>
      <c r="E1717" s="85">
        <f>(Table26[[#This Row],[M2 Money Stock, Billions of Dollars, Weekly, Seasonally Adjusted]]-B1665)/B1665</f>
        <v/>
      </c>
    </row>
    <row r="1718">
      <c r="A1718" s="37" t="n">
        <v>41505</v>
      </c>
      <c r="B1718" s="84" t="n">
        <v>10764.1</v>
      </c>
      <c r="C1718" s="39">
        <f>(Table26[[#This Row],[M2 Money Stock, Billions of Dollars, Weekly, Seasonally Adjusted]]-B1717)/B1717</f>
        <v/>
      </c>
      <c r="D1718" s="40">
        <f>((1+Table26[[#This Row],[Weekly change]])^52)-1</f>
        <v/>
      </c>
      <c r="E1718" s="85">
        <f>(Table26[[#This Row],[M2 Money Stock, Billions of Dollars, Weekly, Seasonally Adjusted]]-B1666)/B1666</f>
        <v/>
      </c>
    </row>
    <row r="1719">
      <c r="A1719" s="37" t="n">
        <v>41512</v>
      </c>
      <c r="B1719" s="84" t="n">
        <v>10796.5</v>
      </c>
      <c r="C1719" s="39">
        <f>(Table26[[#This Row],[M2 Money Stock, Billions of Dollars, Weekly, Seasonally Adjusted]]-B1718)/B1718</f>
        <v/>
      </c>
      <c r="D1719" s="40">
        <f>((1+Table26[[#This Row],[Weekly change]])^52)-1</f>
        <v/>
      </c>
      <c r="E1719" s="85">
        <f>(Table26[[#This Row],[M2 Money Stock, Billions of Dollars, Weekly, Seasonally Adjusted]]-B1667)/B1667</f>
        <v/>
      </c>
    </row>
    <row r="1720">
      <c r="A1720" s="37" t="n">
        <v>41519</v>
      </c>
      <c r="B1720" s="84" t="n">
        <v>10811.6</v>
      </c>
      <c r="C1720" s="39">
        <f>(Table26[[#This Row],[M2 Money Stock, Billions of Dollars, Weekly, Seasonally Adjusted]]-B1719)/B1719</f>
        <v/>
      </c>
      <c r="D1720" s="40">
        <f>((1+Table26[[#This Row],[Weekly change]])^52)-1</f>
        <v/>
      </c>
      <c r="E1720" s="85">
        <f>(Table26[[#This Row],[M2 Money Stock, Billions of Dollars, Weekly, Seasonally Adjusted]]-B1668)/B1668</f>
        <v/>
      </c>
    </row>
    <row r="1721">
      <c r="A1721" s="37" t="n">
        <v>41526</v>
      </c>
      <c r="B1721" s="84" t="n">
        <v>10803.9</v>
      </c>
      <c r="C1721" s="39">
        <f>(Table26[[#This Row],[M2 Money Stock, Billions of Dollars, Weekly, Seasonally Adjusted]]-B1720)/B1720</f>
        <v/>
      </c>
      <c r="D1721" s="40">
        <f>((1+Table26[[#This Row],[Weekly change]])^52)-1</f>
        <v/>
      </c>
      <c r="E1721" s="85">
        <f>(Table26[[#This Row],[M2 Money Stock, Billions of Dollars, Weekly, Seasonally Adjusted]]-B1669)/B1669</f>
        <v/>
      </c>
    </row>
    <row r="1722">
      <c r="A1722" s="37" t="n">
        <v>41533</v>
      </c>
      <c r="B1722" s="84" t="n">
        <v>10805.7</v>
      </c>
      <c r="C1722" s="39">
        <f>(Table26[[#This Row],[M2 Money Stock, Billions of Dollars, Weekly, Seasonally Adjusted]]-B1721)/B1721</f>
        <v/>
      </c>
      <c r="D1722" s="40">
        <f>((1+Table26[[#This Row],[Weekly change]])^52)-1</f>
        <v/>
      </c>
      <c r="E1722" s="85">
        <f>(Table26[[#This Row],[M2 Money Stock, Billions of Dollars, Weekly, Seasonally Adjusted]]-B1670)/B1670</f>
        <v/>
      </c>
    </row>
    <row r="1723">
      <c r="A1723" s="37" t="n">
        <v>41540</v>
      </c>
      <c r="B1723" s="84" t="n">
        <v>10840.3</v>
      </c>
      <c r="C1723" s="39">
        <f>(Table26[[#This Row],[M2 Money Stock, Billions of Dollars, Weekly, Seasonally Adjusted]]-B1722)/B1722</f>
        <v/>
      </c>
      <c r="D1723" s="40">
        <f>((1+Table26[[#This Row],[Weekly change]])^52)-1</f>
        <v/>
      </c>
      <c r="E1723" s="85">
        <f>(Table26[[#This Row],[M2 Money Stock, Billions of Dollars, Weekly, Seasonally Adjusted]]-B1671)/B1671</f>
        <v/>
      </c>
    </row>
    <row r="1724">
      <c r="A1724" s="37" t="n">
        <v>41547</v>
      </c>
      <c r="B1724" s="84" t="n">
        <v>10888.3</v>
      </c>
      <c r="C1724" s="39">
        <f>(Table26[[#This Row],[M2 Money Stock, Billions of Dollars, Weekly, Seasonally Adjusted]]-B1723)/B1723</f>
        <v/>
      </c>
      <c r="D1724" s="40">
        <f>((1+Table26[[#This Row],[Weekly change]])^52)-1</f>
        <v/>
      </c>
      <c r="E1724" s="85">
        <f>(Table26[[#This Row],[M2 Money Stock, Billions of Dollars, Weekly, Seasonally Adjusted]]-B1672)/B1672</f>
        <v/>
      </c>
    </row>
    <row r="1725">
      <c r="A1725" s="37" t="n">
        <v>41554</v>
      </c>
      <c r="B1725" s="84" t="n">
        <v>10892.8</v>
      </c>
      <c r="C1725" s="39">
        <f>(Table26[[#This Row],[M2 Money Stock, Billions of Dollars, Weekly, Seasonally Adjusted]]-B1724)/B1724</f>
        <v/>
      </c>
      <c r="D1725" s="40">
        <f>((1+Table26[[#This Row],[Weekly change]])^52)-1</f>
        <v/>
      </c>
      <c r="E1725" s="85">
        <f>(Table26[[#This Row],[M2 Money Stock, Billions of Dollars, Weekly, Seasonally Adjusted]]-B1673)/B1673</f>
        <v/>
      </c>
    </row>
    <row r="1726">
      <c r="A1726" s="37" t="n">
        <v>41561</v>
      </c>
      <c r="B1726" s="84" t="n">
        <v>10930.1</v>
      </c>
      <c r="C1726" s="39">
        <f>(Table26[[#This Row],[M2 Money Stock, Billions of Dollars, Weekly, Seasonally Adjusted]]-B1725)/B1725</f>
        <v/>
      </c>
      <c r="D1726" s="40">
        <f>((1+Table26[[#This Row],[Weekly change]])^52)-1</f>
        <v/>
      </c>
      <c r="E1726" s="85">
        <f>(Table26[[#This Row],[M2 Money Stock, Billions of Dollars, Weekly, Seasonally Adjusted]]-B1674)/B1674</f>
        <v/>
      </c>
    </row>
    <row r="1727">
      <c r="A1727" s="37" t="n">
        <v>41568</v>
      </c>
      <c r="B1727" s="84" t="n">
        <v>10988.5</v>
      </c>
      <c r="C1727" s="39">
        <f>(Table26[[#This Row],[M2 Money Stock, Billions of Dollars, Weekly, Seasonally Adjusted]]-B1726)/B1726</f>
        <v/>
      </c>
      <c r="D1727" s="40">
        <f>((1+Table26[[#This Row],[Weekly change]])^52)-1</f>
        <v/>
      </c>
      <c r="E1727" s="85">
        <f>(Table26[[#This Row],[M2 Money Stock, Billions of Dollars, Weekly, Seasonally Adjusted]]-B1675)/B1675</f>
        <v/>
      </c>
    </row>
    <row r="1728">
      <c r="A1728" s="37" t="n">
        <v>41575</v>
      </c>
      <c r="B1728" s="84" t="n">
        <v>10967.8</v>
      </c>
      <c r="C1728" s="39">
        <f>(Table26[[#This Row],[M2 Money Stock, Billions of Dollars, Weekly, Seasonally Adjusted]]-B1727)/B1727</f>
        <v/>
      </c>
      <c r="D1728" s="40">
        <f>((1+Table26[[#This Row],[Weekly change]])^52)-1</f>
        <v/>
      </c>
      <c r="E1728" s="85">
        <f>(Table26[[#This Row],[M2 Money Stock, Billions of Dollars, Weekly, Seasonally Adjusted]]-B1676)/B1676</f>
        <v/>
      </c>
    </row>
    <row r="1729">
      <c r="A1729" s="37" t="n">
        <v>41582</v>
      </c>
      <c r="B1729" s="84" t="n">
        <v>10950.1</v>
      </c>
      <c r="C1729" s="39">
        <f>(Table26[[#This Row],[M2 Money Stock, Billions of Dollars, Weekly, Seasonally Adjusted]]-B1728)/B1728</f>
        <v/>
      </c>
      <c r="D1729" s="40">
        <f>((1+Table26[[#This Row],[Weekly change]])^52)-1</f>
        <v/>
      </c>
      <c r="E1729" s="85">
        <f>(Table26[[#This Row],[M2 Money Stock, Billions of Dollars, Weekly, Seasonally Adjusted]]-B1677)/B1677</f>
        <v/>
      </c>
    </row>
    <row r="1730">
      <c r="A1730" s="37" t="n">
        <v>41589</v>
      </c>
      <c r="B1730" s="84" t="n">
        <v>10932.5</v>
      </c>
      <c r="C1730" s="39">
        <f>(Table26[[#This Row],[M2 Money Stock, Billions of Dollars, Weekly, Seasonally Adjusted]]-B1729)/B1729</f>
        <v/>
      </c>
      <c r="D1730" s="40">
        <f>((1+Table26[[#This Row],[Weekly change]])^52)-1</f>
        <v/>
      </c>
      <c r="E1730" s="85">
        <f>(Table26[[#This Row],[M2 Money Stock, Billions of Dollars, Weekly, Seasonally Adjusted]]-B1678)/B1678</f>
        <v/>
      </c>
    </row>
    <row r="1731">
      <c r="A1731" s="37" t="n">
        <v>41596</v>
      </c>
      <c r="B1731" s="84" t="n">
        <v>10938.4</v>
      </c>
      <c r="C1731" s="39">
        <f>(Table26[[#This Row],[M2 Money Stock, Billions of Dollars, Weekly, Seasonally Adjusted]]-B1730)/B1730</f>
        <v/>
      </c>
      <c r="D1731" s="40">
        <f>((1+Table26[[#This Row],[Weekly change]])^52)-1</f>
        <v/>
      </c>
      <c r="E1731" s="85">
        <f>(Table26[[#This Row],[M2 Money Stock, Billions of Dollars, Weekly, Seasonally Adjusted]]-B1679)/B1679</f>
        <v/>
      </c>
    </row>
    <row r="1732">
      <c r="A1732" s="37" t="n">
        <v>41603</v>
      </c>
      <c r="B1732" s="84" t="n">
        <v>10966.2</v>
      </c>
      <c r="C1732" s="39">
        <f>(Table26[[#This Row],[M2 Money Stock, Billions of Dollars, Weekly, Seasonally Adjusted]]-B1731)/B1731</f>
        <v/>
      </c>
      <c r="D1732" s="40">
        <f>((1+Table26[[#This Row],[Weekly change]])^52)-1</f>
        <v/>
      </c>
      <c r="E1732" s="85">
        <f>(Table26[[#This Row],[M2 Money Stock, Billions of Dollars, Weekly, Seasonally Adjusted]]-B1680)/B1680</f>
        <v/>
      </c>
    </row>
    <row r="1733">
      <c r="A1733" s="37" t="n">
        <v>41610</v>
      </c>
      <c r="B1733" s="84" t="n">
        <v>10986.1</v>
      </c>
      <c r="C1733" s="39">
        <f>(Table26[[#This Row],[M2 Money Stock, Billions of Dollars, Weekly, Seasonally Adjusted]]-B1732)/B1732</f>
        <v/>
      </c>
      <c r="D1733" s="40">
        <f>((1+Table26[[#This Row],[Weekly change]])^52)-1</f>
        <v/>
      </c>
      <c r="E1733" s="85">
        <f>(Table26[[#This Row],[M2 Money Stock, Billions of Dollars, Weekly, Seasonally Adjusted]]-B1681)/B1681</f>
        <v/>
      </c>
    </row>
    <row r="1734">
      <c r="A1734" s="37" t="n">
        <v>41617</v>
      </c>
      <c r="B1734" s="84" t="n">
        <v>11003.5</v>
      </c>
      <c r="C1734" s="39">
        <f>(Table26[[#This Row],[M2 Money Stock, Billions of Dollars, Weekly, Seasonally Adjusted]]-B1733)/B1733</f>
        <v/>
      </c>
      <c r="D1734" s="40">
        <f>((1+Table26[[#This Row],[Weekly change]])^52)-1</f>
        <v/>
      </c>
      <c r="E1734" s="85">
        <f>(Table26[[#This Row],[M2 Money Stock, Billions of Dollars, Weekly, Seasonally Adjusted]]-B1682)/B1682</f>
        <v/>
      </c>
    </row>
    <row r="1735">
      <c r="A1735" s="37" t="n">
        <v>41624</v>
      </c>
      <c r="B1735" s="84" t="n">
        <v>11006.5</v>
      </c>
      <c r="C1735" s="39">
        <f>(Table26[[#This Row],[M2 Money Stock, Billions of Dollars, Weekly, Seasonally Adjusted]]-B1734)/B1734</f>
        <v/>
      </c>
      <c r="D1735" s="40">
        <f>((1+Table26[[#This Row],[Weekly change]])^52)-1</f>
        <v/>
      </c>
      <c r="E1735" s="85">
        <f>(Table26[[#This Row],[M2 Money Stock, Billions of Dollars, Weekly, Seasonally Adjusted]]-B1683)/B1683</f>
        <v/>
      </c>
    </row>
    <row r="1736">
      <c r="A1736" s="37" t="n">
        <v>41631</v>
      </c>
      <c r="B1736" s="84" t="n">
        <v>11028.6</v>
      </c>
      <c r="C1736" s="39">
        <f>(Table26[[#This Row],[M2 Money Stock, Billions of Dollars, Weekly, Seasonally Adjusted]]-B1735)/B1735</f>
        <v/>
      </c>
      <c r="D1736" s="40">
        <f>((1+Table26[[#This Row],[Weekly change]])^52)-1</f>
        <v/>
      </c>
      <c r="E1736" s="85">
        <f>(Table26[[#This Row],[M2 Money Stock, Billions of Dollars, Weekly, Seasonally Adjusted]]-B1684)/B1684</f>
        <v/>
      </c>
    </row>
    <row r="1737">
      <c r="A1737" s="37" t="n">
        <v>41638</v>
      </c>
      <c r="B1737" s="84" t="n">
        <v>11026.7</v>
      </c>
      <c r="C1737" s="39">
        <f>(Table26[[#This Row],[M2 Money Stock, Billions of Dollars, Weekly, Seasonally Adjusted]]-B1736)/B1736</f>
        <v/>
      </c>
      <c r="D1737" s="40">
        <f>((1+Table26[[#This Row],[Weekly change]])^52)-1</f>
        <v/>
      </c>
      <c r="E1737" s="85">
        <f>(Table26[[#This Row],[M2 Money Stock, Billions of Dollars, Weekly, Seasonally Adjusted]]-B1685)/B1685</f>
        <v/>
      </c>
    </row>
    <row r="1738">
      <c r="A1738" s="37" t="n">
        <v>41645</v>
      </c>
      <c r="B1738" s="84" t="n">
        <v>11036.2</v>
      </c>
      <c r="C1738" s="39">
        <f>(Table26[[#This Row],[M2 Money Stock, Billions of Dollars, Weekly, Seasonally Adjusted]]-B1737)/B1737</f>
        <v/>
      </c>
      <c r="D1738" s="40">
        <f>((1+Table26[[#This Row],[Weekly change]])^52)-1</f>
        <v/>
      </c>
      <c r="E1738" s="85">
        <f>(Table26[[#This Row],[M2 Money Stock, Billions of Dollars, Weekly, Seasonally Adjusted]]-B1686)/B1686</f>
        <v/>
      </c>
    </row>
    <row r="1739">
      <c r="A1739" s="37" t="n">
        <v>41652</v>
      </c>
      <c r="B1739" s="84" t="n">
        <v>11034.9</v>
      </c>
      <c r="C1739" s="39">
        <f>(Table26[[#This Row],[M2 Money Stock, Billions of Dollars, Weekly, Seasonally Adjusted]]-B1738)/B1738</f>
        <v/>
      </c>
      <c r="D1739" s="40">
        <f>((1+Table26[[#This Row],[Weekly change]])^52)-1</f>
        <v/>
      </c>
      <c r="E1739" s="85">
        <f>(Table26[[#This Row],[M2 Money Stock, Billions of Dollars, Weekly, Seasonally Adjusted]]-B1687)/B1687</f>
        <v/>
      </c>
    </row>
    <row r="1740">
      <c r="A1740" s="37" t="n">
        <v>41659</v>
      </c>
      <c r="B1740" s="84" t="n">
        <v>11065.1</v>
      </c>
      <c r="C1740" s="39">
        <f>(Table26[[#This Row],[M2 Money Stock, Billions of Dollars, Weekly, Seasonally Adjusted]]-B1739)/B1739</f>
        <v/>
      </c>
      <c r="D1740" s="40">
        <f>((1+Table26[[#This Row],[Weekly change]])^52)-1</f>
        <v/>
      </c>
      <c r="E1740" s="85">
        <f>(Table26[[#This Row],[M2 Money Stock, Billions of Dollars, Weekly, Seasonally Adjusted]]-B1688)/B1688</f>
        <v/>
      </c>
    </row>
    <row r="1741">
      <c r="A1741" s="37" t="n">
        <v>41666</v>
      </c>
      <c r="B1741" s="84" t="n">
        <v>11102.2</v>
      </c>
      <c r="C1741" s="39">
        <f>(Table26[[#This Row],[M2 Money Stock, Billions of Dollars, Weekly, Seasonally Adjusted]]-B1740)/B1740</f>
        <v/>
      </c>
      <c r="D1741" s="40">
        <f>((1+Table26[[#This Row],[Weekly change]])^52)-1</f>
        <v/>
      </c>
      <c r="E1741" s="85">
        <f>(Table26[[#This Row],[M2 Money Stock, Billions of Dollars, Weekly, Seasonally Adjusted]]-B1689)/B1689</f>
        <v/>
      </c>
    </row>
    <row r="1742">
      <c r="A1742" s="37" t="n">
        <v>41673</v>
      </c>
      <c r="B1742" s="84" t="n">
        <v>11100.2</v>
      </c>
      <c r="C1742" s="39">
        <f>(Table26[[#This Row],[M2 Money Stock, Billions of Dollars, Weekly, Seasonally Adjusted]]-B1741)/B1741</f>
        <v/>
      </c>
      <c r="D1742" s="40">
        <f>((1+Table26[[#This Row],[Weekly change]])^52)-1</f>
        <v/>
      </c>
      <c r="E1742" s="85">
        <f>(Table26[[#This Row],[M2 Money Stock, Billions of Dollars, Weekly, Seasonally Adjusted]]-B1690)/B1690</f>
        <v/>
      </c>
    </row>
    <row r="1743">
      <c r="A1743" s="37" t="n">
        <v>41680</v>
      </c>
      <c r="B1743" s="84" t="n">
        <v>11135.9</v>
      </c>
      <c r="C1743" s="39">
        <f>(Table26[[#This Row],[M2 Money Stock, Billions of Dollars, Weekly, Seasonally Adjusted]]-B1742)/B1742</f>
        <v/>
      </c>
      <c r="D1743" s="40">
        <f>((1+Table26[[#This Row],[Weekly change]])^52)-1</f>
        <v/>
      </c>
      <c r="E1743" s="85">
        <f>(Table26[[#This Row],[M2 Money Stock, Billions of Dollars, Weekly, Seasonally Adjusted]]-B1691)/B1691</f>
        <v/>
      </c>
    </row>
    <row r="1744">
      <c r="A1744" s="37" t="n">
        <v>41687</v>
      </c>
      <c r="B1744" s="84" t="n">
        <v>11167.4</v>
      </c>
      <c r="C1744" s="39">
        <f>(Table26[[#This Row],[M2 Money Stock, Billions of Dollars, Weekly, Seasonally Adjusted]]-B1743)/B1743</f>
        <v/>
      </c>
      <c r="D1744" s="40">
        <f>((1+Table26[[#This Row],[Weekly change]])^52)-1</f>
        <v/>
      </c>
      <c r="E1744" s="85">
        <f>(Table26[[#This Row],[M2 Money Stock, Billions of Dollars, Weekly, Seasonally Adjusted]]-B1692)/B1692</f>
        <v/>
      </c>
    </row>
    <row r="1745">
      <c r="A1745" s="37" t="n">
        <v>41694</v>
      </c>
      <c r="B1745" s="84" t="n">
        <v>11162.9</v>
      </c>
      <c r="C1745" s="39">
        <f>(Table26[[#This Row],[M2 Money Stock, Billions of Dollars, Weekly, Seasonally Adjusted]]-B1744)/B1744</f>
        <v/>
      </c>
      <c r="D1745" s="40">
        <f>((1+Table26[[#This Row],[Weekly change]])^52)-1</f>
        <v/>
      </c>
      <c r="E1745" s="85">
        <f>(Table26[[#This Row],[M2 Money Stock, Billions of Dollars, Weekly, Seasonally Adjusted]]-B1693)/B1693</f>
        <v/>
      </c>
    </row>
    <row r="1746">
      <c r="A1746" s="37" t="n">
        <v>41701</v>
      </c>
      <c r="B1746" s="84" t="n">
        <v>11150</v>
      </c>
      <c r="C1746" s="39">
        <f>(Table26[[#This Row],[M2 Money Stock, Billions of Dollars, Weekly, Seasonally Adjusted]]-B1745)/B1745</f>
        <v/>
      </c>
      <c r="D1746" s="40">
        <f>((1+Table26[[#This Row],[Weekly change]])^52)-1</f>
        <v/>
      </c>
      <c r="E1746" s="85">
        <f>(Table26[[#This Row],[M2 Money Stock, Billions of Dollars, Weekly, Seasonally Adjusted]]-B1694)/B1694</f>
        <v/>
      </c>
    </row>
    <row r="1747">
      <c r="A1747" s="37" t="n">
        <v>41708</v>
      </c>
      <c r="B1747" s="84" t="n">
        <v>11168.2</v>
      </c>
      <c r="C1747" s="39">
        <f>(Table26[[#This Row],[M2 Money Stock, Billions of Dollars, Weekly, Seasonally Adjusted]]-B1746)/B1746</f>
        <v/>
      </c>
      <c r="D1747" s="40">
        <f>((1+Table26[[#This Row],[Weekly change]])^52)-1</f>
        <v/>
      </c>
      <c r="E1747" s="85">
        <f>(Table26[[#This Row],[M2 Money Stock, Billions of Dollars, Weekly, Seasonally Adjusted]]-B1695)/B1695</f>
        <v/>
      </c>
    </row>
    <row r="1748">
      <c r="A1748" s="37" t="n">
        <v>41715</v>
      </c>
      <c r="B1748" s="84" t="n">
        <v>11188.1</v>
      </c>
      <c r="C1748" s="39">
        <f>(Table26[[#This Row],[M2 Money Stock, Billions of Dollars, Weekly, Seasonally Adjusted]]-B1747)/B1747</f>
        <v/>
      </c>
      <c r="D1748" s="40">
        <f>((1+Table26[[#This Row],[Weekly change]])^52)-1</f>
        <v/>
      </c>
      <c r="E1748" s="85">
        <f>(Table26[[#This Row],[M2 Money Stock, Billions of Dollars, Weekly, Seasonally Adjusted]]-B1696)/B1696</f>
        <v/>
      </c>
    </row>
    <row r="1749">
      <c r="A1749" s="37" t="n">
        <v>41722</v>
      </c>
      <c r="B1749" s="84" t="n">
        <v>11210.6</v>
      </c>
      <c r="C1749" s="39">
        <f>(Table26[[#This Row],[M2 Money Stock, Billions of Dollars, Weekly, Seasonally Adjusted]]-B1748)/B1748</f>
        <v/>
      </c>
      <c r="D1749" s="40">
        <f>((1+Table26[[#This Row],[Weekly change]])^52)-1</f>
        <v/>
      </c>
      <c r="E1749" s="85">
        <f>(Table26[[#This Row],[M2 Money Stock, Billions of Dollars, Weekly, Seasonally Adjusted]]-B1697)/B1697</f>
        <v/>
      </c>
    </row>
    <row r="1750">
      <c r="A1750" s="37" t="n">
        <v>41729</v>
      </c>
      <c r="B1750" s="84" t="n">
        <v>11211.5</v>
      </c>
      <c r="C1750" s="39">
        <f>(Table26[[#This Row],[M2 Money Stock, Billions of Dollars, Weekly, Seasonally Adjusted]]-B1749)/B1749</f>
        <v/>
      </c>
      <c r="D1750" s="40">
        <f>((1+Table26[[#This Row],[Weekly change]])^52)-1</f>
        <v/>
      </c>
      <c r="E1750" s="85">
        <f>(Table26[[#This Row],[M2 Money Stock, Billions of Dollars, Weekly, Seasonally Adjusted]]-B1698)/B1698</f>
        <v/>
      </c>
    </row>
    <row r="1751">
      <c r="A1751" s="37" t="n">
        <v>41736</v>
      </c>
      <c r="B1751" s="84" t="n">
        <v>11215.6</v>
      </c>
      <c r="C1751" s="39">
        <f>(Table26[[#This Row],[M2 Money Stock, Billions of Dollars, Weekly, Seasonally Adjusted]]-B1750)/B1750</f>
        <v/>
      </c>
      <c r="D1751" s="40">
        <f>((1+Table26[[#This Row],[Weekly change]])^52)-1</f>
        <v/>
      </c>
      <c r="E1751" s="85">
        <f>(Table26[[#This Row],[M2 Money Stock, Billions of Dollars, Weekly, Seasonally Adjusted]]-B1699)/B1699</f>
        <v/>
      </c>
    </row>
    <row r="1752">
      <c r="A1752" s="37" t="n">
        <v>41743</v>
      </c>
      <c r="B1752" s="84" t="n">
        <v>11236.9</v>
      </c>
      <c r="C1752" s="39">
        <f>(Table26[[#This Row],[M2 Money Stock, Billions of Dollars, Weekly, Seasonally Adjusted]]-B1751)/B1751</f>
        <v/>
      </c>
      <c r="D1752" s="40">
        <f>((1+Table26[[#This Row],[Weekly change]])^52)-1</f>
        <v/>
      </c>
      <c r="E1752" s="85">
        <f>(Table26[[#This Row],[M2 Money Stock, Billions of Dollars, Weekly, Seasonally Adjusted]]-B1700)/B1700</f>
        <v/>
      </c>
    </row>
    <row r="1753">
      <c r="A1753" s="37" t="n">
        <v>41750</v>
      </c>
      <c r="B1753" s="84" t="n">
        <v>11239.7</v>
      </c>
      <c r="C1753" s="39">
        <f>(Table26[[#This Row],[M2 Money Stock, Billions of Dollars, Weekly, Seasonally Adjusted]]-B1752)/B1752</f>
        <v/>
      </c>
      <c r="D1753" s="40">
        <f>((1+Table26[[#This Row],[Weekly change]])^52)-1</f>
        <v/>
      </c>
      <c r="E1753" s="85">
        <f>(Table26[[#This Row],[M2 Money Stock, Billions of Dollars, Weekly, Seasonally Adjusted]]-B1701)/B1701</f>
        <v/>
      </c>
    </row>
    <row r="1754">
      <c r="A1754" s="37" t="n">
        <v>41757</v>
      </c>
      <c r="B1754" s="84" t="n">
        <v>11283</v>
      </c>
      <c r="C1754" s="39">
        <f>(Table26[[#This Row],[M2 Money Stock, Billions of Dollars, Weekly, Seasonally Adjusted]]-B1753)/B1753</f>
        <v/>
      </c>
      <c r="D1754" s="40">
        <f>((1+Table26[[#This Row],[Weekly change]])^52)-1</f>
        <v/>
      </c>
      <c r="E1754" s="85">
        <f>(Table26[[#This Row],[M2 Money Stock, Billions of Dollars, Weekly, Seasonally Adjusted]]-B1702)/B1702</f>
        <v/>
      </c>
    </row>
    <row r="1755">
      <c r="A1755" s="37" t="n">
        <v>41764</v>
      </c>
      <c r="B1755" s="84" t="n">
        <v>11285.2</v>
      </c>
      <c r="C1755" s="39">
        <f>(Table26[[#This Row],[M2 Money Stock, Billions of Dollars, Weekly, Seasonally Adjusted]]-B1754)/B1754</f>
        <v/>
      </c>
      <c r="D1755" s="40">
        <f>((1+Table26[[#This Row],[Weekly change]])^52)-1</f>
        <v/>
      </c>
      <c r="E1755" s="85">
        <f>(Table26[[#This Row],[M2 Money Stock, Billions of Dollars, Weekly, Seasonally Adjusted]]-B1703)/B1703</f>
        <v/>
      </c>
    </row>
    <row r="1756">
      <c r="A1756" s="37" t="n">
        <v>41771</v>
      </c>
      <c r="B1756" s="84" t="n">
        <v>11296.9</v>
      </c>
      <c r="C1756" s="39">
        <f>(Table26[[#This Row],[M2 Money Stock, Billions of Dollars, Weekly, Seasonally Adjusted]]-B1755)/B1755</f>
        <v/>
      </c>
      <c r="D1756" s="40">
        <f>((1+Table26[[#This Row],[Weekly change]])^52)-1</f>
        <v/>
      </c>
      <c r="E1756" s="85">
        <f>(Table26[[#This Row],[M2 Money Stock, Billions of Dollars, Weekly, Seasonally Adjusted]]-B1704)/B1704</f>
        <v/>
      </c>
    </row>
    <row r="1757">
      <c r="A1757" s="37" t="n">
        <v>41778</v>
      </c>
      <c r="B1757" s="84" t="n">
        <v>11298.5</v>
      </c>
      <c r="C1757" s="39">
        <f>(Table26[[#This Row],[M2 Money Stock, Billions of Dollars, Weekly, Seasonally Adjusted]]-B1756)/B1756</f>
        <v/>
      </c>
      <c r="D1757" s="40">
        <f>((1+Table26[[#This Row],[Weekly change]])^52)-1</f>
        <v/>
      </c>
      <c r="E1757" s="85">
        <f>(Table26[[#This Row],[M2 Money Stock, Billions of Dollars, Weekly, Seasonally Adjusted]]-B1705)/B1705</f>
        <v/>
      </c>
    </row>
    <row r="1758">
      <c r="A1758" s="37" t="n">
        <v>41785</v>
      </c>
      <c r="B1758" s="84" t="n">
        <v>11334.5</v>
      </c>
      <c r="C1758" s="39">
        <f>(Table26[[#This Row],[M2 Money Stock, Billions of Dollars, Weekly, Seasonally Adjusted]]-B1757)/B1757</f>
        <v/>
      </c>
      <c r="D1758" s="40">
        <f>((1+Table26[[#This Row],[Weekly change]])^52)-1</f>
        <v/>
      </c>
      <c r="E1758" s="85">
        <f>(Table26[[#This Row],[M2 Money Stock, Billions of Dollars, Weekly, Seasonally Adjusted]]-B1706)/B1706</f>
        <v/>
      </c>
    </row>
    <row r="1759">
      <c r="A1759" s="37" t="n">
        <v>41792</v>
      </c>
      <c r="B1759" s="84" t="n">
        <v>11364.7</v>
      </c>
      <c r="C1759" s="39">
        <f>(Table26[[#This Row],[M2 Money Stock, Billions of Dollars, Weekly, Seasonally Adjusted]]-B1758)/B1758</f>
        <v/>
      </c>
      <c r="D1759" s="40">
        <f>((1+Table26[[#This Row],[Weekly change]])^52)-1</f>
        <v/>
      </c>
      <c r="E1759" s="85">
        <f>(Table26[[#This Row],[M2 Money Stock, Billions of Dollars, Weekly, Seasonally Adjusted]]-B1707)/B1707</f>
        <v/>
      </c>
    </row>
    <row r="1760">
      <c r="A1760" s="37" t="n">
        <v>41799</v>
      </c>
      <c r="B1760" s="84" t="n">
        <v>11347.7</v>
      </c>
      <c r="C1760" s="39">
        <f>(Table26[[#This Row],[M2 Money Stock, Billions of Dollars, Weekly, Seasonally Adjusted]]-B1759)/B1759</f>
        <v/>
      </c>
      <c r="D1760" s="40">
        <f>((1+Table26[[#This Row],[Weekly change]])^52)-1</f>
        <v/>
      </c>
      <c r="E1760" s="85">
        <f>(Table26[[#This Row],[M2 Money Stock, Billions of Dollars, Weekly, Seasonally Adjusted]]-B1708)/B1708</f>
        <v/>
      </c>
    </row>
    <row r="1761">
      <c r="A1761" s="37" t="n">
        <v>41806</v>
      </c>
      <c r="B1761" s="84" t="n">
        <v>11356.6</v>
      </c>
      <c r="C1761" s="39">
        <f>(Table26[[#This Row],[M2 Money Stock, Billions of Dollars, Weekly, Seasonally Adjusted]]-B1760)/B1760</f>
        <v/>
      </c>
      <c r="D1761" s="40">
        <f>((1+Table26[[#This Row],[Weekly change]])^52)-1</f>
        <v/>
      </c>
      <c r="E1761" s="85">
        <f>(Table26[[#This Row],[M2 Money Stock, Billions of Dollars, Weekly, Seasonally Adjusted]]-B1709)/B1709</f>
        <v/>
      </c>
    </row>
    <row r="1762">
      <c r="A1762" s="37" t="n">
        <v>41813</v>
      </c>
      <c r="B1762" s="84" t="n">
        <v>11372.9</v>
      </c>
      <c r="C1762" s="39">
        <f>(Table26[[#This Row],[M2 Money Stock, Billions of Dollars, Weekly, Seasonally Adjusted]]-B1761)/B1761</f>
        <v/>
      </c>
      <c r="D1762" s="40">
        <f>((1+Table26[[#This Row],[Weekly change]])^52)-1</f>
        <v/>
      </c>
      <c r="E1762" s="85">
        <f>(Table26[[#This Row],[M2 Money Stock, Billions of Dollars, Weekly, Seasonally Adjusted]]-B1710)/B1710</f>
        <v/>
      </c>
    </row>
    <row r="1763">
      <c r="A1763" s="37" t="n">
        <v>41820</v>
      </c>
      <c r="B1763" s="84" t="n">
        <v>11391.8</v>
      </c>
      <c r="C1763" s="39">
        <f>(Table26[[#This Row],[M2 Money Stock, Billions of Dollars, Weekly, Seasonally Adjusted]]-B1762)/B1762</f>
        <v/>
      </c>
      <c r="D1763" s="40">
        <f>((1+Table26[[#This Row],[Weekly change]])^52)-1</f>
        <v/>
      </c>
      <c r="E1763" s="85">
        <f>(Table26[[#This Row],[M2 Money Stock, Billions of Dollars, Weekly, Seasonally Adjusted]]-B1711)/B1711</f>
        <v/>
      </c>
    </row>
    <row r="1764">
      <c r="A1764" s="37" t="n">
        <v>41827</v>
      </c>
      <c r="B1764" s="84" t="n">
        <v>11385.2</v>
      </c>
      <c r="C1764" s="39">
        <f>(Table26[[#This Row],[M2 Money Stock, Billions of Dollars, Weekly, Seasonally Adjusted]]-B1763)/B1763</f>
        <v/>
      </c>
      <c r="D1764" s="40">
        <f>((1+Table26[[#This Row],[Weekly change]])^52)-1</f>
        <v/>
      </c>
      <c r="E1764" s="85">
        <f>(Table26[[#This Row],[M2 Money Stock, Billions of Dollars, Weekly, Seasonally Adjusted]]-B1712)/B1712</f>
        <v/>
      </c>
    </row>
    <row r="1765">
      <c r="A1765" s="37" t="n">
        <v>41834</v>
      </c>
      <c r="B1765" s="84" t="n">
        <v>11417.4</v>
      </c>
      <c r="C1765" s="39">
        <f>(Table26[[#This Row],[M2 Money Stock, Billions of Dollars, Weekly, Seasonally Adjusted]]-B1764)/B1764</f>
        <v/>
      </c>
      <c r="D1765" s="40">
        <f>((1+Table26[[#This Row],[Weekly change]])^52)-1</f>
        <v/>
      </c>
      <c r="E1765" s="85">
        <f>(Table26[[#This Row],[M2 Money Stock, Billions of Dollars, Weekly, Seasonally Adjusted]]-B1713)/B1713</f>
        <v/>
      </c>
    </row>
    <row r="1766">
      <c r="A1766" s="37" t="n">
        <v>41841</v>
      </c>
      <c r="B1766" s="84" t="n">
        <v>11441.3</v>
      </c>
      <c r="C1766" s="39">
        <f>(Table26[[#This Row],[M2 Money Stock, Billions of Dollars, Weekly, Seasonally Adjusted]]-B1765)/B1765</f>
        <v/>
      </c>
      <c r="D1766" s="40">
        <f>((1+Table26[[#This Row],[Weekly change]])^52)-1</f>
        <v/>
      </c>
      <c r="E1766" s="85">
        <f>(Table26[[#This Row],[M2 Money Stock, Billions of Dollars, Weekly, Seasonally Adjusted]]-B1714)/B1714</f>
        <v/>
      </c>
    </row>
    <row r="1767">
      <c r="A1767" s="37" t="n">
        <v>41848</v>
      </c>
      <c r="B1767" s="84" t="n">
        <v>11456.8</v>
      </c>
      <c r="C1767" s="39">
        <f>(Table26[[#This Row],[M2 Money Stock, Billions of Dollars, Weekly, Seasonally Adjusted]]-B1766)/B1766</f>
        <v/>
      </c>
      <c r="D1767" s="40">
        <f>((1+Table26[[#This Row],[Weekly change]])^52)-1</f>
        <v/>
      </c>
      <c r="E1767" s="85">
        <f>(Table26[[#This Row],[M2 Money Stock, Billions of Dollars, Weekly, Seasonally Adjusted]]-B1715)/B1715</f>
        <v/>
      </c>
    </row>
    <row r="1768">
      <c r="A1768" s="37" t="n">
        <v>41855</v>
      </c>
      <c r="B1768" s="84" t="n">
        <v>11458.2</v>
      </c>
      <c r="C1768" s="39">
        <f>(Table26[[#This Row],[M2 Money Stock, Billions of Dollars, Weekly, Seasonally Adjusted]]-B1767)/B1767</f>
        <v/>
      </c>
      <c r="D1768" s="40">
        <f>((1+Table26[[#This Row],[Weekly change]])^52)-1</f>
        <v/>
      </c>
      <c r="E1768" s="85">
        <f>(Table26[[#This Row],[M2 Money Stock, Billions of Dollars, Weekly, Seasonally Adjusted]]-B1716)/B1716</f>
        <v/>
      </c>
    </row>
    <row r="1769">
      <c r="A1769" s="37" t="n">
        <v>41862</v>
      </c>
      <c r="B1769" s="84" t="n">
        <v>11436.3</v>
      </c>
      <c r="C1769" s="39">
        <f>(Table26[[#This Row],[M2 Money Stock, Billions of Dollars, Weekly, Seasonally Adjusted]]-B1768)/B1768</f>
        <v/>
      </c>
      <c r="D1769" s="40">
        <f>((1+Table26[[#This Row],[Weekly change]])^52)-1</f>
        <v/>
      </c>
      <c r="E1769" s="85">
        <f>(Table26[[#This Row],[M2 Money Stock, Billions of Dollars, Weekly, Seasonally Adjusted]]-B1717)/B1717</f>
        <v/>
      </c>
    </row>
    <row r="1770">
      <c r="A1770" s="37" t="n">
        <v>41869</v>
      </c>
      <c r="B1770" s="84" t="n">
        <v>11451.3</v>
      </c>
      <c r="C1770" s="39">
        <f>(Table26[[#This Row],[M2 Money Stock, Billions of Dollars, Weekly, Seasonally Adjusted]]-B1769)/B1769</f>
        <v/>
      </c>
      <c r="D1770" s="40">
        <f>((1+Table26[[#This Row],[Weekly change]])^52)-1</f>
        <v/>
      </c>
      <c r="E1770" s="85">
        <f>(Table26[[#This Row],[M2 Money Stock, Billions of Dollars, Weekly, Seasonally Adjusted]]-B1718)/B1718</f>
        <v/>
      </c>
    </row>
    <row r="1771">
      <c r="A1771" s="37" t="n">
        <v>41876</v>
      </c>
      <c r="B1771" s="84" t="n">
        <v>11466.3</v>
      </c>
      <c r="C1771" s="39">
        <f>(Table26[[#This Row],[M2 Money Stock, Billions of Dollars, Weekly, Seasonally Adjusted]]-B1770)/B1770</f>
        <v/>
      </c>
      <c r="D1771" s="40">
        <f>((1+Table26[[#This Row],[Weekly change]])^52)-1</f>
        <v/>
      </c>
      <c r="E1771" s="85">
        <f>(Table26[[#This Row],[M2 Money Stock, Billions of Dollars, Weekly, Seasonally Adjusted]]-B1719)/B1719</f>
        <v/>
      </c>
    </row>
    <row r="1772">
      <c r="A1772" s="37" t="n">
        <v>41883</v>
      </c>
      <c r="B1772" s="84" t="n">
        <v>11479.1</v>
      </c>
      <c r="C1772" s="39">
        <f>(Table26[[#This Row],[M2 Money Stock, Billions of Dollars, Weekly, Seasonally Adjusted]]-B1771)/B1771</f>
        <v/>
      </c>
      <c r="D1772" s="40">
        <f>((1+Table26[[#This Row],[Weekly change]])^52)-1</f>
        <v/>
      </c>
      <c r="E1772" s="85">
        <f>(Table26[[#This Row],[M2 Money Stock, Billions of Dollars, Weekly, Seasonally Adjusted]]-B1720)/B1720</f>
        <v/>
      </c>
    </row>
    <row r="1773">
      <c r="A1773" s="37" t="n">
        <v>41890</v>
      </c>
      <c r="B1773" s="84" t="n">
        <v>11469.3</v>
      </c>
      <c r="C1773" s="39">
        <f>(Table26[[#This Row],[M2 Money Stock, Billions of Dollars, Weekly, Seasonally Adjusted]]-B1772)/B1772</f>
        <v/>
      </c>
      <c r="D1773" s="40">
        <f>((1+Table26[[#This Row],[Weekly change]])^52)-1</f>
        <v/>
      </c>
      <c r="E1773" s="85">
        <f>(Table26[[#This Row],[M2 Money Stock, Billions of Dollars, Weekly, Seasonally Adjusted]]-B1721)/B1721</f>
        <v/>
      </c>
    </row>
    <row r="1774">
      <c r="A1774" s="37" t="n">
        <v>41897</v>
      </c>
      <c r="B1774" s="84" t="n">
        <v>11485.8</v>
      </c>
      <c r="C1774" s="39">
        <f>(Table26[[#This Row],[M2 Money Stock, Billions of Dollars, Weekly, Seasonally Adjusted]]-B1773)/B1773</f>
        <v/>
      </c>
      <c r="D1774" s="40">
        <f>((1+Table26[[#This Row],[Weekly change]])^52)-1</f>
        <v/>
      </c>
      <c r="E1774" s="85">
        <f>(Table26[[#This Row],[M2 Money Stock, Billions of Dollars, Weekly, Seasonally Adjusted]]-B1722)/B1722</f>
        <v/>
      </c>
    </row>
    <row r="1775">
      <c r="A1775" s="37" t="n">
        <v>41904</v>
      </c>
      <c r="B1775" s="84" t="n">
        <v>11495.7</v>
      </c>
      <c r="C1775" s="39">
        <f>(Table26[[#This Row],[M2 Money Stock, Billions of Dollars, Weekly, Seasonally Adjusted]]-B1774)/B1774</f>
        <v/>
      </c>
      <c r="D1775" s="40">
        <f>((1+Table26[[#This Row],[Weekly change]])^52)-1</f>
        <v/>
      </c>
      <c r="E1775" s="85">
        <f>(Table26[[#This Row],[M2 Money Stock, Billions of Dollars, Weekly, Seasonally Adjusted]]-B1723)/B1723</f>
        <v/>
      </c>
    </row>
    <row r="1776">
      <c r="A1776" s="37" t="n">
        <v>41911</v>
      </c>
      <c r="B1776" s="84" t="n">
        <v>11513.6</v>
      </c>
      <c r="C1776" s="39">
        <f>(Table26[[#This Row],[M2 Money Stock, Billions of Dollars, Weekly, Seasonally Adjusted]]-B1775)/B1775</f>
        <v/>
      </c>
      <c r="D1776" s="40">
        <f>((1+Table26[[#This Row],[Weekly change]])^52)-1</f>
        <v/>
      </c>
      <c r="E1776" s="85">
        <f>(Table26[[#This Row],[M2 Money Stock, Billions of Dollars, Weekly, Seasonally Adjusted]]-B1724)/B1724</f>
        <v/>
      </c>
    </row>
    <row r="1777">
      <c r="A1777" s="37" t="n">
        <v>41918</v>
      </c>
      <c r="B1777" s="84" t="n">
        <v>11528.6</v>
      </c>
      <c r="C1777" s="39">
        <f>(Table26[[#This Row],[M2 Money Stock, Billions of Dollars, Weekly, Seasonally Adjusted]]-B1776)/B1776</f>
        <v/>
      </c>
      <c r="D1777" s="40">
        <f>((1+Table26[[#This Row],[Weekly change]])^52)-1</f>
        <v/>
      </c>
      <c r="E1777" s="85">
        <f>(Table26[[#This Row],[M2 Money Stock, Billions of Dollars, Weekly, Seasonally Adjusted]]-B1725)/B1725</f>
        <v/>
      </c>
    </row>
    <row r="1778">
      <c r="A1778" s="37" t="n">
        <v>41925</v>
      </c>
      <c r="B1778" s="84" t="n">
        <v>11527</v>
      </c>
      <c r="C1778" s="39">
        <f>(Table26[[#This Row],[M2 Money Stock, Billions of Dollars, Weekly, Seasonally Adjusted]]-B1777)/B1777</f>
        <v/>
      </c>
      <c r="D1778" s="40">
        <f>((1+Table26[[#This Row],[Weekly change]])^52)-1</f>
        <v/>
      </c>
      <c r="E1778" s="85">
        <f>(Table26[[#This Row],[M2 Money Stock, Billions of Dollars, Weekly, Seasonally Adjusted]]-B1726)/B1726</f>
        <v/>
      </c>
    </row>
    <row r="1779">
      <c r="A1779" s="37" t="n">
        <v>41932</v>
      </c>
      <c r="B1779" s="84" t="n">
        <v>11556</v>
      </c>
      <c r="C1779" s="39">
        <f>(Table26[[#This Row],[M2 Money Stock, Billions of Dollars, Weekly, Seasonally Adjusted]]-B1778)/B1778</f>
        <v/>
      </c>
      <c r="D1779" s="40">
        <f>((1+Table26[[#This Row],[Weekly change]])^52)-1</f>
        <v/>
      </c>
      <c r="E1779" s="85">
        <f>(Table26[[#This Row],[M2 Money Stock, Billions of Dollars, Weekly, Seasonally Adjusted]]-B1727)/B1727</f>
        <v/>
      </c>
    </row>
    <row r="1780">
      <c r="A1780" s="37" t="n">
        <v>41939</v>
      </c>
      <c r="B1780" s="84" t="n">
        <v>11590.7</v>
      </c>
      <c r="C1780" s="39">
        <f>(Table26[[#This Row],[M2 Money Stock, Billions of Dollars, Weekly, Seasonally Adjusted]]-B1779)/B1779</f>
        <v/>
      </c>
      <c r="D1780" s="40">
        <f>((1+Table26[[#This Row],[Weekly change]])^52)-1</f>
        <v/>
      </c>
      <c r="E1780" s="85">
        <f>(Table26[[#This Row],[M2 Money Stock, Billions of Dollars, Weekly, Seasonally Adjusted]]-B1728)/B1728</f>
        <v/>
      </c>
    </row>
    <row r="1781">
      <c r="A1781" s="37" t="n">
        <v>41946</v>
      </c>
      <c r="B1781" s="84" t="n">
        <v>11551.3</v>
      </c>
      <c r="C1781" s="39">
        <f>(Table26[[#This Row],[M2 Money Stock, Billions of Dollars, Weekly, Seasonally Adjusted]]-B1780)/B1780</f>
        <v/>
      </c>
      <c r="D1781" s="40">
        <f>((1+Table26[[#This Row],[Weekly change]])^52)-1</f>
        <v/>
      </c>
      <c r="E1781" s="85">
        <f>(Table26[[#This Row],[M2 Money Stock, Billions of Dollars, Weekly, Seasonally Adjusted]]-B1729)/B1729</f>
        <v/>
      </c>
    </row>
    <row r="1782">
      <c r="A1782" s="37" t="n">
        <v>41953</v>
      </c>
      <c r="B1782" s="84" t="n">
        <v>11582.1</v>
      </c>
      <c r="C1782" s="39">
        <f>(Table26[[#This Row],[M2 Money Stock, Billions of Dollars, Weekly, Seasonally Adjusted]]-B1781)/B1781</f>
        <v/>
      </c>
      <c r="D1782" s="40">
        <f>((1+Table26[[#This Row],[Weekly change]])^52)-1</f>
        <v/>
      </c>
      <c r="E1782" s="85">
        <f>(Table26[[#This Row],[M2 Money Stock, Billions of Dollars, Weekly, Seasonally Adjusted]]-B1730)/B1730</f>
        <v/>
      </c>
    </row>
    <row r="1783">
      <c r="A1783" s="37" t="n">
        <v>41960</v>
      </c>
      <c r="B1783" s="84" t="n">
        <v>11583.4</v>
      </c>
      <c r="C1783" s="39">
        <f>(Table26[[#This Row],[M2 Money Stock, Billions of Dollars, Weekly, Seasonally Adjusted]]-B1782)/B1782</f>
        <v/>
      </c>
      <c r="D1783" s="40">
        <f>((1+Table26[[#This Row],[Weekly change]])^52)-1</f>
        <v/>
      </c>
      <c r="E1783" s="85">
        <f>(Table26[[#This Row],[M2 Money Stock, Billions of Dollars, Weekly, Seasonally Adjusted]]-B1731)/B1731</f>
        <v/>
      </c>
    </row>
    <row r="1784">
      <c r="A1784" s="37" t="n">
        <v>41967</v>
      </c>
      <c r="B1784" s="84" t="n">
        <v>11593.5</v>
      </c>
      <c r="C1784" s="39">
        <f>(Table26[[#This Row],[M2 Money Stock, Billions of Dollars, Weekly, Seasonally Adjusted]]-B1783)/B1783</f>
        <v/>
      </c>
      <c r="D1784" s="40">
        <f>((1+Table26[[#This Row],[Weekly change]])^52)-1</f>
        <v/>
      </c>
      <c r="E1784" s="85">
        <f>(Table26[[#This Row],[M2 Money Stock, Billions of Dollars, Weekly, Seasonally Adjusted]]-B1732)/B1732</f>
        <v/>
      </c>
    </row>
    <row r="1785">
      <c r="A1785" s="37" t="n">
        <v>41974</v>
      </c>
      <c r="B1785" s="84" t="n">
        <v>11625.2</v>
      </c>
      <c r="C1785" s="39">
        <f>(Table26[[#This Row],[M2 Money Stock, Billions of Dollars, Weekly, Seasonally Adjusted]]-B1784)/B1784</f>
        <v/>
      </c>
      <c r="D1785" s="40">
        <f>((1+Table26[[#This Row],[Weekly change]])^52)-1</f>
        <v/>
      </c>
      <c r="E1785" s="85">
        <f>(Table26[[#This Row],[M2 Money Stock, Billions of Dollars, Weekly, Seasonally Adjusted]]-B1733)/B1733</f>
        <v/>
      </c>
    </row>
    <row r="1786">
      <c r="A1786" s="37" t="n">
        <v>41981</v>
      </c>
      <c r="B1786" s="84" t="n">
        <v>11642.7</v>
      </c>
      <c r="C1786" s="39">
        <f>(Table26[[#This Row],[M2 Money Stock, Billions of Dollars, Weekly, Seasonally Adjusted]]-B1785)/B1785</f>
        <v/>
      </c>
      <c r="D1786" s="40">
        <f>((1+Table26[[#This Row],[Weekly change]])^52)-1</f>
        <v/>
      </c>
      <c r="E1786" s="85">
        <f>(Table26[[#This Row],[M2 Money Stock, Billions of Dollars, Weekly, Seasonally Adjusted]]-B1734)/B1734</f>
        <v/>
      </c>
    </row>
    <row r="1787">
      <c r="A1787" s="37" t="n">
        <v>41988</v>
      </c>
      <c r="B1787" s="84" t="n">
        <v>11660.2</v>
      </c>
      <c r="C1787" s="39">
        <f>(Table26[[#This Row],[M2 Money Stock, Billions of Dollars, Weekly, Seasonally Adjusted]]-B1786)/B1786</f>
        <v/>
      </c>
      <c r="D1787" s="40">
        <f>((1+Table26[[#This Row],[Weekly change]])^52)-1</f>
        <v/>
      </c>
      <c r="E1787" s="85">
        <f>(Table26[[#This Row],[M2 Money Stock, Billions of Dollars, Weekly, Seasonally Adjusted]]-B1735)/B1735</f>
        <v/>
      </c>
    </row>
    <row r="1788">
      <c r="A1788" s="37" t="n">
        <v>41995</v>
      </c>
      <c r="B1788" s="84" t="n">
        <v>11679.7</v>
      </c>
      <c r="C1788" s="39">
        <f>(Table26[[#This Row],[M2 Money Stock, Billions of Dollars, Weekly, Seasonally Adjusted]]-B1787)/B1787</f>
        <v/>
      </c>
      <c r="D1788" s="40">
        <f>((1+Table26[[#This Row],[Weekly change]])^52)-1</f>
        <v/>
      </c>
      <c r="E1788" s="85">
        <f>(Table26[[#This Row],[M2 Money Stock, Billions of Dollars, Weekly, Seasonally Adjusted]]-B1736)/B1736</f>
        <v/>
      </c>
    </row>
    <row r="1789">
      <c r="A1789" s="37" t="n">
        <v>42002</v>
      </c>
      <c r="B1789" s="84" t="n">
        <v>11692.7</v>
      </c>
      <c r="C1789" s="39">
        <f>(Table26[[#This Row],[M2 Money Stock, Billions of Dollars, Weekly, Seasonally Adjusted]]-B1788)/B1788</f>
        <v/>
      </c>
      <c r="D1789" s="40">
        <f>((1+Table26[[#This Row],[Weekly change]])^52)-1</f>
        <v/>
      </c>
      <c r="E1789" s="85">
        <f>(Table26[[#This Row],[M2 Money Stock, Billions of Dollars, Weekly, Seasonally Adjusted]]-B1737)/B1737</f>
        <v/>
      </c>
    </row>
    <row r="1790">
      <c r="A1790" s="37" t="n">
        <v>42009</v>
      </c>
      <c r="B1790" s="84" t="n">
        <v>11677.5</v>
      </c>
      <c r="C1790" s="39">
        <f>(Table26[[#This Row],[M2 Money Stock, Billions of Dollars, Weekly, Seasonally Adjusted]]-B1789)/B1789</f>
        <v/>
      </c>
      <c r="D1790" s="40">
        <f>((1+Table26[[#This Row],[Weekly change]])^52)-1</f>
        <v/>
      </c>
      <c r="E1790" s="85">
        <f>(Table26[[#This Row],[M2 Money Stock, Billions of Dollars, Weekly, Seasonally Adjusted]]-B1738)/B1738</f>
        <v/>
      </c>
    </row>
    <row r="1791">
      <c r="A1791" s="37" t="n">
        <v>42016</v>
      </c>
      <c r="B1791" s="84" t="n">
        <v>11703.9</v>
      </c>
      <c r="C1791" s="39">
        <f>(Table26[[#This Row],[M2 Money Stock, Billions of Dollars, Weekly, Seasonally Adjusted]]-B1790)/B1790</f>
        <v/>
      </c>
      <c r="D1791" s="40">
        <f>((1+Table26[[#This Row],[Weekly change]])^52)-1</f>
        <v/>
      </c>
      <c r="E1791" s="85">
        <f>(Table26[[#This Row],[M2 Money Stock, Billions of Dollars, Weekly, Seasonally Adjusted]]-B1739)/B1739</f>
        <v/>
      </c>
    </row>
    <row r="1792">
      <c r="A1792" s="37" t="n">
        <v>42023</v>
      </c>
      <c r="B1792" s="84" t="n">
        <v>11714.3</v>
      </c>
      <c r="C1792" s="39">
        <f>(Table26[[#This Row],[M2 Money Stock, Billions of Dollars, Weekly, Seasonally Adjusted]]-B1791)/B1791</f>
        <v/>
      </c>
      <c r="D1792" s="40">
        <f>((1+Table26[[#This Row],[Weekly change]])^52)-1</f>
        <v/>
      </c>
      <c r="E1792" s="85">
        <f>(Table26[[#This Row],[M2 Money Stock, Billions of Dollars, Weekly, Seasonally Adjusted]]-B1740)/B1740</f>
        <v/>
      </c>
    </row>
    <row r="1793">
      <c r="A1793" s="37" t="n">
        <v>42030</v>
      </c>
      <c r="B1793" s="84" t="n">
        <v>11756.7</v>
      </c>
      <c r="C1793" s="39">
        <f>(Table26[[#This Row],[M2 Money Stock, Billions of Dollars, Weekly, Seasonally Adjusted]]-B1792)/B1792</f>
        <v/>
      </c>
      <c r="D1793" s="40">
        <f>((1+Table26[[#This Row],[Weekly change]])^52)-1</f>
        <v/>
      </c>
      <c r="E1793" s="85">
        <f>(Table26[[#This Row],[M2 Money Stock, Billions of Dollars, Weekly, Seasonally Adjusted]]-B1741)/B1741</f>
        <v/>
      </c>
    </row>
    <row r="1794">
      <c r="A1794" s="37" t="n">
        <v>42037</v>
      </c>
      <c r="B1794" s="84" t="n">
        <v>11816.6</v>
      </c>
      <c r="C1794" s="39">
        <f>(Table26[[#This Row],[M2 Money Stock, Billions of Dollars, Weekly, Seasonally Adjusted]]-B1793)/B1793</f>
        <v/>
      </c>
      <c r="D1794" s="40">
        <f>((1+Table26[[#This Row],[Weekly change]])^52)-1</f>
        <v/>
      </c>
      <c r="E1794" s="85">
        <f>(Table26[[#This Row],[M2 Money Stock, Billions of Dollars, Weekly, Seasonally Adjusted]]-B1742)/B1742</f>
        <v/>
      </c>
    </row>
    <row r="1795">
      <c r="A1795" s="37" t="n">
        <v>42044</v>
      </c>
      <c r="B1795" s="84" t="n">
        <v>11824.9</v>
      </c>
      <c r="C1795" s="39">
        <f>(Table26[[#This Row],[M2 Money Stock, Billions of Dollars, Weekly, Seasonally Adjusted]]-B1794)/B1794</f>
        <v/>
      </c>
      <c r="D1795" s="40">
        <f>((1+Table26[[#This Row],[Weekly change]])^52)-1</f>
        <v/>
      </c>
      <c r="E1795" s="85">
        <f>(Table26[[#This Row],[M2 Money Stock, Billions of Dollars, Weekly, Seasonally Adjusted]]-B1743)/B1743</f>
        <v/>
      </c>
    </row>
    <row r="1796">
      <c r="A1796" s="37" t="n">
        <v>42051</v>
      </c>
      <c r="B1796" s="84" t="n">
        <v>11846</v>
      </c>
      <c r="C1796" s="39">
        <f>(Table26[[#This Row],[M2 Money Stock, Billions of Dollars, Weekly, Seasonally Adjusted]]-B1795)/B1795</f>
        <v/>
      </c>
      <c r="D1796" s="40">
        <f>((1+Table26[[#This Row],[Weekly change]])^52)-1</f>
        <v/>
      </c>
      <c r="E1796" s="85">
        <f>(Table26[[#This Row],[M2 Money Stock, Billions of Dollars, Weekly, Seasonally Adjusted]]-B1744)/B1744</f>
        <v/>
      </c>
    </row>
    <row r="1797">
      <c r="A1797" s="37" t="n">
        <v>42058</v>
      </c>
      <c r="B1797" s="84" t="n">
        <v>11875.5</v>
      </c>
      <c r="C1797" s="39">
        <f>(Table26[[#This Row],[M2 Money Stock, Billions of Dollars, Weekly, Seasonally Adjusted]]-B1796)/B1796</f>
        <v/>
      </c>
      <c r="D1797" s="40">
        <f>((1+Table26[[#This Row],[Weekly change]])^52)-1</f>
        <v/>
      </c>
      <c r="E1797" s="85">
        <f>(Table26[[#This Row],[M2 Money Stock, Billions of Dollars, Weekly, Seasonally Adjusted]]-B1745)/B1745</f>
        <v/>
      </c>
    </row>
    <row r="1798">
      <c r="A1798" s="37" t="n">
        <v>42065</v>
      </c>
      <c r="B1798" s="84" t="n">
        <v>11882.5</v>
      </c>
      <c r="C1798" s="39">
        <f>(Table26[[#This Row],[M2 Money Stock, Billions of Dollars, Weekly, Seasonally Adjusted]]-B1797)/B1797</f>
        <v/>
      </c>
      <c r="D1798" s="40">
        <f>((1+Table26[[#This Row],[Weekly change]])^52)-1</f>
        <v/>
      </c>
      <c r="E1798" s="85">
        <f>(Table26[[#This Row],[M2 Money Stock, Billions of Dollars, Weekly, Seasonally Adjusted]]-B1746)/B1746</f>
        <v/>
      </c>
    </row>
    <row r="1799">
      <c r="A1799" s="37" t="n">
        <v>42072</v>
      </c>
      <c r="B1799" s="84" t="n">
        <v>11855.2</v>
      </c>
      <c r="C1799" s="39">
        <f>(Table26[[#This Row],[M2 Money Stock, Billions of Dollars, Weekly, Seasonally Adjusted]]-B1798)/B1798</f>
        <v/>
      </c>
      <c r="D1799" s="40">
        <f>((1+Table26[[#This Row],[Weekly change]])^52)-1</f>
        <v/>
      </c>
      <c r="E1799" s="85">
        <f>(Table26[[#This Row],[M2 Money Stock, Billions of Dollars, Weekly, Seasonally Adjusted]]-B1747)/B1747</f>
        <v/>
      </c>
    </row>
    <row r="1800">
      <c r="A1800" s="37" t="n">
        <v>42079</v>
      </c>
      <c r="B1800" s="84" t="n">
        <v>11864.2</v>
      </c>
      <c r="C1800" s="39">
        <f>(Table26[[#This Row],[M2 Money Stock, Billions of Dollars, Weekly, Seasonally Adjusted]]-B1799)/B1799</f>
        <v/>
      </c>
      <c r="D1800" s="40">
        <f>((1+Table26[[#This Row],[Weekly change]])^52)-1</f>
        <v/>
      </c>
      <c r="E1800" s="85">
        <f>(Table26[[#This Row],[M2 Money Stock, Billions of Dollars, Weekly, Seasonally Adjusted]]-B1748)/B1748</f>
        <v/>
      </c>
    </row>
    <row r="1801">
      <c r="A1801" s="37" t="n">
        <v>42086</v>
      </c>
      <c r="B1801" s="84" t="n">
        <v>11868.2</v>
      </c>
      <c r="C1801" s="39">
        <f>(Table26[[#This Row],[M2 Money Stock, Billions of Dollars, Weekly, Seasonally Adjusted]]-B1800)/B1800</f>
        <v/>
      </c>
      <c r="D1801" s="40">
        <f>((1+Table26[[#This Row],[Weekly change]])^52)-1</f>
        <v/>
      </c>
      <c r="E1801" s="85">
        <f>(Table26[[#This Row],[M2 Money Stock, Billions of Dollars, Weekly, Seasonally Adjusted]]-B1749)/B1749</f>
        <v/>
      </c>
    </row>
    <row r="1802">
      <c r="A1802" s="37" t="n">
        <v>42093</v>
      </c>
      <c r="B1802" s="84" t="n">
        <v>11880.3</v>
      </c>
      <c r="C1802" s="39">
        <f>(Table26[[#This Row],[M2 Money Stock, Billions of Dollars, Weekly, Seasonally Adjusted]]-B1801)/B1801</f>
        <v/>
      </c>
      <c r="D1802" s="40">
        <f>((1+Table26[[#This Row],[Weekly change]])^52)-1</f>
        <v/>
      </c>
      <c r="E1802" s="85">
        <f>(Table26[[#This Row],[M2 Money Stock, Billions of Dollars, Weekly, Seasonally Adjusted]]-B1750)/B1750</f>
        <v/>
      </c>
    </row>
    <row r="1803">
      <c r="A1803" s="37" t="n">
        <v>42100</v>
      </c>
      <c r="B1803" s="84" t="n">
        <v>11909.3</v>
      </c>
      <c r="C1803" s="39">
        <f>(Table26[[#This Row],[M2 Money Stock, Billions of Dollars, Weekly, Seasonally Adjusted]]-B1802)/B1802</f>
        <v/>
      </c>
      <c r="D1803" s="40">
        <f>((1+Table26[[#This Row],[Weekly change]])^52)-1</f>
        <v/>
      </c>
      <c r="E1803" s="85">
        <f>(Table26[[#This Row],[M2 Money Stock, Billions of Dollars, Weekly, Seasonally Adjusted]]-B1751)/B1751</f>
        <v/>
      </c>
    </row>
    <row r="1804">
      <c r="A1804" s="37" t="n">
        <v>42107</v>
      </c>
      <c r="B1804" s="84" t="n">
        <v>11918.8</v>
      </c>
      <c r="C1804" s="39">
        <f>(Table26[[#This Row],[M2 Money Stock, Billions of Dollars, Weekly, Seasonally Adjusted]]-B1803)/B1803</f>
        <v/>
      </c>
      <c r="D1804" s="40">
        <f>((1+Table26[[#This Row],[Weekly change]])^52)-1</f>
        <v/>
      </c>
      <c r="E1804" s="85">
        <f>(Table26[[#This Row],[M2 Money Stock, Billions of Dollars, Weekly, Seasonally Adjusted]]-B1752)/B1752</f>
        <v/>
      </c>
    </row>
    <row r="1805">
      <c r="A1805" s="37" t="n">
        <v>42114</v>
      </c>
      <c r="B1805" s="84" t="n">
        <v>11924.5</v>
      </c>
      <c r="C1805" s="39">
        <f>(Table26[[#This Row],[M2 Money Stock, Billions of Dollars, Weekly, Seasonally Adjusted]]-B1804)/B1804</f>
        <v/>
      </c>
      <c r="D1805" s="40">
        <f>((1+Table26[[#This Row],[Weekly change]])^52)-1</f>
        <v/>
      </c>
      <c r="E1805" s="85">
        <f>(Table26[[#This Row],[M2 Money Stock, Billions of Dollars, Weekly, Seasonally Adjusted]]-B1753)/B1753</f>
        <v/>
      </c>
    </row>
    <row r="1806">
      <c r="A1806" s="37" t="n">
        <v>42121</v>
      </c>
      <c r="B1806" s="84" t="n">
        <v>11913</v>
      </c>
      <c r="C1806" s="39">
        <f>(Table26[[#This Row],[M2 Money Stock, Billions of Dollars, Weekly, Seasonally Adjusted]]-B1805)/B1805</f>
        <v/>
      </c>
      <c r="D1806" s="40">
        <f>((1+Table26[[#This Row],[Weekly change]])^52)-1</f>
        <v/>
      </c>
      <c r="E1806" s="85">
        <f>(Table26[[#This Row],[M2 Money Stock, Billions of Dollars, Weekly, Seasonally Adjusted]]-B1754)/B1754</f>
        <v/>
      </c>
    </row>
    <row r="1807">
      <c r="A1807" s="37" t="n">
        <v>42128</v>
      </c>
      <c r="B1807" s="84" t="n">
        <v>11916.2</v>
      </c>
      <c r="C1807" s="39">
        <f>(Table26[[#This Row],[M2 Money Stock, Billions of Dollars, Weekly, Seasonally Adjusted]]-B1806)/B1806</f>
        <v/>
      </c>
      <c r="D1807" s="40">
        <f>((1+Table26[[#This Row],[Weekly change]])^52)-1</f>
        <v/>
      </c>
      <c r="E1807" s="85">
        <f>(Table26[[#This Row],[M2 Money Stock, Billions of Dollars, Weekly, Seasonally Adjusted]]-B1755)/B1755</f>
        <v/>
      </c>
    </row>
    <row r="1808">
      <c r="A1808" s="37" t="n">
        <v>42135</v>
      </c>
      <c r="B1808" s="84" t="n">
        <v>11930.2</v>
      </c>
      <c r="C1808" s="39">
        <f>(Table26[[#This Row],[M2 Money Stock, Billions of Dollars, Weekly, Seasonally Adjusted]]-B1807)/B1807</f>
        <v/>
      </c>
      <c r="D1808" s="40">
        <f>((1+Table26[[#This Row],[Weekly change]])^52)-1</f>
        <v/>
      </c>
      <c r="E1808" s="85">
        <f>(Table26[[#This Row],[M2 Money Stock, Billions of Dollars, Weekly, Seasonally Adjusted]]-B1756)/B1756</f>
        <v/>
      </c>
    </row>
    <row r="1809">
      <c r="A1809" s="37" t="n">
        <v>42142</v>
      </c>
      <c r="B1809" s="84" t="n">
        <v>11942.2</v>
      </c>
      <c r="C1809" s="39">
        <f>(Table26[[#This Row],[M2 Money Stock, Billions of Dollars, Weekly, Seasonally Adjusted]]-B1808)/B1808</f>
        <v/>
      </c>
      <c r="D1809" s="40">
        <f>((1+Table26[[#This Row],[Weekly change]])^52)-1</f>
        <v/>
      </c>
      <c r="E1809" s="85">
        <f>(Table26[[#This Row],[M2 Money Stock, Billions of Dollars, Weekly, Seasonally Adjusted]]-B1757)/B1757</f>
        <v/>
      </c>
    </row>
    <row r="1810">
      <c r="A1810" s="37" t="n">
        <v>42149</v>
      </c>
      <c r="B1810" s="84" t="n">
        <v>11967.6</v>
      </c>
      <c r="C1810" s="39">
        <f>(Table26[[#This Row],[M2 Money Stock, Billions of Dollars, Weekly, Seasonally Adjusted]]-B1809)/B1809</f>
        <v/>
      </c>
      <c r="D1810" s="40">
        <f>((1+Table26[[#This Row],[Weekly change]])^52)-1</f>
        <v/>
      </c>
      <c r="E1810" s="85">
        <f>(Table26[[#This Row],[M2 Money Stock, Billions of Dollars, Weekly, Seasonally Adjusted]]-B1758)/B1758</f>
        <v/>
      </c>
    </row>
    <row r="1811">
      <c r="A1811" s="37" t="n">
        <v>42156</v>
      </c>
      <c r="B1811" s="84" t="n">
        <v>11980.7</v>
      </c>
      <c r="C1811" s="39">
        <f>(Table26[[#This Row],[M2 Money Stock, Billions of Dollars, Weekly, Seasonally Adjusted]]-B1810)/B1810</f>
        <v/>
      </c>
      <c r="D1811" s="40">
        <f>((1+Table26[[#This Row],[Weekly change]])^52)-1</f>
        <v/>
      </c>
      <c r="E1811" s="85">
        <f>(Table26[[#This Row],[M2 Money Stock, Billions of Dollars, Weekly, Seasonally Adjusted]]-B1759)/B1759</f>
        <v/>
      </c>
    </row>
    <row r="1812">
      <c r="A1812" s="37" t="n">
        <v>42163</v>
      </c>
      <c r="B1812" s="84" t="n">
        <v>11960.4</v>
      </c>
      <c r="C1812" s="39">
        <f>(Table26[[#This Row],[M2 Money Stock, Billions of Dollars, Weekly, Seasonally Adjusted]]-B1811)/B1811</f>
        <v/>
      </c>
      <c r="D1812" s="40">
        <f>((1+Table26[[#This Row],[Weekly change]])^52)-1</f>
        <v/>
      </c>
      <c r="E1812" s="85">
        <f>(Table26[[#This Row],[M2 Money Stock, Billions of Dollars, Weekly, Seasonally Adjusted]]-B1760)/B1760</f>
        <v/>
      </c>
    </row>
    <row r="1813">
      <c r="A1813" s="37" t="n">
        <v>42170</v>
      </c>
      <c r="B1813" s="84" t="n">
        <v>11971.8</v>
      </c>
      <c r="C1813" s="39">
        <f>(Table26[[#This Row],[M2 Money Stock, Billions of Dollars, Weekly, Seasonally Adjusted]]-B1812)/B1812</f>
        <v/>
      </c>
      <c r="D1813" s="40">
        <f>((1+Table26[[#This Row],[Weekly change]])^52)-1</f>
        <v/>
      </c>
      <c r="E1813" s="85">
        <f>(Table26[[#This Row],[M2 Money Stock, Billions of Dollars, Weekly, Seasonally Adjusted]]-B1761)/B1761</f>
        <v/>
      </c>
    </row>
    <row r="1814">
      <c r="A1814" s="37" t="n">
        <v>42177</v>
      </c>
      <c r="B1814" s="84" t="n">
        <v>12011.3</v>
      </c>
      <c r="C1814" s="39">
        <f>(Table26[[#This Row],[M2 Money Stock, Billions of Dollars, Weekly, Seasonally Adjusted]]-B1813)/B1813</f>
        <v/>
      </c>
      <c r="D1814" s="40">
        <f>((1+Table26[[#This Row],[Weekly change]])^52)-1</f>
        <v/>
      </c>
      <c r="E1814" s="85">
        <f>(Table26[[#This Row],[M2 Money Stock, Billions of Dollars, Weekly, Seasonally Adjusted]]-B1762)/B1762</f>
        <v/>
      </c>
    </row>
    <row r="1815">
      <c r="A1815" s="37" t="n">
        <v>42184</v>
      </c>
      <c r="B1815" s="84" t="n">
        <v>12029.2</v>
      </c>
      <c r="C1815" s="39">
        <f>(Table26[[#This Row],[M2 Money Stock, Billions of Dollars, Weekly, Seasonally Adjusted]]-B1814)/B1814</f>
        <v/>
      </c>
      <c r="D1815" s="40">
        <f>((1+Table26[[#This Row],[Weekly change]])^52)-1</f>
        <v/>
      </c>
      <c r="E1815" s="85">
        <f>(Table26[[#This Row],[M2 Money Stock, Billions of Dollars, Weekly, Seasonally Adjusted]]-B1763)/B1763</f>
        <v/>
      </c>
    </row>
    <row r="1816">
      <c r="A1816" s="37" t="n">
        <v>42191</v>
      </c>
      <c r="B1816" s="84" t="n">
        <v>12048</v>
      </c>
      <c r="C1816" s="39">
        <f>(Table26[[#This Row],[M2 Money Stock, Billions of Dollars, Weekly, Seasonally Adjusted]]-B1815)/B1815</f>
        <v/>
      </c>
      <c r="D1816" s="40">
        <f>((1+Table26[[#This Row],[Weekly change]])^52)-1</f>
        <v/>
      </c>
      <c r="E1816" s="85">
        <f>(Table26[[#This Row],[M2 Money Stock, Billions of Dollars, Weekly, Seasonally Adjusted]]-B1764)/B1764</f>
        <v/>
      </c>
    </row>
    <row r="1817">
      <c r="A1817" s="37" t="n">
        <v>42198</v>
      </c>
      <c r="B1817" s="84" t="n">
        <v>12039.1</v>
      </c>
      <c r="C1817" s="39">
        <f>(Table26[[#This Row],[M2 Money Stock, Billions of Dollars, Weekly, Seasonally Adjusted]]-B1816)/B1816</f>
        <v/>
      </c>
      <c r="D1817" s="40">
        <f>((1+Table26[[#This Row],[Weekly change]])^52)-1</f>
        <v/>
      </c>
      <c r="E1817" s="85">
        <f>(Table26[[#This Row],[M2 Money Stock, Billions of Dollars, Weekly, Seasonally Adjusted]]-B1765)/B1765</f>
        <v/>
      </c>
    </row>
    <row r="1818">
      <c r="A1818" s="37" t="n">
        <v>42205</v>
      </c>
      <c r="B1818" s="84" t="n">
        <v>12041.7</v>
      </c>
      <c r="C1818" s="39">
        <f>(Table26[[#This Row],[M2 Money Stock, Billions of Dollars, Weekly, Seasonally Adjusted]]-B1817)/B1817</f>
        <v/>
      </c>
      <c r="D1818" s="40">
        <f>((1+Table26[[#This Row],[Weekly change]])^52)-1</f>
        <v/>
      </c>
      <c r="E1818" s="85">
        <f>(Table26[[#This Row],[M2 Money Stock, Billions of Dollars, Weekly, Seasonally Adjusted]]-B1766)/B1766</f>
        <v/>
      </c>
    </row>
    <row r="1819">
      <c r="A1819" s="37" t="n">
        <v>42212</v>
      </c>
      <c r="B1819" s="84" t="n">
        <v>12057.8</v>
      </c>
      <c r="C1819" s="39">
        <f>(Table26[[#This Row],[M2 Money Stock, Billions of Dollars, Weekly, Seasonally Adjusted]]-B1818)/B1818</f>
        <v/>
      </c>
      <c r="D1819" s="40">
        <f>((1+Table26[[#This Row],[Weekly change]])^52)-1</f>
        <v/>
      </c>
      <c r="E1819" s="85">
        <f>(Table26[[#This Row],[M2 Money Stock, Billions of Dollars, Weekly, Seasonally Adjusted]]-B1767)/B1767</f>
        <v/>
      </c>
    </row>
    <row r="1820">
      <c r="A1820" s="37" t="n">
        <v>42219</v>
      </c>
      <c r="B1820" s="84" t="n">
        <v>12046.6</v>
      </c>
      <c r="C1820" s="39">
        <f>(Table26[[#This Row],[M2 Money Stock, Billions of Dollars, Weekly, Seasonally Adjusted]]-B1819)/B1819</f>
        <v/>
      </c>
      <c r="D1820" s="40">
        <f>((1+Table26[[#This Row],[Weekly change]])^52)-1</f>
        <v/>
      </c>
      <c r="E1820" s="85">
        <f>(Table26[[#This Row],[M2 Money Stock, Billions of Dollars, Weekly, Seasonally Adjusted]]-B1768)/B1768</f>
        <v/>
      </c>
    </row>
    <row r="1821">
      <c r="A1821" s="37" t="n">
        <v>42226</v>
      </c>
      <c r="B1821" s="84" t="n">
        <v>12067.2</v>
      </c>
      <c r="C1821" s="39">
        <f>(Table26[[#This Row],[M2 Money Stock, Billions of Dollars, Weekly, Seasonally Adjusted]]-B1820)/B1820</f>
        <v/>
      </c>
      <c r="D1821" s="40">
        <f>((1+Table26[[#This Row],[Weekly change]])^52)-1</f>
        <v/>
      </c>
      <c r="E1821" s="85">
        <f>(Table26[[#This Row],[M2 Money Stock, Billions of Dollars, Weekly, Seasonally Adjusted]]-B1769)/B1769</f>
        <v/>
      </c>
    </row>
    <row r="1822">
      <c r="A1822" s="37" t="n">
        <v>42233</v>
      </c>
      <c r="B1822" s="84" t="n">
        <v>12099.5</v>
      </c>
      <c r="C1822" s="39">
        <f>(Table26[[#This Row],[M2 Money Stock, Billions of Dollars, Weekly, Seasonally Adjusted]]-B1821)/B1821</f>
        <v/>
      </c>
      <c r="D1822" s="40">
        <f>((1+Table26[[#This Row],[Weekly change]])^52)-1</f>
        <v/>
      </c>
      <c r="E1822" s="85">
        <f>(Table26[[#This Row],[M2 Money Stock, Billions of Dollars, Weekly, Seasonally Adjusted]]-B1770)/B1770</f>
        <v/>
      </c>
    </row>
    <row r="1823">
      <c r="A1823" s="37" t="n">
        <v>42240</v>
      </c>
      <c r="B1823" s="84" t="n">
        <v>12117.6</v>
      </c>
      <c r="C1823" s="39">
        <f>(Table26[[#This Row],[M2 Money Stock, Billions of Dollars, Weekly, Seasonally Adjusted]]-B1822)/B1822</f>
        <v/>
      </c>
      <c r="D1823" s="40">
        <f>((1+Table26[[#This Row],[Weekly change]])^52)-1</f>
        <v/>
      </c>
      <c r="E1823" s="85">
        <f>(Table26[[#This Row],[M2 Money Stock, Billions of Dollars, Weekly, Seasonally Adjusted]]-B1771)/B1771</f>
        <v/>
      </c>
    </row>
    <row r="1824">
      <c r="A1824" s="37" t="n">
        <v>42247</v>
      </c>
      <c r="B1824" s="84" t="n">
        <v>12128</v>
      </c>
      <c r="C1824" s="39">
        <f>(Table26[[#This Row],[M2 Money Stock, Billions of Dollars, Weekly, Seasonally Adjusted]]-B1823)/B1823</f>
        <v/>
      </c>
      <c r="D1824" s="40">
        <f>((1+Table26[[#This Row],[Weekly change]])^52)-1</f>
        <v/>
      </c>
      <c r="E1824" s="85">
        <f>(Table26[[#This Row],[M2 Money Stock, Billions of Dollars, Weekly, Seasonally Adjusted]]-B1772)/B1772</f>
        <v/>
      </c>
    </row>
    <row r="1825">
      <c r="A1825" s="37" t="n">
        <v>42254</v>
      </c>
      <c r="B1825" s="84" t="n">
        <v>12128.4</v>
      </c>
      <c r="C1825" s="39">
        <f>(Table26[[#This Row],[M2 Money Stock, Billions of Dollars, Weekly, Seasonally Adjusted]]-B1824)/B1824</f>
        <v/>
      </c>
      <c r="D1825" s="40">
        <f>((1+Table26[[#This Row],[Weekly change]])^52)-1</f>
        <v/>
      </c>
      <c r="E1825" s="85">
        <f>(Table26[[#This Row],[M2 Money Stock, Billions of Dollars, Weekly, Seasonally Adjusted]]-B1773)/B1773</f>
        <v/>
      </c>
    </row>
    <row r="1826">
      <c r="A1826" s="37" t="n">
        <v>42261</v>
      </c>
      <c r="B1826" s="84" t="n">
        <v>12151.6</v>
      </c>
      <c r="C1826" s="39">
        <f>(Table26[[#This Row],[M2 Money Stock, Billions of Dollars, Weekly, Seasonally Adjusted]]-B1825)/B1825</f>
        <v/>
      </c>
      <c r="D1826" s="40">
        <f>((1+Table26[[#This Row],[Weekly change]])^52)-1</f>
        <v/>
      </c>
      <c r="E1826" s="85">
        <f>(Table26[[#This Row],[M2 Money Stock, Billions of Dollars, Weekly, Seasonally Adjusted]]-B1774)/B1774</f>
        <v/>
      </c>
    </row>
    <row r="1827">
      <c r="A1827" s="37" t="n">
        <v>42268</v>
      </c>
      <c r="B1827" s="84" t="n">
        <v>12174.5</v>
      </c>
      <c r="C1827" s="39">
        <f>(Table26[[#This Row],[M2 Money Stock, Billions of Dollars, Weekly, Seasonally Adjusted]]-B1826)/B1826</f>
        <v/>
      </c>
      <c r="D1827" s="40">
        <f>((1+Table26[[#This Row],[Weekly change]])^52)-1</f>
        <v/>
      </c>
      <c r="E1827" s="85">
        <f>(Table26[[#This Row],[M2 Money Stock, Billions of Dollars, Weekly, Seasonally Adjusted]]-B1775)/B1775</f>
        <v/>
      </c>
    </row>
    <row r="1828">
      <c r="A1828" s="37" t="n">
        <v>42275</v>
      </c>
      <c r="B1828" s="84" t="n">
        <v>12158.5</v>
      </c>
      <c r="C1828" s="39">
        <f>(Table26[[#This Row],[M2 Money Stock, Billions of Dollars, Weekly, Seasonally Adjusted]]-B1827)/B1827</f>
        <v/>
      </c>
      <c r="D1828" s="40">
        <f>((1+Table26[[#This Row],[Weekly change]])^52)-1</f>
        <v/>
      </c>
      <c r="E1828" s="85">
        <f>(Table26[[#This Row],[M2 Money Stock, Billions of Dollars, Weekly, Seasonally Adjusted]]-B1776)/B1776</f>
        <v/>
      </c>
    </row>
    <row r="1829">
      <c r="A1829" s="37" t="n">
        <v>42282</v>
      </c>
      <c r="B1829" s="84" t="n">
        <v>12151.2</v>
      </c>
      <c r="C1829" s="39">
        <f>(Table26[[#This Row],[M2 Money Stock, Billions of Dollars, Weekly, Seasonally Adjusted]]-B1828)/B1828</f>
        <v/>
      </c>
      <c r="D1829" s="40">
        <f>((1+Table26[[#This Row],[Weekly change]])^52)-1</f>
        <v/>
      </c>
      <c r="E1829" s="85">
        <f>(Table26[[#This Row],[M2 Money Stock, Billions of Dollars, Weekly, Seasonally Adjusted]]-B1777)/B1777</f>
        <v/>
      </c>
    </row>
    <row r="1830">
      <c r="A1830" s="37" t="n">
        <v>42289</v>
      </c>
      <c r="B1830" s="84" t="n">
        <v>12151.9</v>
      </c>
      <c r="C1830" s="39">
        <f>(Table26[[#This Row],[M2 Money Stock, Billions of Dollars, Weekly, Seasonally Adjusted]]-B1829)/B1829</f>
        <v/>
      </c>
      <c r="D1830" s="40">
        <f>((1+Table26[[#This Row],[Weekly change]])^52)-1</f>
        <v/>
      </c>
      <c r="E1830" s="85">
        <f>(Table26[[#This Row],[M2 Money Stock, Billions of Dollars, Weekly, Seasonally Adjusted]]-B1778)/B1778</f>
        <v/>
      </c>
    </row>
    <row r="1831">
      <c r="A1831" s="37" t="n">
        <v>42296</v>
      </c>
      <c r="B1831" s="84" t="n">
        <v>12157.9</v>
      </c>
      <c r="C1831" s="39">
        <f>(Table26[[#This Row],[M2 Money Stock, Billions of Dollars, Weekly, Seasonally Adjusted]]-B1830)/B1830</f>
        <v/>
      </c>
      <c r="D1831" s="40">
        <f>((1+Table26[[#This Row],[Weekly change]])^52)-1</f>
        <v/>
      </c>
      <c r="E1831" s="85">
        <f>(Table26[[#This Row],[M2 Money Stock, Billions of Dollars, Weekly, Seasonally Adjusted]]-B1779)/B1779</f>
        <v/>
      </c>
    </row>
    <row r="1832">
      <c r="A1832" s="37" t="n">
        <v>42303</v>
      </c>
      <c r="B1832" s="84" t="n">
        <v>12217.4</v>
      </c>
      <c r="C1832" s="39">
        <f>(Table26[[#This Row],[M2 Money Stock, Billions of Dollars, Weekly, Seasonally Adjusted]]-B1831)/B1831</f>
        <v/>
      </c>
      <c r="D1832" s="40">
        <f>((1+Table26[[#This Row],[Weekly change]])^52)-1</f>
        <v/>
      </c>
      <c r="E1832" s="85">
        <f>(Table26[[#This Row],[M2 Money Stock, Billions of Dollars, Weekly, Seasonally Adjusted]]-B1780)/B1780</f>
        <v/>
      </c>
    </row>
    <row r="1833">
      <c r="A1833" s="37" t="n">
        <v>42310</v>
      </c>
      <c r="B1833" s="84" t="n">
        <v>12257.7</v>
      </c>
      <c r="C1833" s="39">
        <f>(Table26[[#This Row],[M2 Money Stock, Billions of Dollars, Weekly, Seasonally Adjusted]]-B1832)/B1832</f>
        <v/>
      </c>
      <c r="D1833" s="40">
        <f>((1+Table26[[#This Row],[Weekly change]])^52)-1</f>
        <v/>
      </c>
      <c r="E1833" s="85">
        <f>(Table26[[#This Row],[M2 Money Stock, Billions of Dollars, Weekly, Seasonally Adjusted]]-B1781)/B1781</f>
        <v/>
      </c>
    </row>
    <row r="1834">
      <c r="A1834" s="37" t="n">
        <v>42317</v>
      </c>
      <c r="B1834" s="84" t="n">
        <v>12262.1</v>
      </c>
      <c r="C1834" s="39">
        <f>(Table26[[#This Row],[M2 Money Stock, Billions of Dollars, Weekly, Seasonally Adjusted]]-B1833)/B1833</f>
        <v/>
      </c>
      <c r="D1834" s="40">
        <f>((1+Table26[[#This Row],[Weekly change]])^52)-1</f>
        <v/>
      </c>
      <c r="E1834" s="85">
        <f>(Table26[[#This Row],[M2 Money Stock, Billions of Dollars, Weekly, Seasonally Adjusted]]-B1782)/B1782</f>
        <v/>
      </c>
    </row>
    <row r="1835">
      <c r="A1835" s="37" t="n">
        <v>42324</v>
      </c>
      <c r="B1835" s="84" t="n">
        <v>12273.6</v>
      </c>
      <c r="C1835" s="39">
        <f>(Table26[[#This Row],[M2 Money Stock, Billions of Dollars, Weekly, Seasonally Adjusted]]-B1834)/B1834</f>
        <v/>
      </c>
      <c r="D1835" s="40">
        <f>((1+Table26[[#This Row],[Weekly change]])^52)-1</f>
        <v/>
      </c>
      <c r="E1835" s="85">
        <f>(Table26[[#This Row],[M2 Money Stock, Billions of Dollars, Weekly, Seasonally Adjusted]]-B1783)/B1783</f>
        <v/>
      </c>
    </row>
    <row r="1836">
      <c r="A1836" s="37" t="n">
        <v>42331</v>
      </c>
      <c r="B1836" s="84" t="n">
        <v>12284.7</v>
      </c>
      <c r="C1836" s="39">
        <f>(Table26[[#This Row],[M2 Money Stock, Billions of Dollars, Weekly, Seasonally Adjusted]]-B1835)/B1835</f>
        <v/>
      </c>
      <c r="D1836" s="40">
        <f>((1+Table26[[#This Row],[Weekly change]])^52)-1</f>
        <v/>
      </c>
      <c r="E1836" s="85">
        <f>(Table26[[#This Row],[M2 Money Stock, Billions of Dollars, Weekly, Seasonally Adjusted]]-B1784)/B1784</f>
        <v/>
      </c>
    </row>
    <row r="1837">
      <c r="A1837" s="37" t="n">
        <v>42338</v>
      </c>
      <c r="B1837" s="84" t="n">
        <v>12280.8</v>
      </c>
      <c r="C1837" s="39">
        <f>(Table26[[#This Row],[M2 Money Stock, Billions of Dollars, Weekly, Seasonally Adjusted]]-B1836)/B1836</f>
        <v/>
      </c>
      <c r="D1837" s="40">
        <f>((1+Table26[[#This Row],[Weekly change]])^52)-1</f>
        <v/>
      </c>
      <c r="E1837" s="85">
        <f>(Table26[[#This Row],[M2 Money Stock, Billions of Dollars, Weekly, Seasonally Adjusted]]-B1785)/B1785</f>
        <v/>
      </c>
    </row>
    <row r="1838">
      <c r="A1838" s="37" t="n">
        <v>42345</v>
      </c>
      <c r="B1838" s="84" t="n">
        <v>12292.8</v>
      </c>
      <c r="C1838" s="39">
        <f>(Table26[[#This Row],[M2 Money Stock, Billions of Dollars, Weekly, Seasonally Adjusted]]-B1837)/B1837</f>
        <v/>
      </c>
      <c r="D1838" s="40">
        <f>((1+Table26[[#This Row],[Weekly change]])^52)-1</f>
        <v/>
      </c>
      <c r="E1838" s="85">
        <f>(Table26[[#This Row],[M2 Money Stock, Billions of Dollars, Weekly, Seasonally Adjusted]]-B1786)/B1786</f>
        <v/>
      </c>
    </row>
    <row r="1839">
      <c r="A1839" s="37" t="n">
        <v>42352</v>
      </c>
      <c r="B1839" s="84" t="n">
        <v>12307.6</v>
      </c>
      <c r="C1839" s="39">
        <f>(Table26[[#This Row],[M2 Money Stock, Billions of Dollars, Weekly, Seasonally Adjusted]]-B1838)/B1838</f>
        <v/>
      </c>
      <c r="D1839" s="40">
        <f>((1+Table26[[#This Row],[Weekly change]])^52)-1</f>
        <v/>
      </c>
      <c r="E1839" s="85">
        <f>(Table26[[#This Row],[M2 Money Stock, Billions of Dollars, Weekly, Seasonally Adjusted]]-B1787)/B1787</f>
        <v/>
      </c>
    </row>
    <row r="1840">
      <c r="A1840" s="37" t="n">
        <v>42359</v>
      </c>
      <c r="B1840" s="84" t="n">
        <v>12357.8</v>
      </c>
      <c r="C1840" s="39">
        <f>(Table26[[#This Row],[M2 Money Stock, Billions of Dollars, Weekly, Seasonally Adjusted]]-B1839)/B1839</f>
        <v/>
      </c>
      <c r="D1840" s="40">
        <f>((1+Table26[[#This Row],[Weekly change]])^52)-1</f>
        <v/>
      </c>
      <c r="E1840" s="85">
        <f>(Table26[[#This Row],[M2 Money Stock, Billions of Dollars, Weekly, Seasonally Adjusted]]-B1788)/B1788</f>
        <v/>
      </c>
    </row>
    <row r="1841">
      <c r="A1841" s="37" t="n">
        <v>42366</v>
      </c>
      <c r="B1841" s="84" t="n">
        <v>12356.1</v>
      </c>
      <c r="C1841" s="39">
        <f>(Table26[[#This Row],[M2 Money Stock, Billions of Dollars, Weekly, Seasonally Adjusted]]-B1840)/B1840</f>
        <v/>
      </c>
      <c r="D1841" s="40">
        <f>((1+Table26[[#This Row],[Weekly change]])^52)-1</f>
        <v/>
      </c>
      <c r="E1841" s="85">
        <f>(Table26[[#This Row],[M2 Money Stock, Billions of Dollars, Weekly, Seasonally Adjusted]]-B1789)/B1789</f>
        <v/>
      </c>
    </row>
    <row r="1842">
      <c r="A1842" s="37" t="n">
        <v>42373</v>
      </c>
      <c r="B1842" s="84" t="n">
        <v>12342.8</v>
      </c>
      <c r="C1842" s="39">
        <f>(Table26[[#This Row],[M2 Money Stock, Billions of Dollars, Weekly, Seasonally Adjusted]]-B1841)/B1841</f>
        <v/>
      </c>
      <c r="D1842" s="40">
        <f>((1+Table26[[#This Row],[Weekly change]])^52)-1</f>
        <v/>
      </c>
      <c r="E1842" s="85">
        <f>(Table26[[#This Row],[M2 Money Stock, Billions of Dollars, Weekly, Seasonally Adjusted]]-B1790)/B1790</f>
        <v/>
      </c>
    </row>
    <row r="1843">
      <c r="A1843" s="37" t="n">
        <v>42380</v>
      </c>
      <c r="B1843" s="84" t="n">
        <v>12442.2</v>
      </c>
      <c r="C1843" s="39">
        <f>(Table26[[#This Row],[M2 Money Stock, Billions of Dollars, Weekly, Seasonally Adjusted]]-B1842)/B1842</f>
        <v/>
      </c>
      <c r="D1843" s="40">
        <f>((1+Table26[[#This Row],[Weekly change]])^52)-1</f>
        <v/>
      </c>
      <c r="E1843" s="85">
        <f>(Table26[[#This Row],[M2 Money Stock, Billions of Dollars, Weekly, Seasonally Adjusted]]-B1791)/B1791</f>
        <v/>
      </c>
    </row>
    <row r="1844">
      <c r="A1844" s="37" t="n">
        <v>42387</v>
      </c>
      <c r="B1844" s="84" t="n">
        <v>12453.7</v>
      </c>
      <c r="C1844" s="39">
        <f>(Table26[[#This Row],[M2 Money Stock, Billions of Dollars, Weekly, Seasonally Adjusted]]-B1843)/B1843</f>
        <v/>
      </c>
      <c r="D1844" s="40">
        <f>((1+Table26[[#This Row],[Weekly change]])^52)-1</f>
        <v/>
      </c>
      <c r="E1844" s="85">
        <f>(Table26[[#This Row],[M2 Money Stock, Billions of Dollars, Weekly, Seasonally Adjusted]]-B1792)/B1792</f>
        <v/>
      </c>
    </row>
    <row r="1845">
      <c r="A1845" s="37" t="n">
        <v>42394</v>
      </c>
      <c r="B1845" s="84" t="n">
        <v>12492.1</v>
      </c>
      <c r="C1845" s="39">
        <f>(Table26[[#This Row],[M2 Money Stock, Billions of Dollars, Weekly, Seasonally Adjusted]]-B1844)/B1844</f>
        <v/>
      </c>
      <c r="D1845" s="40">
        <f>((1+Table26[[#This Row],[Weekly change]])^52)-1</f>
        <v/>
      </c>
      <c r="E1845" s="85">
        <f>(Table26[[#This Row],[M2 Money Stock, Billions of Dollars, Weekly, Seasonally Adjusted]]-B1793)/B1793</f>
        <v/>
      </c>
    </row>
    <row r="1846">
      <c r="A1846" s="37" t="n">
        <v>42401</v>
      </c>
      <c r="B1846" s="84" t="n">
        <v>12518</v>
      </c>
      <c r="C1846" s="39">
        <f>(Table26[[#This Row],[M2 Money Stock, Billions of Dollars, Weekly, Seasonally Adjusted]]-B1845)/B1845</f>
        <v/>
      </c>
      <c r="D1846" s="40">
        <f>((1+Table26[[#This Row],[Weekly change]])^52)-1</f>
        <v/>
      </c>
      <c r="E1846" s="85">
        <f>(Table26[[#This Row],[M2 Money Stock, Billions of Dollars, Weekly, Seasonally Adjusted]]-B1794)/B1794</f>
        <v/>
      </c>
    </row>
    <row r="1847">
      <c r="A1847" s="37" t="n">
        <v>42408</v>
      </c>
      <c r="B1847" s="84" t="n">
        <v>12490</v>
      </c>
      <c r="C1847" s="39">
        <f>(Table26[[#This Row],[M2 Money Stock, Billions of Dollars, Weekly, Seasonally Adjusted]]-B1846)/B1846</f>
        <v/>
      </c>
      <c r="D1847" s="40">
        <f>((1+Table26[[#This Row],[Weekly change]])^52)-1</f>
        <v/>
      </c>
      <c r="E1847" s="85">
        <f>(Table26[[#This Row],[M2 Money Stock, Billions of Dollars, Weekly, Seasonally Adjusted]]-B1795)/B1795</f>
        <v/>
      </c>
    </row>
    <row r="1848">
      <c r="A1848" s="37" t="n">
        <v>42415</v>
      </c>
      <c r="B1848" s="84" t="n">
        <v>12534</v>
      </c>
      <c r="C1848" s="39">
        <f>(Table26[[#This Row],[M2 Money Stock, Billions of Dollars, Weekly, Seasonally Adjusted]]-B1847)/B1847</f>
        <v/>
      </c>
      <c r="D1848" s="40">
        <f>((1+Table26[[#This Row],[Weekly change]])^52)-1</f>
        <v/>
      </c>
      <c r="E1848" s="85">
        <f>(Table26[[#This Row],[M2 Money Stock, Billions of Dollars, Weekly, Seasonally Adjusted]]-B1796)/B1796</f>
        <v/>
      </c>
    </row>
    <row r="1849">
      <c r="A1849" s="37" t="n">
        <v>42422</v>
      </c>
      <c r="B1849" s="84" t="n">
        <v>12559.2</v>
      </c>
      <c r="C1849" s="39">
        <f>(Table26[[#This Row],[M2 Money Stock, Billions of Dollars, Weekly, Seasonally Adjusted]]-B1848)/B1848</f>
        <v/>
      </c>
      <c r="D1849" s="40">
        <f>((1+Table26[[#This Row],[Weekly change]])^52)-1</f>
        <v/>
      </c>
      <c r="E1849" s="85">
        <f>(Table26[[#This Row],[M2 Money Stock, Billions of Dollars, Weekly, Seasonally Adjusted]]-B1797)/B1797</f>
        <v/>
      </c>
    </row>
    <row r="1850">
      <c r="A1850" s="37" t="n">
        <v>42429</v>
      </c>
      <c r="B1850" s="84" t="n">
        <v>12556.2</v>
      </c>
      <c r="C1850" s="39">
        <f>(Table26[[#This Row],[M2 Money Stock, Billions of Dollars, Weekly, Seasonally Adjusted]]-B1849)/B1849</f>
        <v/>
      </c>
      <c r="D1850" s="40">
        <f>((1+Table26[[#This Row],[Weekly change]])^52)-1</f>
        <v/>
      </c>
      <c r="E1850" s="85">
        <f>(Table26[[#This Row],[M2 Money Stock, Billions of Dollars, Weekly, Seasonally Adjusted]]-B1798)/B1798</f>
        <v/>
      </c>
    </row>
    <row r="1851">
      <c r="A1851" s="37" t="n">
        <v>42436</v>
      </c>
      <c r="B1851" s="84" t="n">
        <v>12561.1</v>
      </c>
      <c r="C1851" s="39">
        <f>(Table26[[#This Row],[M2 Money Stock, Billions of Dollars, Weekly, Seasonally Adjusted]]-B1850)/B1850</f>
        <v/>
      </c>
      <c r="D1851" s="40">
        <f>((1+Table26[[#This Row],[Weekly change]])^52)-1</f>
        <v/>
      </c>
      <c r="E1851" s="85">
        <f>(Table26[[#This Row],[M2 Money Stock, Billions of Dollars, Weekly, Seasonally Adjusted]]-B1799)/B1799</f>
        <v/>
      </c>
    </row>
    <row r="1852">
      <c r="A1852" s="37" t="n">
        <v>42443</v>
      </c>
      <c r="B1852" s="84" t="n">
        <v>12567</v>
      </c>
      <c r="C1852" s="39">
        <f>(Table26[[#This Row],[M2 Money Stock, Billions of Dollars, Weekly, Seasonally Adjusted]]-B1851)/B1851</f>
        <v/>
      </c>
      <c r="D1852" s="40">
        <f>((1+Table26[[#This Row],[Weekly change]])^52)-1</f>
        <v/>
      </c>
      <c r="E1852" s="85">
        <f>(Table26[[#This Row],[M2 Money Stock, Billions of Dollars, Weekly, Seasonally Adjusted]]-B1800)/B1800</f>
        <v/>
      </c>
    </row>
    <row r="1853">
      <c r="A1853" s="37" t="n">
        <v>42450</v>
      </c>
      <c r="B1853" s="84" t="n">
        <v>12602.2</v>
      </c>
      <c r="C1853" s="39">
        <f>(Table26[[#This Row],[M2 Money Stock, Billions of Dollars, Weekly, Seasonally Adjusted]]-B1852)/B1852</f>
        <v/>
      </c>
      <c r="D1853" s="40">
        <f>((1+Table26[[#This Row],[Weekly change]])^52)-1</f>
        <v/>
      </c>
      <c r="E1853" s="85">
        <f>(Table26[[#This Row],[M2 Money Stock, Billions of Dollars, Weekly, Seasonally Adjusted]]-B1801)/B1801</f>
        <v/>
      </c>
    </row>
    <row r="1854">
      <c r="A1854" s="37" t="n">
        <v>42457</v>
      </c>
      <c r="B1854" s="84" t="n">
        <v>12642.1</v>
      </c>
      <c r="C1854" s="39">
        <f>(Table26[[#This Row],[M2 Money Stock, Billions of Dollars, Weekly, Seasonally Adjusted]]-B1853)/B1853</f>
        <v/>
      </c>
      <c r="D1854" s="40">
        <f>((1+Table26[[#This Row],[Weekly change]])^52)-1</f>
        <v/>
      </c>
      <c r="E1854" s="85">
        <f>(Table26[[#This Row],[M2 Money Stock, Billions of Dollars, Weekly, Seasonally Adjusted]]-B1802)/B1802</f>
        <v/>
      </c>
    </row>
    <row r="1855">
      <c r="A1855" s="37" t="n">
        <v>42464</v>
      </c>
      <c r="B1855" s="84" t="n">
        <v>12642.8</v>
      </c>
      <c r="C1855" s="39">
        <f>(Table26[[#This Row],[M2 Money Stock, Billions of Dollars, Weekly, Seasonally Adjusted]]-B1854)/B1854</f>
        <v/>
      </c>
      <c r="D1855" s="40">
        <f>((1+Table26[[#This Row],[Weekly change]])^52)-1</f>
        <v/>
      </c>
      <c r="E1855" s="85">
        <f>(Table26[[#This Row],[M2 Money Stock, Billions of Dollars, Weekly, Seasonally Adjusted]]-B1803)/B1803</f>
        <v/>
      </c>
    </row>
    <row r="1856">
      <c r="A1856" s="37" t="n">
        <v>42471</v>
      </c>
      <c r="B1856" s="84" t="n">
        <v>12655.4</v>
      </c>
      <c r="C1856" s="39">
        <f>(Table26[[#This Row],[M2 Money Stock, Billions of Dollars, Weekly, Seasonally Adjusted]]-B1855)/B1855</f>
        <v/>
      </c>
      <c r="D1856" s="40">
        <f>((1+Table26[[#This Row],[Weekly change]])^52)-1</f>
        <v/>
      </c>
      <c r="E1856" s="85">
        <f>(Table26[[#This Row],[M2 Money Stock, Billions of Dollars, Weekly, Seasonally Adjusted]]-B1804)/B1804</f>
        <v/>
      </c>
    </row>
    <row r="1857">
      <c r="A1857" s="37" t="n">
        <v>42478</v>
      </c>
      <c r="B1857" s="84" t="n">
        <v>12676.9</v>
      </c>
      <c r="C1857" s="39">
        <f>(Table26[[#This Row],[M2 Money Stock, Billions of Dollars, Weekly, Seasonally Adjusted]]-B1856)/B1856</f>
        <v/>
      </c>
      <c r="D1857" s="40">
        <f>((1+Table26[[#This Row],[Weekly change]])^52)-1</f>
        <v/>
      </c>
      <c r="E1857" s="85">
        <f>(Table26[[#This Row],[M2 Money Stock, Billions of Dollars, Weekly, Seasonally Adjusted]]-B1805)/B1805</f>
        <v/>
      </c>
    </row>
    <row r="1858">
      <c r="A1858" s="37" t="n">
        <v>42485</v>
      </c>
      <c r="B1858" s="84" t="n">
        <v>12716.1</v>
      </c>
      <c r="C1858" s="39">
        <f>(Table26[[#This Row],[M2 Money Stock, Billions of Dollars, Weekly, Seasonally Adjusted]]-B1857)/B1857</f>
        <v/>
      </c>
      <c r="D1858" s="40">
        <f>((1+Table26[[#This Row],[Weekly change]])^52)-1</f>
        <v/>
      </c>
      <c r="E1858" s="85">
        <f>(Table26[[#This Row],[M2 Money Stock, Billions of Dollars, Weekly, Seasonally Adjusted]]-B1806)/B1806</f>
        <v/>
      </c>
    </row>
    <row r="1859">
      <c r="A1859" s="37" t="n">
        <v>42492</v>
      </c>
      <c r="B1859" s="84" t="n">
        <v>12740.9</v>
      </c>
      <c r="C1859" s="39">
        <f>(Table26[[#This Row],[M2 Money Stock, Billions of Dollars, Weekly, Seasonally Adjusted]]-B1858)/B1858</f>
        <v/>
      </c>
      <c r="D1859" s="40">
        <f>((1+Table26[[#This Row],[Weekly change]])^52)-1</f>
        <v/>
      </c>
      <c r="E1859" s="85">
        <f>(Table26[[#This Row],[M2 Money Stock, Billions of Dollars, Weekly, Seasonally Adjusted]]-B1807)/B1807</f>
        <v/>
      </c>
    </row>
    <row r="1860">
      <c r="A1860" s="37" t="n">
        <v>42499</v>
      </c>
      <c r="B1860" s="84" t="n">
        <v>12743.9</v>
      </c>
      <c r="C1860" s="39">
        <f>(Table26[[#This Row],[M2 Money Stock, Billions of Dollars, Weekly, Seasonally Adjusted]]-B1859)/B1859</f>
        <v/>
      </c>
      <c r="D1860" s="40">
        <f>((1+Table26[[#This Row],[Weekly change]])^52)-1</f>
        <v/>
      </c>
      <c r="E1860" s="85">
        <f>(Table26[[#This Row],[M2 Money Stock, Billions of Dollars, Weekly, Seasonally Adjusted]]-B1808)/B1808</f>
        <v/>
      </c>
    </row>
    <row r="1861">
      <c r="A1861" s="37" t="n">
        <v>42506</v>
      </c>
      <c r="B1861" s="84" t="n">
        <v>12752.6</v>
      </c>
      <c r="C1861" s="39">
        <f>(Table26[[#This Row],[M2 Money Stock, Billions of Dollars, Weekly, Seasonally Adjusted]]-B1860)/B1860</f>
        <v/>
      </c>
      <c r="D1861" s="40">
        <f>((1+Table26[[#This Row],[Weekly change]])^52)-1</f>
        <v/>
      </c>
      <c r="E1861" s="85">
        <f>(Table26[[#This Row],[M2 Money Stock, Billions of Dollars, Weekly, Seasonally Adjusted]]-B1809)/B1809</f>
        <v/>
      </c>
    </row>
    <row r="1862">
      <c r="A1862" s="37" t="n">
        <v>42513</v>
      </c>
      <c r="B1862" s="84" t="n">
        <v>12772.1</v>
      </c>
      <c r="C1862" s="39">
        <f>(Table26[[#This Row],[M2 Money Stock, Billions of Dollars, Weekly, Seasonally Adjusted]]-B1861)/B1861</f>
        <v/>
      </c>
      <c r="D1862" s="40">
        <f>((1+Table26[[#This Row],[Weekly change]])^52)-1</f>
        <v/>
      </c>
      <c r="E1862" s="85">
        <f>(Table26[[#This Row],[M2 Money Stock, Billions of Dollars, Weekly, Seasonally Adjusted]]-B1810)/B1810</f>
        <v/>
      </c>
    </row>
    <row r="1863">
      <c r="A1863" s="37" t="n">
        <v>42520</v>
      </c>
      <c r="B1863" s="84" t="n">
        <v>12757</v>
      </c>
      <c r="C1863" s="39">
        <f>(Table26[[#This Row],[M2 Money Stock, Billions of Dollars, Weekly, Seasonally Adjusted]]-B1862)/B1862</f>
        <v/>
      </c>
      <c r="D1863" s="40">
        <f>((1+Table26[[#This Row],[Weekly change]])^52)-1</f>
        <v/>
      </c>
      <c r="E1863" s="85">
        <f>(Table26[[#This Row],[M2 Money Stock, Billions of Dollars, Weekly, Seasonally Adjusted]]-B1811)/B1811</f>
        <v/>
      </c>
    </row>
    <row r="1864">
      <c r="A1864" s="37" t="n">
        <v>42527</v>
      </c>
      <c r="B1864" s="84" t="n">
        <v>12774.8</v>
      </c>
      <c r="C1864" s="39">
        <f>(Table26[[#This Row],[M2 Money Stock, Billions of Dollars, Weekly, Seasonally Adjusted]]-B1863)/B1863</f>
        <v/>
      </c>
      <c r="D1864" s="40">
        <f>((1+Table26[[#This Row],[Weekly change]])^52)-1</f>
        <v/>
      </c>
      <c r="E1864" s="85">
        <f>(Table26[[#This Row],[M2 Money Stock, Billions of Dollars, Weekly, Seasonally Adjusted]]-B1812)/B1812</f>
        <v/>
      </c>
    </row>
    <row r="1865">
      <c r="A1865" s="37" t="n">
        <v>42534</v>
      </c>
      <c r="B1865" s="84" t="n">
        <v>12822.7</v>
      </c>
      <c r="C1865" s="39">
        <f>(Table26[[#This Row],[M2 Money Stock, Billions of Dollars, Weekly, Seasonally Adjusted]]-B1864)/B1864</f>
        <v/>
      </c>
      <c r="D1865" s="40">
        <f>((1+Table26[[#This Row],[Weekly change]])^52)-1</f>
        <v/>
      </c>
      <c r="E1865" s="85">
        <f>(Table26[[#This Row],[M2 Money Stock, Billions of Dollars, Weekly, Seasonally Adjusted]]-B1813)/B1813</f>
        <v/>
      </c>
    </row>
    <row r="1866">
      <c r="A1866" s="37" t="n">
        <v>42541</v>
      </c>
      <c r="B1866" s="84" t="n">
        <v>12839.1</v>
      </c>
      <c r="C1866" s="39">
        <f>(Table26[[#This Row],[M2 Money Stock, Billions of Dollars, Weekly, Seasonally Adjusted]]-B1865)/B1865</f>
        <v/>
      </c>
      <c r="D1866" s="40">
        <f>((1+Table26[[#This Row],[Weekly change]])^52)-1</f>
        <v/>
      </c>
      <c r="E1866" s="85">
        <f>(Table26[[#This Row],[M2 Money Stock, Billions of Dollars, Weekly, Seasonally Adjusted]]-B1814)/B1814</f>
        <v/>
      </c>
    </row>
    <row r="1867">
      <c r="A1867" s="37" t="n">
        <v>42548</v>
      </c>
      <c r="B1867" s="84" t="n">
        <v>12844.2</v>
      </c>
      <c r="C1867" s="39">
        <f>(Table26[[#This Row],[M2 Money Stock, Billions of Dollars, Weekly, Seasonally Adjusted]]-B1866)/B1866</f>
        <v/>
      </c>
      <c r="D1867" s="40">
        <f>((1+Table26[[#This Row],[Weekly change]])^52)-1</f>
        <v/>
      </c>
      <c r="E1867" s="85">
        <f>(Table26[[#This Row],[M2 Money Stock, Billions of Dollars, Weekly, Seasonally Adjusted]]-B1815)/B1815</f>
        <v/>
      </c>
    </row>
    <row r="1868">
      <c r="A1868" s="37" t="n">
        <v>42555</v>
      </c>
      <c r="B1868" s="84" t="n">
        <v>12839.9</v>
      </c>
      <c r="C1868" s="39">
        <f>(Table26[[#This Row],[M2 Money Stock, Billions of Dollars, Weekly, Seasonally Adjusted]]-B1867)/B1867</f>
        <v/>
      </c>
      <c r="D1868" s="40">
        <f>((1+Table26[[#This Row],[Weekly change]])^52)-1</f>
        <v/>
      </c>
      <c r="E1868" s="85">
        <f>(Table26[[#This Row],[M2 Money Stock, Billions of Dollars, Weekly, Seasonally Adjusted]]-B1816)/B1816</f>
        <v/>
      </c>
    </row>
    <row r="1869">
      <c r="A1869" s="37" t="n">
        <v>42562</v>
      </c>
      <c r="B1869" s="84" t="n">
        <v>12852.9</v>
      </c>
      <c r="C1869" s="39">
        <f>(Table26[[#This Row],[M2 Money Stock, Billions of Dollars, Weekly, Seasonally Adjusted]]-B1868)/B1868</f>
        <v/>
      </c>
      <c r="D1869" s="40">
        <f>((1+Table26[[#This Row],[Weekly change]])^52)-1</f>
        <v/>
      </c>
      <c r="E1869" s="85">
        <f>(Table26[[#This Row],[M2 Money Stock, Billions of Dollars, Weekly, Seasonally Adjusted]]-B1817)/B1817</f>
        <v/>
      </c>
    </row>
    <row r="1870">
      <c r="A1870" s="37" t="n">
        <v>42569</v>
      </c>
      <c r="B1870" s="84" t="n">
        <v>12877.4</v>
      </c>
      <c r="C1870" s="39">
        <f>(Table26[[#This Row],[M2 Money Stock, Billions of Dollars, Weekly, Seasonally Adjusted]]-B1869)/B1869</f>
        <v/>
      </c>
      <c r="D1870" s="40">
        <f>((1+Table26[[#This Row],[Weekly change]])^52)-1</f>
        <v/>
      </c>
      <c r="E1870" s="85">
        <f>(Table26[[#This Row],[M2 Money Stock, Billions of Dollars, Weekly, Seasonally Adjusted]]-B1818)/B1818</f>
        <v/>
      </c>
    </row>
    <row r="1871">
      <c r="A1871" s="37" t="n">
        <v>42576</v>
      </c>
      <c r="B1871" s="84" t="n">
        <v>12902.8</v>
      </c>
      <c r="C1871" s="39">
        <f>(Table26[[#This Row],[M2 Money Stock, Billions of Dollars, Weekly, Seasonally Adjusted]]-B1870)/B1870</f>
        <v/>
      </c>
      <c r="D1871" s="40">
        <f>((1+Table26[[#This Row],[Weekly change]])^52)-1</f>
        <v/>
      </c>
      <c r="E1871" s="85">
        <f>(Table26[[#This Row],[M2 Money Stock, Billions of Dollars, Weekly, Seasonally Adjusted]]-B1819)/B1819</f>
        <v/>
      </c>
    </row>
    <row r="1872">
      <c r="A1872" s="37" t="n">
        <v>42583</v>
      </c>
      <c r="B1872" s="84" t="n">
        <v>12926.8</v>
      </c>
      <c r="C1872" s="39">
        <f>(Table26[[#This Row],[M2 Money Stock, Billions of Dollars, Weekly, Seasonally Adjusted]]-B1871)/B1871</f>
        <v/>
      </c>
      <c r="D1872" s="40">
        <f>((1+Table26[[#This Row],[Weekly change]])^52)-1</f>
        <v/>
      </c>
      <c r="E1872" s="85">
        <f>(Table26[[#This Row],[M2 Money Stock, Billions of Dollars, Weekly, Seasonally Adjusted]]-B1820)/B1820</f>
        <v/>
      </c>
    </row>
    <row r="1873">
      <c r="A1873" s="37" t="n">
        <v>42590</v>
      </c>
      <c r="B1873" s="84" t="n">
        <v>12945.6</v>
      </c>
      <c r="C1873" s="39">
        <f>(Table26[[#This Row],[M2 Money Stock, Billions of Dollars, Weekly, Seasonally Adjusted]]-B1872)/B1872</f>
        <v/>
      </c>
      <c r="D1873" s="40">
        <f>((1+Table26[[#This Row],[Weekly change]])^52)-1</f>
        <v/>
      </c>
      <c r="E1873" s="85">
        <f>(Table26[[#This Row],[M2 Money Stock, Billions of Dollars, Weekly, Seasonally Adjusted]]-B1821)/B1821</f>
        <v/>
      </c>
    </row>
    <row r="1874">
      <c r="A1874" s="37" t="n">
        <v>42597</v>
      </c>
      <c r="B1874" s="84" t="n">
        <v>12957.3</v>
      </c>
      <c r="C1874" s="39">
        <f>(Table26[[#This Row],[M2 Money Stock, Billions of Dollars, Weekly, Seasonally Adjusted]]-B1873)/B1873</f>
        <v/>
      </c>
      <c r="D1874" s="40">
        <f>((1+Table26[[#This Row],[Weekly change]])^52)-1</f>
        <v/>
      </c>
      <c r="E1874" s="85">
        <f>(Table26[[#This Row],[M2 Money Stock, Billions of Dollars, Weekly, Seasonally Adjusted]]-B1822)/B1822</f>
        <v/>
      </c>
    </row>
    <row r="1875">
      <c r="A1875" s="37" t="n">
        <v>42604</v>
      </c>
      <c r="B1875" s="84" t="n">
        <v>12984.8</v>
      </c>
      <c r="C1875" s="39">
        <f>(Table26[[#This Row],[M2 Money Stock, Billions of Dollars, Weekly, Seasonally Adjusted]]-B1874)/B1874</f>
        <v/>
      </c>
      <c r="D1875" s="40">
        <f>((1+Table26[[#This Row],[Weekly change]])^52)-1</f>
        <v/>
      </c>
      <c r="E1875" s="85">
        <f>(Table26[[#This Row],[M2 Money Stock, Billions of Dollars, Weekly, Seasonally Adjusted]]-B1823)/B1823</f>
        <v/>
      </c>
    </row>
    <row r="1876">
      <c r="A1876" s="37" t="n">
        <v>42611</v>
      </c>
      <c r="B1876" s="84" t="n">
        <v>12988.6</v>
      </c>
      <c r="C1876" s="39">
        <f>(Table26[[#This Row],[M2 Money Stock, Billions of Dollars, Weekly, Seasonally Adjusted]]-B1875)/B1875</f>
        <v/>
      </c>
      <c r="D1876" s="40">
        <f>((1+Table26[[#This Row],[Weekly change]])^52)-1</f>
        <v/>
      </c>
      <c r="E1876" s="85">
        <f>(Table26[[#This Row],[M2 Money Stock, Billions of Dollars, Weekly, Seasonally Adjusted]]-B1824)/B1824</f>
        <v/>
      </c>
    </row>
    <row r="1877">
      <c r="A1877" s="37" t="n">
        <v>42618</v>
      </c>
      <c r="B1877" s="84" t="n">
        <v>12998.8</v>
      </c>
      <c r="C1877" s="39">
        <f>(Table26[[#This Row],[M2 Money Stock, Billions of Dollars, Weekly, Seasonally Adjusted]]-B1876)/B1876</f>
        <v/>
      </c>
      <c r="D1877" s="40">
        <f>((1+Table26[[#This Row],[Weekly change]])^52)-1</f>
        <v/>
      </c>
      <c r="E1877" s="85">
        <f>(Table26[[#This Row],[M2 Money Stock, Billions of Dollars, Weekly, Seasonally Adjusted]]-B1825)/B1825</f>
        <v/>
      </c>
    </row>
    <row r="1878">
      <c r="A1878" s="37" t="n">
        <v>42625</v>
      </c>
      <c r="B1878" s="84" t="n">
        <v>13034.4</v>
      </c>
      <c r="C1878" s="39">
        <f>(Table26[[#This Row],[M2 Money Stock, Billions of Dollars, Weekly, Seasonally Adjusted]]-B1877)/B1877</f>
        <v/>
      </c>
      <c r="D1878" s="40">
        <f>((1+Table26[[#This Row],[Weekly change]])^52)-1</f>
        <v/>
      </c>
      <c r="E1878" s="85">
        <f>(Table26[[#This Row],[M2 Money Stock, Billions of Dollars, Weekly, Seasonally Adjusted]]-B1826)/B1826</f>
        <v/>
      </c>
    </row>
    <row r="1879">
      <c r="A1879" s="37" t="n">
        <v>42632</v>
      </c>
      <c r="B1879" s="84" t="n">
        <v>13030.5</v>
      </c>
      <c r="C1879" s="39">
        <f>(Table26[[#This Row],[M2 Money Stock, Billions of Dollars, Weekly, Seasonally Adjusted]]-B1878)/B1878</f>
        <v/>
      </c>
      <c r="D1879" s="40">
        <f>((1+Table26[[#This Row],[Weekly change]])^52)-1</f>
        <v/>
      </c>
      <c r="E1879" s="85">
        <f>(Table26[[#This Row],[M2 Money Stock, Billions of Dollars, Weekly, Seasonally Adjusted]]-B1827)/B1827</f>
        <v/>
      </c>
    </row>
    <row r="1880">
      <c r="A1880" s="37" t="n">
        <v>42639</v>
      </c>
      <c r="B1880" s="84" t="n">
        <v>13044</v>
      </c>
      <c r="C1880" s="39">
        <f>(Table26[[#This Row],[M2 Money Stock, Billions of Dollars, Weekly, Seasonally Adjusted]]-B1879)/B1879</f>
        <v/>
      </c>
      <c r="D1880" s="40">
        <f>((1+Table26[[#This Row],[Weekly change]])^52)-1</f>
        <v/>
      </c>
      <c r="E1880" s="85">
        <f>(Table26[[#This Row],[M2 Money Stock, Billions of Dollars, Weekly, Seasonally Adjusted]]-B1828)/B1828</f>
        <v/>
      </c>
    </row>
    <row r="1881">
      <c r="A1881" s="37" t="n">
        <v>42646</v>
      </c>
      <c r="B1881" s="84" t="n">
        <v>13041.9</v>
      </c>
      <c r="C1881" s="39">
        <f>(Table26[[#This Row],[M2 Money Stock, Billions of Dollars, Weekly, Seasonally Adjusted]]-B1880)/B1880</f>
        <v/>
      </c>
      <c r="D1881" s="40">
        <f>((1+Table26[[#This Row],[Weekly change]])^52)-1</f>
        <v/>
      </c>
      <c r="E1881" s="85">
        <f>(Table26[[#This Row],[M2 Money Stock, Billions of Dollars, Weekly, Seasonally Adjusted]]-B1829)/B1829</f>
        <v/>
      </c>
    </row>
    <row r="1882">
      <c r="A1882" s="37" t="n">
        <v>42653</v>
      </c>
      <c r="B1882" s="84" t="n">
        <v>13097.4</v>
      </c>
      <c r="C1882" s="39">
        <f>(Table26[[#This Row],[M2 Money Stock, Billions of Dollars, Weekly, Seasonally Adjusted]]-B1881)/B1881</f>
        <v/>
      </c>
      <c r="D1882" s="40">
        <f>((1+Table26[[#This Row],[Weekly change]])^52)-1</f>
        <v/>
      </c>
      <c r="E1882" s="85">
        <f>(Table26[[#This Row],[M2 Money Stock, Billions of Dollars, Weekly, Seasonally Adjusted]]-B1830)/B1830</f>
        <v/>
      </c>
    </row>
    <row r="1883">
      <c r="A1883" s="37" t="n">
        <v>42660</v>
      </c>
      <c r="B1883" s="84" t="n">
        <v>13093.8</v>
      </c>
      <c r="C1883" s="39">
        <f>(Table26[[#This Row],[M2 Money Stock, Billions of Dollars, Weekly, Seasonally Adjusted]]-B1882)/B1882</f>
        <v/>
      </c>
      <c r="D1883" s="40">
        <f>((1+Table26[[#This Row],[Weekly change]])^52)-1</f>
        <v/>
      </c>
      <c r="E1883" s="85">
        <f>(Table26[[#This Row],[M2 Money Stock, Billions of Dollars, Weekly, Seasonally Adjusted]]-B1831)/B1831</f>
        <v/>
      </c>
    </row>
    <row r="1884">
      <c r="A1884" s="37" t="n">
        <v>42667</v>
      </c>
      <c r="B1884" s="84" t="n">
        <v>13103</v>
      </c>
      <c r="C1884" s="39">
        <f>(Table26[[#This Row],[M2 Money Stock, Billions of Dollars, Weekly, Seasonally Adjusted]]-B1883)/B1883</f>
        <v/>
      </c>
      <c r="D1884" s="40">
        <f>((1+Table26[[#This Row],[Weekly change]])^52)-1</f>
        <v/>
      </c>
      <c r="E1884" s="85">
        <f>(Table26[[#This Row],[M2 Money Stock, Billions of Dollars, Weekly, Seasonally Adjusted]]-B1832)/B1832</f>
        <v/>
      </c>
    </row>
    <row r="1885">
      <c r="A1885" s="37" t="n">
        <v>42674</v>
      </c>
      <c r="B1885" s="84" t="n">
        <v>13128</v>
      </c>
      <c r="C1885" s="39">
        <f>(Table26[[#This Row],[M2 Money Stock, Billions of Dollars, Weekly, Seasonally Adjusted]]-B1884)/B1884</f>
        <v/>
      </c>
      <c r="D1885" s="40">
        <f>((1+Table26[[#This Row],[Weekly change]])^52)-1</f>
        <v/>
      </c>
      <c r="E1885" s="85">
        <f>(Table26[[#This Row],[M2 Money Stock, Billions of Dollars, Weekly, Seasonally Adjusted]]-B1833)/B1833</f>
        <v/>
      </c>
    </row>
    <row r="1886">
      <c r="A1886" s="37" t="n">
        <v>42681</v>
      </c>
      <c r="B1886" s="84" t="n">
        <v>13121.4</v>
      </c>
      <c r="C1886" s="39">
        <f>(Table26[[#This Row],[M2 Money Stock, Billions of Dollars, Weekly, Seasonally Adjusted]]-B1885)/B1885</f>
        <v/>
      </c>
      <c r="D1886" s="40">
        <f>((1+Table26[[#This Row],[Weekly change]])^52)-1</f>
        <v/>
      </c>
      <c r="E1886" s="85">
        <f>(Table26[[#This Row],[M2 Money Stock, Billions of Dollars, Weekly, Seasonally Adjusted]]-B1834)/B1834</f>
        <v/>
      </c>
    </row>
    <row r="1887">
      <c r="A1887" s="37" t="n">
        <v>42688</v>
      </c>
      <c r="B1887" s="84" t="n">
        <v>13162.3</v>
      </c>
      <c r="C1887" s="39">
        <f>(Table26[[#This Row],[M2 Money Stock, Billions of Dollars, Weekly, Seasonally Adjusted]]-B1886)/B1886</f>
        <v/>
      </c>
      <c r="D1887" s="40">
        <f>((1+Table26[[#This Row],[Weekly change]])^52)-1</f>
        <v/>
      </c>
      <c r="E1887" s="85">
        <f>(Table26[[#This Row],[M2 Money Stock, Billions of Dollars, Weekly, Seasonally Adjusted]]-B1835)/B1835</f>
        <v/>
      </c>
    </row>
    <row r="1888">
      <c r="A1888" s="37" t="n">
        <v>42695</v>
      </c>
      <c r="B1888" s="84" t="n">
        <v>13199.6</v>
      </c>
      <c r="C1888" s="39">
        <f>(Table26[[#This Row],[M2 Money Stock, Billions of Dollars, Weekly, Seasonally Adjusted]]-B1887)/B1887</f>
        <v/>
      </c>
      <c r="D1888" s="40">
        <f>((1+Table26[[#This Row],[Weekly change]])^52)-1</f>
        <v/>
      </c>
      <c r="E1888" s="85">
        <f>(Table26[[#This Row],[M2 Money Stock, Billions of Dollars, Weekly, Seasonally Adjusted]]-B1836)/B1836</f>
        <v/>
      </c>
    </row>
    <row r="1889">
      <c r="A1889" s="37" t="n">
        <v>42702</v>
      </c>
      <c r="B1889" s="84" t="n">
        <v>13189.5</v>
      </c>
      <c r="C1889" s="39">
        <f>(Table26[[#This Row],[M2 Money Stock, Billions of Dollars, Weekly, Seasonally Adjusted]]-B1888)/B1888</f>
        <v/>
      </c>
      <c r="D1889" s="40">
        <f>((1+Table26[[#This Row],[Weekly change]])^52)-1</f>
        <v/>
      </c>
      <c r="E1889" s="85">
        <f>(Table26[[#This Row],[M2 Money Stock, Billions of Dollars, Weekly, Seasonally Adjusted]]-B1837)/B1837</f>
        <v/>
      </c>
    </row>
    <row r="1890">
      <c r="A1890" s="37" t="n">
        <v>42709</v>
      </c>
      <c r="B1890" s="84" t="n">
        <v>13189.3</v>
      </c>
      <c r="C1890" s="39">
        <f>(Table26[[#This Row],[M2 Money Stock, Billions of Dollars, Weekly, Seasonally Adjusted]]-B1889)/B1889</f>
        <v/>
      </c>
      <c r="D1890" s="40">
        <f>((1+Table26[[#This Row],[Weekly change]])^52)-1</f>
        <v/>
      </c>
      <c r="E1890" s="85">
        <f>(Table26[[#This Row],[M2 Money Stock, Billions of Dollars, Weekly, Seasonally Adjusted]]-B1838)/B1838</f>
        <v/>
      </c>
    </row>
    <row r="1891">
      <c r="A1891" s="37" t="n">
        <v>42716</v>
      </c>
      <c r="B1891" s="84" t="n">
        <v>13191.6</v>
      </c>
      <c r="C1891" s="39">
        <f>(Table26[[#This Row],[M2 Money Stock, Billions of Dollars, Weekly, Seasonally Adjusted]]-B1890)/B1890</f>
        <v/>
      </c>
      <c r="D1891" s="40">
        <f>((1+Table26[[#This Row],[Weekly change]])^52)-1</f>
        <v/>
      </c>
      <c r="E1891" s="85">
        <f>(Table26[[#This Row],[M2 Money Stock, Billions of Dollars, Weekly, Seasonally Adjusted]]-B1839)/B1839</f>
        <v/>
      </c>
    </row>
    <row r="1892">
      <c r="A1892" s="37" t="n">
        <v>42723</v>
      </c>
      <c r="B1892" s="84" t="n">
        <v>13197.9</v>
      </c>
      <c r="C1892" s="39">
        <f>(Table26[[#This Row],[M2 Money Stock, Billions of Dollars, Weekly, Seasonally Adjusted]]-B1891)/B1891</f>
        <v/>
      </c>
      <c r="D1892" s="40">
        <f>((1+Table26[[#This Row],[Weekly change]])^52)-1</f>
        <v/>
      </c>
      <c r="E1892" s="85">
        <f>(Table26[[#This Row],[M2 Money Stock, Billions of Dollars, Weekly, Seasonally Adjusted]]-B1840)/B1840</f>
        <v/>
      </c>
    </row>
    <row r="1893">
      <c r="A1893" s="37" t="n">
        <v>42730</v>
      </c>
      <c r="B1893" s="84" t="n">
        <v>13203.3</v>
      </c>
      <c r="C1893" s="39">
        <f>(Table26[[#This Row],[M2 Money Stock, Billions of Dollars, Weekly, Seasonally Adjusted]]-B1892)/B1892</f>
        <v/>
      </c>
      <c r="D1893" s="40">
        <f>((1+Table26[[#This Row],[Weekly change]])^52)-1</f>
        <v/>
      </c>
      <c r="E1893" s="85">
        <f>(Table26[[#This Row],[M2 Money Stock, Billions of Dollars, Weekly, Seasonally Adjusted]]-B1841)/B1841</f>
        <v/>
      </c>
    </row>
    <row r="1894">
      <c r="A1894" s="37" t="n">
        <v>42737</v>
      </c>
      <c r="B1894" s="84" t="n">
        <v>13214.2</v>
      </c>
      <c r="C1894" s="39">
        <f>(Table26[[#This Row],[M2 Money Stock, Billions of Dollars, Weekly, Seasonally Adjusted]]-B1893)/B1893</f>
        <v/>
      </c>
      <c r="D1894" s="40">
        <f>((1+Table26[[#This Row],[Weekly change]])^52)-1</f>
        <v/>
      </c>
      <c r="E1894" s="85">
        <f>(Table26[[#This Row],[M2 Money Stock, Billions of Dollars, Weekly, Seasonally Adjusted]]-B1842)/B1842</f>
        <v/>
      </c>
    </row>
    <row r="1895">
      <c r="A1895" s="37" t="n">
        <v>42744</v>
      </c>
      <c r="B1895" s="84" t="n">
        <v>13257.3</v>
      </c>
      <c r="C1895" s="39">
        <f>(Table26[[#This Row],[M2 Money Stock, Billions of Dollars, Weekly, Seasonally Adjusted]]-B1894)/B1894</f>
        <v/>
      </c>
      <c r="D1895" s="40">
        <f>((1+Table26[[#This Row],[Weekly change]])^52)-1</f>
        <v/>
      </c>
      <c r="E1895" s="85">
        <f>(Table26[[#This Row],[M2 Money Stock, Billions of Dollars, Weekly, Seasonally Adjusted]]-B1843)/B1843</f>
        <v/>
      </c>
    </row>
    <row r="1896">
      <c r="A1896" s="37" t="n">
        <v>42751</v>
      </c>
      <c r="B1896" s="84" t="n">
        <v>13274.1</v>
      </c>
      <c r="C1896" s="39">
        <f>(Table26[[#This Row],[M2 Money Stock, Billions of Dollars, Weekly, Seasonally Adjusted]]-B1895)/B1895</f>
        <v/>
      </c>
      <c r="D1896" s="40">
        <f>((1+Table26[[#This Row],[Weekly change]])^52)-1</f>
        <v/>
      </c>
      <c r="E1896" s="85">
        <f>(Table26[[#This Row],[M2 Money Stock, Billions of Dollars, Weekly, Seasonally Adjusted]]-B1844)/B1844</f>
        <v/>
      </c>
    </row>
    <row r="1897">
      <c r="A1897" s="37" t="n">
        <v>42758</v>
      </c>
      <c r="B1897" s="84" t="n">
        <v>13292.6</v>
      </c>
      <c r="C1897" s="39">
        <f>(Table26[[#This Row],[M2 Money Stock, Billions of Dollars, Weekly, Seasonally Adjusted]]-B1896)/B1896</f>
        <v/>
      </c>
      <c r="D1897" s="40">
        <f>((1+Table26[[#This Row],[Weekly change]])^52)-1</f>
        <v/>
      </c>
      <c r="E1897" s="85">
        <f>(Table26[[#This Row],[M2 Money Stock, Billions of Dollars, Weekly, Seasonally Adjusted]]-B1845)/B1845</f>
        <v/>
      </c>
    </row>
    <row r="1898">
      <c r="A1898" s="37" t="n">
        <v>42765</v>
      </c>
      <c r="B1898" s="84" t="n">
        <v>13289.6</v>
      </c>
      <c r="C1898" s="39">
        <f>(Table26[[#This Row],[M2 Money Stock, Billions of Dollars, Weekly, Seasonally Adjusted]]-B1897)/B1897</f>
        <v/>
      </c>
      <c r="D1898" s="40">
        <f>((1+Table26[[#This Row],[Weekly change]])^52)-1</f>
        <v/>
      </c>
      <c r="E1898" s="85">
        <f>(Table26[[#This Row],[M2 Money Stock, Billions of Dollars, Weekly, Seasonally Adjusted]]-B1846)/B1846</f>
        <v/>
      </c>
    </row>
    <row r="1899">
      <c r="A1899" s="37" t="n">
        <v>42772</v>
      </c>
      <c r="B1899" s="84" t="n">
        <v>13313.8</v>
      </c>
      <c r="C1899" s="39">
        <f>(Table26[[#This Row],[M2 Money Stock, Billions of Dollars, Weekly, Seasonally Adjusted]]-B1898)/B1898</f>
        <v/>
      </c>
      <c r="D1899" s="40">
        <f>((1+Table26[[#This Row],[Weekly change]])^52)-1</f>
        <v/>
      </c>
      <c r="E1899" s="85">
        <f>(Table26[[#This Row],[M2 Money Stock, Billions of Dollars, Weekly, Seasonally Adjusted]]-B1847)/B1847</f>
        <v/>
      </c>
    </row>
    <row r="1900">
      <c r="A1900" s="37" t="n">
        <v>42779</v>
      </c>
      <c r="B1900" s="84" t="n">
        <v>13324.7</v>
      </c>
      <c r="C1900" s="39">
        <f>(Table26[[#This Row],[M2 Money Stock, Billions of Dollars, Weekly, Seasonally Adjusted]]-B1899)/B1899</f>
        <v/>
      </c>
      <c r="D1900" s="40">
        <f>((1+Table26[[#This Row],[Weekly change]])^52)-1</f>
        <v/>
      </c>
      <c r="E1900" s="85">
        <f>(Table26[[#This Row],[M2 Money Stock, Billions of Dollars, Weekly, Seasonally Adjusted]]-B1848)/B1848</f>
        <v/>
      </c>
    </row>
    <row r="1901">
      <c r="A1901" s="37" t="n">
        <v>42786</v>
      </c>
      <c r="B1901" s="84" t="n">
        <v>13342.1</v>
      </c>
      <c r="C1901" s="39">
        <f>(Table26[[#This Row],[M2 Money Stock, Billions of Dollars, Weekly, Seasonally Adjusted]]-B1900)/B1900</f>
        <v/>
      </c>
      <c r="D1901" s="40">
        <f>((1+Table26[[#This Row],[Weekly change]])^52)-1</f>
        <v/>
      </c>
      <c r="E1901" s="85">
        <f>(Table26[[#This Row],[M2 Money Stock, Billions of Dollars, Weekly, Seasonally Adjusted]]-B1849)/B1849</f>
        <v/>
      </c>
    </row>
    <row r="1902">
      <c r="A1902" s="37" t="n">
        <v>42793</v>
      </c>
      <c r="B1902" s="84" t="n">
        <v>13375.6</v>
      </c>
      <c r="C1902" s="39">
        <f>(Table26[[#This Row],[M2 Money Stock, Billions of Dollars, Weekly, Seasonally Adjusted]]-B1901)/B1901</f>
        <v/>
      </c>
      <c r="D1902" s="40">
        <f>((1+Table26[[#This Row],[Weekly change]])^52)-1</f>
        <v/>
      </c>
      <c r="E1902" s="85">
        <f>(Table26[[#This Row],[M2 Money Stock, Billions of Dollars, Weekly, Seasonally Adjusted]]-B1850)/B1850</f>
        <v/>
      </c>
    </row>
    <row r="1903">
      <c r="A1903" s="37" t="n">
        <v>42800</v>
      </c>
      <c r="B1903" s="84" t="n">
        <v>13371.7</v>
      </c>
      <c r="C1903" s="39">
        <f>(Table26[[#This Row],[M2 Money Stock, Billions of Dollars, Weekly, Seasonally Adjusted]]-B1902)/B1902</f>
        <v/>
      </c>
      <c r="D1903" s="40">
        <f>((1+Table26[[#This Row],[Weekly change]])^52)-1</f>
        <v/>
      </c>
      <c r="E1903" s="85">
        <f>(Table26[[#This Row],[M2 Money Stock, Billions of Dollars, Weekly, Seasonally Adjusted]]-B1851)/B1851</f>
        <v/>
      </c>
    </row>
    <row r="1904">
      <c r="A1904" s="37" t="n">
        <v>42807</v>
      </c>
      <c r="B1904" s="84" t="n">
        <v>13406.8</v>
      </c>
      <c r="C1904" s="39">
        <f>(Table26[[#This Row],[M2 Money Stock, Billions of Dollars, Weekly, Seasonally Adjusted]]-B1903)/B1903</f>
        <v/>
      </c>
      <c r="D1904" s="40">
        <f>((1+Table26[[#This Row],[Weekly change]])^52)-1</f>
        <v/>
      </c>
      <c r="E1904" s="85">
        <f>(Table26[[#This Row],[M2 Money Stock, Billions of Dollars, Weekly, Seasonally Adjusted]]-B1852)/B1852</f>
        <v/>
      </c>
    </row>
    <row r="1905">
      <c r="A1905" s="37" t="n">
        <v>42814</v>
      </c>
      <c r="B1905" s="84" t="n">
        <v>13422.9</v>
      </c>
      <c r="C1905" s="39">
        <f>(Table26[[#This Row],[M2 Money Stock, Billions of Dollars, Weekly, Seasonally Adjusted]]-B1904)/B1904</f>
        <v/>
      </c>
      <c r="D1905" s="40">
        <f>((1+Table26[[#This Row],[Weekly change]])^52)-1</f>
        <v/>
      </c>
      <c r="E1905" s="85">
        <f>(Table26[[#This Row],[M2 Money Stock, Billions of Dollars, Weekly, Seasonally Adjusted]]-B1853)/B1853</f>
        <v/>
      </c>
    </row>
    <row r="1906">
      <c r="A1906" s="37" t="n">
        <v>42821</v>
      </c>
      <c r="B1906" s="84" t="n">
        <v>13431.8</v>
      </c>
      <c r="C1906" s="39">
        <f>(Table26[[#This Row],[M2 Money Stock, Billions of Dollars, Weekly, Seasonally Adjusted]]-B1905)/B1905</f>
        <v/>
      </c>
      <c r="D1906" s="40">
        <f>((1+Table26[[#This Row],[Weekly change]])^52)-1</f>
        <v/>
      </c>
      <c r="E1906" s="85">
        <f>(Table26[[#This Row],[M2 Money Stock, Billions of Dollars, Weekly, Seasonally Adjusted]]-B1854)/B1854</f>
        <v/>
      </c>
    </row>
    <row r="1907">
      <c r="A1907" s="37" t="n">
        <v>42828</v>
      </c>
      <c r="B1907" s="84" t="n">
        <v>13423.7</v>
      </c>
      <c r="C1907" s="39">
        <f>(Table26[[#This Row],[M2 Money Stock, Billions of Dollars, Weekly, Seasonally Adjusted]]-B1906)/B1906</f>
        <v/>
      </c>
      <c r="D1907" s="40">
        <f>((1+Table26[[#This Row],[Weekly change]])^52)-1</f>
        <v/>
      </c>
      <c r="E1907" s="85">
        <f>(Table26[[#This Row],[M2 Money Stock, Billions of Dollars, Weekly, Seasonally Adjusted]]-B1855)/B1855</f>
        <v/>
      </c>
    </row>
    <row r="1908">
      <c r="A1908" s="37" t="n">
        <v>42835</v>
      </c>
      <c r="B1908" s="84" t="n">
        <v>13461.7</v>
      </c>
      <c r="C1908" s="39">
        <f>(Table26[[#This Row],[M2 Money Stock, Billions of Dollars, Weekly, Seasonally Adjusted]]-B1907)/B1907</f>
        <v/>
      </c>
      <c r="D1908" s="40">
        <f>((1+Table26[[#This Row],[Weekly change]])^52)-1</f>
        <v/>
      </c>
      <c r="E1908" s="85">
        <f>(Table26[[#This Row],[M2 Money Stock, Billions of Dollars, Weekly, Seasonally Adjusted]]-B1856)/B1856</f>
        <v/>
      </c>
    </row>
    <row r="1909">
      <c r="A1909" s="37" t="n">
        <v>42842</v>
      </c>
      <c r="B1909" s="84" t="n">
        <v>13465.9</v>
      </c>
      <c r="C1909" s="39">
        <f>(Table26[[#This Row],[M2 Money Stock, Billions of Dollars, Weekly, Seasonally Adjusted]]-B1908)/B1908</f>
        <v/>
      </c>
      <c r="D1909" s="40">
        <f>((1+Table26[[#This Row],[Weekly change]])^52)-1</f>
        <v/>
      </c>
      <c r="E1909" s="85">
        <f>(Table26[[#This Row],[M2 Money Stock, Billions of Dollars, Weekly, Seasonally Adjusted]]-B1857)/B1857</f>
        <v/>
      </c>
    </row>
    <row r="1910">
      <c r="A1910" s="37" t="n">
        <v>42849</v>
      </c>
      <c r="B1910" s="84" t="n">
        <v>13492</v>
      </c>
      <c r="C1910" s="39">
        <f>(Table26[[#This Row],[M2 Money Stock, Billions of Dollars, Weekly, Seasonally Adjusted]]-B1909)/B1909</f>
        <v/>
      </c>
      <c r="D1910" s="40">
        <f>((1+Table26[[#This Row],[Weekly change]])^52)-1</f>
        <v/>
      </c>
      <c r="E1910" s="85">
        <f>(Table26[[#This Row],[M2 Money Stock, Billions of Dollars, Weekly, Seasonally Adjusted]]-B1858)/B1858</f>
        <v/>
      </c>
    </row>
    <row r="1911">
      <c r="A1911" s="37" t="n">
        <v>42856</v>
      </c>
      <c r="B1911" s="84" t="n">
        <v>13516.3</v>
      </c>
      <c r="C1911" s="39">
        <f>(Table26[[#This Row],[M2 Money Stock, Billions of Dollars, Weekly, Seasonally Adjusted]]-B1910)/B1910</f>
        <v/>
      </c>
      <c r="D1911" s="40">
        <f>((1+Table26[[#This Row],[Weekly change]])^52)-1</f>
        <v/>
      </c>
      <c r="E1911" s="85">
        <f>(Table26[[#This Row],[M2 Money Stock, Billions of Dollars, Weekly, Seasonally Adjusted]]-B1859)/B1859</f>
        <v/>
      </c>
    </row>
    <row r="1912">
      <c r="A1912" s="37" t="n">
        <v>42863</v>
      </c>
      <c r="B1912" s="84" t="n">
        <v>13502.3</v>
      </c>
      <c r="C1912" s="39">
        <f>(Table26[[#This Row],[M2 Money Stock, Billions of Dollars, Weekly, Seasonally Adjusted]]-B1911)/B1911</f>
        <v/>
      </c>
      <c r="D1912" s="40">
        <f>((1+Table26[[#This Row],[Weekly change]])^52)-1</f>
        <v/>
      </c>
      <c r="E1912" s="85">
        <f>(Table26[[#This Row],[M2 Money Stock, Billions of Dollars, Weekly, Seasonally Adjusted]]-B1860)/B1860</f>
        <v/>
      </c>
    </row>
    <row r="1913">
      <c r="A1913" s="37" t="n">
        <v>42870</v>
      </c>
      <c r="B1913" s="84" t="n">
        <v>13516.6</v>
      </c>
      <c r="C1913" s="39">
        <f>(Table26[[#This Row],[M2 Money Stock, Billions of Dollars, Weekly, Seasonally Adjusted]]-B1912)/B1912</f>
        <v/>
      </c>
      <c r="D1913" s="40">
        <f>((1+Table26[[#This Row],[Weekly change]])^52)-1</f>
        <v/>
      </c>
      <c r="E1913" s="85">
        <f>(Table26[[#This Row],[M2 Money Stock, Billions of Dollars, Weekly, Seasonally Adjusted]]-B1861)/B1861</f>
        <v/>
      </c>
    </row>
    <row r="1914">
      <c r="A1914" s="37" t="n">
        <v>42877</v>
      </c>
      <c r="B1914" s="84" t="n">
        <v>13547.2</v>
      </c>
      <c r="C1914" s="39">
        <f>(Table26[[#This Row],[M2 Money Stock, Billions of Dollars, Weekly, Seasonally Adjusted]]-B1913)/B1913</f>
        <v/>
      </c>
      <c r="D1914" s="40">
        <f>((1+Table26[[#This Row],[Weekly change]])^52)-1</f>
        <v/>
      </c>
      <c r="E1914" s="85">
        <f>(Table26[[#This Row],[M2 Money Stock, Billions of Dollars, Weekly, Seasonally Adjusted]]-B1862)/B1862</f>
        <v/>
      </c>
    </row>
    <row r="1915">
      <c r="A1915" s="37" t="n">
        <v>42884</v>
      </c>
      <c r="B1915" s="84" t="n">
        <v>13553.5</v>
      </c>
      <c r="C1915" s="39">
        <f>(Table26[[#This Row],[M2 Money Stock, Billions of Dollars, Weekly, Seasonally Adjusted]]-B1914)/B1914</f>
        <v/>
      </c>
      <c r="D1915" s="40">
        <f>((1+Table26[[#This Row],[Weekly change]])^52)-1</f>
        <v/>
      </c>
      <c r="E1915" s="85">
        <f>(Table26[[#This Row],[M2 Money Stock, Billions of Dollars, Weekly, Seasonally Adjusted]]-B1863)/B1863</f>
        <v/>
      </c>
    </row>
    <row r="1916">
      <c r="A1916" s="37" t="n">
        <v>42891</v>
      </c>
      <c r="B1916" s="84" t="n">
        <v>13545.6</v>
      </c>
      <c r="C1916" s="39">
        <f>(Table26[[#This Row],[M2 Money Stock, Billions of Dollars, Weekly, Seasonally Adjusted]]-B1915)/B1915</f>
        <v/>
      </c>
      <c r="D1916" s="40">
        <f>((1+Table26[[#This Row],[Weekly change]])^52)-1</f>
        <v/>
      </c>
      <c r="E1916" s="85">
        <f>(Table26[[#This Row],[M2 Money Stock, Billions of Dollars, Weekly, Seasonally Adjusted]]-B1864)/B1864</f>
        <v/>
      </c>
    </row>
    <row r="1917">
      <c r="A1917" s="37" t="n">
        <v>42898</v>
      </c>
      <c r="B1917" s="84" t="n">
        <v>13549</v>
      </c>
      <c r="C1917" s="39">
        <f>(Table26[[#This Row],[M2 Money Stock, Billions of Dollars, Weekly, Seasonally Adjusted]]-B1916)/B1916</f>
        <v/>
      </c>
      <c r="D1917" s="40">
        <f>((1+Table26[[#This Row],[Weekly change]])^52)-1</f>
        <v/>
      </c>
      <c r="E1917" s="85">
        <f>(Table26[[#This Row],[M2 Money Stock, Billions of Dollars, Weekly, Seasonally Adjusted]]-B1865)/B1865</f>
        <v/>
      </c>
    </row>
    <row r="1918">
      <c r="A1918" s="37" t="n">
        <v>42905</v>
      </c>
      <c r="B1918" s="84" t="n">
        <v>13551.2</v>
      </c>
      <c r="C1918" s="39">
        <f>(Table26[[#This Row],[M2 Money Stock, Billions of Dollars, Weekly, Seasonally Adjusted]]-B1917)/B1917</f>
        <v/>
      </c>
      <c r="D1918" s="40">
        <f>((1+Table26[[#This Row],[Weekly change]])^52)-1</f>
        <v/>
      </c>
      <c r="E1918" s="85">
        <f>(Table26[[#This Row],[M2 Money Stock, Billions of Dollars, Weekly, Seasonally Adjusted]]-B1866)/B1866</f>
        <v/>
      </c>
    </row>
    <row r="1919">
      <c r="A1919" s="37" t="n">
        <v>42912</v>
      </c>
      <c r="B1919" s="84" t="n">
        <v>13581.1</v>
      </c>
      <c r="C1919" s="39">
        <f>(Table26[[#This Row],[M2 Money Stock, Billions of Dollars, Weekly, Seasonally Adjusted]]-B1918)/B1918</f>
        <v/>
      </c>
      <c r="D1919" s="40">
        <f>((1+Table26[[#This Row],[Weekly change]])^52)-1</f>
        <v/>
      </c>
      <c r="E1919" s="85">
        <f>(Table26[[#This Row],[M2 Money Stock, Billions of Dollars, Weekly, Seasonally Adjusted]]-B1867)/B1867</f>
        <v/>
      </c>
    </row>
    <row r="1920">
      <c r="A1920" s="37" t="n">
        <v>42919</v>
      </c>
      <c r="B1920" s="84" t="n">
        <v>13562.1</v>
      </c>
      <c r="C1920" s="39">
        <f>(Table26[[#This Row],[M2 Money Stock, Billions of Dollars, Weekly, Seasonally Adjusted]]-B1919)/B1919</f>
        <v/>
      </c>
      <c r="D1920" s="40">
        <f>((1+Table26[[#This Row],[Weekly change]])^52)-1</f>
        <v/>
      </c>
      <c r="E1920" s="85">
        <f>(Table26[[#This Row],[M2 Money Stock, Billions of Dollars, Weekly, Seasonally Adjusted]]-B1868)/B1868</f>
        <v/>
      </c>
    </row>
    <row r="1921">
      <c r="A1921" s="37" t="n">
        <v>42926</v>
      </c>
      <c r="B1921" s="84" t="n">
        <v>13607.5</v>
      </c>
      <c r="C1921" s="39">
        <f>(Table26[[#This Row],[M2 Money Stock, Billions of Dollars, Weekly, Seasonally Adjusted]]-B1920)/B1920</f>
        <v/>
      </c>
      <c r="D1921" s="40">
        <f>((1+Table26[[#This Row],[Weekly change]])^52)-1</f>
        <v/>
      </c>
      <c r="E1921" s="85">
        <f>(Table26[[#This Row],[M2 Money Stock, Billions of Dollars, Weekly, Seasonally Adjusted]]-B1869)/B1869</f>
        <v/>
      </c>
    </row>
    <row r="1922">
      <c r="A1922" s="37" t="n">
        <v>42933</v>
      </c>
      <c r="B1922" s="84" t="n">
        <v>13620</v>
      </c>
      <c r="C1922" s="39">
        <f>(Table26[[#This Row],[M2 Money Stock, Billions of Dollars, Weekly, Seasonally Adjusted]]-B1921)/B1921</f>
        <v/>
      </c>
      <c r="D1922" s="40">
        <f>((1+Table26[[#This Row],[Weekly change]])^52)-1</f>
        <v/>
      </c>
      <c r="E1922" s="85">
        <f>(Table26[[#This Row],[M2 Money Stock, Billions of Dollars, Weekly, Seasonally Adjusted]]-B1870)/B1870</f>
        <v/>
      </c>
    </row>
    <row r="1923">
      <c r="A1923" s="37" t="n">
        <v>42940</v>
      </c>
      <c r="B1923" s="84" t="n">
        <v>13628.5</v>
      </c>
      <c r="C1923" s="39">
        <f>(Table26[[#This Row],[M2 Money Stock, Billions of Dollars, Weekly, Seasonally Adjusted]]-B1922)/B1922</f>
        <v/>
      </c>
      <c r="D1923" s="40">
        <f>((1+Table26[[#This Row],[Weekly change]])^52)-1</f>
        <v/>
      </c>
      <c r="E1923" s="85">
        <f>(Table26[[#This Row],[M2 Money Stock, Billions of Dollars, Weekly, Seasonally Adjusted]]-B1871)/B1871</f>
        <v/>
      </c>
    </row>
    <row r="1924">
      <c r="A1924" s="37" t="n">
        <v>42947</v>
      </c>
      <c r="B1924" s="84" t="n">
        <v>13640.8</v>
      </c>
      <c r="C1924" s="39">
        <f>(Table26[[#This Row],[M2 Money Stock, Billions of Dollars, Weekly, Seasonally Adjusted]]-B1923)/B1923</f>
        <v/>
      </c>
      <c r="D1924" s="40">
        <f>((1+Table26[[#This Row],[Weekly change]])^52)-1</f>
        <v/>
      </c>
      <c r="E1924" s="85">
        <f>(Table26[[#This Row],[M2 Money Stock, Billions of Dollars, Weekly, Seasonally Adjusted]]-B1872)/B1872</f>
        <v/>
      </c>
    </row>
    <row r="1925">
      <c r="A1925" s="37" t="n">
        <v>42954</v>
      </c>
      <c r="B1925" s="84" t="n">
        <v>13646.9</v>
      </c>
      <c r="C1925" s="39">
        <f>(Table26[[#This Row],[M2 Money Stock, Billions of Dollars, Weekly, Seasonally Adjusted]]-B1924)/B1924</f>
        <v/>
      </c>
      <c r="D1925" s="40">
        <f>((1+Table26[[#This Row],[Weekly change]])^52)-1</f>
        <v/>
      </c>
      <c r="E1925" s="85">
        <f>(Table26[[#This Row],[M2 Money Stock, Billions of Dollars, Weekly, Seasonally Adjusted]]-B1873)/B1873</f>
        <v/>
      </c>
    </row>
    <row r="1926">
      <c r="A1926" s="37" t="n">
        <v>42961</v>
      </c>
      <c r="B1926" s="84" t="n">
        <v>13651</v>
      </c>
      <c r="C1926" s="39">
        <f>(Table26[[#This Row],[M2 Money Stock, Billions of Dollars, Weekly, Seasonally Adjusted]]-B1925)/B1925</f>
        <v/>
      </c>
      <c r="D1926" s="40">
        <f>((1+Table26[[#This Row],[Weekly change]])^52)-1</f>
        <v/>
      </c>
      <c r="E1926" s="85">
        <f>(Table26[[#This Row],[M2 Money Stock, Billions of Dollars, Weekly, Seasonally Adjusted]]-B1874)/B1874</f>
        <v/>
      </c>
    </row>
    <row r="1927">
      <c r="A1927" s="37" t="n">
        <v>42968</v>
      </c>
      <c r="B1927" s="84" t="n">
        <v>13687.3</v>
      </c>
      <c r="C1927" s="39">
        <f>(Table26[[#This Row],[M2 Money Stock, Billions of Dollars, Weekly, Seasonally Adjusted]]-B1926)/B1926</f>
        <v/>
      </c>
      <c r="D1927" s="40">
        <f>((1+Table26[[#This Row],[Weekly change]])^52)-1</f>
        <v/>
      </c>
      <c r="E1927" s="85">
        <f>(Table26[[#This Row],[M2 Money Stock, Billions of Dollars, Weekly, Seasonally Adjusted]]-B1875)/B1875</f>
        <v/>
      </c>
    </row>
    <row r="1928">
      <c r="A1928" s="37" t="n">
        <v>42975</v>
      </c>
      <c r="B1928" s="84" t="n">
        <v>13702</v>
      </c>
      <c r="C1928" s="39">
        <f>(Table26[[#This Row],[M2 Money Stock, Billions of Dollars, Weekly, Seasonally Adjusted]]-B1927)/B1927</f>
        <v/>
      </c>
      <c r="D1928" s="40">
        <f>((1+Table26[[#This Row],[Weekly change]])^52)-1</f>
        <v/>
      </c>
      <c r="E1928" s="85">
        <f>(Table26[[#This Row],[M2 Money Stock, Billions of Dollars, Weekly, Seasonally Adjusted]]-B1876)/B1876</f>
        <v/>
      </c>
    </row>
    <row r="1929">
      <c r="A1929" s="37" t="n">
        <v>42982</v>
      </c>
      <c r="B1929" s="84" t="n">
        <v>13692</v>
      </c>
      <c r="C1929" s="39">
        <f>(Table26[[#This Row],[M2 Money Stock, Billions of Dollars, Weekly, Seasonally Adjusted]]-B1928)/B1928</f>
        <v/>
      </c>
      <c r="D1929" s="40">
        <f>((1+Table26[[#This Row],[Weekly change]])^52)-1</f>
        <v/>
      </c>
      <c r="E1929" s="85">
        <f>(Table26[[#This Row],[M2 Money Stock, Billions of Dollars, Weekly, Seasonally Adjusted]]-B1877)/B1877</f>
        <v/>
      </c>
    </row>
    <row r="1930">
      <c r="A1930" s="37" t="n">
        <v>42989</v>
      </c>
      <c r="B1930" s="84" t="n">
        <v>13706.8</v>
      </c>
      <c r="C1930" s="39">
        <f>(Table26[[#This Row],[M2 Money Stock, Billions of Dollars, Weekly, Seasonally Adjusted]]-B1929)/B1929</f>
        <v/>
      </c>
      <c r="D1930" s="40">
        <f>((1+Table26[[#This Row],[Weekly change]])^52)-1</f>
        <v/>
      </c>
      <c r="E1930" s="85">
        <f>(Table26[[#This Row],[M2 Money Stock, Billions of Dollars, Weekly, Seasonally Adjusted]]-B1878)/B1878</f>
        <v/>
      </c>
    </row>
    <row r="1931">
      <c r="A1931" s="37" t="n">
        <v>42996</v>
      </c>
      <c r="B1931" s="84" t="n">
        <v>13708</v>
      </c>
      <c r="C1931" s="39">
        <f>(Table26[[#This Row],[M2 Money Stock, Billions of Dollars, Weekly, Seasonally Adjusted]]-B1930)/B1930</f>
        <v/>
      </c>
      <c r="D1931" s="40">
        <f>((1+Table26[[#This Row],[Weekly change]])^52)-1</f>
        <v/>
      </c>
      <c r="E1931" s="85">
        <f>(Table26[[#This Row],[M2 Money Stock, Billions of Dollars, Weekly, Seasonally Adjusted]]-B1879)/B1879</f>
        <v/>
      </c>
    </row>
    <row r="1932">
      <c r="A1932" s="37" t="n">
        <v>43003</v>
      </c>
      <c r="B1932" s="84" t="n">
        <v>13725.4</v>
      </c>
      <c r="C1932" s="39">
        <f>(Table26[[#This Row],[M2 Money Stock, Billions of Dollars, Weekly, Seasonally Adjusted]]-B1931)/B1931</f>
        <v/>
      </c>
      <c r="D1932" s="40">
        <f>((1+Table26[[#This Row],[Weekly change]])^52)-1</f>
        <v/>
      </c>
      <c r="E1932" s="85">
        <f>(Table26[[#This Row],[M2 Money Stock, Billions of Dollars, Weekly, Seasonally Adjusted]]-B1880)/B1880</f>
        <v/>
      </c>
    </row>
    <row r="1933">
      <c r="A1933" s="37" t="n">
        <v>43010</v>
      </c>
      <c r="B1933" s="84" t="n">
        <v>13748.2</v>
      </c>
      <c r="C1933" s="39">
        <f>(Table26[[#This Row],[M2 Money Stock, Billions of Dollars, Weekly, Seasonally Adjusted]]-B1932)/B1932</f>
        <v/>
      </c>
      <c r="D1933" s="40">
        <f>((1+Table26[[#This Row],[Weekly change]])^52)-1</f>
        <v/>
      </c>
      <c r="E1933" s="85">
        <f>(Table26[[#This Row],[M2 Money Stock, Billions of Dollars, Weekly, Seasonally Adjusted]]-B1881)/B1881</f>
        <v/>
      </c>
    </row>
    <row r="1934">
      <c r="A1934" s="37" t="n">
        <v>43017</v>
      </c>
      <c r="B1934" s="84" t="n">
        <v>13773.7</v>
      </c>
      <c r="C1934" s="39">
        <f>(Table26[[#This Row],[M2 Money Stock, Billions of Dollars, Weekly, Seasonally Adjusted]]-B1933)/B1933</f>
        <v/>
      </c>
      <c r="D1934" s="40">
        <f>((1+Table26[[#This Row],[Weekly change]])^52)-1</f>
        <v/>
      </c>
      <c r="E1934" s="85">
        <f>(Table26[[#This Row],[M2 Money Stock, Billions of Dollars, Weekly, Seasonally Adjusted]]-B1882)/B1882</f>
        <v/>
      </c>
    </row>
    <row r="1935">
      <c r="A1935" s="37" t="n">
        <v>43024</v>
      </c>
      <c r="B1935" s="84" t="n">
        <v>13762.3</v>
      </c>
      <c r="C1935" s="39">
        <f>(Table26[[#This Row],[M2 Money Stock, Billions of Dollars, Weekly, Seasonally Adjusted]]-B1934)/B1934</f>
        <v/>
      </c>
      <c r="D1935" s="40">
        <f>((1+Table26[[#This Row],[Weekly change]])^52)-1</f>
        <v/>
      </c>
      <c r="E1935" s="85">
        <f>(Table26[[#This Row],[M2 Money Stock, Billions of Dollars, Weekly, Seasonally Adjusted]]-B1883)/B1883</f>
        <v/>
      </c>
    </row>
    <row r="1936">
      <c r="A1936" s="37" t="n">
        <v>43031</v>
      </c>
      <c r="B1936" s="84" t="n">
        <v>13765.8</v>
      </c>
      <c r="C1936" s="39">
        <f>(Table26[[#This Row],[M2 Money Stock, Billions of Dollars, Weekly, Seasonally Adjusted]]-B1935)/B1935</f>
        <v/>
      </c>
      <c r="D1936" s="40">
        <f>((1+Table26[[#This Row],[Weekly change]])^52)-1</f>
        <v/>
      </c>
      <c r="E1936" s="85">
        <f>(Table26[[#This Row],[M2 Money Stock, Billions of Dollars, Weekly, Seasonally Adjusted]]-B1884)/B1884</f>
        <v/>
      </c>
    </row>
    <row r="1937">
      <c r="A1937" s="37" t="n">
        <v>43038</v>
      </c>
      <c r="B1937" s="84" t="n">
        <v>13778</v>
      </c>
      <c r="C1937" s="39">
        <f>(Table26[[#This Row],[M2 Money Stock, Billions of Dollars, Weekly, Seasonally Adjusted]]-B1936)/B1936</f>
        <v/>
      </c>
      <c r="D1937" s="40">
        <f>((1+Table26[[#This Row],[Weekly change]])^52)-1</f>
        <v/>
      </c>
      <c r="E1937" s="85">
        <f>(Table26[[#This Row],[M2 Money Stock, Billions of Dollars, Weekly, Seasonally Adjusted]]-B1885)/B1885</f>
        <v/>
      </c>
    </row>
    <row r="1938">
      <c r="A1938" s="37" t="n">
        <v>43045</v>
      </c>
      <c r="B1938" s="84" t="n">
        <v>13781.4</v>
      </c>
      <c r="C1938" s="39">
        <f>(Table26[[#This Row],[M2 Money Stock, Billions of Dollars, Weekly, Seasonally Adjusted]]-B1937)/B1937</f>
        <v/>
      </c>
      <c r="D1938" s="40">
        <f>((1+Table26[[#This Row],[Weekly change]])^52)-1</f>
        <v/>
      </c>
      <c r="E1938" s="85">
        <f>(Table26[[#This Row],[M2 Money Stock, Billions of Dollars, Weekly, Seasonally Adjusted]]-B1886)/B1886</f>
        <v/>
      </c>
    </row>
    <row r="1939">
      <c r="A1939" s="37" t="n">
        <v>43052</v>
      </c>
      <c r="B1939" s="84" t="n">
        <v>13787.4</v>
      </c>
      <c r="C1939" s="39">
        <f>(Table26[[#This Row],[M2 Money Stock, Billions of Dollars, Weekly, Seasonally Adjusted]]-B1938)/B1938</f>
        <v/>
      </c>
      <c r="D1939" s="40">
        <f>((1+Table26[[#This Row],[Weekly change]])^52)-1</f>
        <v/>
      </c>
      <c r="E1939" s="85">
        <f>(Table26[[#This Row],[M2 Money Stock, Billions of Dollars, Weekly, Seasonally Adjusted]]-B1887)/B1887</f>
        <v/>
      </c>
    </row>
    <row r="1940">
      <c r="A1940" s="37" t="n">
        <v>43059</v>
      </c>
      <c r="B1940" s="84" t="n">
        <v>13785.5</v>
      </c>
      <c r="C1940" s="39">
        <f>(Table26[[#This Row],[M2 Money Stock, Billions of Dollars, Weekly, Seasonally Adjusted]]-B1939)/B1939</f>
        <v/>
      </c>
      <c r="D1940" s="40">
        <f>((1+Table26[[#This Row],[Weekly change]])^52)-1</f>
        <v/>
      </c>
      <c r="E1940" s="85">
        <f>(Table26[[#This Row],[M2 Money Stock, Billions of Dollars, Weekly, Seasonally Adjusted]]-B1888)/B1888</f>
        <v/>
      </c>
    </row>
    <row r="1941">
      <c r="A1941" s="37" t="n">
        <v>43066</v>
      </c>
      <c r="B1941" s="84" t="n">
        <v>13814.6</v>
      </c>
      <c r="C1941" s="39">
        <f>(Table26[[#This Row],[M2 Money Stock, Billions of Dollars, Weekly, Seasonally Adjusted]]-B1940)/B1940</f>
        <v/>
      </c>
      <c r="D1941" s="40">
        <f>((1+Table26[[#This Row],[Weekly change]])^52)-1</f>
        <v/>
      </c>
      <c r="E1941" s="85">
        <f>(Table26[[#This Row],[M2 Money Stock, Billions of Dollars, Weekly, Seasonally Adjusted]]-B1889)/B1889</f>
        <v/>
      </c>
    </row>
    <row r="1942">
      <c r="A1942" s="37" t="n">
        <v>43073</v>
      </c>
      <c r="B1942" s="84" t="n">
        <v>13806.2</v>
      </c>
      <c r="C1942" s="39">
        <f>(Table26[[#This Row],[M2 Money Stock, Billions of Dollars, Weekly, Seasonally Adjusted]]-B1941)/B1941</f>
        <v/>
      </c>
      <c r="D1942" s="40">
        <f>((1+Table26[[#This Row],[Weekly change]])^52)-1</f>
        <v/>
      </c>
      <c r="E1942" s="85">
        <f>(Table26[[#This Row],[M2 Money Stock, Billions of Dollars, Weekly, Seasonally Adjusted]]-B1890)/B1890</f>
        <v/>
      </c>
    </row>
    <row r="1943">
      <c r="A1943" s="37" t="n">
        <v>43080</v>
      </c>
      <c r="B1943" s="84" t="n">
        <v>13841.9</v>
      </c>
      <c r="C1943" s="39">
        <f>(Table26[[#This Row],[M2 Money Stock, Billions of Dollars, Weekly, Seasonally Adjusted]]-B1942)/B1942</f>
        <v/>
      </c>
      <c r="D1943" s="40">
        <f>((1+Table26[[#This Row],[Weekly change]])^52)-1</f>
        <v/>
      </c>
      <c r="E1943" s="85">
        <f>(Table26[[#This Row],[M2 Money Stock, Billions of Dollars, Weekly, Seasonally Adjusted]]-B1891)/B1891</f>
        <v/>
      </c>
    </row>
    <row r="1944">
      <c r="A1944" s="37" t="n">
        <v>43087</v>
      </c>
      <c r="B1944" s="84" t="n">
        <v>13852.4</v>
      </c>
      <c r="C1944" s="39">
        <f>(Table26[[#This Row],[M2 Money Stock, Billions of Dollars, Weekly, Seasonally Adjusted]]-B1943)/B1943</f>
        <v/>
      </c>
      <c r="D1944" s="40">
        <f>((1+Table26[[#This Row],[Weekly change]])^52)-1</f>
        <v/>
      </c>
      <c r="E1944" s="85">
        <f>(Table26[[#This Row],[M2 Money Stock, Billions of Dollars, Weekly, Seasonally Adjusted]]-B1892)/B1892</f>
        <v/>
      </c>
    </row>
    <row r="1945">
      <c r="A1945" s="37" t="n">
        <v>43094</v>
      </c>
      <c r="B1945" s="84" t="n">
        <v>13830.2</v>
      </c>
      <c r="C1945" s="39">
        <f>(Table26[[#This Row],[M2 Money Stock, Billions of Dollars, Weekly, Seasonally Adjusted]]-B1944)/B1944</f>
        <v/>
      </c>
      <c r="D1945" s="40">
        <f>((1+Table26[[#This Row],[Weekly change]])^52)-1</f>
        <v/>
      </c>
      <c r="E1945" s="85">
        <f>(Table26[[#This Row],[M2 Money Stock, Billions of Dollars, Weekly, Seasonally Adjusted]]-B1893)/B1893</f>
        <v/>
      </c>
    </row>
    <row r="1946">
      <c r="A1946" s="37" t="n">
        <v>43101</v>
      </c>
      <c r="B1946" s="84" t="n">
        <v>13834.7</v>
      </c>
      <c r="C1946" s="39">
        <f>(Table26[[#This Row],[M2 Money Stock, Billions of Dollars, Weekly, Seasonally Adjusted]]-B1945)/B1945</f>
        <v/>
      </c>
      <c r="D1946" s="40">
        <f>((1+Table26[[#This Row],[Weekly change]])^52)-1</f>
        <v/>
      </c>
      <c r="E1946" s="85">
        <f>(Table26[[#This Row],[M2 Money Stock, Billions of Dollars, Weekly, Seasonally Adjusted]]-B1894)/B1894</f>
        <v/>
      </c>
    </row>
    <row r="1947">
      <c r="A1947" s="37" t="n">
        <v>43108</v>
      </c>
      <c r="B1947" s="84" t="n">
        <v>13844.1</v>
      </c>
      <c r="C1947" s="39">
        <f>(Table26[[#This Row],[M2 Money Stock, Billions of Dollars, Weekly, Seasonally Adjusted]]-B1946)/B1946</f>
        <v/>
      </c>
      <c r="D1947" s="40">
        <f>((1+Table26[[#This Row],[Weekly change]])^52)-1</f>
        <v/>
      </c>
      <c r="E1947" s="85">
        <f>(Table26[[#This Row],[M2 Money Stock, Billions of Dollars, Weekly, Seasonally Adjusted]]-B1895)/B1895</f>
        <v/>
      </c>
    </row>
    <row r="1948">
      <c r="A1948" s="37" t="n">
        <v>43115</v>
      </c>
      <c r="B1948" s="84" t="n">
        <v>13851.2</v>
      </c>
      <c r="C1948" s="39">
        <f>(Table26[[#This Row],[M2 Money Stock, Billions of Dollars, Weekly, Seasonally Adjusted]]-B1947)/B1947</f>
        <v/>
      </c>
      <c r="D1948" s="40">
        <f>((1+Table26[[#This Row],[Weekly change]])^52)-1</f>
        <v/>
      </c>
      <c r="E1948" s="85">
        <f>(Table26[[#This Row],[M2 Money Stock, Billions of Dollars, Weekly, Seasonally Adjusted]]-B1896)/B1896</f>
        <v/>
      </c>
    </row>
    <row r="1949">
      <c r="A1949" s="37" t="n">
        <v>43122</v>
      </c>
      <c r="B1949" s="84" t="n">
        <v>13864.9</v>
      </c>
      <c r="C1949" s="39">
        <f>(Table26[[#This Row],[M2 Money Stock, Billions of Dollars, Weekly, Seasonally Adjusted]]-B1948)/B1948</f>
        <v/>
      </c>
      <c r="D1949" s="40">
        <f>((1+Table26[[#This Row],[Weekly change]])^52)-1</f>
        <v/>
      </c>
      <c r="E1949" s="85">
        <f>(Table26[[#This Row],[M2 Money Stock, Billions of Dollars, Weekly, Seasonally Adjusted]]-B1897)/B1897</f>
        <v/>
      </c>
    </row>
    <row r="1950">
      <c r="A1950" s="37" t="n">
        <v>43129</v>
      </c>
      <c r="B1950" s="84" t="n">
        <v>13869.8</v>
      </c>
      <c r="C1950" s="39">
        <f>(Table26[[#This Row],[M2 Money Stock, Billions of Dollars, Weekly, Seasonally Adjusted]]-B1949)/B1949</f>
        <v/>
      </c>
      <c r="D1950" s="40">
        <f>((1+Table26[[#This Row],[Weekly change]])^52)-1</f>
        <v/>
      </c>
      <c r="E1950" s="85">
        <f>(Table26[[#This Row],[M2 Money Stock, Billions of Dollars, Weekly, Seasonally Adjusted]]-B1898)/B1898</f>
        <v/>
      </c>
    </row>
    <row r="1951">
      <c r="A1951" s="37" t="n">
        <v>43136</v>
      </c>
      <c r="B1951" s="84" t="n">
        <v>13881.5</v>
      </c>
      <c r="C1951" s="39">
        <f>(Table26[[#This Row],[M2 Money Stock, Billions of Dollars, Weekly, Seasonally Adjusted]]-B1950)/B1950</f>
        <v/>
      </c>
      <c r="D1951" s="40">
        <f>((1+Table26[[#This Row],[Weekly change]])^52)-1</f>
        <v/>
      </c>
      <c r="E1951" s="85">
        <f>(Table26[[#This Row],[M2 Money Stock, Billions of Dollars, Weekly, Seasonally Adjusted]]-B1899)/B1899</f>
        <v/>
      </c>
    </row>
    <row r="1952">
      <c r="A1952" s="37" t="n">
        <v>43143</v>
      </c>
      <c r="B1952" s="84" t="n">
        <v>13875.1</v>
      </c>
      <c r="C1952" s="39">
        <f>(Table26[[#This Row],[M2 Money Stock, Billions of Dollars, Weekly, Seasonally Adjusted]]-B1951)/B1951</f>
        <v/>
      </c>
      <c r="D1952" s="40">
        <f>((1+Table26[[#This Row],[Weekly change]])^52)-1</f>
        <v/>
      </c>
      <c r="E1952" s="85">
        <f>(Table26[[#This Row],[M2 Money Stock, Billions of Dollars, Weekly, Seasonally Adjusted]]-B1900)/B1900</f>
        <v/>
      </c>
    </row>
    <row r="1953">
      <c r="A1953" s="37" t="n">
        <v>43150</v>
      </c>
      <c r="B1953" s="84" t="n">
        <v>13884.9</v>
      </c>
      <c r="C1953" s="39">
        <f>(Table26[[#This Row],[M2 Money Stock, Billions of Dollars, Weekly, Seasonally Adjusted]]-B1952)/B1952</f>
        <v/>
      </c>
      <c r="D1953" s="40">
        <f>((1+Table26[[#This Row],[Weekly change]])^52)-1</f>
        <v/>
      </c>
      <c r="E1953" s="85">
        <f>(Table26[[#This Row],[M2 Money Stock, Billions of Dollars, Weekly, Seasonally Adjusted]]-B1901)/B1901</f>
        <v/>
      </c>
    </row>
    <row r="1954">
      <c r="A1954" s="37" t="n">
        <v>43157</v>
      </c>
      <c r="B1954" s="84" t="n">
        <v>13914.4</v>
      </c>
      <c r="C1954" s="39">
        <f>(Table26[[#This Row],[M2 Money Stock, Billions of Dollars, Weekly, Seasonally Adjusted]]-B1953)/B1953</f>
        <v/>
      </c>
      <c r="D1954" s="40">
        <f>((1+Table26[[#This Row],[Weekly change]])^52)-1</f>
        <v/>
      </c>
      <c r="E1954" s="85">
        <f>(Table26[[#This Row],[M2 Money Stock, Billions of Dollars, Weekly, Seasonally Adjusted]]-B1902)/B1902</f>
        <v/>
      </c>
    </row>
    <row r="1955">
      <c r="A1955" s="37" t="n">
        <v>43164</v>
      </c>
      <c r="B1955" s="84" t="n">
        <v>13935.6</v>
      </c>
      <c r="C1955" s="39">
        <f>(Table26[[#This Row],[M2 Money Stock, Billions of Dollars, Weekly, Seasonally Adjusted]]-B1954)/B1954</f>
        <v/>
      </c>
      <c r="D1955" s="40">
        <f>((1+Table26[[#This Row],[Weekly change]])^52)-1</f>
        <v/>
      </c>
      <c r="E1955" s="85">
        <f>(Table26[[#This Row],[M2 Money Stock, Billions of Dollars, Weekly, Seasonally Adjusted]]-B1903)/B1903</f>
        <v/>
      </c>
    </row>
    <row r="1956">
      <c r="A1956" s="37" t="n">
        <v>43171</v>
      </c>
      <c r="B1956" s="84" t="n">
        <v>13938.8</v>
      </c>
      <c r="C1956" s="39">
        <f>(Table26[[#This Row],[M2 Money Stock, Billions of Dollars, Weekly, Seasonally Adjusted]]-B1955)/B1955</f>
        <v/>
      </c>
      <c r="D1956" s="40">
        <f>((1+Table26[[#This Row],[Weekly change]])^52)-1</f>
        <v/>
      </c>
      <c r="E1956" s="85">
        <f>(Table26[[#This Row],[M2 Money Stock, Billions of Dollars, Weekly, Seasonally Adjusted]]-B1904)/B1904</f>
        <v/>
      </c>
    </row>
    <row r="1957">
      <c r="A1957" s="37" t="n">
        <v>43178</v>
      </c>
      <c r="B1957" s="84" t="n">
        <v>13942.4</v>
      </c>
      <c r="C1957" s="39">
        <f>(Table26[[#This Row],[M2 Money Stock, Billions of Dollars, Weekly, Seasonally Adjusted]]-B1956)/B1956</f>
        <v/>
      </c>
      <c r="D1957" s="40">
        <f>((1+Table26[[#This Row],[Weekly change]])^52)-1</f>
        <v/>
      </c>
      <c r="E1957" s="85">
        <f>(Table26[[#This Row],[M2 Money Stock, Billions of Dollars, Weekly, Seasonally Adjusted]]-B1905)/B1905</f>
        <v/>
      </c>
    </row>
    <row r="1958">
      <c r="A1958" s="37" t="n">
        <v>43185</v>
      </c>
      <c r="B1958" s="84" t="n">
        <v>13970.3</v>
      </c>
      <c r="C1958" s="39">
        <f>(Table26[[#This Row],[M2 Money Stock, Billions of Dollars, Weekly, Seasonally Adjusted]]-B1957)/B1957</f>
        <v/>
      </c>
      <c r="D1958" s="40">
        <f>((1+Table26[[#This Row],[Weekly change]])^52)-1</f>
        <v/>
      </c>
      <c r="E1958" s="85">
        <f>(Table26[[#This Row],[M2 Money Stock, Billions of Dollars, Weekly, Seasonally Adjusted]]-B1906)/B1906</f>
        <v/>
      </c>
    </row>
    <row r="1959">
      <c r="A1959" s="37" t="n">
        <v>43192</v>
      </c>
      <c r="B1959" s="84" t="n">
        <v>13978.8</v>
      </c>
      <c r="C1959" s="39">
        <f>(Table26[[#This Row],[M2 Money Stock, Billions of Dollars, Weekly, Seasonally Adjusted]]-B1958)/B1958</f>
        <v/>
      </c>
      <c r="D1959" s="40">
        <f>((1+Table26[[#This Row],[Weekly change]])^52)-1</f>
        <v/>
      </c>
      <c r="E1959" s="85">
        <f>(Table26[[#This Row],[M2 Money Stock, Billions of Dollars, Weekly, Seasonally Adjusted]]-B1907)/B1907</f>
        <v/>
      </c>
    </row>
    <row r="1960">
      <c r="A1960" s="37" t="n">
        <v>43199</v>
      </c>
      <c r="B1960" s="84" t="n">
        <v>13972.1</v>
      </c>
      <c r="C1960" s="39">
        <f>(Table26[[#This Row],[M2 Money Stock, Billions of Dollars, Weekly, Seasonally Adjusted]]-B1959)/B1959</f>
        <v/>
      </c>
      <c r="D1960" s="40">
        <f>((1+Table26[[#This Row],[Weekly change]])^52)-1</f>
        <v/>
      </c>
      <c r="E1960" s="85">
        <f>(Table26[[#This Row],[M2 Money Stock, Billions of Dollars, Weekly, Seasonally Adjusted]]-B1908)/B1908</f>
        <v/>
      </c>
    </row>
    <row r="1961">
      <c r="A1961" s="37" t="n">
        <v>43206</v>
      </c>
      <c r="B1961" s="84" t="n">
        <v>13978.2</v>
      </c>
      <c r="C1961" s="39">
        <f>(Table26[[#This Row],[M2 Money Stock, Billions of Dollars, Weekly, Seasonally Adjusted]]-B1960)/B1960</f>
        <v/>
      </c>
      <c r="D1961" s="40">
        <f>((1+Table26[[#This Row],[Weekly change]])^52)-1</f>
        <v/>
      </c>
      <c r="E1961" s="85">
        <f>(Table26[[#This Row],[M2 Money Stock, Billions of Dollars, Weekly, Seasonally Adjusted]]-B1909)/B1909</f>
        <v/>
      </c>
    </row>
    <row r="1962">
      <c r="A1962" s="37" t="n">
        <v>43213</v>
      </c>
      <c r="B1962" s="84" t="n">
        <v>14004.1</v>
      </c>
      <c r="C1962" s="39">
        <f>(Table26[[#This Row],[M2 Money Stock, Billions of Dollars, Weekly, Seasonally Adjusted]]-B1961)/B1961</f>
        <v/>
      </c>
      <c r="D1962" s="40">
        <f>((1+Table26[[#This Row],[Weekly change]])^52)-1</f>
        <v/>
      </c>
      <c r="E1962" s="85">
        <f>(Table26[[#This Row],[M2 Money Stock, Billions of Dollars, Weekly, Seasonally Adjusted]]-B1910)/B1910</f>
        <v/>
      </c>
    </row>
    <row r="1963">
      <c r="A1963" s="37" t="n">
        <v>43220</v>
      </c>
      <c r="B1963" s="84" t="n">
        <v>14005.3</v>
      </c>
      <c r="C1963" s="39">
        <f>(Table26[[#This Row],[M2 Money Stock, Billions of Dollars, Weekly, Seasonally Adjusted]]-B1962)/B1962</f>
        <v/>
      </c>
      <c r="D1963" s="40">
        <f>((1+Table26[[#This Row],[Weekly change]])^52)-1</f>
        <v/>
      </c>
      <c r="E1963" s="85">
        <f>(Table26[[#This Row],[M2 Money Stock, Billions of Dollars, Weekly, Seasonally Adjusted]]-B1911)/B1911</f>
        <v/>
      </c>
    </row>
    <row r="1964">
      <c r="A1964" s="37" t="n">
        <v>43227</v>
      </c>
      <c r="B1964" s="84" t="n">
        <v>14016.8</v>
      </c>
      <c r="C1964" s="39">
        <f>(Table26[[#This Row],[M2 Money Stock, Billions of Dollars, Weekly, Seasonally Adjusted]]-B1963)/B1963</f>
        <v/>
      </c>
      <c r="D1964" s="40">
        <f>((1+Table26[[#This Row],[Weekly change]])^52)-1</f>
        <v/>
      </c>
      <c r="E1964" s="85">
        <f>(Table26[[#This Row],[M2 Money Stock, Billions of Dollars, Weekly, Seasonally Adjusted]]-B1912)/B1912</f>
        <v/>
      </c>
    </row>
    <row r="1965">
      <c r="A1965" s="37" t="n">
        <v>43234</v>
      </c>
      <c r="B1965" s="84" t="n">
        <v>14039.4</v>
      </c>
      <c r="C1965" s="39">
        <f>(Table26[[#This Row],[M2 Money Stock, Billions of Dollars, Weekly, Seasonally Adjusted]]-B1964)/B1964</f>
        <v/>
      </c>
      <c r="D1965" s="40">
        <f>((1+Table26[[#This Row],[Weekly change]])^52)-1</f>
        <v/>
      </c>
      <c r="E1965" s="85">
        <f>(Table26[[#This Row],[M2 Money Stock, Billions of Dollars, Weekly, Seasonally Adjusted]]-B1913)/B1913</f>
        <v/>
      </c>
    </row>
    <row r="1966">
      <c r="A1966" s="37" t="n">
        <v>43241</v>
      </c>
      <c r="B1966" s="84" t="n">
        <v>14061.4</v>
      </c>
      <c r="C1966" s="39">
        <f>(Table26[[#This Row],[M2 Money Stock, Billions of Dollars, Weekly, Seasonally Adjusted]]-B1965)/B1965</f>
        <v/>
      </c>
      <c r="D1966" s="40">
        <f>((1+Table26[[#This Row],[Weekly change]])^52)-1</f>
        <v/>
      </c>
      <c r="E1966" s="85">
        <f>(Table26[[#This Row],[M2 Money Stock, Billions of Dollars, Weekly, Seasonally Adjusted]]-B1914)/B1914</f>
        <v/>
      </c>
    </row>
    <row r="1967">
      <c r="A1967" s="37" t="n">
        <v>43248</v>
      </c>
      <c r="B1967" s="84" t="n">
        <v>14085.1</v>
      </c>
      <c r="C1967" s="39">
        <f>(Table26[[#This Row],[M2 Money Stock, Billions of Dollars, Weekly, Seasonally Adjusted]]-B1966)/B1966</f>
        <v/>
      </c>
      <c r="D1967" s="40">
        <f>((1+Table26[[#This Row],[Weekly change]])^52)-1</f>
        <v/>
      </c>
      <c r="E1967" s="85">
        <f>(Table26[[#This Row],[M2 Money Stock, Billions of Dollars, Weekly, Seasonally Adjusted]]-B1915)/B1915</f>
        <v/>
      </c>
    </row>
    <row r="1968">
      <c r="A1968" s="37" t="n">
        <v>43255</v>
      </c>
      <c r="B1968" s="84" t="n">
        <v>14093.7</v>
      </c>
      <c r="C1968" s="39">
        <f>(Table26[[#This Row],[M2 Money Stock, Billions of Dollars, Weekly, Seasonally Adjusted]]-B1967)/B1967</f>
        <v/>
      </c>
      <c r="D1968" s="40">
        <f>((1+Table26[[#This Row],[Weekly change]])^52)-1</f>
        <v/>
      </c>
      <c r="E1968" s="85">
        <f>(Table26[[#This Row],[M2 Money Stock, Billions of Dollars, Weekly, Seasonally Adjusted]]-B1916)/B1916</f>
        <v/>
      </c>
    </row>
    <row r="1969">
      <c r="A1969" s="37" t="n">
        <v>43262</v>
      </c>
      <c r="B1969" s="84" t="n">
        <v>14105.2</v>
      </c>
      <c r="C1969" s="39">
        <f>(Table26[[#This Row],[M2 Money Stock, Billions of Dollars, Weekly, Seasonally Adjusted]]-B1968)/B1968</f>
        <v/>
      </c>
      <c r="D1969" s="40">
        <f>((1+Table26[[#This Row],[Weekly change]])^52)-1</f>
        <v/>
      </c>
      <c r="E1969" s="85">
        <f>(Table26[[#This Row],[M2 Money Stock, Billions of Dollars, Weekly, Seasonally Adjusted]]-B1917)/B1917</f>
        <v/>
      </c>
    </row>
    <row r="1970">
      <c r="A1970" s="37" t="n">
        <v>43269</v>
      </c>
      <c r="B1970" s="84" t="n">
        <v>14122.2</v>
      </c>
      <c r="C1970" s="39">
        <f>(Table26[[#This Row],[M2 Money Stock, Billions of Dollars, Weekly, Seasonally Adjusted]]-B1969)/B1969</f>
        <v/>
      </c>
      <c r="D1970" s="40">
        <f>((1+Table26[[#This Row],[Weekly change]])^52)-1</f>
        <v/>
      </c>
      <c r="E1970" s="85">
        <f>(Table26[[#This Row],[M2 Money Stock, Billions of Dollars, Weekly, Seasonally Adjusted]]-B1918)/B1918</f>
        <v/>
      </c>
    </row>
    <row r="1971">
      <c r="A1971" s="37" t="n">
        <v>43276</v>
      </c>
      <c r="B1971" s="84" t="n">
        <v>14131.8</v>
      </c>
      <c r="C1971" s="39">
        <f>(Table26[[#This Row],[M2 Money Stock, Billions of Dollars, Weekly, Seasonally Adjusted]]-B1970)/B1970</f>
        <v/>
      </c>
      <c r="D1971" s="40">
        <f>((1+Table26[[#This Row],[Weekly change]])^52)-1</f>
        <v/>
      </c>
      <c r="E1971" s="85">
        <f>(Table26[[#This Row],[M2 Money Stock, Billions of Dollars, Weekly, Seasonally Adjusted]]-B1919)/B1919</f>
        <v/>
      </c>
    </row>
    <row r="1972">
      <c r="A1972" s="37" t="n">
        <v>43283</v>
      </c>
      <c r="B1972" s="84" t="n">
        <v>14142</v>
      </c>
      <c r="C1972" s="39">
        <f>(Table26[[#This Row],[M2 Money Stock, Billions of Dollars, Weekly, Seasonally Adjusted]]-B1971)/B1971</f>
        <v/>
      </c>
      <c r="D1972" s="40">
        <f>((1+Table26[[#This Row],[Weekly change]])^52)-1</f>
        <v/>
      </c>
      <c r="E1972" s="85">
        <f>(Table26[[#This Row],[M2 Money Stock, Billions of Dollars, Weekly, Seasonally Adjusted]]-B1920)/B1920</f>
        <v/>
      </c>
    </row>
    <row r="1973">
      <c r="A1973" s="37" t="n">
        <v>43290</v>
      </c>
      <c r="B1973" s="84" t="n">
        <v>14137.8</v>
      </c>
      <c r="C1973" s="39">
        <f>(Table26[[#This Row],[M2 Money Stock, Billions of Dollars, Weekly, Seasonally Adjusted]]-B1972)/B1972</f>
        <v/>
      </c>
      <c r="D1973" s="40">
        <f>((1+Table26[[#This Row],[Weekly change]])^52)-1</f>
        <v/>
      </c>
      <c r="E1973" s="85">
        <f>(Table26[[#This Row],[M2 Money Stock, Billions of Dollars, Weekly, Seasonally Adjusted]]-B1921)/B1921</f>
        <v/>
      </c>
    </row>
    <row r="1974">
      <c r="A1974" s="37" t="n">
        <v>43297</v>
      </c>
      <c r="B1974" s="84" t="n">
        <v>14158.1</v>
      </c>
      <c r="C1974" s="39">
        <f>(Table26[[#This Row],[M2 Money Stock, Billions of Dollars, Weekly, Seasonally Adjusted]]-B1973)/B1973</f>
        <v/>
      </c>
      <c r="D1974" s="40">
        <f>((1+Table26[[#This Row],[Weekly change]])^52)-1</f>
        <v/>
      </c>
      <c r="E1974" s="85">
        <f>(Table26[[#This Row],[M2 Money Stock, Billions of Dollars, Weekly, Seasonally Adjusted]]-B1922)/B1922</f>
        <v/>
      </c>
    </row>
    <row r="1975">
      <c r="A1975" s="37" t="n">
        <v>43304</v>
      </c>
      <c r="B1975" s="84" t="n">
        <v>14160.3</v>
      </c>
      <c r="C1975" s="39">
        <f>(Table26[[#This Row],[M2 Money Stock, Billions of Dollars, Weekly, Seasonally Adjusted]]-B1974)/B1974</f>
        <v/>
      </c>
      <c r="D1975" s="40">
        <f>((1+Table26[[#This Row],[Weekly change]])^52)-1</f>
        <v/>
      </c>
      <c r="E1975" s="85">
        <f>(Table26[[#This Row],[M2 Money Stock, Billions of Dollars, Weekly, Seasonally Adjusted]]-B1923)/B1923</f>
        <v/>
      </c>
    </row>
    <row r="1976">
      <c r="A1976" s="37" t="n">
        <v>43311</v>
      </c>
      <c r="B1976" s="84" t="n">
        <v>14158.6</v>
      </c>
      <c r="C1976" s="39">
        <f>(Table26[[#This Row],[M2 Money Stock, Billions of Dollars, Weekly, Seasonally Adjusted]]-B1975)/B1975</f>
        <v/>
      </c>
      <c r="D1976" s="40">
        <f>((1+Table26[[#This Row],[Weekly change]])^52)-1</f>
        <v/>
      </c>
      <c r="E1976" s="85">
        <f>(Table26[[#This Row],[M2 Money Stock, Billions of Dollars, Weekly, Seasonally Adjusted]]-B1924)/B1924</f>
        <v/>
      </c>
    </row>
    <row r="1977">
      <c r="A1977" s="37" t="n">
        <v>43318</v>
      </c>
      <c r="B1977" s="84" t="n">
        <v>14155.5</v>
      </c>
      <c r="C1977" s="39">
        <f>(Table26[[#This Row],[M2 Money Stock, Billions of Dollars, Weekly, Seasonally Adjusted]]-B1976)/B1976</f>
        <v/>
      </c>
      <c r="D1977" s="40">
        <f>((1+Table26[[#This Row],[Weekly change]])^52)-1</f>
        <v/>
      </c>
      <c r="E1977" s="85">
        <f>(Table26[[#This Row],[M2 Money Stock, Billions of Dollars, Weekly, Seasonally Adjusted]]-B1925)/B1925</f>
        <v/>
      </c>
    </row>
    <row r="1978">
      <c r="A1978" s="37" t="n">
        <v>43325</v>
      </c>
      <c r="B1978" s="84" t="n">
        <v>14182.3</v>
      </c>
      <c r="C1978" s="39">
        <f>(Table26[[#This Row],[M2 Money Stock, Billions of Dollars, Weekly, Seasonally Adjusted]]-B1977)/B1977</f>
        <v/>
      </c>
      <c r="D1978" s="40">
        <f>((1+Table26[[#This Row],[Weekly change]])^52)-1</f>
        <v/>
      </c>
      <c r="E1978" s="85">
        <f>(Table26[[#This Row],[M2 Money Stock, Billions of Dollars, Weekly, Seasonally Adjusted]]-B1926)/B1926</f>
        <v/>
      </c>
    </row>
    <row r="1979">
      <c r="A1979" s="37" t="n">
        <v>43332</v>
      </c>
      <c r="B1979" s="84" t="n">
        <v>14198.8</v>
      </c>
      <c r="C1979" s="39">
        <f>(Table26[[#This Row],[M2 Money Stock, Billions of Dollars, Weekly, Seasonally Adjusted]]-B1978)/B1978</f>
        <v/>
      </c>
      <c r="D1979" s="40">
        <f>((1+Table26[[#This Row],[Weekly change]])^52)-1</f>
        <v/>
      </c>
      <c r="E1979" s="85">
        <f>(Table26[[#This Row],[M2 Money Stock, Billions of Dollars, Weekly, Seasonally Adjusted]]-B1927)/B1927</f>
        <v/>
      </c>
    </row>
    <row r="1980">
      <c r="A1980" s="37" t="n">
        <v>43339</v>
      </c>
      <c r="B1980" s="84" t="n">
        <v>14227.7</v>
      </c>
      <c r="C1980" s="39">
        <f>(Table26[[#This Row],[M2 Money Stock, Billions of Dollars, Weekly, Seasonally Adjusted]]-B1979)/B1979</f>
        <v/>
      </c>
      <c r="D1980" s="40">
        <f>((1+Table26[[#This Row],[Weekly change]])^52)-1</f>
        <v/>
      </c>
      <c r="E1980" s="85">
        <f>(Table26[[#This Row],[M2 Money Stock, Billions of Dollars, Weekly, Seasonally Adjusted]]-B1928)/B1928</f>
        <v/>
      </c>
    </row>
    <row r="1981">
      <c r="A1981" s="37" t="n">
        <v>43346</v>
      </c>
      <c r="B1981" s="84" t="n">
        <v>14228.2</v>
      </c>
      <c r="C1981" s="39">
        <f>(Table26[[#This Row],[M2 Money Stock, Billions of Dollars, Weekly, Seasonally Adjusted]]-B1980)/B1980</f>
        <v/>
      </c>
      <c r="D1981" s="40">
        <f>((1+Table26[[#This Row],[Weekly change]])^52)-1</f>
        <v/>
      </c>
      <c r="E1981" s="85">
        <f>(Table26[[#This Row],[M2 Money Stock, Billions of Dollars, Weekly, Seasonally Adjusted]]-B1929)/B1929</f>
        <v/>
      </c>
    </row>
    <row r="1982">
      <c r="A1982" s="37" t="n">
        <v>43353</v>
      </c>
      <c r="B1982" s="84" t="n">
        <v>14207.7</v>
      </c>
      <c r="C1982" s="39">
        <f>(Table26[[#This Row],[M2 Money Stock, Billions of Dollars, Weekly, Seasonally Adjusted]]-B1981)/B1981</f>
        <v/>
      </c>
      <c r="D1982" s="40">
        <f>((1+Table26[[#This Row],[Weekly change]])^52)-1</f>
        <v/>
      </c>
      <c r="E1982" s="85">
        <f>(Table26[[#This Row],[M2 Money Stock, Billions of Dollars, Weekly, Seasonally Adjusted]]-B1930)/B1930</f>
        <v/>
      </c>
    </row>
    <row r="1983">
      <c r="A1983" s="37" t="n">
        <v>43360</v>
      </c>
      <c r="B1983" s="84" t="n">
        <v>14227</v>
      </c>
      <c r="C1983" s="39">
        <f>(Table26[[#This Row],[M2 Money Stock, Billions of Dollars, Weekly, Seasonally Adjusted]]-B1982)/B1982</f>
        <v/>
      </c>
      <c r="D1983" s="40">
        <f>((1+Table26[[#This Row],[Weekly change]])^52)-1</f>
        <v/>
      </c>
      <c r="E1983" s="85">
        <f>(Table26[[#This Row],[M2 Money Stock, Billions of Dollars, Weekly, Seasonally Adjusted]]-B1931)/B1931</f>
        <v/>
      </c>
    </row>
    <row r="1984">
      <c r="A1984" s="37" t="n">
        <v>43367</v>
      </c>
      <c r="B1984" s="84" t="n">
        <v>14235.8</v>
      </c>
      <c r="C1984" s="39">
        <f>(Table26[[#This Row],[M2 Money Stock, Billions of Dollars, Weekly, Seasonally Adjusted]]-B1983)/B1983</f>
        <v/>
      </c>
      <c r="D1984" s="40">
        <f>((1+Table26[[#This Row],[Weekly change]])^52)-1</f>
        <v/>
      </c>
      <c r="E1984" s="85">
        <f>(Table26[[#This Row],[M2 Money Stock, Billions of Dollars, Weekly, Seasonally Adjusted]]-B1932)/B1932</f>
        <v/>
      </c>
    </row>
    <row r="1985">
      <c r="A1985" s="37" t="n">
        <v>43374</v>
      </c>
      <c r="B1985" s="84" t="n">
        <v>14246</v>
      </c>
      <c r="C1985" s="39">
        <f>(Table26[[#This Row],[M2 Money Stock, Billions of Dollars, Weekly, Seasonally Adjusted]]-B1984)/B1984</f>
        <v/>
      </c>
      <c r="D1985" s="40">
        <f>((1+Table26[[#This Row],[Weekly change]])^52)-1</f>
        <v/>
      </c>
      <c r="E1985" s="85">
        <f>(Table26[[#This Row],[M2 Money Stock, Billions of Dollars, Weekly, Seasonally Adjusted]]-B1933)/B1933</f>
        <v/>
      </c>
    </row>
    <row r="1986">
      <c r="A1986" s="37" t="n">
        <v>43381</v>
      </c>
      <c r="B1986" s="84" t="n">
        <v>14217.1</v>
      </c>
      <c r="C1986" s="39">
        <f>(Table26[[#This Row],[M2 Money Stock, Billions of Dollars, Weekly, Seasonally Adjusted]]-B1985)/B1985</f>
        <v/>
      </c>
      <c r="D1986" s="40">
        <f>((1+Table26[[#This Row],[Weekly change]])^52)-1</f>
        <v/>
      </c>
      <c r="E1986" s="85">
        <f>(Table26[[#This Row],[M2 Money Stock, Billions of Dollars, Weekly, Seasonally Adjusted]]-B1934)/B1934</f>
        <v/>
      </c>
    </row>
    <row r="1987">
      <c r="A1987" s="37" t="n">
        <v>43388</v>
      </c>
      <c r="B1987" s="84" t="n">
        <v>14232</v>
      </c>
      <c r="C1987" s="39">
        <f>(Table26[[#This Row],[M2 Money Stock, Billions of Dollars, Weekly, Seasonally Adjusted]]-B1986)/B1986</f>
        <v/>
      </c>
      <c r="D1987" s="40">
        <f>((1+Table26[[#This Row],[Weekly change]])^52)-1</f>
        <v/>
      </c>
      <c r="E1987" s="85">
        <f>(Table26[[#This Row],[M2 Money Stock, Billions of Dollars, Weekly, Seasonally Adjusted]]-B1935)/B1935</f>
        <v/>
      </c>
    </row>
    <row r="1988">
      <c r="A1988" s="37" t="n">
        <v>43395</v>
      </c>
      <c r="B1988" s="84" t="n">
        <v>14246.3</v>
      </c>
      <c r="C1988" s="39">
        <f>(Table26[[#This Row],[M2 Money Stock, Billions of Dollars, Weekly, Seasonally Adjusted]]-B1987)/B1987</f>
        <v/>
      </c>
      <c r="D1988" s="40">
        <f>((1+Table26[[#This Row],[Weekly change]])^52)-1</f>
        <v/>
      </c>
      <c r="E1988" s="85">
        <f>(Table26[[#This Row],[M2 Money Stock, Billions of Dollars, Weekly, Seasonally Adjusted]]-B1936)/B1936</f>
        <v/>
      </c>
    </row>
    <row r="1989">
      <c r="A1989" s="37" t="n">
        <v>43402</v>
      </c>
      <c r="B1989" s="84" t="n">
        <v>14248</v>
      </c>
      <c r="C1989" s="39">
        <f>(Table26[[#This Row],[M2 Money Stock, Billions of Dollars, Weekly, Seasonally Adjusted]]-B1988)/B1988</f>
        <v/>
      </c>
      <c r="D1989" s="40">
        <f>((1+Table26[[#This Row],[Weekly change]])^52)-1</f>
        <v/>
      </c>
      <c r="E1989" s="85">
        <f>(Table26[[#This Row],[M2 Money Stock, Billions of Dollars, Weekly, Seasonally Adjusted]]-B1937)/B1937</f>
        <v/>
      </c>
    </row>
    <row r="1990">
      <c r="A1990" s="37" t="n">
        <v>43409</v>
      </c>
      <c r="B1990" s="84" t="n">
        <v>14223.6</v>
      </c>
      <c r="C1990" s="39">
        <f>(Table26[[#This Row],[M2 Money Stock, Billions of Dollars, Weekly, Seasonally Adjusted]]-B1989)/B1989</f>
        <v/>
      </c>
      <c r="D1990" s="40">
        <f>((1+Table26[[#This Row],[Weekly change]])^52)-1</f>
        <v/>
      </c>
      <c r="E1990" s="85">
        <f>(Table26[[#This Row],[M2 Money Stock, Billions of Dollars, Weekly, Seasonally Adjusted]]-B1938)/B1938</f>
        <v/>
      </c>
    </row>
    <row r="1991">
      <c r="A1991" s="37" t="n">
        <v>43416</v>
      </c>
      <c r="B1991" s="84" t="n">
        <v>14220.2</v>
      </c>
      <c r="C1991" s="39">
        <f>(Table26[[#This Row],[M2 Money Stock, Billions of Dollars, Weekly, Seasonally Adjusted]]-B1990)/B1990</f>
        <v/>
      </c>
      <c r="D1991" s="40">
        <f>((1+Table26[[#This Row],[Weekly change]])^52)-1</f>
        <v/>
      </c>
      <c r="E1991" s="85">
        <f>(Table26[[#This Row],[M2 Money Stock, Billions of Dollars, Weekly, Seasonally Adjusted]]-B1939)/B1939</f>
        <v/>
      </c>
    </row>
    <row r="1992">
      <c r="A1992" s="37" t="n">
        <v>43423</v>
      </c>
      <c r="B1992" s="84" t="n">
        <v>14242.6</v>
      </c>
      <c r="C1992" s="39">
        <f>(Table26[[#This Row],[M2 Money Stock, Billions of Dollars, Weekly, Seasonally Adjusted]]-B1991)/B1991</f>
        <v/>
      </c>
      <c r="D1992" s="40">
        <f>((1+Table26[[#This Row],[Weekly change]])^52)-1</f>
        <v/>
      </c>
      <c r="E1992" s="85">
        <f>(Table26[[#This Row],[M2 Money Stock, Billions of Dollars, Weekly, Seasonally Adjusted]]-B1940)/B1940</f>
        <v/>
      </c>
    </row>
    <row r="1993">
      <c r="A1993" s="37" t="n">
        <v>43430</v>
      </c>
      <c r="B1993" s="84" t="n">
        <v>14256.8</v>
      </c>
      <c r="C1993" s="39">
        <f>(Table26[[#This Row],[M2 Money Stock, Billions of Dollars, Weekly, Seasonally Adjusted]]-B1992)/B1992</f>
        <v/>
      </c>
      <c r="D1993" s="40">
        <f>((1+Table26[[#This Row],[Weekly change]])^52)-1</f>
        <v/>
      </c>
      <c r="E1993" s="85">
        <f>(Table26[[#This Row],[M2 Money Stock, Billions of Dollars, Weekly, Seasonally Adjusted]]-B1941)/B1941</f>
        <v/>
      </c>
    </row>
    <row r="1994">
      <c r="A1994" s="37" t="n">
        <v>43437</v>
      </c>
      <c r="B1994" s="84" t="n">
        <v>14301.7</v>
      </c>
      <c r="C1994" s="39">
        <f>(Table26[[#This Row],[M2 Money Stock, Billions of Dollars, Weekly, Seasonally Adjusted]]-B1993)/B1993</f>
        <v/>
      </c>
      <c r="D1994" s="40">
        <f>((1+Table26[[#This Row],[Weekly change]])^52)-1</f>
        <v/>
      </c>
      <c r="E1994" s="85">
        <f>(Table26[[#This Row],[M2 Money Stock, Billions of Dollars, Weekly, Seasonally Adjusted]]-B1942)/B1942</f>
        <v/>
      </c>
    </row>
    <row r="1995">
      <c r="A1995" s="37" t="n">
        <v>43444</v>
      </c>
      <c r="B1995" s="84" t="n">
        <v>14319.3</v>
      </c>
      <c r="C1995" s="39">
        <f>(Table26[[#This Row],[M2 Money Stock, Billions of Dollars, Weekly, Seasonally Adjusted]]-B1994)/B1994</f>
        <v/>
      </c>
      <c r="D1995" s="40">
        <f>((1+Table26[[#This Row],[Weekly change]])^52)-1</f>
        <v/>
      </c>
      <c r="E1995" s="85">
        <f>(Table26[[#This Row],[M2 Money Stock, Billions of Dollars, Weekly, Seasonally Adjusted]]-B1943)/B1943</f>
        <v/>
      </c>
    </row>
    <row r="1996">
      <c r="A1996" s="37" t="n">
        <v>43451</v>
      </c>
      <c r="B1996" s="84" t="n">
        <v>14313.1</v>
      </c>
      <c r="C1996" s="39">
        <f>(Table26[[#This Row],[M2 Money Stock, Billions of Dollars, Weekly, Seasonally Adjusted]]-B1995)/B1995</f>
        <v/>
      </c>
      <c r="D1996" s="40">
        <f>((1+Table26[[#This Row],[Weekly change]])^52)-1</f>
        <v/>
      </c>
      <c r="E1996" s="85">
        <f>(Table26[[#This Row],[M2 Money Stock, Billions of Dollars, Weekly, Seasonally Adjusted]]-B1944)/B1944</f>
        <v/>
      </c>
    </row>
    <row r="1997">
      <c r="A1997" s="37" t="n">
        <v>43458</v>
      </c>
      <c r="B1997" s="84" t="n">
        <v>14383.2</v>
      </c>
      <c r="C1997" s="39">
        <f>(Table26[[#This Row],[M2 Money Stock, Billions of Dollars, Weekly, Seasonally Adjusted]]-B1996)/B1996</f>
        <v/>
      </c>
      <c r="D1997" s="40">
        <f>((1+Table26[[#This Row],[Weekly change]])^52)-1</f>
        <v/>
      </c>
      <c r="E1997" s="85">
        <f>(Table26[[#This Row],[M2 Money Stock, Billions of Dollars, Weekly, Seasonally Adjusted]]-B1945)/B1945</f>
        <v/>
      </c>
    </row>
    <row r="1998">
      <c r="A1998" s="37" t="n">
        <v>43465</v>
      </c>
      <c r="B1998" s="84" t="n">
        <v>14412.9</v>
      </c>
      <c r="C1998" s="39">
        <f>(Table26[[#This Row],[M2 Money Stock, Billions of Dollars, Weekly, Seasonally Adjusted]]-B1997)/B1997</f>
        <v/>
      </c>
      <c r="D1998" s="40">
        <f>((1+Table26[[#This Row],[Weekly change]])^52)-1</f>
        <v/>
      </c>
      <c r="E1998" s="85">
        <f>(Table26[[#This Row],[M2 Money Stock, Billions of Dollars, Weekly, Seasonally Adjusted]]-B1946)/B1946</f>
        <v/>
      </c>
    </row>
    <row r="1999">
      <c r="A1999" s="37" t="n">
        <v>43472</v>
      </c>
      <c r="B1999" s="84" t="n">
        <v>14407.7</v>
      </c>
      <c r="C1999" s="39">
        <f>(Table26[[#This Row],[M2 Money Stock, Billions of Dollars, Weekly, Seasonally Adjusted]]-B1998)/B1998</f>
        <v/>
      </c>
      <c r="D1999" s="40">
        <f>((1+Table26[[#This Row],[Weekly change]])^52)-1</f>
        <v/>
      </c>
      <c r="E1999" s="85">
        <f>(Table26[[#This Row],[M2 Money Stock, Billions of Dollars, Weekly, Seasonally Adjusted]]-B1947)/B1947</f>
        <v/>
      </c>
    </row>
    <row r="2000">
      <c r="A2000" s="37" t="n">
        <v>43479</v>
      </c>
      <c r="B2000" s="84" t="n">
        <v>14419.1</v>
      </c>
      <c r="C2000" s="39">
        <f>(Table26[[#This Row],[M2 Money Stock, Billions of Dollars, Weekly, Seasonally Adjusted]]-B1999)/B1999</f>
        <v/>
      </c>
      <c r="D2000" s="40">
        <f>((1+Table26[[#This Row],[Weekly change]])^52)-1</f>
        <v/>
      </c>
      <c r="E2000" s="85">
        <f>(Table26[[#This Row],[M2 Money Stock, Billions of Dollars, Weekly, Seasonally Adjusted]]-B1948)/B1948</f>
        <v/>
      </c>
    </row>
    <row r="2001">
      <c r="A2001" s="37" t="n">
        <v>43486</v>
      </c>
      <c r="B2001" s="84" t="n">
        <v>14429.8</v>
      </c>
      <c r="C2001" s="39">
        <f>(Table26[[#This Row],[M2 Money Stock, Billions of Dollars, Weekly, Seasonally Adjusted]]-B2000)/B2000</f>
        <v/>
      </c>
      <c r="D2001" s="40">
        <f>((1+Table26[[#This Row],[Weekly change]])^52)-1</f>
        <v/>
      </c>
      <c r="E2001" s="85">
        <f>(Table26[[#This Row],[M2 Money Stock, Billions of Dollars, Weekly, Seasonally Adjusted]]-B1949)/B1949</f>
        <v/>
      </c>
    </row>
    <row r="2002">
      <c r="A2002" s="37" t="n">
        <v>43493</v>
      </c>
      <c r="B2002" s="84" t="n">
        <v>14472.1</v>
      </c>
      <c r="C2002" s="39">
        <f>(Table26[[#This Row],[M2 Money Stock, Billions of Dollars, Weekly, Seasonally Adjusted]]-B2001)/B2001</f>
        <v/>
      </c>
      <c r="D2002" s="40">
        <f>((1+Table26[[#This Row],[Weekly change]])^52)-1</f>
        <v/>
      </c>
      <c r="E2002" s="85">
        <f>(Table26[[#This Row],[M2 Money Stock, Billions of Dollars, Weekly, Seasonally Adjusted]]-B1950)/B1950</f>
        <v/>
      </c>
    </row>
    <row r="2003">
      <c r="A2003" s="37" t="n">
        <v>43500</v>
      </c>
      <c r="B2003" s="84" t="n">
        <v>14457.6</v>
      </c>
      <c r="C2003" s="39">
        <f>(Table26[[#This Row],[M2 Money Stock, Billions of Dollars, Weekly, Seasonally Adjusted]]-B2002)/B2002</f>
        <v/>
      </c>
      <c r="D2003" s="40">
        <f>((1+Table26[[#This Row],[Weekly change]])^52)-1</f>
        <v/>
      </c>
      <c r="E2003" s="85">
        <f>(Table26[[#This Row],[M2 Money Stock, Billions of Dollars, Weekly, Seasonally Adjusted]]-B1951)/B1951</f>
        <v/>
      </c>
    </row>
    <row r="2004">
      <c r="A2004" s="37" t="n">
        <v>43507</v>
      </c>
      <c r="B2004" s="84" t="n">
        <v>14462.4</v>
      </c>
      <c r="C2004" s="39">
        <f>(Table26[[#This Row],[M2 Money Stock, Billions of Dollars, Weekly, Seasonally Adjusted]]-B2003)/B2003</f>
        <v/>
      </c>
      <c r="D2004" s="40">
        <f>((1+Table26[[#This Row],[Weekly change]])^52)-1</f>
        <v/>
      </c>
      <c r="E2004" s="85">
        <f>(Table26[[#This Row],[M2 Money Stock, Billions of Dollars, Weekly, Seasonally Adjusted]]-B1952)/B1952</f>
        <v/>
      </c>
    </row>
    <row r="2005">
      <c r="A2005" s="37" t="n">
        <v>43514</v>
      </c>
      <c r="B2005" s="84" t="n">
        <v>14453</v>
      </c>
      <c r="C2005" s="39">
        <f>(Table26[[#This Row],[M2 Money Stock, Billions of Dollars, Weekly, Seasonally Adjusted]]-B2004)/B2004</f>
        <v/>
      </c>
      <c r="D2005" s="40">
        <f>((1+Table26[[#This Row],[Weekly change]])^52)-1</f>
        <v/>
      </c>
      <c r="E2005" s="85">
        <f>(Table26[[#This Row],[M2 Money Stock, Billions of Dollars, Weekly, Seasonally Adjusted]]-B1953)/B1953</f>
        <v/>
      </c>
    </row>
    <row r="2006">
      <c r="A2006" s="37" t="n">
        <v>43521</v>
      </c>
      <c r="B2006" s="84" t="n">
        <v>14471.3</v>
      </c>
      <c r="C2006" s="39">
        <f>(Table26[[#This Row],[M2 Money Stock, Billions of Dollars, Weekly, Seasonally Adjusted]]-B2005)/B2005</f>
        <v/>
      </c>
      <c r="D2006" s="40">
        <f>((1+Table26[[#This Row],[Weekly change]])^52)-1</f>
        <v/>
      </c>
      <c r="E2006" s="85">
        <f>(Table26[[#This Row],[M2 Money Stock, Billions of Dollars, Weekly, Seasonally Adjusted]]-B1954)/B1954</f>
        <v/>
      </c>
    </row>
    <row r="2007">
      <c r="A2007" s="37" t="n">
        <v>43528</v>
      </c>
      <c r="B2007" s="84" t="n">
        <v>14487.5</v>
      </c>
      <c r="C2007" s="39">
        <f>(Table26[[#This Row],[M2 Money Stock, Billions of Dollars, Weekly, Seasonally Adjusted]]-B2006)/B2006</f>
        <v/>
      </c>
      <c r="D2007" s="40">
        <f>((1+Table26[[#This Row],[Weekly change]])^52)-1</f>
        <v/>
      </c>
      <c r="E2007" s="85">
        <f>(Table26[[#This Row],[M2 Money Stock, Billions of Dollars, Weekly, Seasonally Adjusted]]-B1955)/B1955</f>
        <v/>
      </c>
    </row>
    <row r="2008">
      <c r="A2008" s="37" t="n">
        <v>43535</v>
      </c>
      <c r="B2008" s="84" t="n">
        <v>14499.7</v>
      </c>
      <c r="C2008" s="39">
        <f>(Table26[[#This Row],[M2 Money Stock, Billions of Dollars, Weekly, Seasonally Adjusted]]-B2007)/B2007</f>
        <v/>
      </c>
      <c r="D2008" s="40">
        <f>((1+Table26[[#This Row],[Weekly change]])^52)-1</f>
        <v/>
      </c>
      <c r="E2008" s="85">
        <f>(Table26[[#This Row],[M2 Money Stock, Billions of Dollars, Weekly, Seasonally Adjusted]]-B1956)/B1956</f>
        <v/>
      </c>
    </row>
    <row r="2009">
      <c r="A2009" s="37" t="n">
        <v>43542</v>
      </c>
      <c r="B2009" s="84" t="n">
        <v>14496.4</v>
      </c>
      <c r="C2009" s="39">
        <f>(Table26[[#This Row],[M2 Money Stock, Billions of Dollars, Weekly, Seasonally Adjusted]]-B2008)/B2008</f>
        <v/>
      </c>
      <c r="D2009" s="40">
        <f>((1+Table26[[#This Row],[Weekly change]])^52)-1</f>
        <v/>
      </c>
      <c r="E2009" s="85">
        <f>(Table26[[#This Row],[M2 Money Stock, Billions of Dollars, Weekly, Seasonally Adjusted]]-B1957)/B1957</f>
        <v/>
      </c>
    </row>
    <row r="2010">
      <c r="A2010" s="37" t="n">
        <v>43549</v>
      </c>
      <c r="B2010" s="84" t="n">
        <v>14520.7</v>
      </c>
      <c r="C2010" s="39">
        <f>(Table26[[#This Row],[M2 Money Stock, Billions of Dollars, Weekly, Seasonally Adjusted]]-B2009)/B2009</f>
        <v/>
      </c>
      <c r="D2010" s="40">
        <f>((1+Table26[[#This Row],[Weekly change]])^52)-1</f>
        <v/>
      </c>
      <c r="E2010" s="85">
        <f>(Table26[[#This Row],[M2 Money Stock, Billions of Dollars, Weekly, Seasonally Adjusted]]-B1958)/B1958</f>
        <v/>
      </c>
    </row>
    <row r="2011">
      <c r="A2011" s="37" t="n">
        <v>43556</v>
      </c>
      <c r="B2011" s="84" t="n">
        <v>14549.7</v>
      </c>
      <c r="C2011" s="39">
        <f>(Table26[[#This Row],[M2 Money Stock, Billions of Dollars, Weekly, Seasonally Adjusted]]-B2010)/B2010</f>
        <v/>
      </c>
      <c r="D2011" s="40">
        <f>((1+Table26[[#This Row],[Weekly change]])^52)-1</f>
        <v/>
      </c>
      <c r="E2011" s="85">
        <f>(Table26[[#This Row],[M2 Money Stock, Billions of Dollars, Weekly, Seasonally Adjusted]]-B1959)/B1959</f>
        <v/>
      </c>
    </row>
    <row r="2012">
      <c r="A2012" s="37" t="n">
        <v>43563</v>
      </c>
      <c r="B2012" s="84" t="n">
        <v>14542.4</v>
      </c>
      <c r="C2012" s="39">
        <f>(Table26[[#This Row],[M2 Money Stock, Billions of Dollars, Weekly, Seasonally Adjusted]]-B2011)/B2011</f>
        <v/>
      </c>
      <c r="D2012" s="40">
        <f>((1+Table26[[#This Row],[Weekly change]])^52)-1</f>
        <v/>
      </c>
      <c r="E2012" s="85">
        <f>(Table26[[#This Row],[M2 Money Stock, Billions of Dollars, Weekly, Seasonally Adjusted]]-B1960)/B1960</f>
        <v/>
      </c>
    </row>
    <row r="2013">
      <c r="A2013" s="86" t="n">
        <v>43570</v>
      </c>
      <c r="B2013" s="87" t="n">
        <v>14553.8</v>
      </c>
      <c r="C2013" s="39">
        <f>(Table26[[#This Row],[M2 Money Stock, Billions of Dollars, Weekly, Seasonally Adjusted]]-B2012)/B2012</f>
        <v/>
      </c>
      <c r="D2013" s="40">
        <f>((1+Table26[[#This Row],[Weekly change]])^52)-1</f>
        <v/>
      </c>
      <c r="E2013" s="85">
        <f>(Table26[[#This Row],[M2 Money Stock, Billions of Dollars, Weekly, Seasonally Adjusted]]-B1961)/B1961</f>
        <v/>
      </c>
    </row>
    <row r="2014">
      <c r="A2014" s="86" t="n">
        <v>43577</v>
      </c>
      <c r="B2014" s="87" t="n">
        <v>14544.4</v>
      </c>
      <c r="C2014" s="39">
        <f>(Table26[[#This Row],[M2 Money Stock, Billions of Dollars, Weekly, Seasonally Adjusted]]-B2013)/B2013</f>
        <v/>
      </c>
      <c r="D2014" s="40">
        <f>((1+Table26[[#This Row],[Weekly change]])^52)-1</f>
        <v/>
      </c>
      <c r="E2014" s="85">
        <f>(Table26[[#This Row],[M2 Money Stock, Billions of Dollars, Weekly, Seasonally Adjusted]]-B1962)/B1962</f>
        <v/>
      </c>
    </row>
    <row r="2015">
      <c r="A2015" s="86" t="n">
        <v>43584</v>
      </c>
      <c r="B2015" s="87" t="n">
        <v>14588.9</v>
      </c>
      <c r="C2015" s="39">
        <f>(Table26[[#This Row],[M2 Money Stock, Billions of Dollars, Weekly, Seasonally Adjusted]]-B2014)/B2014</f>
        <v/>
      </c>
      <c r="D2015" s="40">
        <f>((1+Table26[[#This Row],[Weekly change]])^52)-1</f>
        <v/>
      </c>
      <c r="E2015" s="85">
        <f>(Table26[[#This Row],[M2 Money Stock, Billions of Dollars, Weekly, Seasonally Adjusted]]-B1963)/B1963</f>
        <v/>
      </c>
    </row>
    <row r="2016">
      <c r="A2016" s="86" t="n">
        <v>43591</v>
      </c>
      <c r="B2016" s="87" t="n">
        <v>14604.9</v>
      </c>
      <c r="C2016" s="39">
        <f>(Table26[[#This Row],[M2 Money Stock, Billions of Dollars, Weekly, Seasonally Adjusted]]-B2015)/B2015</f>
        <v/>
      </c>
      <c r="D2016" s="40">
        <f>((1+Table26[[#This Row],[Weekly change]])^52)-1</f>
        <v/>
      </c>
      <c r="E2016" s="85">
        <f>(Table26[[#This Row],[M2 Money Stock, Billions of Dollars, Weekly, Seasonally Adjusted]]-B1964)/B1964</f>
        <v/>
      </c>
    </row>
    <row r="2017">
      <c r="A2017" s="86" t="n">
        <v>43598</v>
      </c>
      <c r="B2017" s="87" t="n">
        <v>14613</v>
      </c>
      <c r="C2017" s="39">
        <f>(Table26[[#This Row],[M2 Money Stock, Billions of Dollars, Weekly, Seasonally Adjusted]]-B2016)/B2016</f>
        <v/>
      </c>
      <c r="D2017" s="40">
        <f>((1+Table26[[#This Row],[Weekly change]])^52)-1</f>
        <v/>
      </c>
      <c r="E2017" s="85">
        <f>(Table26[[#This Row],[M2 Money Stock, Billions of Dollars, Weekly, Seasonally Adjusted]]-B1965)/B1965</f>
        <v/>
      </c>
    </row>
    <row r="2018">
      <c r="A2018" s="86" t="n">
        <v>43605</v>
      </c>
      <c r="B2018" s="87" t="n">
        <v>14654</v>
      </c>
      <c r="C2018" s="39">
        <f>(Table26[[#This Row],[M2 Money Stock, Billions of Dollars, Weekly, Seasonally Adjusted]]-B2017)/B2017</f>
        <v/>
      </c>
      <c r="D2018" s="40">
        <f>((1+Table26[[#This Row],[Weekly change]])^52)-1</f>
        <v/>
      </c>
      <c r="E2018" s="85">
        <f>(Table26[[#This Row],[M2 Money Stock, Billions of Dollars, Weekly, Seasonally Adjusted]]-B1966)/B1966</f>
        <v/>
      </c>
    </row>
    <row r="2019">
      <c r="A2019" s="86" t="n">
        <v>43612</v>
      </c>
      <c r="B2019" s="87" t="n">
        <v>14696.7</v>
      </c>
      <c r="C2019" s="39">
        <f>(Table26[[#This Row],[M2 Money Stock, Billions of Dollars, Weekly, Seasonally Adjusted]]-B2018)/B2018</f>
        <v/>
      </c>
      <c r="D2019" s="40">
        <f>((1+Table26[[#This Row],[Weekly change]])^52)-1</f>
        <v/>
      </c>
      <c r="E2019" s="85">
        <f>(Table26[[#This Row],[M2 Money Stock, Billions of Dollars, Weekly, Seasonally Adjusted]]-B1967)/B1967</f>
        <v/>
      </c>
    </row>
    <row r="2020">
      <c r="A2020" s="86" t="n">
        <v>43619</v>
      </c>
      <c r="B2020" s="87" t="n">
        <v>14727</v>
      </c>
      <c r="C2020" s="39">
        <f>(Table26[[#This Row],[M2 Money Stock, Billions of Dollars, Weekly, Seasonally Adjusted]]-B2019)/B2019</f>
        <v/>
      </c>
      <c r="D2020" s="40">
        <f>((1+Table26[[#This Row],[Weekly change]])^52)-1</f>
        <v/>
      </c>
      <c r="E2020" s="85">
        <f>(Table26[[#This Row],[M2 Money Stock, Billions of Dollars, Weekly, Seasonally Adjusted]]-B1968)/B1968</f>
        <v/>
      </c>
    </row>
    <row r="2021">
      <c r="A2021" s="86" t="n">
        <v>43626</v>
      </c>
      <c r="B2021" s="87" t="n">
        <v>14752.3</v>
      </c>
      <c r="C2021" s="39">
        <f>(Table26[[#This Row],[M2 Money Stock, Billions of Dollars, Weekly, Seasonally Adjusted]]-B2020)/B2020</f>
        <v/>
      </c>
      <c r="D2021" s="40">
        <f>((1+Table26[[#This Row],[Weekly change]])^52)-1</f>
        <v/>
      </c>
      <c r="E2021" s="85">
        <f>(Table26[[#This Row],[M2 Money Stock, Billions of Dollars, Weekly, Seasonally Adjusted]]-B1969)/B1969</f>
        <v/>
      </c>
    </row>
    <row r="2022">
      <c r="A2022" s="86" t="n">
        <v>43633</v>
      </c>
      <c r="B2022" s="87" t="n">
        <v>14778.9</v>
      </c>
      <c r="C2022" s="39">
        <f>(Table26[[#This Row],[M2 Money Stock, Billions of Dollars, Weekly, Seasonally Adjusted]]-B2021)/B2021</f>
        <v/>
      </c>
      <c r="D2022" s="40">
        <f>((1+Table26[[#This Row],[Weekly change]])^52)-1</f>
        <v/>
      </c>
      <c r="E2022" s="85">
        <f>(Table26[[#This Row],[M2 Money Stock, Billions of Dollars, Weekly, Seasonally Adjusted]]-B1970)/B1970</f>
        <v/>
      </c>
    </row>
    <row r="2023">
      <c r="A2023" s="86" t="n">
        <v>43640</v>
      </c>
      <c r="B2023" s="87" t="n">
        <v>14798.1</v>
      </c>
      <c r="C2023" s="39">
        <f>(Table26[[#This Row],[M2 Money Stock, Billions of Dollars, Weekly, Seasonally Adjusted]]-B2022)/B2022</f>
        <v/>
      </c>
      <c r="D2023" s="40">
        <f>((1+Table26[[#This Row],[Weekly change]])^52)-1</f>
        <v/>
      </c>
      <c r="E2023" s="85">
        <f>(Table26[[#This Row],[M2 Money Stock, Billions of Dollars, Weekly, Seasonally Adjusted]]-B1971)/B1971</f>
        <v/>
      </c>
    </row>
    <row r="2024">
      <c r="A2024" s="86" t="n">
        <v>43647</v>
      </c>
      <c r="B2024" s="87" t="n">
        <v>14831.9</v>
      </c>
      <c r="C2024" s="39">
        <f>(Table26[[#This Row],[M2 Money Stock, Billions of Dollars, Weekly, Seasonally Adjusted]]-B2023)/B2023</f>
        <v/>
      </c>
      <c r="D2024" s="40">
        <f>((1+Table26[[#This Row],[Weekly change]])^52)-1</f>
        <v/>
      </c>
      <c r="E2024" s="85">
        <f>(Table26[[#This Row],[M2 Money Stock, Billions of Dollars, Weekly, Seasonally Adjusted]]-B1972)/B1972</f>
        <v/>
      </c>
    </row>
    <row r="2025">
      <c r="A2025" s="86" t="n">
        <v>43654</v>
      </c>
      <c r="B2025" s="87" t="n">
        <v>14833.8</v>
      </c>
      <c r="C2025" s="39">
        <f>(Table26[[#This Row],[M2 Money Stock, Billions of Dollars, Weekly, Seasonally Adjusted]]-B2024)/B2024</f>
        <v/>
      </c>
      <c r="D2025" s="40">
        <f>((1+Table26[[#This Row],[Weekly change]])^52)-1</f>
        <v/>
      </c>
      <c r="E2025" s="85">
        <f>(Table26[[#This Row],[M2 Money Stock, Billions of Dollars, Weekly, Seasonally Adjusted]]-B1973)/B1973</f>
        <v/>
      </c>
    </row>
    <row r="2026">
      <c r="A2026" s="86" t="n">
        <v>43661</v>
      </c>
      <c r="B2026" s="87" t="n">
        <v>14829</v>
      </c>
      <c r="C2026" s="39">
        <f>(Table26[[#This Row],[M2 Money Stock, Billions of Dollars, Weekly, Seasonally Adjusted]]-B2025)/B2025</f>
        <v/>
      </c>
      <c r="D2026" s="40">
        <f>((1+Table26[[#This Row],[Weekly change]])^52)-1</f>
        <v/>
      </c>
      <c r="E2026" s="85">
        <f>(Table26[[#This Row],[M2 Money Stock, Billions of Dollars, Weekly, Seasonally Adjusted]]-B1974)/B1974</f>
        <v/>
      </c>
    </row>
    <row r="2027">
      <c r="A2027" s="86" t="n">
        <v>43668</v>
      </c>
      <c r="B2027" s="87" t="n">
        <v>14869.4</v>
      </c>
      <c r="C2027" s="39">
        <f>(Table26[[#This Row],[M2 Money Stock, Billions of Dollars, Weekly, Seasonally Adjusted]]-B2026)/B2026</f>
        <v/>
      </c>
      <c r="D2027" s="40">
        <f>((1+Table26[[#This Row],[Weekly change]])^52)-1</f>
        <v/>
      </c>
      <c r="E2027" s="85">
        <f>(Table26[[#This Row],[M2 Money Stock, Billions of Dollars, Weekly, Seasonally Adjusted]]-B1975)/B1975</f>
        <v/>
      </c>
    </row>
    <row r="2028">
      <c r="A2028" s="86" t="n">
        <v>43675</v>
      </c>
      <c r="B2028" s="87" t="n">
        <v>14903.6</v>
      </c>
      <c r="C2028" s="39">
        <f>(Table26[[#This Row],[M2 Money Stock, Billions of Dollars, Weekly, Seasonally Adjusted]]-B2027)/B2027</f>
        <v/>
      </c>
      <c r="D2028" s="40">
        <f>((1+Table26[[#This Row],[Weekly change]])^52)-1</f>
        <v/>
      </c>
      <c r="E2028" s="85">
        <f>(Table26[[#This Row],[M2 Money Stock, Billions of Dollars, Weekly, Seasonally Adjusted]]-B1976)/B1976</f>
        <v/>
      </c>
    </row>
    <row r="2029">
      <c r="A2029" s="86" t="n">
        <v>43682</v>
      </c>
      <c r="B2029" s="87" t="n">
        <v>14920.7</v>
      </c>
      <c r="C2029" s="39">
        <f>(Table26[[#This Row],[M2 Money Stock, Billions of Dollars, Weekly, Seasonally Adjusted]]-B2028)/B2028</f>
        <v/>
      </c>
      <c r="D2029" s="40">
        <f>((1+Table26[[#This Row],[Weekly change]])^52)-1</f>
        <v/>
      </c>
      <c r="E2029" s="85">
        <f>(Table26[[#This Row],[M2 Money Stock, Billions of Dollars, Weekly, Seasonally Adjusted]]-B1977)/B1977</f>
        <v/>
      </c>
    </row>
    <row r="2030">
      <c r="A2030" s="86" t="n">
        <v>43689</v>
      </c>
      <c r="B2030" s="87" t="n">
        <v>14921.5</v>
      </c>
      <c r="C2030" s="39">
        <f>(Table26[[#This Row],[M2 Money Stock, Billions of Dollars, Weekly, Seasonally Adjusted]]-B2029)/B2029</f>
        <v/>
      </c>
      <c r="D2030" s="40">
        <f>((1+Table26[[#This Row],[Weekly change]])^52)-1</f>
        <v/>
      </c>
      <c r="E2030" s="85">
        <f>(Table26[[#This Row],[M2 Money Stock, Billions of Dollars, Weekly, Seasonally Adjusted]]-B1978)/B1978</f>
        <v/>
      </c>
    </row>
    <row r="2031">
      <c r="A2031" s="86" t="n">
        <v>43696</v>
      </c>
      <c r="B2031" s="87" t="n">
        <v>14921.4</v>
      </c>
      <c r="C2031" s="39">
        <f>(Table26[[#This Row],[M2 Money Stock, Billions of Dollars, Weekly, Seasonally Adjusted]]-B2030)/B2030</f>
        <v/>
      </c>
      <c r="D2031" s="40">
        <f>((1+Table26[[#This Row],[Weekly change]])^52)-1</f>
        <v/>
      </c>
      <c r="E2031" s="85">
        <f>(Table26[[#This Row],[M2 Money Stock, Billions of Dollars, Weekly, Seasonally Adjusted]]-B1979)/B1979</f>
        <v/>
      </c>
    </row>
    <row r="2032">
      <c r="A2032" s="86" t="n">
        <v>43703</v>
      </c>
      <c r="B2032" s="87" t="n">
        <v>14938.2</v>
      </c>
      <c r="C2032" s="39">
        <f>(Table26[[#This Row],[M2 Money Stock, Billions of Dollars, Weekly, Seasonally Adjusted]]-B2031)/B2031</f>
        <v/>
      </c>
      <c r="D2032" s="40">
        <f>((1+Table26[[#This Row],[Weekly change]])^52)-1</f>
        <v/>
      </c>
      <c r="E2032" s="85">
        <f>(Table26[[#This Row],[M2 Money Stock, Billions of Dollars, Weekly, Seasonally Adjusted]]-B1980)/B1980</f>
        <v/>
      </c>
    </row>
    <row r="2033">
      <c r="A2033" s="86" t="n">
        <v>43710</v>
      </c>
      <c r="B2033" s="87" t="n">
        <v>14972.7</v>
      </c>
      <c r="C2033" s="39">
        <f>(Table26[[#This Row],[M2 Money Stock, Billions of Dollars, Weekly, Seasonally Adjusted]]-B2032)/B2032</f>
        <v/>
      </c>
      <c r="D2033" s="40">
        <f>((1+Table26[[#This Row],[Weekly change]])^52)-1</f>
        <v/>
      </c>
      <c r="E2033" s="85">
        <f>(Table26[[#This Row],[M2 Money Stock, Billions of Dollars, Weekly, Seasonally Adjusted]]-B1981)/B1981</f>
        <v/>
      </c>
    </row>
    <row r="2034">
      <c r="A2034" s="86" t="n">
        <v>43717</v>
      </c>
      <c r="B2034" s="87" t="n">
        <v>14981.1</v>
      </c>
      <c r="C2034" s="39">
        <f>(Table26[[#This Row],[M2 Money Stock, Billions of Dollars, Weekly, Seasonally Adjusted]]-B2033)/B2033</f>
        <v/>
      </c>
      <c r="D2034" s="40">
        <f>((1+Table26[[#This Row],[Weekly change]])^52)-1</f>
        <v/>
      </c>
      <c r="E2034" s="85">
        <f>(Table26[[#This Row],[M2 Money Stock, Billions of Dollars, Weekly, Seasonally Adjusted]]-B1982)/B1982</f>
        <v/>
      </c>
    </row>
    <row r="2035">
      <c r="A2035" s="86" t="n">
        <v>43724</v>
      </c>
      <c r="B2035" s="87" t="n">
        <v>14992.5</v>
      </c>
      <c r="C2035" s="39">
        <f>(Table26[[#This Row],[M2 Money Stock, Billions of Dollars, Weekly, Seasonally Adjusted]]-B2034)/B2034</f>
        <v/>
      </c>
      <c r="D2035" s="40">
        <f>((1+Table26[[#This Row],[Weekly change]])^52)-1</f>
        <v/>
      </c>
      <c r="E2035" s="85">
        <f>(Table26[[#This Row],[M2 Money Stock, Billions of Dollars, Weekly, Seasonally Adjusted]]-B1983)/B1983</f>
        <v/>
      </c>
    </row>
    <row r="2036">
      <c r="A2036" s="86" t="n">
        <v>43731</v>
      </c>
      <c r="B2036" s="87" t="n">
        <v>15045.7</v>
      </c>
      <c r="C2036" s="39">
        <f>(Table26[[#This Row],[M2 Money Stock, Billions of Dollars, Weekly, Seasonally Adjusted]]-B2035)/B2035</f>
        <v/>
      </c>
      <c r="D2036" s="40">
        <f>((1+Table26[[#This Row],[Weekly change]])^52)-1</f>
        <v/>
      </c>
      <c r="E2036" s="85">
        <f>(Table26[[#This Row],[M2 Money Stock, Billions of Dollars, Weekly, Seasonally Adjusted]]-B1984)/B1984</f>
        <v/>
      </c>
    </row>
    <row r="2037">
      <c r="A2037" s="86" t="n">
        <v>43738</v>
      </c>
      <c r="B2037" s="87" t="n">
        <v>15086.5</v>
      </c>
      <c r="C2037" s="39">
        <f>(Table26[[#This Row],[M2 Money Stock, Billions of Dollars, Weekly, Seasonally Adjusted]]-B2036)/B2036</f>
        <v/>
      </c>
      <c r="D2037" s="40">
        <f>((1+Table26[[#This Row],[Weekly change]])^52)-1</f>
        <v/>
      </c>
      <c r="E2037" s="85">
        <f>(Table26[[#This Row],[M2 Money Stock, Billions of Dollars, Weekly, Seasonally Adjusted]]-B1985)/B1985</f>
        <v/>
      </c>
    </row>
    <row r="2038">
      <c r="A2038" s="86" t="n">
        <v>43745</v>
      </c>
      <c r="B2038" s="87" t="n">
        <v>15110.5</v>
      </c>
      <c r="C2038" s="39">
        <f>(Table26[[#This Row],[M2 Money Stock, Billions of Dollars, Weekly, Seasonally Adjusted]]-B2037)/B2037</f>
        <v/>
      </c>
      <c r="D2038" s="40">
        <f>((1+Table26[[#This Row],[Weekly change]])^52)-1</f>
        <v/>
      </c>
      <c r="E2038" s="85">
        <f>(Table26[[#This Row],[M2 Money Stock, Billions of Dollars, Weekly, Seasonally Adjusted]]-B1986)/B1986</f>
        <v/>
      </c>
    </row>
    <row r="2039">
      <c r="A2039" s="86" t="n">
        <v>43752</v>
      </c>
      <c r="B2039" s="87" t="n">
        <v>15116.9</v>
      </c>
      <c r="C2039" s="39">
        <f>(Table26[[#This Row],[M2 Money Stock, Billions of Dollars, Weekly, Seasonally Adjusted]]-B2038)/B2038</f>
        <v/>
      </c>
      <c r="D2039" s="40">
        <f>((1+Table26[[#This Row],[Weekly change]])^52)-1</f>
        <v/>
      </c>
      <c r="E2039" s="85">
        <f>(Table26[[#This Row],[M2 Money Stock, Billions of Dollars, Weekly, Seasonally Adjusted]]-B1987)/B1987</f>
        <v/>
      </c>
    </row>
    <row r="2040">
      <c r="A2040" s="86" t="n">
        <v>43759</v>
      </c>
      <c r="B2040" s="87" t="n">
        <v>15155.9</v>
      </c>
      <c r="C2040" s="39">
        <f>(Table26[[#This Row],[M2 Money Stock, Billions of Dollars, Weekly, Seasonally Adjusted]]-B2039)/B2039</f>
        <v/>
      </c>
      <c r="D2040" s="40">
        <f>((1+Table26[[#This Row],[Weekly change]])^52)-1</f>
        <v/>
      </c>
      <c r="E2040" s="85">
        <f>(Table26[[#This Row],[M2 Money Stock, Billions of Dollars, Weekly, Seasonally Adjusted]]-B1988)/B1988</f>
        <v/>
      </c>
    </row>
    <row r="2041">
      <c r="A2041" s="86" t="n">
        <v>43766</v>
      </c>
      <c r="B2041" s="87" t="n">
        <v>15189.1</v>
      </c>
      <c r="C2041" s="39">
        <f>(Table26[[#This Row],[M2 Money Stock, Billions of Dollars, Weekly, Seasonally Adjusted]]-B2040)/B2040</f>
        <v/>
      </c>
      <c r="D2041" s="40">
        <f>((1+Table26[[#This Row],[Weekly change]])^52)-1</f>
        <v/>
      </c>
      <c r="E2041" s="85">
        <f>(Table26[[#This Row],[M2 Money Stock, Billions of Dollars, Weekly, Seasonally Adjusted]]-B1989)/B1989</f>
        <v/>
      </c>
    </row>
    <row r="2042">
      <c r="A2042" s="86" t="n">
        <v>43773</v>
      </c>
      <c r="B2042" s="87" t="n">
        <v>15212.9</v>
      </c>
      <c r="C2042" s="39">
        <f>(Table26[[#This Row],[M2 Money Stock, Billions of Dollars, Weekly, Seasonally Adjusted]]-B2041)/B2041</f>
        <v/>
      </c>
      <c r="D2042" s="40">
        <f>((1+Table26[[#This Row],[Weekly change]])^52)-1</f>
        <v/>
      </c>
      <c r="E2042" s="85">
        <f>(Table26[[#This Row],[M2 Money Stock, Billions of Dollars, Weekly, Seasonally Adjusted]]-B1990)/B1990</f>
        <v/>
      </c>
    </row>
    <row r="2043">
      <c r="A2043" s="86" t="n">
        <v>43780</v>
      </c>
      <c r="B2043" s="87" t="n">
        <v>15219.8</v>
      </c>
      <c r="C2043" s="39">
        <f>(Table26[[#This Row],[M2 Money Stock, Billions of Dollars, Weekly, Seasonally Adjusted]]-B2042)/B2042</f>
        <v/>
      </c>
      <c r="D2043" s="40">
        <f>((1+Table26[[#This Row],[Weekly change]])^52)-1</f>
        <v/>
      </c>
      <c r="E2043" s="85">
        <f>(Table26[[#This Row],[M2 Money Stock, Billions of Dollars, Weekly, Seasonally Adjusted]]-B1991)/B1991</f>
        <v/>
      </c>
    </row>
    <row r="2044">
      <c r="A2044" s="86" t="n">
        <v>43787</v>
      </c>
      <c r="B2044" s="87" t="n">
        <v>15251.5</v>
      </c>
      <c r="C2044" s="39">
        <f>(Table26[[#This Row],[M2 Money Stock, Billions of Dollars, Weekly, Seasonally Adjusted]]-B2043)/B2043</f>
        <v/>
      </c>
      <c r="D2044" s="40">
        <f>((1+Table26[[#This Row],[Weekly change]])^52)-1</f>
        <v/>
      </c>
      <c r="E2044" s="85">
        <f>(Table26[[#This Row],[M2 Money Stock, Billions of Dollars, Weekly, Seasonally Adjusted]]-B1992)/B1992</f>
        <v/>
      </c>
    </row>
    <row r="2045">
      <c r="A2045" s="86" t="n">
        <v>43794</v>
      </c>
      <c r="B2045" s="87" t="n">
        <v>15282.4</v>
      </c>
      <c r="C2045" s="39">
        <f>(Table26[[#This Row],[M2 Money Stock, Billions of Dollars, Weekly, Seasonally Adjusted]]-B2044)/B2044</f>
        <v/>
      </c>
      <c r="D2045" s="40">
        <f>((1+Table26[[#This Row],[Weekly change]])^52)-1</f>
        <v/>
      </c>
      <c r="E2045" s="85">
        <f>(Table26[[#This Row],[M2 Money Stock, Billions of Dollars, Weekly, Seasonally Adjusted]]-B1993)/B1993</f>
        <v/>
      </c>
    </row>
    <row r="2046">
      <c r="A2046" s="86" t="n">
        <v>43801</v>
      </c>
      <c r="B2046" s="87" t="n">
        <v>15281.1</v>
      </c>
      <c r="C2046" s="39">
        <f>(Table26[[#This Row],[M2 Money Stock, Billions of Dollars, Weekly, Seasonally Adjusted]]-B2045)/B2045</f>
        <v/>
      </c>
      <c r="D2046" s="40">
        <f>((1+Table26[[#This Row],[Weekly change]])^52)-1</f>
        <v/>
      </c>
      <c r="E2046" s="85">
        <f>(Table26[[#This Row],[M2 Money Stock, Billions of Dollars, Weekly, Seasonally Adjusted]]-B1994)/B1994</f>
        <v/>
      </c>
    </row>
    <row r="2047">
      <c r="A2047" s="86" t="n">
        <v>43808</v>
      </c>
      <c r="B2047" s="87" t="n">
        <v>15261.7</v>
      </c>
      <c r="C2047" s="39">
        <f>(Table26[[#This Row],[M2 Money Stock, Billions of Dollars, Weekly, Seasonally Adjusted]]-B2046)/B2046</f>
        <v/>
      </c>
      <c r="D2047" s="40">
        <f>((1+Table26[[#This Row],[Weekly change]])^52)-1</f>
        <v/>
      </c>
      <c r="E2047" s="85">
        <f>(Table26[[#This Row],[M2 Money Stock, Billions of Dollars, Weekly, Seasonally Adjusted]]-B1995)/B1995</f>
        <v/>
      </c>
    </row>
    <row r="2048">
      <c r="A2048" s="86" t="n">
        <v>43815</v>
      </c>
      <c r="B2048" s="87" t="n">
        <v>15316.1</v>
      </c>
      <c r="C2048" s="39">
        <f>(Table26[[#This Row],[M2 Money Stock, Billions of Dollars, Weekly, Seasonally Adjusted]]-B2047)/B2047</f>
        <v/>
      </c>
      <c r="D2048" s="40">
        <f>((1+Table26[[#This Row],[Weekly change]])^52)-1</f>
        <v/>
      </c>
      <c r="E2048" s="85">
        <f>(Table26[[#This Row],[M2 Money Stock, Billions of Dollars, Weekly, Seasonally Adjusted]]-B1996)/B1996</f>
        <v/>
      </c>
    </row>
    <row r="2049">
      <c r="A2049" s="86" t="n">
        <v>43822</v>
      </c>
      <c r="B2049" s="87" t="n">
        <v>15326.1</v>
      </c>
      <c r="C2049" s="39">
        <f>(Table26[[#This Row],[M2 Money Stock, Billions of Dollars, Weekly, Seasonally Adjusted]]-B2048)/B2048</f>
        <v/>
      </c>
      <c r="D2049" s="40">
        <f>((1+Table26[[#This Row],[Weekly change]])^52)-1</f>
        <v/>
      </c>
      <c r="E2049" s="85">
        <f>(Table26[[#This Row],[M2 Money Stock, Billions of Dollars, Weekly, Seasonally Adjusted]]-B1997)/B1997</f>
        <v/>
      </c>
    </row>
    <row r="2050">
      <c r="A2050" s="86" t="n">
        <v>43829</v>
      </c>
      <c r="B2050" s="87" t="n">
        <v>15333.6</v>
      </c>
      <c r="C2050" s="39">
        <f>(Table26[[#This Row],[M2 Money Stock, Billions of Dollars, Weekly, Seasonally Adjusted]]-B2049)/B2049</f>
        <v/>
      </c>
      <c r="D2050" s="40">
        <f>((1+Table26[[#This Row],[Weekly change]])^52)-1</f>
        <v/>
      </c>
      <c r="E2050" s="85">
        <f>(Table26[[#This Row],[M2 Money Stock, Billions of Dollars, Weekly, Seasonally Adjusted]]-B1998)/B1998</f>
        <v/>
      </c>
    </row>
    <row r="2051">
      <c r="A2051" s="86" t="n">
        <v>43836</v>
      </c>
      <c r="B2051" s="87" t="n">
        <v>15337.7</v>
      </c>
      <c r="C2051" s="39">
        <f>(Table26[[#This Row],[M2 Money Stock, Billions of Dollars, Weekly, Seasonally Adjusted]]-B2050)/B2050</f>
        <v/>
      </c>
      <c r="D2051" s="40">
        <f>((1+Table26[[#This Row],[Weekly change]])^52)-1</f>
        <v/>
      </c>
      <c r="E2051" s="85">
        <f>(Table26[[#This Row],[M2 Money Stock, Billions of Dollars, Weekly, Seasonally Adjusted]]-B1999)/B1999</f>
        <v/>
      </c>
    </row>
    <row r="2052">
      <c r="A2052" s="86" t="n">
        <v>43843</v>
      </c>
      <c r="B2052" s="87" t="n">
        <v>15371.5</v>
      </c>
      <c r="C2052" s="39">
        <f>(Table26[[#This Row],[M2 Money Stock, Billions of Dollars, Weekly, Seasonally Adjusted]]-B2051)/B2051</f>
        <v/>
      </c>
      <c r="D2052" s="40">
        <f>((1+Table26[[#This Row],[Weekly change]])^52)-1</f>
        <v/>
      </c>
      <c r="E2052" s="85">
        <f>(Table26[[#This Row],[M2 Money Stock, Billions of Dollars, Weekly, Seasonally Adjusted]]-B2000)/B2000</f>
        <v/>
      </c>
    </row>
    <row r="2053">
      <c r="A2053" s="86" t="n">
        <v>43850</v>
      </c>
      <c r="B2053" s="87" t="n">
        <v>15423.3</v>
      </c>
      <c r="C2053" s="39">
        <f>(Table26[[#This Row],[M2 Money Stock, Billions of Dollars, Weekly, Seasonally Adjusted]]-B2052)/B2052</f>
        <v/>
      </c>
      <c r="D2053" s="40">
        <f>((1+Table26[[#This Row],[Weekly change]])^52)-1</f>
        <v/>
      </c>
      <c r="E2053" s="85">
        <f>(Table26[[#This Row],[M2 Money Stock, Billions of Dollars, Weekly, Seasonally Adjusted]]-B2001)/B2001</f>
        <v/>
      </c>
    </row>
    <row r="2054">
      <c r="A2054" s="86" t="n">
        <v>43857</v>
      </c>
      <c r="B2054" s="87" t="n">
        <v>15445.3</v>
      </c>
      <c r="C2054" s="39">
        <f>(Table26[[#This Row],[M2 Money Stock, Billions of Dollars, Weekly, Seasonally Adjusted]]-B2053)/B2053</f>
        <v/>
      </c>
      <c r="D2054" s="40">
        <f>((1+Table26[[#This Row],[Weekly change]])^52)-1</f>
        <v/>
      </c>
      <c r="E2054" s="85">
        <f>(Table26[[#This Row],[M2 Money Stock, Billions of Dollars, Weekly, Seasonally Adjusted]]-B2002)/B2002</f>
        <v/>
      </c>
    </row>
    <row r="2055">
      <c r="A2055" s="86" t="n">
        <v>43864</v>
      </c>
      <c r="B2055" s="87" t="n">
        <v>15428.2</v>
      </c>
      <c r="C2055" s="39">
        <f>(Table26[[#This Row],[M2 Money Stock, Billions of Dollars, Weekly, Seasonally Adjusted]]-B2054)/B2054</f>
        <v/>
      </c>
      <c r="D2055" s="40">
        <f>((1+Table26[[#This Row],[Weekly change]])^52)-1</f>
        <v/>
      </c>
      <c r="E2055" s="85">
        <f>(Table26[[#This Row],[M2 Money Stock, Billions of Dollars, Weekly, Seasonally Adjusted]]-B2003)/B2003</f>
        <v/>
      </c>
    </row>
    <row r="2056">
      <c r="A2056" s="86" t="n">
        <v>43871</v>
      </c>
      <c r="B2056" s="87" t="n">
        <v>15432.5</v>
      </c>
      <c r="C2056" s="39">
        <f>(Table26[[#This Row],[M2 Money Stock, Billions of Dollars, Weekly, Seasonally Adjusted]]-B2055)/B2055</f>
        <v/>
      </c>
      <c r="D2056" s="40">
        <f>((1+Table26[[#This Row],[Weekly change]])^52)-1</f>
        <v/>
      </c>
      <c r="E2056" s="85">
        <f>(Table26[[#This Row],[M2 Money Stock, Billions of Dollars, Weekly, Seasonally Adjusted]]-B2004)/B2004</f>
        <v/>
      </c>
    </row>
    <row r="2057">
      <c r="A2057" s="86" t="n">
        <v>43878</v>
      </c>
      <c r="B2057" s="87" t="n">
        <v>15442.9</v>
      </c>
      <c r="C2057" s="39">
        <f>(Table26[[#This Row],[M2 Money Stock, Billions of Dollars, Weekly, Seasonally Adjusted]]-B2056)/B2056</f>
        <v/>
      </c>
      <c r="D2057" s="40">
        <f>((1+Table26[[#This Row],[Weekly change]])^52)-1</f>
        <v/>
      </c>
      <c r="E2057" s="85">
        <f>(Table26[[#This Row],[M2 Money Stock, Billions of Dollars, Weekly, Seasonally Adjusted]]-B2005)/B2005</f>
        <v/>
      </c>
    </row>
    <row r="2058">
      <c r="A2058" s="86" t="n">
        <v>43885</v>
      </c>
      <c r="B2058" s="87" t="n">
        <v>15434.1</v>
      </c>
      <c r="C2058" s="39">
        <f>(Table26[[#This Row],[M2 Money Stock, Billions of Dollars, Weekly, Seasonally Adjusted]]-B2057)/B2057</f>
        <v/>
      </c>
      <c r="D2058" s="40">
        <f>((1+Table26[[#This Row],[Weekly change]])^52)-1</f>
        <v/>
      </c>
      <c r="E2058" s="85">
        <f>(Table26[[#This Row],[M2 Money Stock, Billions of Dollars, Weekly, Seasonally Adjusted]]-B2006)/B2006</f>
        <v/>
      </c>
    </row>
    <row r="2059">
      <c r="A2059" s="86" t="n">
        <v>43892</v>
      </c>
      <c r="B2059" s="87" t="n">
        <v>15512.8</v>
      </c>
      <c r="C2059" s="39">
        <f>(Table26[[#This Row],[M2 Money Stock, Billions of Dollars, Weekly, Seasonally Adjusted]]-B2058)/B2058</f>
        <v/>
      </c>
      <c r="D2059" s="40">
        <f>((1+Table26[[#This Row],[Weekly change]])^52)-1</f>
        <v/>
      </c>
      <c r="E2059" s="85">
        <f>(Table26[[#This Row],[M2 Money Stock, Billions of Dollars, Weekly, Seasonally Adjusted]]-B2007)/B2007</f>
        <v/>
      </c>
    </row>
    <row r="2060">
      <c r="A2060" s="86" t="n">
        <v>43899</v>
      </c>
      <c r="B2060" s="87" t="n">
        <v>15567.3</v>
      </c>
      <c r="C2060" s="39">
        <f>(Table26[[#This Row],[M2 Money Stock, Billions of Dollars, Weekly, Seasonally Adjusted]]-B2059)/B2059</f>
        <v/>
      </c>
      <c r="D2060" s="40">
        <f>((1+Table26[[#This Row],[Weekly change]])^52)-1</f>
        <v/>
      </c>
      <c r="E2060" s="85">
        <f>(Table26[[#This Row],[M2 Money Stock, Billions of Dollars, Weekly, Seasonally Adjusted]]-B2008)/B2008</f>
        <v/>
      </c>
    </row>
    <row r="2061">
      <c r="A2061" s="86" t="n">
        <v>43906</v>
      </c>
      <c r="B2061" s="87" t="n">
        <v>15725.8</v>
      </c>
      <c r="C2061" s="39">
        <f>(Table26[[#This Row],[M2 Money Stock, Billions of Dollars, Weekly, Seasonally Adjusted]]-B2060)/B2060</f>
        <v/>
      </c>
      <c r="D2061" s="40">
        <f>((1+Table26[[#This Row],[Weekly change]])^52)-1</f>
        <v/>
      </c>
      <c r="E2061" s="85">
        <f>(Table26[[#This Row],[M2 Money Stock, Billions of Dollars, Weekly, Seasonally Adjusted]]-B2009)/B2009</f>
        <v/>
      </c>
    </row>
    <row r="2062">
      <c r="A2062" s="86" t="n">
        <v>43913</v>
      </c>
      <c r="B2062" s="87" t="n">
        <v>16151.3</v>
      </c>
      <c r="C2062" s="39">
        <f>(Table26[[#This Row],[M2 Money Stock, Billions of Dollars, Weekly, Seasonally Adjusted]]-B2061)/B2061</f>
        <v/>
      </c>
      <c r="D2062" s="40">
        <f>((1+Table26[[#This Row],[Weekly change]])^52)-1</f>
        <v/>
      </c>
      <c r="E2062" s="85">
        <f>(Table26[[#This Row],[M2 Money Stock, Billions of Dollars, Weekly, Seasonally Adjusted]]-B2010)/B2010</f>
        <v/>
      </c>
    </row>
    <row r="2063">
      <c r="A2063" s="86" t="n">
        <v>43920</v>
      </c>
      <c r="B2063" s="87" t="n">
        <v>16533.1</v>
      </c>
      <c r="C2063" s="39">
        <f>(Table26[[#This Row],[M2 Money Stock, Billions of Dollars, Weekly, Seasonally Adjusted]]-B2062)/B2062</f>
        <v/>
      </c>
      <c r="D2063" s="40">
        <f>((1+Table26[[#This Row],[Weekly change]])^52)-1</f>
        <v/>
      </c>
      <c r="E2063" s="85">
        <f>(Table26[[#This Row],[M2 Money Stock, Billions of Dollars, Weekly, Seasonally Adjusted]]-B2011)/B2011</f>
        <v/>
      </c>
    </row>
    <row r="2064">
      <c r="A2064" s="86" t="n">
        <v>43927</v>
      </c>
      <c r="B2064" s="87" t="n">
        <v>16595.8</v>
      </c>
      <c r="C2064" s="39">
        <f>(Table26[[#This Row],[M2 Money Stock, Billions of Dollars, Weekly, Seasonally Adjusted]]-B2063)/B2063</f>
        <v/>
      </c>
      <c r="D2064" s="40">
        <f>((1+Table26[[#This Row],[Weekly change]])^52)-1</f>
        <v/>
      </c>
      <c r="E2064" s="85">
        <f>(Table26[[#This Row],[M2 Money Stock, Billions of Dollars, Weekly, Seasonally Adjusted]]-B2012)/B2012</f>
        <v/>
      </c>
    </row>
    <row r="2065">
      <c r="A2065" s="86" t="n">
        <v>43934</v>
      </c>
      <c r="B2065" s="87" t="n">
        <v>16715.7</v>
      </c>
      <c r="C2065" s="39">
        <f>(Table26[[#This Row],[M2 Money Stock, Billions of Dollars, Weekly, Seasonally Adjusted]]-B2064)/B2064</f>
        <v/>
      </c>
      <c r="D2065" s="40">
        <f>((1+Table26[[#This Row],[Weekly change]])^52)-1</f>
        <v/>
      </c>
      <c r="E2065" s="85">
        <f>(Table26[[#This Row],[M2 Money Stock, Billions of Dollars, Weekly, Seasonally Adjusted]]-B2013)/B2013</f>
        <v/>
      </c>
    </row>
    <row r="2066">
      <c r="A2066" s="86" t="n">
        <v>43941</v>
      </c>
      <c r="B2066" s="87" t="n">
        <v>17075.6</v>
      </c>
      <c r="C2066" s="39">
        <f>(Table26[[#This Row],[M2 Money Stock, Billions of Dollars, Weekly, Seasonally Adjusted]]-B2065)/B2065</f>
        <v/>
      </c>
      <c r="D2066" s="40">
        <f>((1+Table26[[#This Row],[Weekly change]])^52)-1</f>
        <v/>
      </c>
      <c r="E2066" s="85">
        <f>(Table26[[#This Row],[M2 Money Stock, Billions of Dollars, Weekly, Seasonally Adjusted]]-B2014)/B2014</f>
        <v/>
      </c>
    </row>
    <row r="2067">
      <c r="A2067" s="86" t="n">
        <v>43948</v>
      </c>
      <c r="B2067" s="87" t="n">
        <v>17405.3</v>
      </c>
      <c r="C2067" s="39">
        <f>(Table26[[#This Row],[M2 Money Stock, Billions of Dollars, Weekly, Seasonally Adjusted]]-B2066)/B2066</f>
        <v/>
      </c>
      <c r="D2067" s="40">
        <f>((1+Table26[[#This Row],[Weekly change]])^52)-1</f>
        <v/>
      </c>
      <c r="E2067" s="85">
        <f>(Table26[[#This Row],[M2 Money Stock, Billions of Dollars, Weekly, Seasonally Adjusted]]-B2015)/B2015</f>
        <v/>
      </c>
    </row>
    <row r="2068">
      <c r="A2068" s="86" t="n">
        <v>43955</v>
      </c>
      <c r="B2068" s="87" t="n">
        <v>17598.8</v>
      </c>
      <c r="C2068" s="39">
        <f>(Table26[[#This Row],[M2 Money Stock, Billions of Dollars, Weekly, Seasonally Adjusted]]-B2067)/B2067</f>
        <v/>
      </c>
      <c r="D2068" s="40">
        <f>((1+Table26[[#This Row],[Weekly change]])^52)-1</f>
        <v/>
      </c>
      <c r="E2068" s="85">
        <f>(Table26[[#This Row],[M2 Money Stock, Billions of Dollars, Weekly, Seasonally Adjusted]]-B2016)/B2016</f>
        <v/>
      </c>
    </row>
    <row r="2069">
      <c r="A2069" s="86" t="n">
        <v>43962</v>
      </c>
      <c r="B2069" s="87" t="n">
        <v>17818.2</v>
      </c>
      <c r="C2069" s="39">
        <f>(Table26[[#This Row],[M2 Money Stock, Billions of Dollars, Weekly, Seasonally Adjusted]]-B2068)/B2068</f>
        <v/>
      </c>
      <c r="D2069" s="40">
        <f>((1+Table26[[#This Row],[Weekly change]])^52)-1</f>
        <v/>
      </c>
      <c r="E2069" s="85">
        <f>(Table26[[#This Row],[M2 Money Stock, Billions of Dollars, Weekly, Seasonally Adjusted]]-B2017)/B2017</f>
        <v/>
      </c>
    </row>
    <row r="2070">
      <c r="A2070" s="86" t="n">
        <v>43969</v>
      </c>
      <c r="B2070" s="87" t="n">
        <v>17908.1</v>
      </c>
      <c r="C2070" s="39">
        <f>(Table26[[#This Row],[M2 Money Stock, Billions of Dollars, Weekly, Seasonally Adjusted]]-B2069)/B2069</f>
        <v/>
      </c>
      <c r="D2070" s="40">
        <f>((1+Table26[[#This Row],[Weekly change]])^52)-1</f>
        <v/>
      </c>
      <c r="E2070" s="85">
        <f>(Table26[[#This Row],[M2 Money Stock, Billions of Dollars, Weekly, Seasonally Adjusted]]-B2018)/B2018</f>
        <v/>
      </c>
    </row>
    <row r="2071">
      <c r="A2071" s="86" t="n">
        <v>43976</v>
      </c>
      <c r="B2071" s="87" t="n">
        <v>17936.5</v>
      </c>
      <c r="C2071" s="39">
        <f>(Table26[[#This Row],[M2 Money Stock, Billions of Dollars, Weekly, Seasonally Adjusted]]-B2070)/B2070</f>
        <v/>
      </c>
      <c r="D2071" s="40">
        <f>((1+Table26[[#This Row],[Weekly change]])^52)-1</f>
        <v/>
      </c>
      <c r="E2071" s="85">
        <f>(Table26[[#This Row],[M2 Money Stock, Billions of Dollars, Weekly, Seasonally Adjusted]]-B2019)/B2019</f>
        <v/>
      </c>
    </row>
    <row r="2072">
      <c r="A2072" s="86" t="n">
        <v>43983</v>
      </c>
      <c r="B2072" s="87" t="n">
        <v>17970.9</v>
      </c>
      <c r="C2072" s="39">
        <f>(Table26[[#This Row],[M2 Money Stock, Billions of Dollars, Weekly, Seasonally Adjusted]]-B2071)/B2071</f>
        <v/>
      </c>
      <c r="D2072" s="40">
        <f>((1+Table26[[#This Row],[Weekly change]])^52)-1</f>
        <v/>
      </c>
      <c r="E2072" s="85">
        <f>(Table26[[#This Row],[M2 Money Stock, Billions of Dollars, Weekly, Seasonally Adjusted]]-B2020)/B2020</f>
        <v/>
      </c>
    </row>
    <row r="2073">
      <c r="A2073" s="86" t="n">
        <v>43990</v>
      </c>
      <c r="B2073" s="87" t="n">
        <v>18060.7</v>
      </c>
      <c r="C2073" s="39">
        <f>(Table26[[#This Row],[M2 Money Stock, Billions of Dollars, Weekly, Seasonally Adjusted]]-B2072)/B2072</f>
        <v/>
      </c>
      <c r="D2073" s="40">
        <f>((1+Table26[[#This Row],[Weekly change]])^52)-1</f>
        <v/>
      </c>
      <c r="E2073" s="85">
        <f>(Table26[[#This Row],[M2 Money Stock, Billions of Dollars, Weekly, Seasonally Adjusted]]-B2021)/B2021</f>
        <v/>
      </c>
    </row>
    <row r="2074">
      <c r="A2074" s="86" t="n">
        <v>43997</v>
      </c>
      <c r="B2074" s="87" t="n">
        <v>18136.7</v>
      </c>
      <c r="C2074" s="39">
        <f>(Table26[[#This Row],[M2 Money Stock, Billions of Dollars, Weekly, Seasonally Adjusted]]-B2073)/B2073</f>
        <v/>
      </c>
      <c r="D2074" s="40">
        <f>((1+Table26[[#This Row],[Weekly change]])^52)-1</f>
        <v/>
      </c>
      <c r="E2074" s="85">
        <f>(Table26[[#This Row],[M2 Money Stock, Billions of Dollars, Weekly, Seasonally Adjusted]]-B2022)/B2022</f>
        <v/>
      </c>
    </row>
    <row r="2075">
      <c r="A2075" s="86" t="n">
        <v>44004</v>
      </c>
      <c r="B2075" s="87" t="n">
        <v>18234.5</v>
      </c>
      <c r="C2075" s="39">
        <f>(Table26[[#This Row],[M2 Money Stock, Billions of Dollars, Weekly, Seasonally Adjusted]]-B2074)/B2074</f>
        <v/>
      </c>
      <c r="D2075" s="40">
        <f>((1+Table26[[#This Row],[Weekly change]])^52)-1</f>
        <v/>
      </c>
      <c r="E2075" s="85">
        <f>(Table26[[#This Row],[M2 Money Stock, Billions of Dollars, Weekly, Seasonally Adjusted]]-B2023)/B2023</f>
        <v/>
      </c>
    </row>
    <row r="2076">
      <c r="A2076" s="86" t="n">
        <v>44011</v>
      </c>
      <c r="B2076" s="87" t="n">
        <v>18230.8</v>
      </c>
      <c r="C2076" s="39">
        <f>(Table26[[#This Row],[M2 Money Stock, Billions of Dollars, Weekly, Seasonally Adjusted]]-B2075)/B2075</f>
        <v/>
      </c>
      <c r="D2076" s="40">
        <f>((1+Table26[[#This Row],[Weekly change]])^52)-1</f>
        <v/>
      </c>
      <c r="E2076" s="85">
        <f>(Table26[[#This Row],[M2 Money Stock, Billions of Dollars, Weekly, Seasonally Adjusted]]-B2024)/B2024</f>
        <v/>
      </c>
    </row>
    <row r="2077">
      <c r="A2077" s="86" t="n">
        <v>44018</v>
      </c>
      <c r="B2077" s="87" t="n">
        <v>18321.9</v>
      </c>
      <c r="C2077" s="39">
        <f>(Table26[[#This Row],[M2 Money Stock, Billions of Dollars, Weekly, Seasonally Adjusted]]-B2076)/B2076</f>
        <v/>
      </c>
      <c r="D2077" s="40">
        <f>((1+Table26[[#This Row],[Weekly change]])^52)-1</f>
        <v/>
      </c>
      <c r="E2077" s="85">
        <f>(Table26[[#This Row],[M2 Money Stock, Billions of Dollars, Weekly, Seasonally Adjusted]]-B2025)/B2025</f>
        <v/>
      </c>
    </row>
    <row r="2078">
      <c r="A2078" s="86" t="n">
        <v>44025</v>
      </c>
      <c r="B2078" s="87" t="n">
        <v>18385</v>
      </c>
      <c r="C2078" s="39">
        <f>(Table26[[#This Row],[M2 Money Stock, Billions of Dollars, Weekly, Seasonally Adjusted]]-B2077)/B2077</f>
        <v/>
      </c>
      <c r="D2078" s="40">
        <f>((1+Table26[[#This Row],[Weekly change]])^52)-1</f>
        <v/>
      </c>
      <c r="E2078" s="85">
        <f>(Table26[[#This Row],[M2 Money Stock, Billions of Dollars, Weekly, Seasonally Adjusted]]-B2026)/B2026</f>
        <v/>
      </c>
    </row>
    <row r="2079">
      <c r="A2079" s="86" t="n">
        <v>44032</v>
      </c>
      <c r="B2079" s="87" t="n">
        <v>18313.8</v>
      </c>
      <c r="C2079" s="39">
        <f>(Table26[[#This Row],[M2 Money Stock, Billions of Dollars, Weekly, Seasonally Adjusted]]-B2078)/B2078</f>
        <v/>
      </c>
      <c r="D2079" s="40">
        <f>((1+Table26[[#This Row],[Weekly change]])^52)-1</f>
        <v/>
      </c>
      <c r="E2079" s="85">
        <f>(Table26[[#This Row],[M2 Money Stock, Billions of Dollars, Weekly, Seasonally Adjusted]]-B2027)/B2027</f>
        <v/>
      </c>
    </row>
    <row r="2080">
      <c r="A2080" s="86" t="n">
        <v>44039</v>
      </c>
      <c r="B2080" s="87" t="n">
        <v>18279.3</v>
      </c>
      <c r="C2080" s="39">
        <f>(Table26[[#This Row],[M2 Money Stock, Billions of Dollars, Weekly, Seasonally Adjusted]]-B2079)/B2079</f>
        <v/>
      </c>
      <c r="D2080" s="40">
        <f>((1+Table26[[#This Row],[Weekly change]])^52)-1</f>
        <v/>
      </c>
      <c r="E2080" s="85">
        <f>(Table26[[#This Row],[M2 Money Stock, Billions of Dollars, Weekly, Seasonally Adjusted]]-B2028)/B2028</f>
        <v/>
      </c>
    </row>
    <row r="2081">
      <c r="A2081" s="86" t="n">
        <v>44046</v>
      </c>
      <c r="B2081" s="87" t="n">
        <v>18252.7</v>
      </c>
      <c r="C2081" s="39">
        <f>(Table26[[#This Row],[M2 Money Stock, Billions of Dollars, Weekly, Seasonally Adjusted]]-B2080)/B2080</f>
        <v/>
      </c>
      <c r="D2081" s="40">
        <f>((1+Table26[[#This Row],[Weekly change]])^52)-1</f>
        <v/>
      </c>
      <c r="E2081" s="85">
        <f>(Table26[[#This Row],[M2 Money Stock, Billions of Dollars, Weekly, Seasonally Adjusted]]-B2029)/B2029</f>
        <v/>
      </c>
    </row>
    <row r="2082">
      <c r="A2082" s="86" t="n">
        <v>44053</v>
      </c>
      <c r="B2082" s="87" t="n">
        <v>18395.4</v>
      </c>
      <c r="C2082" s="39">
        <f>(Table26[[#This Row],[M2 Money Stock, Billions of Dollars, Weekly, Seasonally Adjusted]]-B2081)/B2081</f>
        <v/>
      </c>
      <c r="D2082" s="40">
        <f>((1+Table26[[#This Row],[Weekly change]])^52)-1</f>
        <v/>
      </c>
      <c r="E2082" s="85">
        <f>(Table26[[#This Row],[M2 Money Stock, Billions of Dollars, Weekly, Seasonally Adjusted]]-B2030)/B2030</f>
        <v/>
      </c>
    </row>
    <row r="2083">
      <c r="A2083" s="86" t="n">
        <v>44060</v>
      </c>
      <c r="B2083" s="87" t="n">
        <v>18441.6</v>
      </c>
      <c r="C2083" s="39">
        <f>(Table26[[#This Row],[M2 Money Stock, Billions of Dollars, Weekly, Seasonally Adjusted]]-B2082)/B2082</f>
        <v/>
      </c>
      <c r="D2083" s="40">
        <f>((1+Table26[[#This Row],[Weekly change]])^52)-1</f>
        <v/>
      </c>
      <c r="E2083" s="85">
        <f>(Table26[[#This Row],[M2 Money Stock, Billions of Dollars, Weekly, Seasonally Adjusted]]-B2031)/B2031</f>
        <v/>
      </c>
    </row>
    <row r="2084">
      <c r="A2084" s="86" t="n">
        <v>44067</v>
      </c>
      <c r="B2084" s="87" t="n">
        <v>18377.2</v>
      </c>
      <c r="C2084" s="39">
        <f>(Table26[[#This Row],[M2 Money Stock, Billions of Dollars, Weekly, Seasonally Adjusted]]-B2083)/B2083</f>
        <v/>
      </c>
      <c r="D2084" s="40">
        <f>((1+Table26[[#This Row],[Weekly change]])^52)-1</f>
        <v/>
      </c>
      <c r="E2084" s="85">
        <f>(Table26[[#This Row],[M2 Money Stock, Billions of Dollars, Weekly, Seasonally Adjusted]]-B2032)/B2032</f>
        <v/>
      </c>
    </row>
    <row r="2085">
      <c r="A2085" s="86" t="n">
        <v>44074</v>
      </c>
      <c r="B2085" s="87" t="n">
        <v>18456.2</v>
      </c>
      <c r="C2085" s="39">
        <f>(Table26[[#This Row],[M2 Money Stock, Billions of Dollars, Weekly, Seasonally Adjusted]]-B2084)/B2084</f>
        <v/>
      </c>
      <c r="D2085" s="40">
        <f>((1+Table26[[#This Row],[Weekly change]])^52)-1</f>
        <v/>
      </c>
      <c r="E2085" s="85">
        <f>(Table26[[#This Row],[M2 Money Stock, Billions of Dollars, Weekly, Seasonally Adjusted]]-B2033)/B2033</f>
        <v/>
      </c>
    </row>
    <row r="2086">
      <c r="A2086" s="86" t="n">
        <v>44081</v>
      </c>
      <c r="B2086" s="87" t="n">
        <v>18566.5</v>
      </c>
      <c r="C2086" s="39">
        <f>(Table26[[#This Row],[M2 Money Stock, Billions of Dollars, Weekly, Seasonally Adjusted]]-B2085)/B2085</f>
        <v/>
      </c>
      <c r="D2086" s="40">
        <f>((1+Table26[[#This Row],[Weekly change]])^52)-1</f>
        <v/>
      </c>
      <c r="E2086" s="85">
        <f>(Table26[[#This Row],[M2 Money Stock, Billions of Dollars, Weekly, Seasonally Adjusted]]-B2034)/B2034</f>
        <v/>
      </c>
    </row>
    <row r="2087">
      <c r="A2087" s="86" t="n">
        <v>44088</v>
      </c>
      <c r="B2087" s="87" t="n">
        <v>18691.3</v>
      </c>
      <c r="C2087" s="39">
        <f>(Table26[[#This Row],[M2 Money Stock, Billions of Dollars, Weekly, Seasonally Adjusted]]-B2086)/B2086</f>
        <v/>
      </c>
      <c r="D2087" s="40">
        <f>((1+Table26[[#This Row],[Weekly change]])^52)-1</f>
        <v/>
      </c>
      <c r="E2087" s="85">
        <f>(Table26[[#This Row],[M2 Money Stock, Billions of Dollars, Weekly, Seasonally Adjusted]]-B2035)/B2035</f>
        <v/>
      </c>
    </row>
    <row r="2088">
      <c r="A2088" s="86" t="n">
        <v>44095</v>
      </c>
      <c r="B2088" s="87" t="n">
        <v>18710</v>
      </c>
      <c r="C2088" s="39">
        <f>(Table26[[#This Row],[M2 Money Stock, Billions of Dollars, Weekly, Seasonally Adjusted]]-B2087)/B2087</f>
        <v/>
      </c>
      <c r="D2088" s="40">
        <f>((1+Table26[[#This Row],[Weekly change]])^52)-1</f>
        <v/>
      </c>
      <c r="E2088" s="85">
        <f>(Table26[[#This Row],[M2 Money Stock, Billions of Dollars, Weekly, Seasonally Adjusted]]-B2036)/B2036</f>
        <v/>
      </c>
    </row>
    <row r="2089">
      <c r="A2089" s="86" t="n">
        <v>44102</v>
      </c>
      <c r="B2089" s="87" t="n">
        <v>18643.6</v>
      </c>
      <c r="C2089" s="39">
        <f>(Table26[[#This Row],[M2 Money Stock, Billions of Dollars, Weekly, Seasonally Adjusted]]-B2088)/B2088</f>
        <v/>
      </c>
      <c r="D2089" s="40">
        <f>((1+Table26[[#This Row],[Weekly change]])^52)-1</f>
        <v/>
      </c>
      <c r="E2089" s="85">
        <f>(Table26[[#This Row],[M2 Money Stock, Billions of Dollars, Weekly, Seasonally Adjusted]]-B2037)/B2037</f>
        <v/>
      </c>
    </row>
    <row r="2090">
      <c r="A2090" s="86" t="n">
        <v>44109</v>
      </c>
      <c r="B2090" s="87" t="n">
        <v>18689.4</v>
      </c>
      <c r="C2090" s="39">
        <f>(Table26[[#This Row],[M2 Money Stock, Billions of Dollars, Weekly, Seasonally Adjusted]]-B2089)/B2089</f>
        <v/>
      </c>
      <c r="D2090" s="40">
        <f>((1+Table26[[#This Row],[Weekly change]])^52)-1</f>
        <v/>
      </c>
      <c r="E2090" s="85">
        <f>(Table26[[#This Row],[M2 Money Stock, Billions of Dollars, Weekly, Seasonally Adjusted]]-B2038)/B2038</f>
        <v/>
      </c>
    </row>
    <row r="2091">
      <c r="A2091" s="86" t="n">
        <v>44116</v>
      </c>
      <c r="B2091" s="87" t="n">
        <v>18795.9</v>
      </c>
      <c r="C2091" s="39">
        <f>(Table26[[#This Row],[M2 Money Stock, Billions of Dollars, Weekly, Seasonally Adjusted]]-B2090)/B2090</f>
        <v/>
      </c>
      <c r="D2091" s="40">
        <f>((1+Table26[[#This Row],[Weekly change]])^52)-1</f>
        <v/>
      </c>
      <c r="E2091" s="85">
        <f>(Table26[[#This Row],[M2 Money Stock, Billions of Dollars, Weekly, Seasonally Adjusted]]-B2039)/B2039</f>
        <v/>
      </c>
    </row>
    <row r="2092">
      <c r="A2092" s="86" t="n">
        <v>44123</v>
      </c>
      <c r="B2092" s="87" t="n">
        <v>18815.7</v>
      </c>
      <c r="C2092" s="39">
        <f>(Table26[[#This Row],[M2 Money Stock, Billions of Dollars, Weekly, Seasonally Adjusted]]-B2091)/B2091</f>
        <v/>
      </c>
      <c r="D2092" s="40">
        <f>((1+Table26[[#This Row],[Weekly change]])^52)-1</f>
        <v/>
      </c>
      <c r="E2092" s="85">
        <f>(Table26[[#This Row],[M2 Money Stock, Billions of Dollars, Weekly, Seasonally Adjusted]]-B2040)/B2040</f>
        <v/>
      </c>
    </row>
    <row r="2093">
      <c r="A2093" s="86" t="n">
        <v>44130</v>
      </c>
      <c r="B2093" s="87" t="n">
        <v>18838.9</v>
      </c>
      <c r="C2093" s="39">
        <f>(Table26[[#This Row],[M2 Money Stock, Billions of Dollars, Weekly, Seasonally Adjusted]]-B2092)/B2092</f>
        <v/>
      </c>
      <c r="D2093" s="40">
        <f>((1+Table26[[#This Row],[Weekly change]])^52)-1</f>
        <v/>
      </c>
      <c r="E2093" s="85">
        <f>(Table26[[#This Row],[M2 Money Stock, Billions of Dollars, Weekly, Seasonally Adjusted]]-B2041)/B2041</f>
        <v/>
      </c>
    </row>
    <row r="2094">
      <c r="A2094" s="86" t="n">
        <v>44137</v>
      </c>
      <c r="B2094" s="87" t="n">
        <v>18894.9</v>
      </c>
      <c r="C2094" s="39">
        <f>(Table26[[#This Row],[M2 Money Stock, Billions of Dollars, Weekly, Seasonally Adjusted]]-B2093)/B2093</f>
        <v/>
      </c>
      <c r="D2094" s="40">
        <f>((1+Table26[[#This Row],[Weekly change]])^52)-1</f>
        <v/>
      </c>
      <c r="E2094" s="85">
        <f>(Table26[[#This Row],[M2 Money Stock, Billions of Dollars, Weekly, Seasonally Adjusted]]-B2042)/B2042</f>
        <v/>
      </c>
    </row>
    <row r="2095">
      <c r="A2095" s="86" t="n">
        <v>44144</v>
      </c>
      <c r="B2095" s="87" t="n">
        <v>19067.1</v>
      </c>
      <c r="C2095" s="39">
        <f>(Table26[[#This Row],[M2 Money Stock, Billions of Dollars, Weekly, Seasonally Adjusted]]-B2094)/B2094</f>
        <v/>
      </c>
      <c r="D2095" s="40">
        <f>((1+Table26[[#This Row],[Weekly change]])^52)-1</f>
        <v/>
      </c>
      <c r="E2095" s="85">
        <f>(Table26[[#This Row],[M2 Money Stock, Billions of Dollars, Weekly, Seasonally Adjusted]]-B2043)/B2043</f>
        <v/>
      </c>
    </row>
    <row r="2096">
      <c r="A2096" s="86" t="n">
        <v>44151</v>
      </c>
      <c r="B2096" s="87" t="n">
        <v>19108.4</v>
      </c>
      <c r="C2096" s="39">
        <f>(Table26[[#This Row],[M2 Money Stock, Billions of Dollars, Weekly, Seasonally Adjusted]]-B2095)/B2095</f>
        <v/>
      </c>
      <c r="D2096" s="40">
        <f>((1+Table26[[#This Row],[Weekly change]])^52)-1</f>
        <v/>
      </c>
      <c r="E2096" s="85">
        <f>(Table26[[#This Row],[M2 Money Stock, Billions of Dollars, Weekly, Seasonally Adjusted]]-B2044)/B2044</f>
        <v/>
      </c>
    </row>
    <row r="2097">
      <c r="A2097" s="86" t="n">
        <v>44158</v>
      </c>
      <c r="B2097" s="87" t="n">
        <v>19120.8</v>
      </c>
      <c r="C2097" s="39">
        <f>(Table26[[#This Row],[M2 Money Stock, Billions of Dollars, Weekly, Seasonally Adjusted]]-B2096)/B2096</f>
        <v/>
      </c>
      <c r="D2097" s="40">
        <f>((1+Table26[[#This Row],[Weekly change]])^52)-1</f>
        <v/>
      </c>
      <c r="E2097" s="85">
        <f>(Table26[[#This Row],[M2 Money Stock, Billions of Dollars, Weekly, Seasonally Adjusted]]-B2045)/B2045</f>
        <v/>
      </c>
    </row>
    <row r="2098">
      <c r="A2098" s="86" t="n">
        <v>44165</v>
      </c>
      <c r="B2098" s="87" t="n">
        <v>18998.3</v>
      </c>
      <c r="C2098" s="39">
        <f>(Table26[[#This Row],[M2 Money Stock, Billions of Dollars, Weekly, Seasonally Adjusted]]-B2097)/B2097</f>
        <v/>
      </c>
      <c r="D2098" s="40">
        <f>((1+Table26[[#This Row],[Weekly change]])^52)-1</f>
        <v/>
      </c>
      <c r="E2098" s="85">
        <f>(Table26[[#This Row],[M2 Money Stock, Billions of Dollars, Weekly, Seasonally Adjusted]]-B2046)/B2046</f>
        <v/>
      </c>
    </row>
    <row r="2099">
      <c r="A2099" s="86" t="n">
        <v>44172</v>
      </c>
      <c r="B2099" s="87" t="n">
        <v>19226.6</v>
      </c>
      <c r="C2099" s="39">
        <f>(Table26[[#This Row],[M2 Money Stock, Billions of Dollars, Weekly, Seasonally Adjusted]]-B2098)/B2098</f>
        <v/>
      </c>
      <c r="D2099" s="40">
        <f>((1+Table26[[#This Row],[Weekly change]])^52)-1</f>
        <v/>
      </c>
      <c r="E2099" s="85">
        <f>(Table26[[#This Row],[M2 Money Stock, Billions of Dollars, Weekly, Seasonally Adjusted]]-B2047)/B2047</f>
        <v/>
      </c>
    </row>
    <row r="2100">
      <c r="A2100" s="86" t="n">
        <v>44179</v>
      </c>
      <c r="B2100" s="87" t="n">
        <v>19299.1</v>
      </c>
      <c r="C2100" s="39">
        <f>(Table26[[#This Row],[M2 Money Stock, Billions of Dollars, Weekly, Seasonally Adjusted]]-B2099)/B2099</f>
        <v/>
      </c>
      <c r="D2100" s="40">
        <f>((1+Table26[[#This Row],[Weekly change]])^52)-1</f>
        <v/>
      </c>
      <c r="E2100" s="85">
        <f>(Table26[[#This Row],[M2 Money Stock, Billions of Dollars, Weekly, Seasonally Adjusted]]-B2048)/B2048</f>
        <v/>
      </c>
    </row>
    <row r="2101">
      <c r="A2101" s="86" t="n">
        <v>44186</v>
      </c>
      <c r="B2101" s="87" t="n">
        <v>19196.9</v>
      </c>
      <c r="C2101" s="39">
        <f>(Table26[[#This Row],[M2 Money Stock, Billions of Dollars, Weekly, Seasonally Adjusted]]-B2100)/B2100</f>
        <v/>
      </c>
      <c r="D2101" s="40">
        <f>((1+Table26[[#This Row],[Weekly change]])^52)-1</f>
        <v/>
      </c>
      <c r="E2101" s="85">
        <f>(Table26[[#This Row],[M2 Money Stock, Billions of Dollars, Weekly, Seasonally Adjusted]]-B2049)/B2049</f>
        <v/>
      </c>
    </row>
    <row r="2102">
      <c r="A2102" s="86" t="n">
        <v>44193</v>
      </c>
      <c r="B2102" s="87" t="n">
        <v>19071.8</v>
      </c>
      <c r="C2102" s="39">
        <f>(Table26[[#This Row],[M2 Money Stock, Billions of Dollars, Weekly, Seasonally Adjusted]]-B2101)/B2101</f>
        <v/>
      </c>
      <c r="D2102" s="40">
        <f>((1+Table26[[#This Row],[Weekly change]])^52)-1</f>
        <v/>
      </c>
      <c r="E2102" s="85">
        <f>(Table26[[#This Row],[M2 Money Stock, Billions of Dollars, Weekly, Seasonally Adjusted]]-B2050)/B2050</f>
        <v/>
      </c>
    </row>
    <row r="2103">
      <c r="A2103" s="86" t="n">
        <v>44200</v>
      </c>
      <c r="B2103" s="87" t="n">
        <v>19179.2</v>
      </c>
      <c r="C2103" s="39">
        <f>(Table26[[#This Row],[M2 Money Stock, Billions of Dollars, Weekly, Seasonally Adjusted]]-B2102)/B2102</f>
        <v/>
      </c>
      <c r="D2103" s="40">
        <f>((1+Table26[[#This Row],[Weekly change]])^52)-1</f>
        <v/>
      </c>
      <c r="E2103" s="85">
        <f>(Table26[[#This Row],[M2 Money Stock, Billions of Dollars, Weekly, Seasonally Adjusted]]-B2051)/B2051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990"/>
  <sheetViews>
    <sheetView zoomScale="150" zoomScaleNormal="150" workbookViewId="0">
      <selection activeCell="B57" sqref="B57"/>
    </sheetView>
  </sheetViews>
  <sheetFormatPr baseColWidth="10" defaultColWidth="9.1640625" defaultRowHeight="15"/>
  <cols>
    <col width="20.6640625" customWidth="1" style="72" min="1" max="2"/>
    <col width="13.6640625" customWidth="1" style="72" min="3" max="3"/>
    <col width="9.1640625" customWidth="1" style="72" min="4" max="4"/>
    <col width="9.1640625" customWidth="1" style="72" min="5" max="16384"/>
  </cols>
  <sheetData>
    <row r="1">
      <c r="A1" s="6" t="inlineStr">
        <is>
          <t>https://fred.stlouisfed.org/series/WALCL</t>
        </is>
      </c>
    </row>
    <row r="2">
      <c r="A2" s="72" t="inlineStr">
        <is>
          <t>WALCL</t>
        </is>
      </c>
      <c r="B2" s="72" t="inlineStr">
        <is>
          <t>Assets: Total Assets: Total Assets (Less Eliminations From Consolidation): Wednesday Level, Millions of U.S. Dollars, Weekly, Not Seasonally Adjusted</t>
        </is>
      </c>
    </row>
    <row r="4">
      <c r="A4" s="72" t="inlineStr">
        <is>
          <t>Fed Balance Sheet</t>
        </is>
      </c>
    </row>
    <row r="10" ht="16" customHeight="1" s="54" thickBot="1">
      <c r="A10" s="72" t="inlineStr">
        <is>
          <t>Frequency: Weekly, As of Wednesday</t>
        </is>
      </c>
    </row>
    <row r="11" ht="16" customHeight="1" s="54" thickBot="1">
      <c r="A11" s="49" t="inlineStr">
        <is>
          <t>Date</t>
        </is>
      </c>
      <c r="B11" s="50" t="inlineStr">
        <is>
          <t>WALCL</t>
        </is>
      </c>
      <c r="C11" s="51" t="inlineStr">
        <is>
          <t>Weekly Change</t>
        </is>
      </c>
    </row>
    <row r="12">
      <c r="A12" s="47" t="n">
        <v>37608</v>
      </c>
      <c r="B12" s="48" t="n">
        <v>719542</v>
      </c>
      <c r="C12" s="48" t="n"/>
    </row>
    <row r="13">
      <c r="A13" s="47" t="n">
        <v>37615</v>
      </c>
      <c r="B13" s="48" t="n">
        <v>732059</v>
      </c>
      <c r="C13" s="48">
        <f>Table9[[#This Row],[WALCL]]-B12</f>
        <v/>
      </c>
    </row>
    <row r="14">
      <c r="A14" s="47" t="n">
        <v>37622</v>
      </c>
      <c r="B14" s="48" t="n">
        <v>730994</v>
      </c>
      <c r="C14" s="48">
        <f>Table9[[#This Row],[WALCL]]-B13</f>
        <v/>
      </c>
    </row>
    <row r="15">
      <c r="A15" s="47" t="n">
        <v>37629</v>
      </c>
      <c r="B15" s="48" t="n">
        <v>723762</v>
      </c>
      <c r="C15" s="48">
        <f>Table9[[#This Row],[WALCL]]-B14</f>
        <v/>
      </c>
    </row>
    <row r="16">
      <c r="A16" s="47" t="n">
        <v>37636</v>
      </c>
      <c r="B16" s="48" t="n">
        <v>720074</v>
      </c>
      <c r="C16" s="48">
        <f>Table9[[#This Row],[WALCL]]-B15</f>
        <v/>
      </c>
    </row>
    <row r="17">
      <c r="A17" s="47" t="n">
        <v>37643</v>
      </c>
      <c r="B17" s="48" t="n">
        <v>735953</v>
      </c>
      <c r="C17" s="48">
        <f>Table9[[#This Row],[WALCL]]-B16</f>
        <v/>
      </c>
    </row>
    <row r="18">
      <c r="A18" s="47" t="n">
        <v>37650</v>
      </c>
      <c r="B18" s="48" t="n">
        <v>712809</v>
      </c>
      <c r="C18" s="48">
        <f>Table9[[#This Row],[WALCL]]-B17</f>
        <v/>
      </c>
    </row>
    <row r="19">
      <c r="A19" s="47" t="n">
        <v>37657</v>
      </c>
      <c r="B19" s="48" t="n">
        <v>719643</v>
      </c>
      <c r="C19" s="48">
        <f>Table9[[#This Row],[WALCL]]-B18</f>
        <v/>
      </c>
    </row>
    <row r="20">
      <c r="A20" s="47" t="n">
        <v>37664</v>
      </c>
      <c r="B20" s="48" t="n">
        <v>713281</v>
      </c>
      <c r="C20" s="48">
        <f>Table9[[#This Row],[WALCL]]-B19</f>
        <v/>
      </c>
    </row>
    <row r="21">
      <c r="A21" s="47" t="n">
        <v>37671</v>
      </c>
      <c r="B21" s="48" t="n">
        <v>730400</v>
      </c>
      <c r="C21" s="48">
        <f>Table9[[#This Row],[WALCL]]-B20</f>
        <v/>
      </c>
    </row>
    <row r="22">
      <c r="A22" s="47" t="n">
        <v>37678</v>
      </c>
      <c r="B22" s="48" t="n">
        <v>721980</v>
      </c>
      <c r="C22" s="48">
        <f>Table9[[#This Row],[WALCL]]-B21</f>
        <v/>
      </c>
    </row>
    <row r="23">
      <c r="A23" s="47" t="n">
        <v>37685</v>
      </c>
      <c r="B23" s="48" t="n">
        <v>722649</v>
      </c>
      <c r="C23" s="48">
        <f>Table9[[#This Row],[WALCL]]-B22</f>
        <v/>
      </c>
    </row>
    <row r="24">
      <c r="A24" s="47" t="n">
        <v>37692</v>
      </c>
      <c r="B24" s="48" t="n">
        <v>717014</v>
      </c>
      <c r="C24" s="48">
        <f>Table9[[#This Row],[WALCL]]-B23</f>
        <v/>
      </c>
    </row>
    <row r="25">
      <c r="A25" s="47" t="n">
        <v>37699</v>
      </c>
      <c r="B25" s="48" t="n">
        <v>729923</v>
      </c>
      <c r="C25" s="48">
        <f>Table9[[#This Row],[WALCL]]-B24</f>
        <v/>
      </c>
    </row>
    <row r="26">
      <c r="A26" s="47" t="n">
        <v>37706</v>
      </c>
      <c r="B26" s="48" t="n">
        <v>725019</v>
      </c>
      <c r="C26" s="48">
        <f>Table9[[#This Row],[WALCL]]-B25</f>
        <v/>
      </c>
    </row>
    <row r="27">
      <c r="A27" s="47" t="n">
        <v>37713</v>
      </c>
      <c r="B27" s="48" t="n">
        <v>732452</v>
      </c>
      <c r="C27" s="48">
        <f>Table9[[#This Row],[WALCL]]-B26</f>
        <v/>
      </c>
    </row>
    <row r="28">
      <c r="A28" s="47" t="n">
        <v>37720</v>
      </c>
      <c r="B28" s="48" t="n">
        <v>727826</v>
      </c>
      <c r="C28" s="48">
        <f>Table9[[#This Row],[WALCL]]-B27</f>
        <v/>
      </c>
    </row>
    <row r="29">
      <c r="A29" s="47" t="n">
        <v>37727</v>
      </c>
      <c r="B29" s="48" t="n">
        <v>745838</v>
      </c>
      <c r="C29" s="48">
        <f>Table9[[#This Row],[WALCL]]-B28</f>
        <v/>
      </c>
    </row>
    <row r="30">
      <c r="A30" s="47" t="n">
        <v>37734</v>
      </c>
      <c r="B30" s="48" t="n">
        <v>732222</v>
      </c>
      <c r="C30" s="48">
        <f>Table9[[#This Row],[WALCL]]-B29</f>
        <v/>
      </c>
    </row>
    <row r="31">
      <c r="A31" s="47" t="n">
        <v>37741</v>
      </c>
      <c r="B31" s="48" t="n">
        <v>746294</v>
      </c>
      <c r="C31" s="48">
        <f>Table9[[#This Row],[WALCL]]-B30</f>
        <v/>
      </c>
    </row>
    <row r="32">
      <c r="A32" s="47" t="n">
        <v>37748</v>
      </c>
      <c r="B32" s="48" t="n">
        <v>733466</v>
      </c>
      <c r="C32" s="48">
        <f>Table9[[#This Row],[WALCL]]-B31</f>
        <v/>
      </c>
    </row>
    <row r="33">
      <c r="A33" s="47" t="n">
        <v>37755</v>
      </c>
      <c r="B33" s="48" t="n">
        <v>740371</v>
      </c>
      <c r="C33" s="48">
        <f>Table9[[#This Row],[WALCL]]-B32</f>
        <v/>
      </c>
    </row>
    <row r="34">
      <c r="A34" s="47" t="n">
        <v>37762</v>
      </c>
      <c r="B34" s="48" t="n">
        <v>734699</v>
      </c>
      <c r="C34" s="48">
        <f>Table9[[#This Row],[WALCL]]-B33</f>
        <v/>
      </c>
    </row>
    <row r="35">
      <c r="A35" s="47" t="n">
        <v>37769</v>
      </c>
      <c r="B35" s="48" t="n">
        <v>744896</v>
      </c>
      <c r="C35" s="48">
        <f>Table9[[#This Row],[WALCL]]-B34</f>
        <v/>
      </c>
    </row>
    <row r="36">
      <c r="A36" s="47" t="n">
        <v>37776</v>
      </c>
      <c r="B36" s="48" t="n">
        <v>731667</v>
      </c>
      <c r="C36" s="48">
        <f>Table9[[#This Row],[WALCL]]-B35</f>
        <v/>
      </c>
    </row>
    <row r="37">
      <c r="A37" s="47" t="n">
        <v>37783</v>
      </c>
      <c r="B37" s="48" t="n">
        <v>743236</v>
      </c>
      <c r="C37" s="48">
        <f>Table9[[#This Row],[WALCL]]-B36</f>
        <v/>
      </c>
    </row>
    <row r="38">
      <c r="A38" s="47" t="n">
        <v>37790</v>
      </c>
      <c r="B38" s="48" t="n">
        <v>735926</v>
      </c>
      <c r="C38" s="48">
        <f>Table9[[#This Row],[WALCL]]-B37</f>
        <v/>
      </c>
    </row>
    <row r="39">
      <c r="A39" s="47" t="n">
        <v>37797</v>
      </c>
      <c r="B39" s="48" t="n">
        <v>744018</v>
      </c>
      <c r="C39" s="48">
        <f>Table9[[#This Row],[WALCL]]-B38</f>
        <v/>
      </c>
    </row>
    <row r="40">
      <c r="A40" s="47" t="n">
        <v>37804</v>
      </c>
      <c r="B40" s="48" t="n">
        <v>740126</v>
      </c>
      <c r="C40" s="48">
        <f>Table9[[#This Row],[WALCL]]-B39</f>
        <v/>
      </c>
    </row>
    <row r="41">
      <c r="A41" s="47" t="n">
        <v>37811</v>
      </c>
      <c r="B41" s="48" t="n">
        <v>744430</v>
      </c>
      <c r="C41" s="48">
        <f>Table9[[#This Row],[WALCL]]-B40</f>
        <v/>
      </c>
    </row>
    <row r="42">
      <c r="A42" s="47" t="n">
        <v>37818</v>
      </c>
      <c r="B42" s="48" t="n">
        <v>737765</v>
      </c>
      <c r="C42" s="48">
        <f>Table9[[#This Row],[WALCL]]-B41</f>
        <v/>
      </c>
    </row>
    <row r="43">
      <c r="A43" s="47" t="n">
        <v>37825</v>
      </c>
      <c r="B43" s="48" t="n">
        <v>745665</v>
      </c>
      <c r="C43" s="48">
        <f>Table9[[#This Row],[WALCL]]-B42</f>
        <v/>
      </c>
    </row>
    <row r="44">
      <c r="A44" s="47" t="n">
        <v>37832</v>
      </c>
      <c r="B44" s="48" t="n">
        <v>740295</v>
      </c>
      <c r="C44" s="48">
        <f>Table9[[#This Row],[WALCL]]-B43</f>
        <v/>
      </c>
    </row>
    <row r="45">
      <c r="A45" s="47" t="n">
        <v>37839</v>
      </c>
      <c r="B45" s="48" t="n">
        <v>734018</v>
      </c>
      <c r="C45" s="48">
        <f>Table9[[#This Row],[WALCL]]-B44</f>
        <v/>
      </c>
    </row>
    <row r="46">
      <c r="A46" s="47" t="n">
        <v>37846</v>
      </c>
      <c r="B46" s="48" t="n">
        <v>735386</v>
      </c>
      <c r="C46" s="48">
        <f>Table9[[#This Row],[WALCL]]-B45</f>
        <v/>
      </c>
    </row>
    <row r="47">
      <c r="A47" s="47" t="n">
        <v>37853</v>
      </c>
      <c r="B47" s="48" t="n">
        <v>750825</v>
      </c>
      <c r="C47" s="48">
        <f>Table9[[#This Row],[WALCL]]-B46</f>
        <v/>
      </c>
    </row>
    <row r="48">
      <c r="A48" s="47" t="n">
        <v>37860</v>
      </c>
      <c r="B48" s="48" t="n">
        <v>740637</v>
      </c>
      <c r="C48" s="48">
        <f>Table9[[#This Row],[WALCL]]-B47</f>
        <v/>
      </c>
    </row>
    <row r="49">
      <c r="A49" s="47" t="n">
        <v>37867</v>
      </c>
      <c r="B49" s="48" t="n">
        <v>750461</v>
      </c>
      <c r="C49" s="48">
        <f>Table9[[#This Row],[WALCL]]-B48</f>
        <v/>
      </c>
    </row>
    <row r="50">
      <c r="A50" s="47" t="n">
        <v>37874</v>
      </c>
      <c r="B50" s="48" t="n">
        <v>737234</v>
      </c>
      <c r="C50" s="48">
        <f>Table9[[#This Row],[WALCL]]-B49</f>
        <v/>
      </c>
    </row>
    <row r="51">
      <c r="A51" s="47" t="n">
        <v>37881</v>
      </c>
      <c r="B51" s="48" t="n">
        <v>743939</v>
      </c>
      <c r="C51" s="48">
        <f>Table9[[#This Row],[WALCL]]-B50</f>
        <v/>
      </c>
    </row>
    <row r="52">
      <c r="A52" s="47" t="n">
        <v>37888</v>
      </c>
      <c r="B52" s="48" t="n">
        <v>741193</v>
      </c>
      <c r="C52" s="48">
        <f>Table9[[#This Row],[WALCL]]-B51</f>
        <v/>
      </c>
    </row>
    <row r="53">
      <c r="A53" s="47" t="n">
        <v>37895</v>
      </c>
      <c r="B53" s="48" t="n">
        <v>753155</v>
      </c>
      <c r="C53" s="48">
        <f>Table9[[#This Row],[WALCL]]-B52</f>
        <v/>
      </c>
    </row>
    <row r="54">
      <c r="A54" s="47" t="n">
        <v>37902</v>
      </c>
      <c r="B54" s="48" t="n">
        <v>737108</v>
      </c>
      <c r="C54" s="48">
        <f>Table9[[#This Row],[WALCL]]-B53</f>
        <v/>
      </c>
    </row>
    <row r="55">
      <c r="A55" s="47" t="n">
        <v>37909</v>
      </c>
      <c r="B55" s="48" t="n">
        <v>754229</v>
      </c>
      <c r="C55" s="48">
        <f>Table9[[#This Row],[WALCL]]-B54</f>
        <v/>
      </c>
    </row>
    <row r="56">
      <c r="A56" s="47" t="n">
        <v>37916</v>
      </c>
      <c r="B56" s="48" t="n">
        <v>743578</v>
      </c>
      <c r="C56" s="48">
        <f>Table9[[#This Row],[WALCL]]-B55</f>
        <v/>
      </c>
    </row>
    <row r="57">
      <c r="A57" s="47" t="n">
        <v>37923</v>
      </c>
      <c r="B57" s="48" t="n">
        <v>747272</v>
      </c>
      <c r="C57" s="48">
        <f>Table9[[#This Row],[WALCL]]-B56</f>
        <v/>
      </c>
    </row>
    <row r="58">
      <c r="A58" s="47" t="n">
        <v>37930</v>
      </c>
      <c r="B58" s="48" t="n">
        <v>744116</v>
      </c>
      <c r="C58" s="48">
        <f>Table9[[#This Row],[WALCL]]-B57</f>
        <v/>
      </c>
    </row>
    <row r="59">
      <c r="A59" s="47" t="n">
        <v>37937</v>
      </c>
      <c r="B59" s="48" t="n">
        <v>745604</v>
      </c>
      <c r="C59" s="48">
        <f>Table9[[#This Row],[WALCL]]-B58</f>
        <v/>
      </c>
    </row>
    <row r="60">
      <c r="A60" s="47" t="n">
        <v>37944</v>
      </c>
      <c r="B60" s="48" t="n">
        <v>744521</v>
      </c>
      <c r="C60" s="48">
        <f>Table9[[#This Row],[WALCL]]-B59</f>
        <v/>
      </c>
    </row>
    <row r="61">
      <c r="A61" s="47" t="n">
        <v>37951</v>
      </c>
      <c r="B61" s="48" t="n">
        <v>756964</v>
      </c>
      <c r="C61" s="48">
        <f>Table9[[#This Row],[WALCL]]-B60</f>
        <v/>
      </c>
    </row>
    <row r="62">
      <c r="A62" s="47" t="n">
        <v>37958</v>
      </c>
      <c r="B62" s="48" t="n">
        <v>749981</v>
      </c>
      <c r="C62" s="48">
        <f>Table9[[#This Row],[WALCL]]-B61</f>
        <v/>
      </c>
    </row>
    <row r="63">
      <c r="A63" s="47" t="n">
        <v>37965</v>
      </c>
      <c r="B63" s="48" t="n">
        <v>756585</v>
      </c>
      <c r="C63" s="48">
        <f>Table9[[#This Row],[WALCL]]-B62</f>
        <v/>
      </c>
    </row>
    <row r="64">
      <c r="A64" s="47" t="n">
        <v>37972</v>
      </c>
      <c r="B64" s="48" t="n">
        <v>753919</v>
      </c>
      <c r="C64" s="48">
        <f>Table9[[#This Row],[WALCL]]-B63</f>
        <v/>
      </c>
    </row>
    <row r="65">
      <c r="A65" s="47" t="n">
        <v>37979</v>
      </c>
      <c r="B65" s="48" t="n">
        <v>767012</v>
      </c>
      <c r="C65" s="48">
        <f>Table9[[#This Row],[WALCL]]-B64</f>
        <v/>
      </c>
    </row>
    <row r="66">
      <c r="A66" s="47" t="n">
        <v>37986</v>
      </c>
      <c r="B66" s="48" t="n">
        <v>771551</v>
      </c>
      <c r="C66" s="48">
        <f>Table9[[#This Row],[WALCL]]-B65</f>
        <v/>
      </c>
    </row>
    <row r="67">
      <c r="A67" s="47" t="n">
        <v>37993</v>
      </c>
      <c r="B67" s="48" t="n">
        <v>755829</v>
      </c>
      <c r="C67" s="48">
        <f>Table9[[#This Row],[WALCL]]-B66</f>
        <v/>
      </c>
    </row>
    <row r="68">
      <c r="A68" s="47" t="n">
        <v>38000</v>
      </c>
      <c r="B68" s="48" t="n">
        <v>752812</v>
      </c>
      <c r="C68" s="48">
        <f>Table9[[#This Row],[WALCL]]-B67</f>
        <v/>
      </c>
    </row>
    <row r="69">
      <c r="A69" s="47" t="n">
        <v>38007</v>
      </c>
      <c r="B69" s="48" t="n">
        <v>775833</v>
      </c>
      <c r="C69" s="48">
        <f>Table9[[#This Row],[WALCL]]-B68</f>
        <v/>
      </c>
    </row>
    <row r="70">
      <c r="A70" s="47" t="n">
        <v>38014</v>
      </c>
      <c r="B70" s="48" t="n">
        <v>755279</v>
      </c>
      <c r="C70" s="48">
        <f>Table9[[#This Row],[WALCL]]-B69</f>
        <v/>
      </c>
    </row>
    <row r="71">
      <c r="A71" s="47" t="n">
        <v>38021</v>
      </c>
      <c r="B71" s="48" t="n">
        <v>754153</v>
      </c>
      <c r="C71" s="48">
        <f>Table9[[#This Row],[WALCL]]-B70</f>
        <v/>
      </c>
    </row>
    <row r="72">
      <c r="A72" s="47" t="n">
        <v>38028</v>
      </c>
      <c r="B72" s="48" t="n">
        <v>750999</v>
      </c>
      <c r="C72" s="48">
        <f>Table9[[#This Row],[WALCL]]-B71</f>
        <v/>
      </c>
    </row>
    <row r="73">
      <c r="A73" s="47" t="n">
        <v>38035</v>
      </c>
      <c r="B73" s="48" t="n">
        <v>758759</v>
      </c>
      <c r="C73" s="48">
        <f>Table9[[#This Row],[WALCL]]-B72</f>
        <v/>
      </c>
    </row>
    <row r="74">
      <c r="A74" s="47" t="n">
        <v>38042</v>
      </c>
      <c r="B74" s="48" t="n">
        <v>750666</v>
      </c>
      <c r="C74" s="48">
        <f>Table9[[#This Row],[WALCL]]-B73</f>
        <v/>
      </c>
    </row>
    <row r="75">
      <c r="A75" s="47" t="n">
        <v>38049</v>
      </c>
      <c r="B75" s="48" t="n">
        <v>754867</v>
      </c>
      <c r="C75" s="48">
        <f>Table9[[#This Row],[WALCL]]-B74</f>
        <v/>
      </c>
    </row>
    <row r="76">
      <c r="A76" s="47" t="n">
        <v>38056</v>
      </c>
      <c r="B76" s="48" t="n">
        <v>749950</v>
      </c>
      <c r="C76" s="48">
        <f>Table9[[#This Row],[WALCL]]-B75</f>
        <v/>
      </c>
    </row>
    <row r="77">
      <c r="A77" s="47" t="n">
        <v>38063</v>
      </c>
      <c r="B77" s="48" t="n">
        <v>760638</v>
      </c>
      <c r="C77" s="48">
        <f>Table9[[#This Row],[WALCL]]-B76</f>
        <v/>
      </c>
    </row>
    <row r="78">
      <c r="A78" s="47" t="n">
        <v>38070</v>
      </c>
      <c r="B78" s="48" t="n">
        <v>751510</v>
      </c>
      <c r="C78" s="48">
        <f>Table9[[#This Row],[WALCL]]-B77</f>
        <v/>
      </c>
    </row>
    <row r="79">
      <c r="A79" s="47" t="n">
        <v>38077</v>
      </c>
      <c r="B79" s="48" t="n">
        <v>760725</v>
      </c>
      <c r="C79" s="48">
        <f>Table9[[#This Row],[WALCL]]-B78</f>
        <v/>
      </c>
    </row>
    <row r="80">
      <c r="A80" s="47" t="n">
        <v>38084</v>
      </c>
      <c r="B80" s="48" t="n">
        <v>754083</v>
      </c>
      <c r="C80" s="48">
        <f>Table9[[#This Row],[WALCL]]-B79</f>
        <v/>
      </c>
    </row>
    <row r="81">
      <c r="A81" s="47" t="n">
        <v>38091</v>
      </c>
      <c r="B81" s="48" t="n">
        <v>763734</v>
      </c>
      <c r="C81" s="48">
        <f>Table9[[#This Row],[WALCL]]-B80</f>
        <v/>
      </c>
    </row>
    <row r="82">
      <c r="A82" s="47" t="n">
        <v>38098</v>
      </c>
      <c r="B82" s="48" t="n">
        <v>757984</v>
      </c>
      <c r="C82" s="48">
        <f>Table9[[#This Row],[WALCL]]-B81</f>
        <v/>
      </c>
    </row>
    <row r="83">
      <c r="A83" s="47" t="n">
        <v>38105</v>
      </c>
      <c r="B83" s="48" t="n">
        <v>772927</v>
      </c>
      <c r="C83" s="48">
        <f>Table9[[#This Row],[WALCL]]-B82</f>
        <v/>
      </c>
    </row>
    <row r="84">
      <c r="A84" s="47" t="n">
        <v>38112</v>
      </c>
      <c r="B84" s="48" t="n">
        <v>758838</v>
      </c>
      <c r="C84" s="48">
        <f>Table9[[#This Row],[WALCL]]-B83</f>
        <v/>
      </c>
    </row>
    <row r="85">
      <c r="A85" s="47" t="n">
        <v>38119</v>
      </c>
      <c r="B85" s="48" t="n">
        <v>764835</v>
      </c>
      <c r="C85" s="48">
        <f>Table9[[#This Row],[WALCL]]-B84</f>
        <v/>
      </c>
    </row>
    <row r="86">
      <c r="A86" s="47" t="n">
        <v>38126</v>
      </c>
      <c r="B86" s="48" t="n">
        <v>756874</v>
      </c>
      <c r="C86" s="48">
        <f>Table9[[#This Row],[WALCL]]-B85</f>
        <v/>
      </c>
    </row>
    <row r="87">
      <c r="A87" s="47" t="n">
        <v>38133</v>
      </c>
      <c r="B87" s="48" t="n">
        <v>771108</v>
      </c>
      <c r="C87" s="48">
        <f>Table9[[#This Row],[WALCL]]-B86</f>
        <v/>
      </c>
    </row>
    <row r="88">
      <c r="A88" s="47" t="n">
        <v>38140</v>
      </c>
      <c r="B88" s="48" t="n">
        <v>764090</v>
      </c>
      <c r="C88" s="48">
        <f>Table9[[#This Row],[WALCL]]-B87</f>
        <v/>
      </c>
    </row>
    <row r="89">
      <c r="A89" s="47" t="n">
        <v>38147</v>
      </c>
      <c r="B89" s="48" t="n">
        <v>772187</v>
      </c>
      <c r="C89" s="48">
        <f>Table9[[#This Row],[WALCL]]-B88</f>
        <v/>
      </c>
    </row>
    <row r="90">
      <c r="A90" s="47" t="n">
        <v>38154</v>
      </c>
      <c r="B90" s="48" t="n">
        <v>761834</v>
      </c>
      <c r="C90" s="48">
        <f>Table9[[#This Row],[WALCL]]-B89</f>
        <v/>
      </c>
    </row>
    <row r="91">
      <c r="A91" s="47" t="n">
        <v>38161</v>
      </c>
      <c r="B91" s="48" t="n">
        <v>775261</v>
      </c>
      <c r="C91" s="48">
        <f>Table9[[#This Row],[WALCL]]-B90</f>
        <v/>
      </c>
    </row>
    <row r="92">
      <c r="A92" s="47" t="n">
        <v>38168</v>
      </c>
      <c r="B92" s="48" t="n">
        <v>779578</v>
      </c>
      <c r="C92" s="48">
        <f>Table9[[#This Row],[WALCL]]-B91</f>
        <v/>
      </c>
    </row>
    <row r="93">
      <c r="A93" s="47" t="n">
        <v>38175</v>
      </c>
      <c r="B93" s="48" t="n">
        <v>778163</v>
      </c>
      <c r="C93" s="48">
        <f>Table9[[#This Row],[WALCL]]-B92</f>
        <v/>
      </c>
    </row>
    <row r="94">
      <c r="A94" s="47" t="n">
        <v>38182</v>
      </c>
      <c r="B94" s="48" t="n">
        <v>775536</v>
      </c>
      <c r="C94" s="48">
        <f>Table9[[#This Row],[WALCL]]-B93</f>
        <v/>
      </c>
    </row>
    <row r="95">
      <c r="A95" s="47" t="n">
        <v>38189</v>
      </c>
      <c r="B95" s="48" t="n">
        <v>776764</v>
      </c>
      <c r="C95" s="48">
        <f>Table9[[#This Row],[WALCL]]-B94</f>
        <v/>
      </c>
    </row>
    <row r="96">
      <c r="A96" s="47" t="n">
        <v>38196</v>
      </c>
      <c r="B96" s="48" t="n">
        <v>773916</v>
      </c>
      <c r="C96" s="48">
        <f>Table9[[#This Row],[WALCL]]-B95</f>
        <v/>
      </c>
    </row>
    <row r="97">
      <c r="A97" s="47" t="n">
        <v>38203</v>
      </c>
      <c r="B97" s="48" t="n">
        <v>772085</v>
      </c>
      <c r="C97" s="48">
        <f>Table9[[#This Row],[WALCL]]-B96</f>
        <v/>
      </c>
    </row>
    <row r="98">
      <c r="A98" s="47" t="n">
        <v>38210</v>
      </c>
      <c r="B98" s="48" t="n">
        <v>769265</v>
      </c>
      <c r="C98" s="48">
        <f>Table9[[#This Row],[WALCL]]-B97</f>
        <v/>
      </c>
    </row>
    <row r="99">
      <c r="A99" s="47" t="n">
        <v>38217</v>
      </c>
      <c r="B99" s="48" t="n">
        <v>767595</v>
      </c>
      <c r="C99" s="48">
        <f>Table9[[#This Row],[WALCL]]-B98</f>
        <v/>
      </c>
    </row>
    <row r="100">
      <c r="A100" s="47" t="n">
        <v>38224</v>
      </c>
      <c r="B100" s="48" t="n">
        <v>775437</v>
      </c>
      <c r="C100" s="48">
        <f>Table9[[#This Row],[WALCL]]-B99</f>
        <v/>
      </c>
    </row>
    <row r="101">
      <c r="A101" s="47" t="n">
        <v>38231</v>
      </c>
      <c r="B101" s="48" t="n">
        <v>785273</v>
      </c>
      <c r="C101" s="48">
        <f>Table9[[#This Row],[WALCL]]-B100</f>
        <v/>
      </c>
    </row>
    <row r="102">
      <c r="A102" s="47" t="n">
        <v>38238</v>
      </c>
      <c r="B102" s="48" t="n">
        <v>788602</v>
      </c>
      <c r="C102" s="48">
        <f>Table9[[#This Row],[WALCL]]-B101</f>
        <v/>
      </c>
    </row>
    <row r="103">
      <c r="A103" s="47" t="n">
        <v>38245</v>
      </c>
      <c r="B103" s="48" t="n">
        <v>789128</v>
      </c>
      <c r="C103" s="48">
        <f>Table9[[#This Row],[WALCL]]-B102</f>
        <v/>
      </c>
    </row>
    <row r="104">
      <c r="A104" s="47" t="n">
        <v>38252</v>
      </c>
      <c r="B104" s="48" t="n">
        <v>782124</v>
      </c>
      <c r="C104" s="48">
        <f>Table9[[#This Row],[WALCL]]-B103</f>
        <v/>
      </c>
    </row>
    <row r="105">
      <c r="A105" s="47" t="n">
        <v>38259</v>
      </c>
      <c r="B105" s="48" t="n">
        <v>786330</v>
      </c>
      <c r="C105" s="48">
        <f>Table9[[#This Row],[WALCL]]-B104</f>
        <v/>
      </c>
    </row>
    <row r="106">
      <c r="A106" s="47" t="n">
        <v>38266</v>
      </c>
      <c r="B106" s="48" t="n">
        <v>781777</v>
      </c>
      <c r="C106" s="48">
        <f>Table9[[#This Row],[WALCL]]-B105</f>
        <v/>
      </c>
    </row>
    <row r="107">
      <c r="A107" s="47" t="n">
        <v>38273</v>
      </c>
      <c r="B107" s="48" t="n">
        <v>795483</v>
      </c>
      <c r="C107" s="48">
        <f>Table9[[#This Row],[WALCL]]-B106</f>
        <v/>
      </c>
    </row>
    <row r="108">
      <c r="A108" s="47" t="n">
        <v>38280</v>
      </c>
      <c r="B108" s="48" t="n">
        <v>784954</v>
      </c>
      <c r="C108" s="48">
        <f>Table9[[#This Row],[WALCL]]-B107</f>
        <v/>
      </c>
    </row>
    <row r="109">
      <c r="A109" s="47" t="n">
        <v>38287</v>
      </c>
      <c r="B109" s="48" t="n">
        <v>791336</v>
      </c>
      <c r="C109" s="48">
        <f>Table9[[#This Row],[WALCL]]-B108</f>
        <v/>
      </c>
    </row>
    <row r="110">
      <c r="A110" s="47" t="n">
        <v>38294</v>
      </c>
      <c r="B110" s="48" t="n">
        <v>790552</v>
      </c>
      <c r="C110" s="48">
        <f>Table9[[#This Row],[WALCL]]-B109</f>
        <v/>
      </c>
    </row>
    <row r="111">
      <c r="A111" s="47" t="n">
        <v>38301</v>
      </c>
      <c r="B111" s="48" t="n">
        <v>800473</v>
      </c>
      <c r="C111" s="48">
        <f>Table9[[#This Row],[WALCL]]-B110</f>
        <v/>
      </c>
    </row>
    <row r="112">
      <c r="A112" s="47" t="n">
        <v>38308</v>
      </c>
      <c r="B112" s="48" t="n">
        <v>794090</v>
      </c>
      <c r="C112" s="48">
        <f>Table9[[#This Row],[WALCL]]-B111</f>
        <v/>
      </c>
    </row>
    <row r="113">
      <c r="A113" s="47" t="n">
        <v>38315</v>
      </c>
      <c r="B113" s="48" t="n">
        <v>809956</v>
      </c>
      <c r="C113" s="48">
        <f>Table9[[#This Row],[WALCL]]-B112</f>
        <v/>
      </c>
    </row>
    <row r="114">
      <c r="A114" s="47" t="n">
        <v>38322</v>
      </c>
      <c r="B114" s="48" t="n">
        <v>807063</v>
      </c>
      <c r="C114" s="48">
        <f>Table9[[#This Row],[WALCL]]-B113</f>
        <v/>
      </c>
    </row>
    <row r="115">
      <c r="A115" s="47" t="n">
        <v>38329</v>
      </c>
      <c r="B115" s="48" t="n">
        <v>808495</v>
      </c>
      <c r="C115" s="48">
        <f>Table9[[#This Row],[WALCL]]-B114</f>
        <v/>
      </c>
    </row>
    <row r="116">
      <c r="A116" s="47" t="n">
        <v>38336</v>
      </c>
      <c r="B116" s="48" t="n">
        <v>807028</v>
      </c>
      <c r="C116" s="48">
        <f>Table9[[#This Row],[WALCL]]-B115</f>
        <v/>
      </c>
    </row>
    <row r="117">
      <c r="A117" s="47" t="n">
        <v>38343</v>
      </c>
      <c r="B117" s="48" t="n">
        <v>811333</v>
      </c>
      <c r="C117" s="48">
        <f>Table9[[#This Row],[WALCL]]-B116</f>
        <v/>
      </c>
    </row>
    <row r="118">
      <c r="A118" s="47" t="n">
        <v>38350</v>
      </c>
      <c r="B118" s="48" t="n">
        <v>810944</v>
      </c>
      <c r="C118" s="48">
        <f>Table9[[#This Row],[WALCL]]-B117</f>
        <v/>
      </c>
    </row>
    <row r="119">
      <c r="A119" s="47" t="n">
        <v>38357</v>
      </c>
      <c r="B119" s="48" t="n">
        <v>815702</v>
      </c>
      <c r="C119" s="48">
        <f>Table9[[#This Row],[WALCL]]-B118</f>
        <v/>
      </c>
    </row>
    <row r="120">
      <c r="A120" s="47" t="n">
        <v>38364</v>
      </c>
      <c r="B120" s="48" t="n">
        <v>798455</v>
      </c>
      <c r="C120" s="48">
        <f>Table9[[#This Row],[WALCL]]-B119</f>
        <v/>
      </c>
    </row>
    <row r="121">
      <c r="A121" s="47" t="n">
        <v>38371</v>
      </c>
      <c r="B121" s="48" t="n">
        <v>806960</v>
      </c>
      <c r="C121" s="48">
        <f>Table9[[#This Row],[WALCL]]-B120</f>
        <v/>
      </c>
    </row>
    <row r="122">
      <c r="A122" s="47" t="n">
        <v>38378</v>
      </c>
      <c r="B122" s="48" t="n">
        <v>807262</v>
      </c>
      <c r="C122" s="48">
        <f>Table9[[#This Row],[WALCL]]-B121</f>
        <v/>
      </c>
    </row>
    <row r="123">
      <c r="A123" s="47" t="n">
        <v>38385</v>
      </c>
      <c r="B123" s="48" t="n">
        <v>804746</v>
      </c>
      <c r="C123" s="48">
        <f>Table9[[#This Row],[WALCL]]-B122</f>
        <v/>
      </c>
    </row>
    <row r="124">
      <c r="A124" s="47" t="n">
        <v>38392</v>
      </c>
      <c r="B124" s="48" t="n">
        <v>797299</v>
      </c>
      <c r="C124" s="48">
        <f>Table9[[#This Row],[WALCL]]-B123</f>
        <v/>
      </c>
    </row>
    <row r="125">
      <c r="A125" s="47" t="n">
        <v>38399</v>
      </c>
      <c r="B125" s="48" t="n">
        <v>795606</v>
      </c>
      <c r="C125" s="48">
        <f>Table9[[#This Row],[WALCL]]-B124</f>
        <v/>
      </c>
    </row>
    <row r="126">
      <c r="A126" s="47" t="n">
        <v>38406</v>
      </c>
      <c r="B126" s="48" t="n">
        <v>804576</v>
      </c>
      <c r="C126" s="48">
        <f>Table9[[#This Row],[WALCL]]-B125</f>
        <v/>
      </c>
    </row>
    <row r="127">
      <c r="A127" s="47" t="n">
        <v>38413</v>
      </c>
      <c r="B127" s="48" t="n">
        <v>801252</v>
      </c>
      <c r="C127" s="48">
        <f>Table9[[#This Row],[WALCL]]-B126</f>
        <v/>
      </c>
    </row>
    <row r="128">
      <c r="A128" s="47" t="n">
        <v>38420</v>
      </c>
      <c r="B128" s="48" t="n">
        <v>799250</v>
      </c>
      <c r="C128" s="48">
        <f>Table9[[#This Row],[WALCL]]-B127</f>
        <v/>
      </c>
    </row>
    <row r="129">
      <c r="A129" s="47" t="n">
        <v>38427</v>
      </c>
      <c r="B129" s="48" t="n">
        <v>807211</v>
      </c>
      <c r="C129" s="48">
        <f>Table9[[#This Row],[WALCL]]-B128</f>
        <v/>
      </c>
    </row>
    <row r="130">
      <c r="A130" s="47" t="n">
        <v>38434</v>
      </c>
      <c r="B130" s="48" t="n">
        <v>797094</v>
      </c>
      <c r="C130" s="48">
        <f>Table9[[#This Row],[WALCL]]-B129</f>
        <v/>
      </c>
    </row>
    <row r="131">
      <c r="A131" s="47" t="n">
        <v>38441</v>
      </c>
      <c r="B131" s="48" t="n">
        <v>807551</v>
      </c>
      <c r="C131" s="48">
        <f>Table9[[#This Row],[WALCL]]-B130</f>
        <v/>
      </c>
    </row>
    <row r="132">
      <c r="A132" s="47" t="n">
        <v>38448</v>
      </c>
      <c r="B132" s="48" t="n">
        <v>797327</v>
      </c>
      <c r="C132" s="48">
        <f>Table9[[#This Row],[WALCL]]-B131</f>
        <v/>
      </c>
    </row>
    <row r="133">
      <c r="A133" s="47" t="n">
        <v>38455</v>
      </c>
      <c r="B133" s="48" t="n">
        <v>805707</v>
      </c>
      <c r="C133" s="48">
        <f>Table9[[#This Row],[WALCL]]-B132</f>
        <v/>
      </c>
    </row>
    <row r="134">
      <c r="A134" s="47" t="n">
        <v>38462</v>
      </c>
      <c r="B134" s="48" t="n">
        <v>801793</v>
      </c>
      <c r="C134" s="48">
        <f>Table9[[#This Row],[WALCL]]-B133</f>
        <v/>
      </c>
    </row>
    <row r="135">
      <c r="A135" s="47" t="n">
        <v>38469</v>
      </c>
      <c r="B135" s="48" t="n">
        <v>809797</v>
      </c>
      <c r="C135" s="48">
        <f>Table9[[#This Row],[WALCL]]-B134</f>
        <v/>
      </c>
    </row>
    <row r="136">
      <c r="A136" s="47" t="n">
        <v>38476</v>
      </c>
      <c r="B136" s="48" t="n">
        <v>802412</v>
      </c>
      <c r="C136" s="48">
        <f>Table9[[#This Row],[WALCL]]-B135</f>
        <v/>
      </c>
    </row>
    <row r="137">
      <c r="A137" s="47" t="n">
        <v>38483</v>
      </c>
      <c r="B137" s="48" t="n">
        <v>808378</v>
      </c>
      <c r="C137" s="48">
        <f>Table9[[#This Row],[WALCL]]-B136</f>
        <v/>
      </c>
    </row>
    <row r="138">
      <c r="A138" s="47" t="n">
        <v>38490</v>
      </c>
      <c r="B138" s="48" t="n">
        <v>801546</v>
      </c>
      <c r="C138" s="48">
        <f>Table9[[#This Row],[WALCL]]-B137</f>
        <v/>
      </c>
    </row>
    <row r="139">
      <c r="A139" s="47" t="n">
        <v>38497</v>
      </c>
      <c r="B139" s="48" t="n">
        <v>810160</v>
      </c>
      <c r="C139" s="48">
        <f>Table9[[#This Row],[WALCL]]-B138</f>
        <v/>
      </c>
    </row>
    <row r="140">
      <c r="A140" s="47" t="n">
        <v>38504</v>
      </c>
      <c r="B140" s="48" t="n">
        <v>817335</v>
      </c>
      <c r="C140" s="48">
        <f>Table9[[#This Row],[WALCL]]-B139</f>
        <v/>
      </c>
    </row>
    <row r="141">
      <c r="A141" s="47" t="n">
        <v>38511</v>
      </c>
      <c r="B141" s="48" t="n">
        <v>814172</v>
      </c>
      <c r="C141" s="48">
        <f>Table9[[#This Row],[WALCL]]-B140</f>
        <v/>
      </c>
    </row>
    <row r="142">
      <c r="A142" s="47" t="n">
        <v>38518</v>
      </c>
      <c r="B142" s="48" t="n">
        <v>811198</v>
      </c>
      <c r="C142" s="48">
        <f>Table9[[#This Row],[WALCL]]-B141</f>
        <v/>
      </c>
    </row>
    <row r="143">
      <c r="A143" s="47" t="n">
        <v>38525</v>
      </c>
      <c r="B143" s="48" t="n">
        <v>810429</v>
      </c>
      <c r="C143" s="48">
        <f>Table9[[#This Row],[WALCL]]-B142</f>
        <v/>
      </c>
    </row>
    <row r="144">
      <c r="A144" s="47" t="n">
        <v>38532</v>
      </c>
      <c r="B144" s="48" t="n">
        <v>810082</v>
      </c>
      <c r="C144" s="48">
        <f>Table9[[#This Row],[WALCL]]-B143</f>
        <v/>
      </c>
    </row>
    <row r="145">
      <c r="A145" s="47" t="n">
        <v>38539</v>
      </c>
      <c r="B145" s="48" t="n">
        <v>821556</v>
      </c>
      <c r="C145" s="48">
        <f>Table9[[#This Row],[WALCL]]-B144</f>
        <v/>
      </c>
    </row>
    <row r="146">
      <c r="A146" s="47" t="n">
        <v>38546</v>
      </c>
      <c r="B146" s="48" t="n">
        <v>808861</v>
      </c>
      <c r="C146" s="48">
        <f>Table9[[#This Row],[WALCL]]-B145</f>
        <v/>
      </c>
    </row>
    <row r="147">
      <c r="A147" s="47" t="n">
        <v>38553</v>
      </c>
      <c r="B147" s="48" t="n">
        <v>816804</v>
      </c>
      <c r="C147" s="48">
        <f>Table9[[#This Row],[WALCL]]-B146</f>
        <v/>
      </c>
    </row>
    <row r="148">
      <c r="A148" s="47" t="n">
        <v>38560</v>
      </c>
      <c r="B148" s="48" t="n">
        <v>814259</v>
      </c>
      <c r="C148" s="48">
        <f>Table9[[#This Row],[WALCL]]-B147</f>
        <v/>
      </c>
    </row>
    <row r="149">
      <c r="A149" s="47" t="n">
        <v>38567</v>
      </c>
      <c r="B149" s="48" t="n">
        <v>818841</v>
      </c>
      <c r="C149" s="48">
        <f>Table9[[#This Row],[WALCL]]-B148</f>
        <v/>
      </c>
    </row>
    <row r="150">
      <c r="A150" s="47" t="n">
        <v>38574</v>
      </c>
      <c r="B150" s="48" t="n">
        <v>808544</v>
      </c>
      <c r="C150" s="48">
        <f>Table9[[#This Row],[WALCL]]-B149</f>
        <v/>
      </c>
    </row>
    <row r="151">
      <c r="A151" s="47" t="n">
        <v>38581</v>
      </c>
      <c r="B151" s="48" t="n">
        <v>813774</v>
      </c>
      <c r="C151" s="48">
        <f>Table9[[#This Row],[WALCL]]-B150</f>
        <v/>
      </c>
    </row>
    <row r="152">
      <c r="A152" s="47" t="n">
        <v>38588</v>
      </c>
      <c r="B152" s="48" t="n">
        <v>811313</v>
      </c>
      <c r="C152" s="48">
        <f>Table9[[#This Row],[WALCL]]-B151</f>
        <v/>
      </c>
    </row>
    <row r="153">
      <c r="A153" s="47" t="n">
        <v>38595</v>
      </c>
      <c r="B153" s="48" t="n">
        <v>823237</v>
      </c>
      <c r="C153" s="48">
        <f>Table9[[#This Row],[WALCL]]-B152</f>
        <v/>
      </c>
    </row>
    <row r="154">
      <c r="A154" s="47" t="n">
        <v>38602</v>
      </c>
      <c r="B154" s="48" t="n">
        <v>822500</v>
      </c>
      <c r="C154" s="48">
        <f>Table9[[#This Row],[WALCL]]-B153</f>
        <v/>
      </c>
    </row>
    <row r="155">
      <c r="A155" s="47" t="n">
        <v>38609</v>
      </c>
      <c r="B155" s="48" t="n">
        <v>823590</v>
      </c>
      <c r="C155" s="48">
        <f>Table9[[#This Row],[WALCL]]-B154</f>
        <v/>
      </c>
    </row>
    <row r="156">
      <c r="A156" s="47" t="n">
        <v>38616</v>
      </c>
      <c r="B156" s="48" t="n">
        <v>812926</v>
      </c>
      <c r="C156" s="48">
        <f>Table9[[#This Row],[WALCL]]-B155</f>
        <v/>
      </c>
    </row>
    <row r="157">
      <c r="A157" s="47" t="n">
        <v>38623</v>
      </c>
      <c r="B157" s="48" t="n">
        <v>823771</v>
      </c>
      <c r="C157" s="48">
        <f>Table9[[#This Row],[WALCL]]-B156</f>
        <v/>
      </c>
    </row>
    <row r="158">
      <c r="A158" s="47" t="n">
        <v>38630</v>
      </c>
      <c r="B158" s="48" t="n">
        <v>817137</v>
      </c>
      <c r="C158" s="48">
        <f>Table9[[#This Row],[WALCL]]-B157</f>
        <v/>
      </c>
    </row>
    <row r="159">
      <c r="A159" s="47" t="n">
        <v>38637</v>
      </c>
      <c r="B159" s="48" t="n">
        <v>826306</v>
      </c>
      <c r="C159" s="48">
        <f>Table9[[#This Row],[WALCL]]-B158</f>
        <v/>
      </c>
    </row>
    <row r="160">
      <c r="A160" s="47" t="n">
        <v>38644</v>
      </c>
      <c r="B160" s="48" t="n">
        <v>814281</v>
      </c>
      <c r="C160" s="48">
        <f>Table9[[#This Row],[WALCL]]-B159</f>
        <v/>
      </c>
    </row>
    <row r="161">
      <c r="A161" s="47" t="n">
        <v>38651</v>
      </c>
      <c r="B161" s="48" t="n">
        <v>819105</v>
      </c>
      <c r="C161" s="48">
        <f>Table9[[#This Row],[WALCL]]-B160</f>
        <v/>
      </c>
    </row>
    <row r="162">
      <c r="A162" s="47" t="n">
        <v>38658</v>
      </c>
      <c r="B162" s="48" t="n">
        <v>814571</v>
      </c>
      <c r="C162" s="48">
        <f>Table9[[#This Row],[WALCL]]-B161</f>
        <v/>
      </c>
    </row>
    <row r="163">
      <c r="A163" s="47" t="n">
        <v>38665</v>
      </c>
      <c r="B163" s="48" t="n">
        <v>824991</v>
      </c>
      <c r="C163" s="48">
        <f>Table9[[#This Row],[WALCL]]-B162</f>
        <v/>
      </c>
    </row>
    <row r="164">
      <c r="A164" s="47" t="n">
        <v>38672</v>
      </c>
      <c r="B164" s="48" t="n">
        <v>823263</v>
      </c>
      <c r="C164" s="48">
        <f>Table9[[#This Row],[WALCL]]-B163</f>
        <v/>
      </c>
    </row>
    <row r="165">
      <c r="A165" s="47" t="n">
        <v>38679</v>
      </c>
      <c r="B165" s="48" t="n">
        <v>833124</v>
      </c>
      <c r="C165" s="48">
        <f>Table9[[#This Row],[WALCL]]-B164</f>
        <v/>
      </c>
    </row>
    <row r="166">
      <c r="A166" s="47" t="n">
        <v>38686</v>
      </c>
      <c r="B166" s="48" t="n">
        <v>835059</v>
      </c>
      <c r="C166" s="48">
        <f>Table9[[#This Row],[WALCL]]-B165</f>
        <v/>
      </c>
    </row>
    <row r="167">
      <c r="A167" s="47" t="n">
        <v>38693</v>
      </c>
      <c r="B167" s="48" t="n">
        <v>833250</v>
      </c>
      <c r="C167" s="48">
        <f>Table9[[#This Row],[WALCL]]-B166</f>
        <v/>
      </c>
    </row>
    <row r="168">
      <c r="A168" s="47" t="n">
        <v>38700</v>
      </c>
      <c r="B168" s="48" t="n">
        <v>830950</v>
      </c>
      <c r="C168" s="48">
        <f>Table9[[#This Row],[WALCL]]-B167</f>
        <v/>
      </c>
    </row>
    <row r="169">
      <c r="A169" s="47" t="n">
        <v>38707</v>
      </c>
      <c r="B169" s="48" t="n">
        <v>848317</v>
      </c>
      <c r="C169" s="48">
        <f>Table9[[#This Row],[WALCL]]-B168</f>
        <v/>
      </c>
    </row>
    <row r="170">
      <c r="A170" s="47" t="n">
        <v>38714</v>
      </c>
      <c r="B170" s="48" t="n">
        <v>847700</v>
      </c>
      <c r="C170" s="48">
        <f>Table9[[#This Row],[WALCL]]-B169</f>
        <v/>
      </c>
    </row>
    <row r="171">
      <c r="A171" s="47" t="n">
        <v>38721</v>
      </c>
      <c r="B171" s="48" t="n">
        <v>851856</v>
      </c>
      <c r="C171" s="48">
        <f>Table9[[#This Row],[WALCL]]-B170</f>
        <v/>
      </c>
    </row>
    <row r="172">
      <c r="A172" s="47" t="n">
        <v>38728</v>
      </c>
      <c r="B172" s="48" t="n">
        <v>829357</v>
      </c>
      <c r="C172" s="48">
        <f>Table9[[#This Row],[WALCL]]-B171</f>
        <v/>
      </c>
    </row>
    <row r="173">
      <c r="A173" s="47" t="n">
        <v>38735</v>
      </c>
      <c r="B173" s="48" t="n">
        <v>836042</v>
      </c>
      <c r="C173" s="48">
        <f>Table9[[#This Row],[WALCL]]-B172</f>
        <v/>
      </c>
    </row>
    <row r="174">
      <c r="A174" s="47" t="n">
        <v>38742</v>
      </c>
      <c r="B174" s="48" t="n">
        <v>828901</v>
      </c>
      <c r="C174" s="48">
        <f>Table9[[#This Row],[WALCL]]-B173</f>
        <v/>
      </c>
    </row>
    <row r="175">
      <c r="A175" s="47" t="n">
        <v>38749</v>
      </c>
      <c r="B175" s="48" t="n">
        <v>831808</v>
      </c>
      <c r="C175" s="48">
        <f>Table9[[#This Row],[WALCL]]-B174</f>
        <v/>
      </c>
    </row>
    <row r="176">
      <c r="A176" s="47" t="n">
        <v>38756</v>
      </c>
      <c r="B176" s="48" t="n">
        <v>827613</v>
      </c>
      <c r="C176" s="48">
        <f>Table9[[#This Row],[WALCL]]-B175</f>
        <v/>
      </c>
    </row>
    <row r="177">
      <c r="A177" s="47" t="n">
        <v>38763</v>
      </c>
      <c r="B177" s="48" t="n">
        <v>835240</v>
      </c>
      <c r="C177" s="48">
        <f>Table9[[#This Row],[WALCL]]-B176</f>
        <v/>
      </c>
    </row>
    <row r="178">
      <c r="A178" s="47" t="n">
        <v>38770</v>
      </c>
      <c r="B178" s="48" t="n">
        <v>840555</v>
      </c>
      <c r="C178" s="48">
        <f>Table9[[#This Row],[WALCL]]-B177</f>
        <v/>
      </c>
    </row>
    <row r="179">
      <c r="A179" s="47" t="n">
        <v>38777</v>
      </c>
      <c r="B179" s="48" t="n">
        <v>839356</v>
      </c>
      <c r="C179" s="48">
        <f>Table9[[#This Row],[WALCL]]-B178</f>
        <v/>
      </c>
    </row>
    <row r="180">
      <c r="A180" s="47" t="n">
        <v>38784</v>
      </c>
      <c r="B180" s="48" t="n">
        <v>839234</v>
      </c>
      <c r="C180" s="48">
        <f>Table9[[#This Row],[WALCL]]-B179</f>
        <v/>
      </c>
    </row>
    <row r="181">
      <c r="A181" s="47" t="n">
        <v>38791</v>
      </c>
      <c r="B181" s="48" t="n">
        <v>843010</v>
      </c>
      <c r="C181" s="48">
        <f>Table9[[#This Row],[WALCL]]-B180</f>
        <v/>
      </c>
    </row>
    <row r="182">
      <c r="A182" s="47" t="n">
        <v>38798</v>
      </c>
      <c r="B182" s="48" t="n">
        <v>838003</v>
      </c>
      <c r="C182" s="48">
        <f>Table9[[#This Row],[WALCL]]-B181</f>
        <v/>
      </c>
    </row>
    <row r="183">
      <c r="A183" s="47" t="n">
        <v>38805</v>
      </c>
      <c r="B183" s="48" t="n">
        <v>833675</v>
      </c>
      <c r="C183" s="48">
        <f>Table9[[#This Row],[WALCL]]-B182</f>
        <v/>
      </c>
    </row>
    <row r="184">
      <c r="A184" s="47" t="n">
        <v>38812</v>
      </c>
      <c r="B184" s="48" t="n">
        <v>834589</v>
      </c>
      <c r="C184" s="48">
        <f>Table9[[#This Row],[WALCL]]-B183</f>
        <v/>
      </c>
    </row>
    <row r="185">
      <c r="A185" s="47" t="n">
        <v>38819</v>
      </c>
      <c r="B185" s="48" t="n">
        <v>836862</v>
      </c>
      <c r="C185" s="48">
        <f>Table9[[#This Row],[WALCL]]-B184</f>
        <v/>
      </c>
    </row>
    <row r="186">
      <c r="A186" s="47" t="n">
        <v>38826</v>
      </c>
      <c r="B186" s="48" t="n">
        <v>836352</v>
      </c>
      <c r="C186" s="48">
        <f>Table9[[#This Row],[WALCL]]-B185</f>
        <v/>
      </c>
    </row>
    <row r="187">
      <c r="A187" s="47" t="n">
        <v>38833</v>
      </c>
      <c r="B187" s="48" t="n">
        <v>844572</v>
      </c>
      <c r="C187" s="48">
        <f>Table9[[#This Row],[WALCL]]-B186</f>
        <v/>
      </c>
    </row>
    <row r="188">
      <c r="A188" s="47" t="n">
        <v>38840</v>
      </c>
      <c r="B188" s="48" t="n">
        <v>843867</v>
      </c>
      <c r="C188" s="48">
        <f>Table9[[#This Row],[WALCL]]-B187</f>
        <v/>
      </c>
    </row>
    <row r="189">
      <c r="A189" s="47" t="n">
        <v>38847</v>
      </c>
      <c r="B189" s="48" t="n">
        <v>838405</v>
      </c>
      <c r="C189" s="48">
        <f>Table9[[#This Row],[WALCL]]-B188</f>
        <v/>
      </c>
    </row>
    <row r="190">
      <c r="A190" s="47" t="n">
        <v>38854</v>
      </c>
      <c r="B190" s="48" t="n">
        <v>838153</v>
      </c>
      <c r="C190" s="48">
        <f>Table9[[#This Row],[WALCL]]-B189</f>
        <v/>
      </c>
    </row>
    <row r="191">
      <c r="A191" s="47" t="n">
        <v>38861</v>
      </c>
      <c r="B191" s="48" t="n">
        <v>840251</v>
      </c>
      <c r="C191" s="48">
        <f>Table9[[#This Row],[WALCL]]-B190</f>
        <v/>
      </c>
    </row>
    <row r="192">
      <c r="A192" s="47" t="n">
        <v>38868</v>
      </c>
      <c r="B192" s="48" t="n">
        <v>851580</v>
      </c>
      <c r="C192" s="48">
        <f>Table9[[#This Row],[WALCL]]-B191</f>
        <v/>
      </c>
    </row>
    <row r="193">
      <c r="A193" s="47" t="n">
        <v>38875</v>
      </c>
      <c r="B193" s="48" t="n">
        <v>849074</v>
      </c>
      <c r="C193" s="48">
        <f>Table9[[#This Row],[WALCL]]-B192</f>
        <v/>
      </c>
    </row>
    <row r="194">
      <c r="A194" s="47" t="n">
        <v>38882</v>
      </c>
      <c r="B194" s="48" t="n">
        <v>845869</v>
      </c>
      <c r="C194" s="48">
        <f>Table9[[#This Row],[WALCL]]-B193</f>
        <v/>
      </c>
    </row>
    <row r="195">
      <c r="A195" s="47" t="n">
        <v>38889</v>
      </c>
      <c r="B195" s="48" t="n">
        <v>844773</v>
      </c>
      <c r="C195" s="48">
        <f>Table9[[#This Row],[WALCL]]-B194</f>
        <v/>
      </c>
    </row>
    <row r="196">
      <c r="A196" s="47" t="n">
        <v>38896</v>
      </c>
      <c r="B196" s="48" t="n">
        <v>844436</v>
      </c>
      <c r="C196" s="48">
        <f>Table9[[#This Row],[WALCL]]-B195</f>
        <v/>
      </c>
    </row>
    <row r="197">
      <c r="A197" s="47" t="n">
        <v>38903</v>
      </c>
      <c r="B197" s="48" t="n">
        <v>851659</v>
      </c>
      <c r="C197" s="48">
        <f>Table9[[#This Row],[WALCL]]-B196</f>
        <v/>
      </c>
    </row>
    <row r="198">
      <c r="A198" s="47" t="n">
        <v>38910</v>
      </c>
      <c r="B198" s="48" t="n">
        <v>844391</v>
      </c>
      <c r="C198" s="48">
        <f>Table9[[#This Row],[WALCL]]-B197</f>
        <v/>
      </c>
    </row>
    <row r="199">
      <c r="A199" s="47" t="n">
        <v>38917</v>
      </c>
      <c r="B199" s="48" t="n">
        <v>849894</v>
      </c>
      <c r="C199" s="48">
        <f>Table9[[#This Row],[WALCL]]-B198</f>
        <v/>
      </c>
    </row>
    <row r="200">
      <c r="A200" s="47" t="n">
        <v>38924</v>
      </c>
      <c r="B200" s="48" t="n">
        <v>841552</v>
      </c>
      <c r="C200" s="48">
        <f>Table9[[#This Row],[WALCL]]-B199</f>
        <v/>
      </c>
    </row>
    <row r="201">
      <c r="A201" s="47" t="n">
        <v>38931</v>
      </c>
      <c r="B201" s="48" t="n">
        <v>850263</v>
      </c>
      <c r="C201" s="48">
        <f>Table9[[#This Row],[WALCL]]-B200</f>
        <v/>
      </c>
    </row>
    <row r="202">
      <c r="A202" s="47" t="n">
        <v>38938</v>
      </c>
      <c r="B202" s="48" t="n">
        <v>840006</v>
      </c>
      <c r="C202" s="48">
        <f>Table9[[#This Row],[WALCL]]-B201</f>
        <v/>
      </c>
    </row>
    <row r="203">
      <c r="A203" s="47" t="n">
        <v>38945</v>
      </c>
      <c r="B203" s="48" t="n">
        <v>842876</v>
      </c>
      <c r="C203" s="48">
        <f>Table9[[#This Row],[WALCL]]-B202</f>
        <v/>
      </c>
    </row>
    <row r="204">
      <c r="A204" s="47" t="n">
        <v>38952</v>
      </c>
      <c r="B204" s="48" t="n">
        <v>837987</v>
      </c>
      <c r="C204" s="48">
        <f>Table9[[#This Row],[WALCL]]-B203</f>
        <v/>
      </c>
    </row>
    <row r="205">
      <c r="A205" s="47" t="n">
        <v>38959</v>
      </c>
      <c r="B205" s="48" t="n">
        <v>850925</v>
      </c>
      <c r="C205" s="48">
        <f>Table9[[#This Row],[WALCL]]-B204</f>
        <v/>
      </c>
    </row>
    <row r="206">
      <c r="A206" s="47" t="n">
        <v>38966</v>
      </c>
      <c r="B206" s="48" t="n">
        <v>848594</v>
      </c>
      <c r="C206" s="48">
        <f>Table9[[#This Row],[WALCL]]-B205</f>
        <v/>
      </c>
    </row>
    <row r="207">
      <c r="A207" s="47" t="n">
        <v>38973</v>
      </c>
      <c r="B207" s="48" t="n">
        <v>840886</v>
      </c>
      <c r="C207" s="48">
        <f>Table9[[#This Row],[WALCL]]-B206</f>
        <v/>
      </c>
    </row>
    <row r="208">
      <c r="A208" s="47" t="n">
        <v>38980</v>
      </c>
      <c r="B208" s="48" t="n">
        <v>838192</v>
      </c>
      <c r="C208" s="48">
        <f>Table9[[#This Row],[WALCL]]-B207</f>
        <v/>
      </c>
    </row>
    <row r="209">
      <c r="A209" s="47" t="n">
        <v>38987</v>
      </c>
      <c r="B209" s="48" t="n">
        <v>849971</v>
      </c>
      <c r="C209" s="48">
        <f>Table9[[#This Row],[WALCL]]-B208</f>
        <v/>
      </c>
    </row>
    <row r="210">
      <c r="A210" s="47" t="n">
        <v>38994</v>
      </c>
      <c r="B210" s="48" t="n">
        <v>842296</v>
      </c>
      <c r="C210" s="48">
        <f>Table9[[#This Row],[WALCL]]-B209</f>
        <v/>
      </c>
    </row>
    <row r="211">
      <c r="A211" s="47" t="n">
        <v>39001</v>
      </c>
      <c r="B211" s="48" t="n">
        <v>859339</v>
      </c>
      <c r="C211" s="48">
        <f>Table9[[#This Row],[WALCL]]-B210</f>
        <v/>
      </c>
    </row>
    <row r="212">
      <c r="A212" s="47" t="n">
        <v>39008</v>
      </c>
      <c r="B212" s="48" t="n">
        <v>844200</v>
      </c>
      <c r="C212" s="48">
        <f>Table9[[#This Row],[WALCL]]-B211</f>
        <v/>
      </c>
    </row>
    <row r="213">
      <c r="A213" s="47" t="n">
        <v>39015</v>
      </c>
      <c r="B213" s="48" t="n">
        <v>852648</v>
      </c>
      <c r="C213" s="48">
        <f>Table9[[#This Row],[WALCL]]-B212</f>
        <v/>
      </c>
    </row>
    <row r="214">
      <c r="A214" s="47" t="n">
        <v>39022</v>
      </c>
      <c r="B214" s="48" t="n">
        <v>855536</v>
      </c>
      <c r="C214" s="48">
        <f>Table9[[#This Row],[WALCL]]-B213</f>
        <v/>
      </c>
    </row>
    <row r="215">
      <c r="A215" s="47" t="n">
        <v>39029</v>
      </c>
      <c r="B215" s="48" t="n">
        <v>858630</v>
      </c>
      <c r="C215" s="48">
        <f>Table9[[#This Row],[WALCL]]-B214</f>
        <v/>
      </c>
    </row>
    <row r="216">
      <c r="A216" s="47" t="n">
        <v>39036</v>
      </c>
      <c r="B216" s="48" t="n">
        <v>855551</v>
      </c>
      <c r="C216" s="48">
        <f>Table9[[#This Row],[WALCL]]-B215</f>
        <v/>
      </c>
    </row>
    <row r="217">
      <c r="A217" s="47" t="n">
        <v>39043</v>
      </c>
      <c r="B217" s="48" t="n">
        <v>865126</v>
      </c>
      <c r="C217" s="48">
        <f>Table9[[#This Row],[WALCL]]-B216</f>
        <v/>
      </c>
    </row>
    <row r="218">
      <c r="A218" s="47" t="n">
        <v>39050</v>
      </c>
      <c r="B218" s="48" t="n">
        <v>856671</v>
      </c>
      <c r="C218" s="48">
        <f>Table9[[#This Row],[WALCL]]-B217</f>
        <v/>
      </c>
    </row>
    <row r="219">
      <c r="A219" s="47" t="n">
        <v>39057</v>
      </c>
      <c r="B219" s="48" t="n">
        <v>862178</v>
      </c>
      <c r="C219" s="48">
        <f>Table9[[#This Row],[WALCL]]-B218</f>
        <v/>
      </c>
    </row>
    <row r="220">
      <c r="A220" s="47" t="n">
        <v>39064</v>
      </c>
      <c r="B220" s="48" t="n">
        <v>853851</v>
      </c>
      <c r="C220" s="48">
        <f>Table9[[#This Row],[WALCL]]-B219</f>
        <v/>
      </c>
    </row>
    <row r="221">
      <c r="A221" s="47" t="n">
        <v>39071</v>
      </c>
      <c r="B221" s="48" t="n">
        <v>865010</v>
      </c>
      <c r="C221" s="48">
        <f>Table9[[#This Row],[WALCL]]-B220</f>
        <v/>
      </c>
    </row>
    <row r="222">
      <c r="A222" s="47" t="n">
        <v>39078</v>
      </c>
      <c r="B222" s="48" t="n">
        <v>869988</v>
      </c>
      <c r="C222" s="48">
        <f>Table9[[#This Row],[WALCL]]-B221</f>
        <v/>
      </c>
    </row>
    <row r="223">
      <c r="A223" s="47" t="n">
        <v>39085</v>
      </c>
      <c r="B223" s="48" t="n">
        <v>874626</v>
      </c>
      <c r="C223" s="48">
        <f>Table9[[#This Row],[WALCL]]-B222</f>
        <v/>
      </c>
    </row>
    <row r="224">
      <c r="A224" s="47" t="n">
        <v>39092</v>
      </c>
      <c r="B224" s="48" t="n">
        <v>854819</v>
      </c>
      <c r="C224" s="48">
        <f>Table9[[#This Row],[WALCL]]-B223</f>
        <v/>
      </c>
    </row>
    <row r="225">
      <c r="A225" s="47" t="n">
        <v>39099</v>
      </c>
      <c r="B225" s="48" t="n">
        <v>859363</v>
      </c>
      <c r="C225" s="48">
        <f>Table9[[#This Row],[WALCL]]-B224</f>
        <v/>
      </c>
    </row>
    <row r="226">
      <c r="A226" s="47" t="n">
        <v>39106</v>
      </c>
      <c r="B226" s="48" t="n">
        <v>851755</v>
      </c>
      <c r="C226" s="48">
        <f>Table9[[#This Row],[WALCL]]-B225</f>
        <v/>
      </c>
    </row>
    <row r="227">
      <c r="A227" s="47" t="n">
        <v>39113</v>
      </c>
      <c r="B227" s="48" t="n">
        <v>865730</v>
      </c>
      <c r="C227" s="48">
        <f>Table9[[#This Row],[WALCL]]-B226</f>
        <v/>
      </c>
    </row>
    <row r="228">
      <c r="A228" s="47" t="n">
        <v>39120</v>
      </c>
      <c r="B228" s="48" t="n">
        <v>855057</v>
      </c>
      <c r="C228" s="48">
        <f>Table9[[#This Row],[WALCL]]-B227</f>
        <v/>
      </c>
    </row>
    <row r="229">
      <c r="A229" s="47" t="n">
        <v>39127</v>
      </c>
      <c r="B229" s="48" t="n">
        <v>867199</v>
      </c>
      <c r="C229" s="48">
        <f>Table9[[#This Row],[WALCL]]-B228</f>
        <v/>
      </c>
    </row>
    <row r="230">
      <c r="A230" s="47" t="n">
        <v>39134</v>
      </c>
      <c r="B230" s="48" t="n">
        <v>869235</v>
      </c>
      <c r="C230" s="48">
        <f>Table9[[#This Row],[WALCL]]-B229</f>
        <v/>
      </c>
    </row>
    <row r="231">
      <c r="A231" s="47" t="n">
        <v>39141</v>
      </c>
      <c r="B231" s="48" t="n">
        <v>877409</v>
      </c>
      <c r="C231" s="48">
        <f>Table9[[#This Row],[WALCL]]-B230</f>
        <v/>
      </c>
    </row>
    <row r="232">
      <c r="A232" s="47" t="n">
        <v>39148</v>
      </c>
      <c r="B232" s="48" t="n">
        <v>864505</v>
      </c>
      <c r="C232" s="48">
        <f>Table9[[#This Row],[WALCL]]-B231</f>
        <v/>
      </c>
    </row>
    <row r="233">
      <c r="A233" s="47" t="n">
        <v>39155</v>
      </c>
      <c r="B233" s="48" t="n">
        <v>876108</v>
      </c>
      <c r="C233" s="48">
        <f>Table9[[#This Row],[WALCL]]-B232</f>
        <v/>
      </c>
    </row>
    <row r="234">
      <c r="A234" s="47" t="n">
        <v>39162</v>
      </c>
      <c r="B234" s="48" t="n">
        <v>863067</v>
      </c>
      <c r="C234" s="48">
        <f>Table9[[#This Row],[WALCL]]-B233</f>
        <v/>
      </c>
    </row>
    <row r="235">
      <c r="A235" s="47" t="n">
        <v>39169</v>
      </c>
      <c r="B235" s="48" t="n">
        <v>869803</v>
      </c>
      <c r="C235" s="48">
        <f>Table9[[#This Row],[WALCL]]-B234</f>
        <v/>
      </c>
    </row>
    <row r="236">
      <c r="A236" s="47" t="n">
        <v>39176</v>
      </c>
      <c r="B236" s="48" t="n">
        <v>862319</v>
      </c>
      <c r="C236" s="48">
        <f>Table9[[#This Row],[WALCL]]-B235</f>
        <v/>
      </c>
    </row>
    <row r="237">
      <c r="A237" s="47" t="n">
        <v>39183</v>
      </c>
      <c r="B237" s="48" t="n">
        <v>865441</v>
      </c>
      <c r="C237" s="48">
        <f>Table9[[#This Row],[WALCL]]-B236</f>
        <v/>
      </c>
    </row>
    <row r="238">
      <c r="A238" s="47" t="n">
        <v>39190</v>
      </c>
      <c r="B238" s="48" t="n">
        <v>861335</v>
      </c>
      <c r="C238" s="48">
        <f>Table9[[#This Row],[WALCL]]-B237</f>
        <v/>
      </c>
    </row>
    <row r="239">
      <c r="A239" s="47" t="n">
        <v>39197</v>
      </c>
      <c r="B239" s="48" t="n">
        <v>879686</v>
      </c>
      <c r="C239" s="48">
        <f>Table9[[#This Row],[WALCL]]-B238</f>
        <v/>
      </c>
    </row>
    <row r="240">
      <c r="A240" s="47" t="n">
        <v>39204</v>
      </c>
      <c r="B240" s="48" t="n">
        <v>890857</v>
      </c>
      <c r="C240" s="48">
        <f>Table9[[#This Row],[WALCL]]-B239</f>
        <v/>
      </c>
    </row>
    <row r="241">
      <c r="A241" s="47" t="n">
        <v>39211</v>
      </c>
      <c r="B241" s="48" t="n">
        <v>875270</v>
      </c>
      <c r="C241" s="48">
        <f>Table9[[#This Row],[WALCL]]-B240</f>
        <v/>
      </c>
    </row>
    <row r="242">
      <c r="A242" s="47" t="n">
        <v>39218</v>
      </c>
      <c r="B242" s="48" t="n">
        <v>859559</v>
      </c>
      <c r="C242" s="48">
        <f>Table9[[#This Row],[WALCL]]-B241</f>
        <v/>
      </c>
    </row>
    <row r="243">
      <c r="A243" s="47" t="n">
        <v>39225</v>
      </c>
      <c r="B243" s="48" t="n">
        <v>873935</v>
      </c>
      <c r="C243" s="48">
        <f>Table9[[#This Row],[WALCL]]-B242</f>
        <v/>
      </c>
    </row>
    <row r="244">
      <c r="A244" s="47" t="n">
        <v>39232</v>
      </c>
      <c r="B244" s="48" t="n">
        <v>876986</v>
      </c>
      <c r="C244" s="48">
        <f>Table9[[#This Row],[WALCL]]-B243</f>
        <v/>
      </c>
    </row>
    <row r="245">
      <c r="A245" s="47" t="n">
        <v>39239</v>
      </c>
      <c r="B245" s="48" t="n">
        <v>872706</v>
      </c>
      <c r="C245" s="48">
        <f>Table9[[#This Row],[WALCL]]-B244</f>
        <v/>
      </c>
    </row>
    <row r="246">
      <c r="A246" s="47" t="n">
        <v>39246</v>
      </c>
      <c r="B246" s="48" t="n">
        <v>864989</v>
      </c>
      <c r="C246" s="48">
        <f>Table9[[#This Row],[WALCL]]-B245</f>
        <v/>
      </c>
    </row>
    <row r="247">
      <c r="A247" s="47" t="n">
        <v>39253</v>
      </c>
      <c r="B247" s="48" t="n">
        <v>866089</v>
      </c>
      <c r="C247" s="48">
        <f>Table9[[#This Row],[WALCL]]-B246</f>
        <v/>
      </c>
    </row>
    <row r="248">
      <c r="A248" s="47" t="n">
        <v>39260</v>
      </c>
      <c r="B248" s="48" t="n">
        <v>865105</v>
      </c>
      <c r="C248" s="48">
        <f>Table9[[#This Row],[WALCL]]-B247</f>
        <v/>
      </c>
    </row>
    <row r="249">
      <c r="A249" s="47" t="n">
        <v>39267</v>
      </c>
      <c r="B249" s="48" t="n">
        <v>876611</v>
      </c>
      <c r="C249" s="48">
        <f>Table9[[#This Row],[WALCL]]-B248</f>
        <v/>
      </c>
    </row>
    <row r="250">
      <c r="A250" s="47" t="n">
        <v>39274</v>
      </c>
      <c r="B250" s="48" t="n">
        <v>869407</v>
      </c>
      <c r="C250" s="48">
        <f>Table9[[#This Row],[WALCL]]-B249</f>
        <v/>
      </c>
    </row>
    <row r="251">
      <c r="A251" s="47" t="n">
        <v>39281</v>
      </c>
      <c r="B251" s="48" t="n">
        <v>872916</v>
      </c>
      <c r="C251" s="48">
        <f>Table9[[#This Row],[WALCL]]-B250</f>
        <v/>
      </c>
    </row>
    <row r="252">
      <c r="A252" s="47" t="n">
        <v>39288</v>
      </c>
      <c r="B252" s="48" t="n">
        <v>863890</v>
      </c>
      <c r="C252" s="48">
        <f>Table9[[#This Row],[WALCL]]-B251</f>
        <v/>
      </c>
    </row>
    <row r="253">
      <c r="A253" s="47" t="n">
        <v>39295</v>
      </c>
      <c r="B253" s="48" t="n">
        <v>870261</v>
      </c>
      <c r="C253" s="48">
        <f>Table9[[#This Row],[WALCL]]-B252</f>
        <v/>
      </c>
    </row>
    <row r="254">
      <c r="A254" s="47" t="n">
        <v>39302</v>
      </c>
      <c r="B254" s="48" t="n">
        <v>865453</v>
      </c>
      <c r="C254" s="48">
        <f>Table9[[#This Row],[WALCL]]-B253</f>
        <v/>
      </c>
    </row>
    <row r="255">
      <c r="A255" s="47" t="n">
        <v>39309</v>
      </c>
      <c r="B255" s="48" t="n">
        <v>864931</v>
      </c>
      <c r="C255" s="48">
        <f>Table9[[#This Row],[WALCL]]-B254</f>
        <v/>
      </c>
    </row>
    <row r="256">
      <c r="A256" s="47" t="n">
        <v>39316</v>
      </c>
      <c r="B256" s="48" t="n">
        <v>862775</v>
      </c>
      <c r="C256" s="48">
        <f>Table9[[#This Row],[WALCL]]-B255</f>
        <v/>
      </c>
    </row>
    <row r="257">
      <c r="A257" s="47" t="n">
        <v>39323</v>
      </c>
      <c r="B257" s="48" t="n">
        <v>872873</v>
      </c>
      <c r="C257" s="48">
        <f>Table9[[#This Row],[WALCL]]-B256</f>
        <v/>
      </c>
    </row>
    <row r="258">
      <c r="A258" s="47" t="n">
        <v>39330</v>
      </c>
      <c r="B258" s="48" t="n">
        <v>871156</v>
      </c>
      <c r="C258" s="48">
        <f>Table9[[#This Row],[WALCL]]-B257</f>
        <v/>
      </c>
    </row>
    <row r="259">
      <c r="A259" s="47" t="n">
        <v>39337</v>
      </c>
      <c r="B259" s="48" t="n">
        <v>886314</v>
      </c>
      <c r="C259" s="48">
        <f>Table9[[#This Row],[WALCL]]-B258</f>
        <v/>
      </c>
    </row>
    <row r="260">
      <c r="A260" s="47" t="n">
        <v>39344</v>
      </c>
      <c r="B260" s="48" t="n">
        <v>867732</v>
      </c>
      <c r="C260" s="48">
        <f>Table9[[#This Row],[WALCL]]-B259</f>
        <v/>
      </c>
    </row>
    <row r="261">
      <c r="A261" s="47" t="n">
        <v>39351</v>
      </c>
      <c r="B261" s="48" t="n">
        <v>889900</v>
      </c>
      <c r="C261" s="48">
        <f>Table9[[#This Row],[WALCL]]-B260</f>
        <v/>
      </c>
    </row>
    <row r="262">
      <c r="A262" s="47" t="n">
        <v>39358</v>
      </c>
      <c r="B262" s="48" t="n">
        <v>869051</v>
      </c>
      <c r="C262" s="48">
        <f>Table9[[#This Row],[WALCL]]-B261</f>
        <v/>
      </c>
    </row>
    <row r="263">
      <c r="A263" s="47" t="n">
        <v>39365</v>
      </c>
      <c r="B263" s="48" t="n">
        <v>886363</v>
      </c>
      <c r="C263" s="48">
        <f>Table9[[#This Row],[WALCL]]-B262</f>
        <v/>
      </c>
    </row>
    <row r="264">
      <c r="A264" s="47" t="n">
        <v>39372</v>
      </c>
      <c r="B264" s="48" t="n">
        <v>869509</v>
      </c>
      <c r="C264" s="48">
        <f>Table9[[#This Row],[WALCL]]-B263</f>
        <v/>
      </c>
    </row>
    <row r="265">
      <c r="A265" s="47" t="n">
        <v>39379</v>
      </c>
      <c r="B265" s="48" t="n">
        <v>881395</v>
      </c>
      <c r="C265" s="48">
        <f>Table9[[#This Row],[WALCL]]-B264</f>
        <v/>
      </c>
    </row>
    <row r="266">
      <c r="A266" s="47" t="n">
        <v>39386</v>
      </c>
      <c r="B266" s="48" t="n">
        <v>883385</v>
      </c>
      <c r="C266" s="48">
        <f>Table9[[#This Row],[WALCL]]-B265</f>
        <v/>
      </c>
    </row>
    <row r="267">
      <c r="A267" s="47" t="n">
        <v>39393</v>
      </c>
      <c r="B267" s="48" t="n">
        <v>885724</v>
      </c>
      <c r="C267" s="48">
        <f>Table9[[#This Row],[WALCL]]-B266</f>
        <v/>
      </c>
    </row>
    <row r="268">
      <c r="A268" s="47" t="n">
        <v>39400</v>
      </c>
      <c r="B268" s="48" t="n">
        <v>889537</v>
      </c>
      <c r="C268" s="48">
        <f>Table9[[#This Row],[WALCL]]-B267</f>
        <v/>
      </c>
    </row>
    <row r="269">
      <c r="A269" s="47" t="n">
        <v>39407</v>
      </c>
      <c r="B269" s="48" t="n">
        <v>891028</v>
      </c>
      <c r="C269" s="48">
        <f>Table9[[#This Row],[WALCL]]-B268</f>
        <v/>
      </c>
    </row>
    <row r="270">
      <c r="A270" s="47" t="n">
        <v>39414</v>
      </c>
      <c r="B270" s="48" t="n">
        <v>879417</v>
      </c>
      <c r="C270" s="48">
        <f>Table9[[#This Row],[WALCL]]-B269</f>
        <v/>
      </c>
    </row>
    <row r="271">
      <c r="A271" s="47" t="n">
        <v>39421</v>
      </c>
      <c r="B271" s="48" t="n">
        <v>882764</v>
      </c>
      <c r="C271" s="48">
        <f>Table9[[#This Row],[WALCL]]-B270</f>
        <v/>
      </c>
    </row>
    <row r="272">
      <c r="A272" s="47" t="n">
        <v>39428</v>
      </c>
      <c r="B272" s="48" t="n">
        <v>881750</v>
      </c>
      <c r="C272" s="48">
        <f>Table9[[#This Row],[WALCL]]-B271</f>
        <v/>
      </c>
    </row>
    <row r="273">
      <c r="A273" s="47" t="n">
        <v>39435</v>
      </c>
      <c r="B273" s="48" t="n">
        <v>887983</v>
      </c>
      <c r="C273" s="48">
        <f>Table9[[#This Row],[WALCL]]-B272</f>
        <v/>
      </c>
    </row>
    <row r="274">
      <c r="A274" s="47" t="n">
        <v>39442</v>
      </c>
      <c r="B274" s="48" t="n">
        <v>890662</v>
      </c>
      <c r="C274" s="48">
        <f>Table9[[#This Row],[WALCL]]-B273</f>
        <v/>
      </c>
    </row>
    <row r="275">
      <c r="A275" s="47" t="n">
        <v>39449</v>
      </c>
      <c r="B275" s="48" t="n">
        <v>922187</v>
      </c>
      <c r="C275" s="48">
        <f>Table9[[#This Row],[WALCL]]-B274</f>
        <v/>
      </c>
    </row>
    <row r="276">
      <c r="A276" s="47" t="n">
        <v>39456</v>
      </c>
      <c r="B276" s="48" t="n">
        <v>880754</v>
      </c>
      <c r="C276" s="48">
        <f>Table9[[#This Row],[WALCL]]-B275</f>
        <v/>
      </c>
    </row>
    <row r="277">
      <c r="A277" s="47" t="n">
        <v>39463</v>
      </c>
      <c r="B277" s="48" t="n">
        <v>893581</v>
      </c>
      <c r="C277" s="48">
        <f>Table9[[#This Row],[WALCL]]-B276</f>
        <v/>
      </c>
    </row>
    <row r="278">
      <c r="A278" s="47" t="n">
        <v>39470</v>
      </c>
      <c r="B278" s="48" t="n">
        <v>877253</v>
      </c>
      <c r="C278" s="48">
        <f>Table9[[#This Row],[WALCL]]-B277</f>
        <v/>
      </c>
    </row>
    <row r="279">
      <c r="A279" s="47" t="n">
        <v>39477</v>
      </c>
      <c r="B279" s="48" t="n">
        <v>900264</v>
      </c>
      <c r="C279" s="48">
        <f>Table9[[#This Row],[WALCL]]-B278</f>
        <v/>
      </c>
    </row>
    <row r="280">
      <c r="A280" s="47" t="n">
        <v>39484</v>
      </c>
      <c r="B280" s="48" t="n">
        <v>871022</v>
      </c>
      <c r="C280" s="48">
        <f>Table9[[#This Row],[WALCL]]-B279</f>
        <v/>
      </c>
    </row>
    <row r="281">
      <c r="A281" s="47" t="n">
        <v>39491</v>
      </c>
      <c r="B281" s="48" t="n">
        <v>883005</v>
      </c>
      <c r="C281" s="48">
        <f>Table9[[#This Row],[WALCL]]-B280</f>
        <v/>
      </c>
    </row>
    <row r="282">
      <c r="A282" s="47" t="n">
        <v>39498</v>
      </c>
      <c r="B282" s="48" t="n">
        <v>878949</v>
      </c>
      <c r="C282" s="48">
        <f>Table9[[#This Row],[WALCL]]-B281</f>
        <v/>
      </c>
    </row>
    <row r="283">
      <c r="A283" s="47" t="n">
        <v>39505</v>
      </c>
      <c r="B283" s="48" t="n">
        <v>893825</v>
      </c>
      <c r="C283" s="48">
        <f>Table9[[#This Row],[WALCL]]-B282</f>
        <v/>
      </c>
    </row>
    <row r="284">
      <c r="A284" s="47" t="n">
        <v>39512</v>
      </c>
      <c r="B284" s="48" t="n">
        <v>881208</v>
      </c>
      <c r="C284" s="48">
        <f>Table9[[#This Row],[WALCL]]-B283</f>
        <v/>
      </c>
    </row>
    <row r="285">
      <c r="A285" s="47" t="n">
        <v>39519</v>
      </c>
      <c r="B285" s="48" t="n">
        <v>896565</v>
      </c>
      <c r="C285" s="48">
        <f>Table9[[#This Row],[WALCL]]-B284</f>
        <v/>
      </c>
    </row>
    <row r="286">
      <c r="A286" s="47" t="n">
        <v>39526</v>
      </c>
      <c r="B286" s="48" t="n">
        <v>888646</v>
      </c>
      <c r="C286" s="48">
        <f>Table9[[#This Row],[WALCL]]-B285</f>
        <v/>
      </c>
    </row>
    <row r="287">
      <c r="A287" s="47" t="n">
        <v>39533</v>
      </c>
      <c r="B287" s="48" t="n">
        <v>893965</v>
      </c>
      <c r="C287" s="48">
        <f>Table9[[#This Row],[WALCL]]-B286</f>
        <v/>
      </c>
    </row>
    <row r="288">
      <c r="A288" s="47" t="n">
        <v>39540</v>
      </c>
      <c r="B288" s="48" t="n">
        <v>883708</v>
      </c>
      <c r="C288" s="48">
        <f>Table9[[#This Row],[WALCL]]-B287</f>
        <v/>
      </c>
    </row>
    <row r="289">
      <c r="A289" s="47" t="n">
        <v>39547</v>
      </c>
      <c r="B289" s="48" t="n">
        <v>893029</v>
      </c>
      <c r="C289" s="48">
        <f>Table9[[#This Row],[WALCL]]-B288</f>
        <v/>
      </c>
    </row>
    <row r="290">
      <c r="A290" s="47" t="n">
        <v>39554</v>
      </c>
      <c r="B290" s="48" t="n">
        <v>881904</v>
      </c>
      <c r="C290" s="48">
        <f>Table9[[#This Row],[WALCL]]-B289</f>
        <v/>
      </c>
    </row>
    <row r="291">
      <c r="A291" s="47" t="n">
        <v>39561</v>
      </c>
      <c r="B291" s="48" t="n">
        <v>885781</v>
      </c>
      <c r="C291" s="48">
        <f>Table9[[#This Row],[WALCL]]-B290</f>
        <v/>
      </c>
    </row>
    <row r="292">
      <c r="A292" s="47" t="n">
        <v>39568</v>
      </c>
      <c r="B292" s="48" t="n">
        <v>888131</v>
      </c>
      <c r="C292" s="48">
        <f>Table9[[#This Row],[WALCL]]-B291</f>
        <v/>
      </c>
    </row>
    <row r="293">
      <c r="A293" s="47" t="n">
        <v>39575</v>
      </c>
      <c r="B293" s="48" t="n">
        <v>889228</v>
      </c>
      <c r="C293" s="48">
        <f>Table9[[#This Row],[WALCL]]-B292</f>
        <v/>
      </c>
    </row>
    <row r="294">
      <c r="A294" s="47" t="n">
        <v>39582</v>
      </c>
      <c r="B294" s="48" t="n">
        <v>880175</v>
      </c>
      <c r="C294" s="48">
        <f>Table9[[#This Row],[WALCL]]-B293</f>
        <v/>
      </c>
    </row>
    <row r="295">
      <c r="A295" s="47" t="n">
        <v>39589</v>
      </c>
      <c r="B295" s="48" t="n">
        <v>898487</v>
      </c>
      <c r="C295" s="48">
        <f>Table9[[#This Row],[WALCL]]-B294</f>
        <v/>
      </c>
    </row>
    <row r="296">
      <c r="A296" s="47" t="n">
        <v>39596</v>
      </c>
      <c r="B296" s="48" t="n">
        <v>904054</v>
      </c>
      <c r="C296" s="48">
        <f>Table9[[#This Row],[WALCL]]-B295</f>
        <v/>
      </c>
    </row>
    <row r="297">
      <c r="A297" s="47" t="n">
        <v>39603</v>
      </c>
      <c r="B297" s="48" t="n">
        <v>895939</v>
      </c>
      <c r="C297" s="48">
        <f>Table9[[#This Row],[WALCL]]-B296</f>
        <v/>
      </c>
    </row>
    <row r="298">
      <c r="A298" s="47" t="n">
        <v>39610</v>
      </c>
      <c r="B298" s="48" t="n">
        <v>890610</v>
      </c>
      <c r="C298" s="48">
        <f>Table9[[#This Row],[WALCL]]-B297</f>
        <v/>
      </c>
    </row>
    <row r="299">
      <c r="A299" s="47" t="n">
        <v>39617</v>
      </c>
      <c r="B299" s="48" t="n">
        <v>902304</v>
      </c>
      <c r="C299" s="48">
        <f>Table9[[#This Row],[WALCL]]-B298</f>
        <v/>
      </c>
    </row>
    <row r="300">
      <c r="A300" s="47" t="n">
        <v>39624</v>
      </c>
      <c r="B300" s="48" t="n">
        <v>892713</v>
      </c>
      <c r="C300" s="48">
        <f>Table9[[#This Row],[WALCL]]-B299</f>
        <v/>
      </c>
    </row>
    <row r="301">
      <c r="A301" s="47" t="n">
        <v>39631</v>
      </c>
      <c r="B301" s="48" t="n">
        <v>902962</v>
      </c>
      <c r="C301" s="48">
        <f>Table9[[#This Row],[WALCL]]-B300</f>
        <v/>
      </c>
    </row>
    <row r="302">
      <c r="A302" s="47" t="n">
        <v>39638</v>
      </c>
      <c r="B302" s="48" t="n">
        <v>898034</v>
      </c>
      <c r="C302" s="48">
        <f>Table9[[#This Row],[WALCL]]-B301</f>
        <v/>
      </c>
    </row>
    <row r="303">
      <c r="A303" s="47" t="n">
        <v>39645</v>
      </c>
      <c r="B303" s="48" t="n">
        <v>910681</v>
      </c>
      <c r="C303" s="48">
        <f>Table9[[#This Row],[WALCL]]-B302</f>
        <v/>
      </c>
    </row>
    <row r="304">
      <c r="A304" s="47" t="n">
        <v>39652</v>
      </c>
      <c r="B304" s="48" t="n">
        <v>899665</v>
      </c>
      <c r="C304" s="48">
        <f>Table9[[#This Row],[WALCL]]-B303</f>
        <v/>
      </c>
    </row>
    <row r="305">
      <c r="A305" s="47" t="n">
        <v>39659</v>
      </c>
      <c r="B305" s="48" t="n">
        <v>918625</v>
      </c>
      <c r="C305" s="48">
        <f>Table9[[#This Row],[WALCL]]-B304</f>
        <v/>
      </c>
    </row>
    <row r="306">
      <c r="A306" s="47" t="n">
        <v>39666</v>
      </c>
      <c r="B306" s="48" t="n">
        <v>901710</v>
      </c>
      <c r="C306" s="48">
        <f>Table9[[#This Row],[WALCL]]-B305</f>
        <v/>
      </c>
    </row>
    <row r="307">
      <c r="A307" s="47" t="n">
        <v>39673</v>
      </c>
      <c r="B307" s="48" t="n">
        <v>914632</v>
      </c>
      <c r="C307" s="48">
        <f>Table9[[#This Row],[WALCL]]-B306</f>
        <v/>
      </c>
    </row>
    <row r="308">
      <c r="A308" s="47" t="n">
        <v>39680</v>
      </c>
      <c r="B308" s="48" t="n">
        <v>898611</v>
      </c>
      <c r="C308" s="48">
        <f>Table9[[#This Row],[WALCL]]-B307</f>
        <v/>
      </c>
    </row>
    <row r="309">
      <c r="A309" s="47" t="n">
        <v>39687</v>
      </c>
      <c r="B309" s="48" t="n">
        <v>909982</v>
      </c>
      <c r="C309" s="48">
        <f>Table9[[#This Row],[WALCL]]-B308</f>
        <v/>
      </c>
    </row>
    <row r="310">
      <c r="A310" s="47" t="n">
        <v>39694</v>
      </c>
      <c r="B310" s="48" t="n">
        <v>905253</v>
      </c>
      <c r="C310" s="48">
        <f>Table9[[#This Row],[WALCL]]-B309</f>
        <v/>
      </c>
    </row>
    <row r="311">
      <c r="A311" s="47" t="n">
        <v>39701</v>
      </c>
      <c r="B311" s="48" t="n">
        <v>925725</v>
      </c>
      <c r="C311" s="48">
        <f>Table9[[#This Row],[WALCL]]-B310</f>
        <v/>
      </c>
    </row>
    <row r="312">
      <c r="A312" s="47" t="n">
        <v>39708</v>
      </c>
      <c r="B312" s="48" t="n">
        <v>995093</v>
      </c>
      <c r="C312" s="48">
        <f>Table9[[#This Row],[WALCL]]-B311</f>
        <v/>
      </c>
    </row>
    <row r="313">
      <c r="A313" s="47" t="n">
        <v>39715</v>
      </c>
      <c r="B313" s="48" t="n">
        <v>1211825</v>
      </c>
      <c r="C313" s="48">
        <f>Table9[[#This Row],[WALCL]]-B312</f>
        <v/>
      </c>
    </row>
    <row r="314">
      <c r="A314" s="47" t="n">
        <v>39722</v>
      </c>
      <c r="B314" s="48" t="n">
        <v>1503989</v>
      </c>
      <c r="C314" s="48">
        <f>Table9[[#This Row],[WALCL]]-B313</f>
        <v/>
      </c>
    </row>
    <row r="315">
      <c r="A315" s="47" t="n">
        <v>39729</v>
      </c>
      <c r="B315" s="48" t="n">
        <v>1591587</v>
      </c>
      <c r="C315" s="48">
        <f>Table9[[#This Row],[WALCL]]-B314</f>
        <v/>
      </c>
    </row>
    <row r="316">
      <c r="A316" s="47" t="n">
        <v>39736</v>
      </c>
      <c r="B316" s="48" t="n">
        <v>1770809</v>
      </c>
      <c r="C316" s="48">
        <f>Table9[[#This Row],[WALCL]]-B315</f>
        <v/>
      </c>
    </row>
    <row r="317">
      <c r="A317" s="47" t="n">
        <v>39743</v>
      </c>
      <c r="B317" s="48" t="n">
        <v>1802602</v>
      </c>
      <c r="C317" s="48">
        <f>Table9[[#This Row],[WALCL]]-B316</f>
        <v/>
      </c>
    </row>
    <row r="318">
      <c r="A318" s="47" t="n">
        <v>39750</v>
      </c>
      <c r="B318" s="48" t="n">
        <v>1969086</v>
      </c>
      <c r="C318" s="48">
        <f>Table9[[#This Row],[WALCL]]-B317</f>
        <v/>
      </c>
    </row>
    <row r="319">
      <c r="A319" s="47" t="n">
        <v>39757</v>
      </c>
      <c r="B319" s="48" t="n">
        <v>2074205</v>
      </c>
      <c r="C319" s="48">
        <f>Table9[[#This Row],[WALCL]]-B318</f>
        <v/>
      </c>
    </row>
    <row r="320">
      <c r="A320" s="47" t="n">
        <v>39764</v>
      </c>
      <c r="B320" s="48" t="n">
        <v>2212852</v>
      </c>
      <c r="C320" s="48">
        <f>Table9[[#This Row],[WALCL]]-B319</f>
        <v/>
      </c>
    </row>
    <row r="321">
      <c r="A321" s="47" t="n">
        <v>39771</v>
      </c>
      <c r="B321" s="48" t="n">
        <v>2187137</v>
      </c>
      <c r="C321" s="48">
        <f>Table9[[#This Row],[WALCL]]-B320</f>
        <v/>
      </c>
    </row>
    <row r="322">
      <c r="A322" s="47" t="n">
        <v>39778</v>
      </c>
      <c r="B322" s="48" t="n">
        <v>2106117</v>
      </c>
      <c r="C322" s="48">
        <f>Table9[[#This Row],[WALCL]]-B321</f>
        <v/>
      </c>
    </row>
    <row r="323">
      <c r="A323" s="47" t="n">
        <v>39785</v>
      </c>
      <c r="B323" s="48" t="n">
        <v>2136924</v>
      </c>
      <c r="C323" s="48">
        <f>Table9[[#This Row],[WALCL]]-B322</f>
        <v/>
      </c>
    </row>
    <row r="324">
      <c r="A324" s="47" t="n">
        <v>39792</v>
      </c>
      <c r="B324" s="48" t="n">
        <v>2250012</v>
      </c>
      <c r="C324" s="48">
        <f>Table9[[#This Row],[WALCL]]-B323</f>
        <v/>
      </c>
    </row>
    <row r="325">
      <c r="A325" s="47" t="n">
        <v>39799</v>
      </c>
      <c r="B325" s="48" t="n">
        <v>2254983</v>
      </c>
      <c r="C325" s="48">
        <f>Table9[[#This Row],[WALCL]]-B324</f>
        <v/>
      </c>
    </row>
    <row r="326">
      <c r="A326" s="47" t="n">
        <v>39806</v>
      </c>
      <c r="B326" s="48" t="n">
        <v>2232311</v>
      </c>
      <c r="C326" s="48">
        <f>Table9[[#This Row],[WALCL]]-B325</f>
        <v/>
      </c>
    </row>
    <row r="327">
      <c r="A327" s="47" t="n">
        <v>39813</v>
      </c>
      <c r="B327" s="48" t="n">
        <v>2239457</v>
      </c>
      <c r="C327" s="48">
        <f>Table9[[#This Row],[WALCL]]-B326</f>
        <v/>
      </c>
    </row>
    <row r="328">
      <c r="A328" s="47" t="n">
        <v>39820</v>
      </c>
      <c r="B328" s="48" t="n">
        <v>2121439</v>
      </c>
      <c r="C328" s="48">
        <f>Table9[[#This Row],[WALCL]]-B327</f>
        <v/>
      </c>
    </row>
    <row r="329">
      <c r="A329" s="47" t="n">
        <v>39827</v>
      </c>
      <c r="B329" s="48" t="n">
        <v>2049714</v>
      </c>
      <c r="C329" s="48">
        <f>Table9[[#This Row],[WALCL]]-B328</f>
        <v/>
      </c>
    </row>
    <row r="330">
      <c r="A330" s="47" t="n">
        <v>39834</v>
      </c>
      <c r="B330" s="48" t="n">
        <v>2037112</v>
      </c>
      <c r="C330" s="48">
        <f>Table9[[#This Row],[WALCL]]-B329</f>
        <v/>
      </c>
    </row>
    <row r="331">
      <c r="A331" s="47" t="n">
        <v>39841</v>
      </c>
      <c r="B331" s="48" t="n">
        <v>1927082</v>
      </c>
      <c r="C331" s="48">
        <f>Table9[[#This Row],[WALCL]]-B330</f>
        <v/>
      </c>
    </row>
    <row r="332">
      <c r="A332" s="47" t="n">
        <v>39848</v>
      </c>
      <c r="B332" s="48" t="n">
        <v>1851437</v>
      </c>
      <c r="C332" s="48">
        <f>Table9[[#This Row],[WALCL]]-B331</f>
        <v/>
      </c>
    </row>
    <row r="333">
      <c r="A333" s="47" t="n">
        <v>39855</v>
      </c>
      <c r="B333" s="48" t="n">
        <v>1843400</v>
      </c>
      <c r="C333" s="48">
        <f>Table9[[#This Row],[WALCL]]-B332</f>
        <v/>
      </c>
    </row>
    <row r="334">
      <c r="A334" s="47" t="n">
        <v>39862</v>
      </c>
      <c r="B334" s="48" t="n">
        <v>1915562</v>
      </c>
      <c r="C334" s="48">
        <f>Table9[[#This Row],[WALCL]]-B333</f>
        <v/>
      </c>
    </row>
    <row r="335">
      <c r="A335" s="47" t="n">
        <v>39869</v>
      </c>
      <c r="B335" s="48" t="n">
        <v>1916115</v>
      </c>
      <c r="C335" s="48">
        <f>Table9[[#This Row],[WALCL]]-B334</f>
        <v/>
      </c>
    </row>
    <row r="336">
      <c r="A336" s="47" t="n">
        <v>39876</v>
      </c>
      <c r="B336" s="48" t="n">
        <v>1901317</v>
      </c>
      <c r="C336" s="48">
        <f>Table9[[#This Row],[WALCL]]-B335</f>
        <v/>
      </c>
    </row>
    <row r="337">
      <c r="A337" s="47" t="n">
        <v>39883</v>
      </c>
      <c r="B337" s="48" t="n">
        <v>1899514</v>
      </c>
      <c r="C337" s="48">
        <f>Table9[[#This Row],[WALCL]]-B336</f>
        <v/>
      </c>
    </row>
    <row r="338">
      <c r="A338" s="47" t="n">
        <v>39890</v>
      </c>
      <c r="B338" s="48" t="n">
        <v>2066942</v>
      </c>
      <c r="C338" s="48">
        <f>Table9[[#This Row],[WALCL]]-B337</f>
        <v/>
      </c>
    </row>
    <row r="339">
      <c r="A339" s="47" t="n">
        <v>39897</v>
      </c>
      <c r="B339" s="48" t="n">
        <v>2071556</v>
      </c>
      <c r="C339" s="48">
        <f>Table9[[#This Row],[WALCL]]-B338</f>
        <v/>
      </c>
    </row>
    <row r="340">
      <c r="A340" s="47" t="n">
        <v>39904</v>
      </c>
      <c r="B340" s="48" t="n">
        <v>2078936</v>
      </c>
      <c r="C340" s="48">
        <f>Table9[[#This Row],[WALCL]]-B339</f>
        <v/>
      </c>
    </row>
    <row r="341">
      <c r="A341" s="47" t="n">
        <v>39911</v>
      </c>
      <c r="B341" s="48" t="n">
        <v>2088573</v>
      </c>
      <c r="C341" s="48">
        <f>Table9[[#This Row],[WALCL]]-B340</f>
        <v/>
      </c>
    </row>
    <row r="342">
      <c r="A342" s="47" t="n">
        <v>39918</v>
      </c>
      <c r="B342" s="48" t="n">
        <v>2186498</v>
      </c>
      <c r="C342" s="48">
        <f>Table9[[#This Row],[WALCL]]-B341</f>
        <v/>
      </c>
    </row>
    <row r="343">
      <c r="A343" s="47" t="n">
        <v>39925</v>
      </c>
      <c r="B343" s="48" t="n">
        <v>2196812</v>
      </c>
      <c r="C343" s="48">
        <f>Table9[[#This Row],[WALCL]]-B342</f>
        <v/>
      </c>
    </row>
    <row r="344">
      <c r="A344" s="47" t="n">
        <v>39932</v>
      </c>
      <c r="B344" s="48" t="n">
        <v>2066712</v>
      </c>
      <c r="C344" s="48">
        <f>Table9[[#This Row],[WALCL]]-B343</f>
        <v/>
      </c>
    </row>
    <row r="345">
      <c r="A345" s="47" t="n">
        <v>39939</v>
      </c>
      <c r="B345" s="48" t="n">
        <v>2079758</v>
      </c>
      <c r="C345" s="48">
        <f>Table9[[#This Row],[WALCL]]-B344</f>
        <v/>
      </c>
    </row>
    <row r="346">
      <c r="A346" s="47" t="n">
        <v>39946</v>
      </c>
      <c r="B346" s="48" t="n">
        <v>2196351</v>
      </c>
      <c r="C346" s="48">
        <f>Table9[[#This Row],[WALCL]]-B345</f>
        <v/>
      </c>
    </row>
    <row r="347">
      <c r="A347" s="47" t="n">
        <v>39953</v>
      </c>
      <c r="B347" s="48" t="n">
        <v>2181632</v>
      </c>
      <c r="C347" s="48">
        <f>Table9[[#This Row],[WALCL]]-B346</f>
        <v/>
      </c>
    </row>
    <row r="348">
      <c r="A348" s="47" t="n">
        <v>39960</v>
      </c>
      <c r="B348" s="48" t="n">
        <v>2080115</v>
      </c>
      <c r="C348" s="48">
        <f>Table9[[#This Row],[WALCL]]-B347</f>
        <v/>
      </c>
    </row>
    <row r="349">
      <c r="A349" s="47" t="n">
        <v>39967</v>
      </c>
      <c r="B349" s="48" t="n">
        <v>2077695</v>
      </c>
      <c r="C349" s="48">
        <f>Table9[[#This Row],[WALCL]]-B348</f>
        <v/>
      </c>
    </row>
    <row r="350">
      <c r="A350" s="47" t="n">
        <v>39974</v>
      </c>
      <c r="B350" s="48" t="n">
        <v>2052297</v>
      </c>
      <c r="C350" s="48">
        <f>Table9[[#This Row],[WALCL]]-B349</f>
        <v/>
      </c>
    </row>
    <row r="351">
      <c r="A351" s="47" t="n">
        <v>39981</v>
      </c>
      <c r="B351" s="48" t="n">
        <v>2072527</v>
      </c>
      <c r="C351" s="48">
        <f>Table9[[#This Row],[WALCL]]-B350</f>
        <v/>
      </c>
    </row>
    <row r="352">
      <c r="A352" s="47" t="n">
        <v>39988</v>
      </c>
      <c r="B352" s="48" t="n">
        <v>2025571</v>
      </c>
      <c r="C352" s="48">
        <f>Table9[[#This Row],[WALCL]]-B351</f>
        <v/>
      </c>
    </row>
    <row r="353">
      <c r="A353" s="47" t="n">
        <v>39995</v>
      </c>
      <c r="B353" s="48" t="n">
        <v>2005627</v>
      </c>
      <c r="C353" s="48">
        <f>Table9[[#This Row],[WALCL]]-B352</f>
        <v/>
      </c>
    </row>
    <row r="354">
      <c r="A354" s="47" t="n">
        <v>40002</v>
      </c>
      <c r="B354" s="48" t="n">
        <v>1992740</v>
      </c>
      <c r="C354" s="48">
        <f>Table9[[#This Row],[WALCL]]-B353</f>
        <v/>
      </c>
    </row>
    <row r="355">
      <c r="A355" s="47" t="n">
        <v>40009</v>
      </c>
      <c r="B355" s="48" t="n">
        <v>2072451</v>
      </c>
      <c r="C355" s="48">
        <f>Table9[[#This Row],[WALCL]]-B354</f>
        <v/>
      </c>
    </row>
    <row r="356">
      <c r="A356" s="47" t="n">
        <v>40016</v>
      </c>
      <c r="B356" s="48" t="n">
        <v>2039001</v>
      </c>
      <c r="C356" s="48">
        <f>Table9[[#This Row],[WALCL]]-B355</f>
        <v/>
      </c>
    </row>
    <row r="357">
      <c r="A357" s="47" t="n">
        <v>40023</v>
      </c>
      <c r="B357" s="48" t="n">
        <v>2000547</v>
      </c>
      <c r="C357" s="48">
        <f>Table9[[#This Row],[WALCL]]-B356</f>
        <v/>
      </c>
    </row>
    <row r="358">
      <c r="A358" s="47" t="n">
        <v>40030</v>
      </c>
      <c r="B358" s="48" t="n">
        <v>1989203</v>
      </c>
      <c r="C358" s="48">
        <f>Table9[[#This Row],[WALCL]]-B357</f>
        <v/>
      </c>
    </row>
    <row r="359">
      <c r="A359" s="47" t="n">
        <v>40037</v>
      </c>
      <c r="B359" s="48" t="n">
        <v>2014899</v>
      </c>
      <c r="C359" s="48">
        <f>Table9[[#This Row],[WALCL]]-B358</f>
        <v/>
      </c>
    </row>
    <row r="360">
      <c r="A360" s="47" t="n">
        <v>40044</v>
      </c>
      <c r="B360" s="48" t="n">
        <v>2060641</v>
      </c>
      <c r="C360" s="48">
        <f>Table9[[#This Row],[WALCL]]-B359</f>
        <v/>
      </c>
    </row>
    <row r="361">
      <c r="A361" s="47" t="n">
        <v>40051</v>
      </c>
      <c r="B361" s="48" t="n">
        <v>2074902</v>
      </c>
      <c r="C361" s="48">
        <f>Table9[[#This Row],[WALCL]]-B360</f>
        <v/>
      </c>
    </row>
    <row r="362">
      <c r="A362" s="47" t="n">
        <v>40058</v>
      </c>
      <c r="B362" s="48" t="n">
        <v>2083720</v>
      </c>
      <c r="C362" s="48">
        <f>Table9[[#This Row],[WALCL]]-B361</f>
        <v/>
      </c>
    </row>
    <row r="363">
      <c r="A363" s="47" t="n">
        <v>40065</v>
      </c>
      <c r="B363" s="48" t="n">
        <v>2087946</v>
      </c>
      <c r="C363" s="48">
        <f>Table9[[#This Row],[WALCL]]-B362</f>
        <v/>
      </c>
    </row>
    <row r="364">
      <c r="A364" s="47" t="n">
        <v>40072</v>
      </c>
      <c r="B364" s="48" t="n">
        <v>2139783</v>
      </c>
      <c r="C364" s="48">
        <f>Table9[[#This Row],[WALCL]]-B363</f>
        <v/>
      </c>
    </row>
    <row r="365">
      <c r="A365" s="47" t="n">
        <v>40079</v>
      </c>
      <c r="B365" s="48" t="n">
        <v>2158631</v>
      </c>
      <c r="C365" s="48">
        <f>Table9[[#This Row],[WALCL]]-B364</f>
        <v/>
      </c>
    </row>
    <row r="366">
      <c r="A366" s="47" t="n">
        <v>40086</v>
      </c>
      <c r="B366" s="48" t="n">
        <v>2141020</v>
      </c>
      <c r="C366" s="48">
        <f>Table9[[#This Row],[WALCL]]-B365</f>
        <v/>
      </c>
    </row>
    <row r="367">
      <c r="A367" s="47" t="n">
        <v>40093</v>
      </c>
      <c r="B367" s="48" t="n">
        <v>2138086</v>
      </c>
      <c r="C367" s="48">
        <f>Table9[[#This Row],[WALCL]]-B366</f>
        <v/>
      </c>
    </row>
    <row r="368">
      <c r="A368" s="47" t="n">
        <v>40100</v>
      </c>
      <c r="B368" s="48" t="n">
        <v>2192787</v>
      </c>
      <c r="C368" s="48">
        <f>Table9[[#This Row],[WALCL]]-B367</f>
        <v/>
      </c>
    </row>
    <row r="369">
      <c r="A369" s="47" t="n">
        <v>40107</v>
      </c>
      <c r="B369" s="48" t="n">
        <v>2201119</v>
      </c>
      <c r="C369" s="48">
        <f>Table9[[#This Row],[WALCL]]-B368</f>
        <v/>
      </c>
    </row>
    <row r="370">
      <c r="A370" s="47" t="n">
        <v>40114</v>
      </c>
      <c r="B370" s="48" t="n">
        <v>2161537</v>
      </c>
      <c r="C370" s="48">
        <f>Table9[[#This Row],[WALCL]]-B369</f>
        <v/>
      </c>
    </row>
    <row r="371">
      <c r="A371" s="47" t="n">
        <v>40121</v>
      </c>
      <c r="B371" s="48" t="n">
        <v>2165067</v>
      </c>
      <c r="C371" s="48">
        <f>Table9[[#This Row],[WALCL]]-B370</f>
        <v/>
      </c>
    </row>
    <row r="372">
      <c r="A372" s="47" t="n">
        <v>40128</v>
      </c>
      <c r="B372" s="48" t="n">
        <v>2135035</v>
      </c>
      <c r="C372" s="48">
        <f>Table9[[#This Row],[WALCL]]-B371</f>
        <v/>
      </c>
    </row>
    <row r="373">
      <c r="A373" s="47" t="n">
        <v>40135</v>
      </c>
      <c r="B373" s="48" t="n">
        <v>2208721</v>
      </c>
      <c r="C373" s="48">
        <f>Table9[[#This Row],[WALCL]]-B372</f>
        <v/>
      </c>
    </row>
    <row r="374">
      <c r="A374" s="47" t="n">
        <v>40142</v>
      </c>
      <c r="B374" s="48" t="n">
        <v>2206359</v>
      </c>
      <c r="C374" s="48">
        <f>Table9[[#This Row],[WALCL]]-B373</f>
        <v/>
      </c>
    </row>
    <row r="375">
      <c r="A375" s="47" t="n">
        <v>40149</v>
      </c>
      <c r="B375" s="48" t="n">
        <v>2204074</v>
      </c>
      <c r="C375" s="48">
        <f>Table9[[#This Row],[WALCL]]-B374</f>
        <v/>
      </c>
    </row>
    <row r="376">
      <c r="A376" s="47" t="n">
        <v>40156</v>
      </c>
      <c r="B376" s="48" t="n">
        <v>2186383</v>
      </c>
      <c r="C376" s="48">
        <f>Table9[[#This Row],[WALCL]]-B375</f>
        <v/>
      </c>
    </row>
    <row r="377">
      <c r="A377" s="47" t="n">
        <v>40163</v>
      </c>
      <c r="B377" s="48" t="n">
        <v>2235763</v>
      </c>
      <c r="C377" s="48">
        <f>Table9[[#This Row],[WALCL]]-B376</f>
        <v/>
      </c>
    </row>
    <row r="378">
      <c r="A378" s="47" t="n">
        <v>40170</v>
      </c>
      <c r="B378" s="48" t="n">
        <v>2235803</v>
      </c>
      <c r="C378" s="48">
        <f>Table9[[#This Row],[WALCL]]-B377</f>
        <v/>
      </c>
    </row>
    <row r="379">
      <c r="A379" s="47" t="n">
        <v>40177</v>
      </c>
      <c r="B379" s="48" t="n">
        <v>2234067</v>
      </c>
      <c r="C379" s="48">
        <f>Table9[[#This Row],[WALCL]]-B378</f>
        <v/>
      </c>
    </row>
    <row r="380">
      <c r="A380" s="47" t="n">
        <v>40184</v>
      </c>
      <c r="B380" s="48" t="n">
        <v>2235304</v>
      </c>
      <c r="C380" s="48">
        <f>Table9[[#This Row],[WALCL]]-B379</f>
        <v/>
      </c>
    </row>
    <row r="381">
      <c r="A381" s="47" t="n">
        <v>40191</v>
      </c>
      <c r="B381" s="48" t="n">
        <v>2291700</v>
      </c>
      <c r="C381" s="48">
        <f>Table9[[#This Row],[WALCL]]-B380</f>
        <v/>
      </c>
    </row>
    <row r="382">
      <c r="A382" s="47" t="n">
        <v>40198</v>
      </c>
      <c r="B382" s="48" t="n">
        <v>2251806</v>
      </c>
      <c r="C382" s="48">
        <f>Table9[[#This Row],[WALCL]]-B381</f>
        <v/>
      </c>
    </row>
    <row r="383">
      <c r="A383" s="47" t="n">
        <v>40205</v>
      </c>
      <c r="B383" s="48" t="n">
        <v>2246886</v>
      </c>
      <c r="C383" s="48">
        <f>Table9[[#This Row],[WALCL]]-B382</f>
        <v/>
      </c>
    </row>
    <row r="384">
      <c r="A384" s="47" t="n">
        <v>40212</v>
      </c>
      <c r="B384" s="48" t="n">
        <v>2249319</v>
      </c>
      <c r="C384" s="48">
        <f>Table9[[#This Row],[WALCL]]-B383</f>
        <v/>
      </c>
    </row>
    <row r="385">
      <c r="A385" s="47" t="n">
        <v>40219</v>
      </c>
      <c r="B385" s="48" t="n">
        <v>2256679</v>
      </c>
      <c r="C385" s="48">
        <f>Table9[[#This Row],[WALCL]]-B384</f>
        <v/>
      </c>
    </row>
    <row r="386">
      <c r="A386" s="47" t="n">
        <v>40226</v>
      </c>
      <c r="B386" s="48" t="n">
        <v>2277574</v>
      </c>
      <c r="C386" s="48">
        <f>Table9[[#This Row],[WALCL]]-B385</f>
        <v/>
      </c>
    </row>
    <row r="387">
      <c r="A387" s="47" t="n">
        <v>40233</v>
      </c>
      <c r="B387" s="48" t="n">
        <v>2286127</v>
      </c>
      <c r="C387" s="48">
        <f>Table9[[#This Row],[WALCL]]-B386</f>
        <v/>
      </c>
    </row>
    <row r="388">
      <c r="A388" s="47" t="n">
        <v>40240</v>
      </c>
      <c r="B388" s="48" t="n">
        <v>2280147</v>
      </c>
      <c r="C388" s="48">
        <f>Table9[[#This Row],[WALCL]]-B387</f>
        <v/>
      </c>
    </row>
    <row r="389">
      <c r="A389" s="47" t="n">
        <v>40247</v>
      </c>
      <c r="B389" s="48" t="n">
        <v>2282474</v>
      </c>
      <c r="C389" s="48">
        <f>Table9[[#This Row],[WALCL]]-B388</f>
        <v/>
      </c>
    </row>
    <row r="390">
      <c r="A390" s="47" t="n">
        <v>40254</v>
      </c>
      <c r="B390" s="48" t="n">
        <v>2307997</v>
      </c>
      <c r="C390" s="48">
        <f>Table9[[#This Row],[WALCL]]-B389</f>
        <v/>
      </c>
    </row>
    <row r="391">
      <c r="A391" s="47" t="n">
        <v>40261</v>
      </c>
      <c r="B391" s="48" t="n">
        <v>2313149</v>
      </c>
      <c r="C391" s="48">
        <f>Table9[[#This Row],[WALCL]]-B390</f>
        <v/>
      </c>
    </row>
    <row r="392">
      <c r="A392" s="47" t="n">
        <v>40268</v>
      </c>
      <c r="B392" s="48" t="n">
        <v>2307150</v>
      </c>
      <c r="C392" s="48">
        <f>Table9[[#This Row],[WALCL]]-B391</f>
        <v/>
      </c>
    </row>
    <row r="393">
      <c r="A393" s="47" t="n">
        <v>40275</v>
      </c>
      <c r="B393" s="48" t="n">
        <v>2307575</v>
      </c>
      <c r="C393" s="48">
        <f>Table9[[#This Row],[WALCL]]-B392</f>
        <v/>
      </c>
    </row>
    <row r="394">
      <c r="A394" s="47" t="n">
        <v>40282</v>
      </c>
      <c r="B394" s="48" t="n">
        <v>2339345</v>
      </c>
      <c r="C394" s="48">
        <f>Table9[[#This Row],[WALCL]]-B393</f>
        <v/>
      </c>
    </row>
    <row r="395">
      <c r="A395" s="47" t="n">
        <v>40289</v>
      </c>
      <c r="B395" s="48" t="n">
        <v>2337556</v>
      </c>
      <c r="C395" s="48">
        <f>Table9[[#This Row],[WALCL]]-B394</f>
        <v/>
      </c>
    </row>
    <row r="396">
      <c r="A396" s="47" t="n">
        <v>40296</v>
      </c>
      <c r="B396" s="48" t="n">
        <v>2330472</v>
      </c>
      <c r="C396" s="48">
        <f>Table9[[#This Row],[WALCL]]-B395</f>
        <v/>
      </c>
    </row>
    <row r="397">
      <c r="A397" s="47" t="n">
        <v>40303</v>
      </c>
      <c r="B397" s="48" t="n">
        <v>2326164</v>
      </c>
      <c r="C397" s="48">
        <f>Table9[[#This Row],[WALCL]]-B396</f>
        <v/>
      </c>
    </row>
    <row r="398">
      <c r="A398" s="47" t="n">
        <v>40310</v>
      </c>
      <c r="B398" s="48" t="n">
        <v>2336103</v>
      </c>
      <c r="C398" s="48">
        <f>Table9[[#This Row],[WALCL]]-B397</f>
        <v/>
      </c>
    </row>
    <row r="399">
      <c r="A399" s="47" t="n">
        <v>40317</v>
      </c>
      <c r="B399" s="48" t="n">
        <v>2350890</v>
      </c>
      <c r="C399" s="48">
        <f>Table9[[#This Row],[WALCL]]-B398</f>
        <v/>
      </c>
    </row>
    <row r="400">
      <c r="A400" s="47" t="n">
        <v>40324</v>
      </c>
      <c r="B400" s="48" t="n">
        <v>2334041</v>
      </c>
      <c r="C400" s="48">
        <f>Table9[[#This Row],[WALCL]]-B399</f>
        <v/>
      </c>
    </row>
    <row r="401">
      <c r="A401" s="47" t="n">
        <v>40331</v>
      </c>
      <c r="B401" s="48" t="n">
        <v>2336216</v>
      </c>
      <c r="C401" s="48">
        <f>Table9[[#This Row],[WALCL]]-B400</f>
        <v/>
      </c>
    </row>
    <row r="402">
      <c r="A402" s="47" t="n">
        <v>40338</v>
      </c>
      <c r="B402" s="48" t="n">
        <v>2331529</v>
      </c>
      <c r="C402" s="48">
        <f>Table9[[#This Row],[WALCL]]-B401</f>
        <v/>
      </c>
    </row>
    <row r="403">
      <c r="A403" s="47" t="n">
        <v>40345</v>
      </c>
      <c r="B403" s="48" t="n">
        <v>2344316</v>
      </c>
      <c r="C403" s="48">
        <f>Table9[[#This Row],[WALCL]]-B402</f>
        <v/>
      </c>
    </row>
    <row r="404">
      <c r="A404" s="47" t="n">
        <v>40352</v>
      </c>
      <c r="B404" s="48" t="n">
        <v>2344497</v>
      </c>
      <c r="C404" s="48">
        <f>Table9[[#This Row],[WALCL]]-B403</f>
        <v/>
      </c>
    </row>
    <row r="405">
      <c r="A405" s="47" t="n">
        <v>40359</v>
      </c>
      <c r="B405" s="48" t="n">
        <v>2330851</v>
      </c>
      <c r="C405" s="48">
        <f>Table9[[#This Row],[WALCL]]-B404</f>
        <v/>
      </c>
    </row>
    <row r="406">
      <c r="A406" s="47" t="n">
        <v>40366</v>
      </c>
      <c r="B406" s="48" t="n">
        <v>2332017</v>
      </c>
      <c r="C406" s="48">
        <f>Table9[[#This Row],[WALCL]]-B405</f>
        <v/>
      </c>
    </row>
    <row r="407">
      <c r="A407" s="47" t="n">
        <v>40373</v>
      </c>
      <c r="B407" s="48" t="n">
        <v>2340717</v>
      </c>
      <c r="C407" s="48">
        <f>Table9[[#This Row],[WALCL]]-B406</f>
        <v/>
      </c>
    </row>
    <row r="408">
      <c r="A408" s="47" t="n">
        <v>40380</v>
      </c>
      <c r="B408" s="48" t="n">
        <v>2332322</v>
      </c>
      <c r="C408" s="48">
        <f>Table9[[#This Row],[WALCL]]-B407</f>
        <v/>
      </c>
    </row>
    <row r="409">
      <c r="A409" s="47" t="n">
        <v>40387</v>
      </c>
      <c r="B409" s="48" t="n">
        <v>2325298</v>
      </c>
      <c r="C409" s="48">
        <f>Table9[[#This Row],[WALCL]]-B408</f>
        <v/>
      </c>
    </row>
    <row r="410">
      <c r="A410" s="47" t="n">
        <v>40394</v>
      </c>
      <c r="B410" s="48" t="n">
        <v>2326479</v>
      </c>
      <c r="C410" s="48">
        <f>Table9[[#This Row],[WALCL]]-B409</f>
        <v/>
      </c>
    </row>
    <row r="411">
      <c r="A411" s="47" t="n">
        <v>40401</v>
      </c>
      <c r="B411" s="48" t="n">
        <v>2327533</v>
      </c>
      <c r="C411" s="48">
        <f>Table9[[#This Row],[WALCL]]-B410</f>
        <v/>
      </c>
    </row>
    <row r="412">
      <c r="A412" s="47" t="n">
        <v>40408</v>
      </c>
      <c r="B412" s="48" t="n">
        <v>2313662</v>
      </c>
      <c r="C412" s="48">
        <f>Table9[[#This Row],[WALCL]]-B411</f>
        <v/>
      </c>
    </row>
    <row r="413">
      <c r="A413" s="47" t="n">
        <v>40415</v>
      </c>
      <c r="B413" s="48" t="n">
        <v>2301015</v>
      </c>
      <c r="C413" s="48">
        <f>Table9[[#This Row],[WALCL]]-B412</f>
        <v/>
      </c>
    </row>
    <row r="414">
      <c r="A414" s="47" t="n">
        <v>40422</v>
      </c>
      <c r="B414" s="48" t="n">
        <v>2301996</v>
      </c>
      <c r="C414" s="48">
        <f>Table9[[#This Row],[WALCL]]-B413</f>
        <v/>
      </c>
    </row>
    <row r="415">
      <c r="A415" s="47" t="n">
        <v>40429</v>
      </c>
      <c r="B415" s="48" t="n">
        <v>2305802</v>
      </c>
      <c r="C415" s="48">
        <f>Table9[[#This Row],[WALCL]]-B414</f>
        <v/>
      </c>
    </row>
    <row r="416">
      <c r="A416" s="47" t="n">
        <v>40436</v>
      </c>
      <c r="B416" s="48" t="n">
        <v>2296079</v>
      </c>
      <c r="C416" s="48">
        <f>Table9[[#This Row],[WALCL]]-B415</f>
        <v/>
      </c>
    </row>
    <row r="417">
      <c r="A417" s="47" t="n">
        <v>40443</v>
      </c>
      <c r="B417" s="48" t="n">
        <v>2307171</v>
      </c>
      <c r="C417" s="48">
        <f>Table9[[#This Row],[WALCL]]-B416</f>
        <v/>
      </c>
    </row>
    <row r="418">
      <c r="A418" s="47" t="n">
        <v>40450</v>
      </c>
      <c r="B418" s="48" t="n">
        <v>2298691</v>
      </c>
      <c r="C418" s="48">
        <f>Table9[[#This Row],[WALCL]]-B417</f>
        <v/>
      </c>
    </row>
    <row r="419">
      <c r="A419" s="47" t="n">
        <v>40457</v>
      </c>
      <c r="B419" s="48" t="n">
        <v>2308092</v>
      </c>
      <c r="C419" s="48">
        <f>Table9[[#This Row],[WALCL]]-B418</f>
        <v/>
      </c>
    </row>
    <row r="420">
      <c r="A420" s="47" t="n">
        <v>40464</v>
      </c>
      <c r="B420" s="48" t="n">
        <v>2309885</v>
      </c>
      <c r="C420" s="48">
        <f>Table9[[#This Row],[WALCL]]-B419</f>
        <v/>
      </c>
    </row>
    <row r="421">
      <c r="A421" s="47" t="n">
        <v>40471</v>
      </c>
      <c r="B421" s="48" t="n">
        <v>2305227</v>
      </c>
      <c r="C421" s="48">
        <f>Table9[[#This Row],[WALCL]]-B420</f>
        <v/>
      </c>
    </row>
    <row r="422">
      <c r="A422" s="47" t="n">
        <v>40478</v>
      </c>
      <c r="B422" s="48" t="n">
        <v>2295392</v>
      </c>
      <c r="C422" s="48">
        <f>Table9[[#This Row],[WALCL]]-B421</f>
        <v/>
      </c>
    </row>
    <row r="423">
      <c r="A423" s="47" t="n">
        <v>40485</v>
      </c>
      <c r="B423" s="48" t="n">
        <v>2300353</v>
      </c>
      <c r="C423" s="48">
        <f>Table9[[#This Row],[WALCL]]-B422</f>
        <v/>
      </c>
    </row>
    <row r="424">
      <c r="A424" s="47" t="n">
        <v>40492</v>
      </c>
      <c r="B424" s="48" t="n">
        <v>2312768</v>
      </c>
      <c r="C424" s="48">
        <f>Table9[[#This Row],[WALCL]]-B423</f>
        <v/>
      </c>
    </row>
    <row r="425">
      <c r="A425" s="47" t="n">
        <v>40499</v>
      </c>
      <c r="B425" s="48" t="n">
        <v>2314757</v>
      </c>
      <c r="C425" s="48">
        <f>Table9[[#This Row],[WALCL]]-B424</f>
        <v/>
      </c>
    </row>
    <row r="426">
      <c r="A426" s="47" t="n">
        <v>40506</v>
      </c>
      <c r="B426" s="48" t="n">
        <v>2346001</v>
      </c>
      <c r="C426" s="48">
        <f>Table9[[#This Row],[WALCL]]-B425</f>
        <v/>
      </c>
    </row>
    <row r="427">
      <c r="A427" s="47" t="n">
        <v>40513</v>
      </c>
      <c r="B427" s="48" t="n">
        <v>2346920</v>
      </c>
      <c r="C427" s="48">
        <f>Table9[[#This Row],[WALCL]]-B426</f>
        <v/>
      </c>
    </row>
    <row r="428">
      <c r="A428" s="47" t="n">
        <v>40520</v>
      </c>
      <c r="B428" s="48" t="n">
        <v>2382294</v>
      </c>
      <c r="C428" s="48">
        <f>Table9[[#This Row],[WALCL]]-B427</f>
        <v/>
      </c>
    </row>
    <row r="429">
      <c r="A429" s="47" t="n">
        <v>40527</v>
      </c>
      <c r="B429" s="48" t="n">
        <v>2385754</v>
      </c>
      <c r="C429" s="48">
        <f>Table9[[#This Row],[WALCL]]-B428</f>
        <v/>
      </c>
    </row>
    <row r="430">
      <c r="A430" s="47" t="n">
        <v>40534</v>
      </c>
      <c r="B430" s="48" t="n">
        <v>2427921</v>
      </c>
      <c r="C430" s="48">
        <f>Table9[[#This Row],[WALCL]]-B429</f>
        <v/>
      </c>
    </row>
    <row r="431">
      <c r="A431" s="47" t="n">
        <v>40541</v>
      </c>
      <c r="B431" s="48" t="n">
        <v>2420570</v>
      </c>
      <c r="C431" s="48">
        <f>Table9[[#This Row],[WALCL]]-B430</f>
        <v/>
      </c>
    </row>
    <row r="432">
      <c r="A432" s="47" t="n">
        <v>40548</v>
      </c>
      <c r="B432" s="48" t="n">
        <v>2436064</v>
      </c>
      <c r="C432" s="48">
        <f>Table9[[#This Row],[WALCL]]-B431</f>
        <v/>
      </c>
    </row>
    <row r="433">
      <c r="A433" s="47" t="n">
        <v>40555</v>
      </c>
      <c r="B433" s="48" t="n">
        <v>2468131</v>
      </c>
      <c r="C433" s="48">
        <f>Table9[[#This Row],[WALCL]]-B432</f>
        <v/>
      </c>
    </row>
    <row r="434">
      <c r="A434" s="47" t="n">
        <v>40562</v>
      </c>
      <c r="B434" s="48" t="n">
        <v>2425164</v>
      </c>
      <c r="C434" s="48">
        <f>Table9[[#This Row],[WALCL]]-B433</f>
        <v/>
      </c>
    </row>
    <row r="435">
      <c r="A435" s="47" t="n">
        <v>40569</v>
      </c>
      <c r="B435" s="48" t="n">
        <v>2443527</v>
      </c>
      <c r="C435" s="48">
        <f>Table9[[#This Row],[WALCL]]-B434</f>
        <v/>
      </c>
    </row>
    <row r="436">
      <c r="A436" s="47" t="n">
        <v>40576</v>
      </c>
      <c r="B436" s="48" t="n">
        <v>2469419</v>
      </c>
      <c r="C436" s="48">
        <f>Table9[[#This Row],[WALCL]]-B435</f>
        <v/>
      </c>
    </row>
    <row r="437">
      <c r="A437" s="47" t="n">
        <v>40583</v>
      </c>
      <c r="B437" s="48" t="n">
        <v>2500481</v>
      </c>
      <c r="C437" s="48">
        <f>Table9[[#This Row],[WALCL]]-B436</f>
        <v/>
      </c>
    </row>
    <row r="438">
      <c r="A438" s="47" t="n">
        <v>40590</v>
      </c>
      <c r="B438" s="48" t="n">
        <v>2508868</v>
      </c>
      <c r="C438" s="48">
        <f>Table9[[#This Row],[WALCL]]-B437</f>
        <v/>
      </c>
    </row>
    <row r="439">
      <c r="A439" s="47" t="n">
        <v>40597</v>
      </c>
      <c r="B439" s="48" t="n">
        <v>2533221</v>
      </c>
      <c r="C439" s="48">
        <f>Table9[[#This Row],[WALCL]]-B438</f>
        <v/>
      </c>
    </row>
    <row r="440">
      <c r="A440" s="47" t="n">
        <v>40604</v>
      </c>
      <c r="B440" s="48" t="n">
        <v>2545119</v>
      </c>
      <c r="C440" s="48">
        <f>Table9[[#This Row],[WALCL]]-B439</f>
        <v/>
      </c>
    </row>
    <row r="441">
      <c r="A441" s="47" t="n">
        <v>40611</v>
      </c>
      <c r="B441" s="48" t="n">
        <v>2577076</v>
      </c>
      <c r="C441" s="48">
        <f>Table9[[#This Row],[WALCL]]-B440</f>
        <v/>
      </c>
    </row>
    <row r="442">
      <c r="A442" s="47" t="n">
        <v>40618</v>
      </c>
      <c r="B442" s="48" t="n">
        <v>2583046</v>
      </c>
      <c r="C442" s="48">
        <f>Table9[[#This Row],[WALCL]]-B441</f>
        <v/>
      </c>
    </row>
    <row r="443">
      <c r="A443" s="47" t="n">
        <v>40625</v>
      </c>
      <c r="B443" s="48" t="n">
        <v>2601341</v>
      </c>
      <c r="C443" s="48">
        <f>Table9[[#This Row],[WALCL]]-B442</f>
        <v/>
      </c>
    </row>
    <row r="444">
      <c r="A444" s="47" t="n">
        <v>40632</v>
      </c>
      <c r="B444" s="48" t="n">
        <v>2622523</v>
      </c>
      <c r="C444" s="48">
        <f>Table9[[#This Row],[WALCL]]-B443</f>
        <v/>
      </c>
    </row>
    <row r="445">
      <c r="A445" s="47" t="n">
        <v>40639</v>
      </c>
      <c r="B445" s="48" t="n">
        <v>2648676</v>
      </c>
      <c r="C445" s="48">
        <f>Table9[[#This Row],[WALCL]]-B444</f>
        <v/>
      </c>
    </row>
    <row r="446">
      <c r="A446" s="47" t="n">
        <v>40646</v>
      </c>
      <c r="B446" s="48" t="n">
        <v>2665408</v>
      </c>
      <c r="C446" s="48">
        <f>Table9[[#This Row],[WALCL]]-B445</f>
        <v/>
      </c>
    </row>
    <row r="447">
      <c r="A447" s="47" t="n">
        <v>40653</v>
      </c>
      <c r="B447" s="48" t="n">
        <v>2685782</v>
      </c>
      <c r="C447" s="48">
        <f>Table9[[#This Row],[WALCL]]-B446</f>
        <v/>
      </c>
    </row>
    <row r="448">
      <c r="A448" s="47" t="n">
        <v>40660</v>
      </c>
      <c r="B448" s="48" t="n">
        <v>2690985</v>
      </c>
      <c r="C448" s="48">
        <f>Table9[[#This Row],[WALCL]]-B447</f>
        <v/>
      </c>
    </row>
    <row r="449">
      <c r="A449" s="47" t="n">
        <v>40667</v>
      </c>
      <c r="B449" s="48" t="n">
        <v>2718757</v>
      </c>
      <c r="C449" s="48">
        <f>Table9[[#This Row],[WALCL]]-B448</f>
        <v/>
      </c>
    </row>
    <row r="450">
      <c r="A450" s="47" t="n">
        <v>40674</v>
      </c>
      <c r="B450" s="48" t="n">
        <v>2744498</v>
      </c>
      <c r="C450" s="48">
        <f>Table9[[#This Row],[WALCL]]-B449</f>
        <v/>
      </c>
    </row>
    <row r="451">
      <c r="A451" s="47" t="n">
        <v>40681</v>
      </c>
      <c r="B451" s="48" t="n">
        <v>2758009</v>
      </c>
      <c r="C451" s="48">
        <f>Table9[[#This Row],[WALCL]]-B450</f>
        <v/>
      </c>
    </row>
    <row r="452">
      <c r="A452" s="47" t="n">
        <v>40688</v>
      </c>
      <c r="B452" s="48" t="n">
        <v>2774996</v>
      </c>
      <c r="C452" s="48">
        <f>Table9[[#This Row],[WALCL]]-B451</f>
        <v/>
      </c>
    </row>
    <row r="453">
      <c r="A453" s="47" t="n">
        <v>40695</v>
      </c>
      <c r="B453" s="48" t="n">
        <v>2788723</v>
      </c>
      <c r="C453" s="48">
        <f>Table9[[#This Row],[WALCL]]-B452</f>
        <v/>
      </c>
    </row>
    <row r="454">
      <c r="A454" s="47" t="n">
        <v>40702</v>
      </c>
      <c r="B454" s="48" t="n">
        <v>2811206</v>
      </c>
      <c r="C454" s="48">
        <f>Table9[[#This Row],[WALCL]]-B453</f>
        <v/>
      </c>
    </row>
    <row r="455">
      <c r="A455" s="47" t="n">
        <v>40709</v>
      </c>
      <c r="B455" s="48" t="n">
        <v>2827549</v>
      </c>
      <c r="C455" s="48">
        <f>Table9[[#This Row],[WALCL]]-B454</f>
        <v/>
      </c>
    </row>
    <row r="456">
      <c r="A456" s="47" t="n">
        <v>40716</v>
      </c>
      <c r="B456" s="48" t="n">
        <v>2856403</v>
      </c>
      <c r="C456" s="48">
        <f>Table9[[#This Row],[WALCL]]-B455</f>
        <v/>
      </c>
    </row>
    <row r="457">
      <c r="A457" s="47" t="n">
        <v>40723</v>
      </c>
      <c r="B457" s="48" t="n">
        <v>2865251</v>
      </c>
      <c r="C457" s="48">
        <f>Table9[[#This Row],[WALCL]]-B456</f>
        <v/>
      </c>
    </row>
    <row r="458">
      <c r="A458" s="47" t="n">
        <v>40730</v>
      </c>
      <c r="B458" s="48" t="n">
        <v>2870103</v>
      </c>
      <c r="C458" s="48">
        <f>Table9[[#This Row],[WALCL]]-B457</f>
        <v/>
      </c>
    </row>
    <row r="459">
      <c r="A459" s="47" t="n">
        <v>40737</v>
      </c>
      <c r="B459" s="48" t="n">
        <v>2878074</v>
      </c>
      <c r="C459" s="48">
        <f>Table9[[#This Row],[WALCL]]-B458</f>
        <v/>
      </c>
    </row>
    <row r="460">
      <c r="A460" s="47" t="n">
        <v>40744</v>
      </c>
      <c r="B460" s="48" t="n">
        <v>2871301</v>
      </c>
      <c r="C460" s="48">
        <f>Table9[[#This Row],[WALCL]]-B459</f>
        <v/>
      </c>
    </row>
    <row r="461">
      <c r="A461" s="47" t="n">
        <v>40751</v>
      </c>
      <c r="B461" s="48" t="n">
        <v>2863576</v>
      </c>
      <c r="C461" s="48">
        <f>Table9[[#This Row],[WALCL]]-B460</f>
        <v/>
      </c>
    </row>
    <row r="462">
      <c r="A462" s="47" t="n">
        <v>40758</v>
      </c>
      <c r="B462" s="48" t="n">
        <v>2867215</v>
      </c>
      <c r="C462" s="48">
        <f>Table9[[#This Row],[WALCL]]-B461</f>
        <v/>
      </c>
    </row>
    <row r="463">
      <c r="A463" s="47" t="n">
        <v>40765</v>
      </c>
      <c r="B463" s="48" t="n">
        <v>2872423</v>
      </c>
      <c r="C463" s="48">
        <f>Table9[[#This Row],[WALCL]]-B462</f>
        <v/>
      </c>
    </row>
    <row r="464">
      <c r="A464" s="47" t="n">
        <v>40772</v>
      </c>
      <c r="B464" s="48" t="n">
        <v>2857906</v>
      </c>
      <c r="C464" s="48">
        <f>Table9[[#This Row],[WALCL]]-B463</f>
        <v/>
      </c>
    </row>
    <row r="465">
      <c r="A465" s="47" t="n">
        <v>40779</v>
      </c>
      <c r="B465" s="48" t="n">
        <v>2859433</v>
      </c>
      <c r="C465" s="48">
        <f>Table9[[#This Row],[WALCL]]-B464</f>
        <v/>
      </c>
    </row>
    <row r="466">
      <c r="A466" s="47" t="n">
        <v>40786</v>
      </c>
      <c r="B466" s="48" t="n">
        <v>2853888</v>
      </c>
      <c r="C466" s="48">
        <f>Table9[[#This Row],[WALCL]]-B465</f>
        <v/>
      </c>
    </row>
    <row r="467">
      <c r="A467" s="47" t="n">
        <v>40793</v>
      </c>
      <c r="B467" s="48" t="n">
        <v>2858660</v>
      </c>
      <c r="C467" s="48">
        <f>Table9[[#This Row],[WALCL]]-B466</f>
        <v/>
      </c>
    </row>
    <row r="468">
      <c r="A468" s="47" t="n">
        <v>40800</v>
      </c>
      <c r="B468" s="48" t="n">
        <v>2863540</v>
      </c>
      <c r="C468" s="48">
        <f>Table9[[#This Row],[WALCL]]-B467</f>
        <v/>
      </c>
    </row>
    <row r="469">
      <c r="A469" s="47" t="n">
        <v>40807</v>
      </c>
      <c r="B469" s="48" t="n">
        <v>2857747</v>
      </c>
      <c r="C469" s="48">
        <f>Table9[[#This Row],[WALCL]]-B468</f>
        <v/>
      </c>
    </row>
    <row r="470">
      <c r="A470" s="47" t="n">
        <v>40814</v>
      </c>
      <c r="B470" s="48" t="n">
        <v>2850921</v>
      </c>
      <c r="C470" s="48">
        <f>Table9[[#This Row],[WALCL]]-B469</f>
        <v/>
      </c>
    </row>
    <row r="471">
      <c r="A471" s="47" t="n">
        <v>40821</v>
      </c>
      <c r="B471" s="48" t="n">
        <v>2859701</v>
      </c>
      <c r="C471" s="48">
        <f>Table9[[#This Row],[WALCL]]-B470</f>
        <v/>
      </c>
    </row>
    <row r="472">
      <c r="A472" s="47" t="n">
        <v>40828</v>
      </c>
      <c r="B472" s="48" t="n">
        <v>2860822</v>
      </c>
      <c r="C472" s="48">
        <f>Table9[[#This Row],[WALCL]]-B471</f>
        <v/>
      </c>
    </row>
    <row r="473">
      <c r="A473" s="47" t="n">
        <v>40835</v>
      </c>
      <c r="B473" s="48" t="n">
        <v>2852390</v>
      </c>
      <c r="C473" s="48">
        <f>Table9[[#This Row],[WALCL]]-B472</f>
        <v/>
      </c>
    </row>
    <row r="474">
      <c r="A474" s="47" t="n">
        <v>40842</v>
      </c>
      <c r="B474" s="48" t="n">
        <v>2845685</v>
      </c>
      <c r="C474" s="48">
        <f>Table9[[#This Row],[WALCL]]-B473</f>
        <v/>
      </c>
    </row>
    <row r="475">
      <c r="A475" s="47" t="n">
        <v>40849</v>
      </c>
      <c r="B475" s="48" t="n">
        <v>2822034</v>
      </c>
      <c r="C475" s="48">
        <f>Table9[[#This Row],[WALCL]]-B474</f>
        <v/>
      </c>
    </row>
    <row r="476">
      <c r="A476" s="47" t="n">
        <v>40856</v>
      </c>
      <c r="B476" s="48" t="n">
        <v>2839786</v>
      </c>
      <c r="C476" s="48">
        <f>Table9[[#This Row],[WALCL]]-B475</f>
        <v/>
      </c>
    </row>
    <row r="477">
      <c r="A477" s="47" t="n">
        <v>40863</v>
      </c>
      <c r="B477" s="48" t="n">
        <v>2831576</v>
      </c>
      <c r="C477" s="48">
        <f>Table9[[#This Row],[WALCL]]-B476</f>
        <v/>
      </c>
    </row>
    <row r="478">
      <c r="A478" s="47" t="n">
        <v>40870</v>
      </c>
      <c r="B478" s="48" t="n">
        <v>2821980</v>
      </c>
      <c r="C478" s="48">
        <f>Table9[[#This Row],[WALCL]]-B477</f>
        <v/>
      </c>
    </row>
    <row r="479">
      <c r="A479" s="47" t="n">
        <v>40877</v>
      </c>
      <c r="B479" s="48" t="n">
        <v>2814235</v>
      </c>
      <c r="C479" s="48">
        <f>Table9[[#This Row],[WALCL]]-B478</f>
        <v/>
      </c>
    </row>
    <row r="480">
      <c r="A480" s="47" t="n">
        <v>40884</v>
      </c>
      <c r="B480" s="48" t="n">
        <v>2820691</v>
      </c>
      <c r="C480" s="48">
        <f>Table9[[#This Row],[WALCL]]-B479</f>
        <v/>
      </c>
    </row>
    <row r="481">
      <c r="A481" s="47" t="n">
        <v>40891</v>
      </c>
      <c r="B481" s="48" t="n">
        <v>2902488</v>
      </c>
      <c r="C481" s="48">
        <f>Table9[[#This Row],[WALCL]]-B480</f>
        <v/>
      </c>
    </row>
    <row r="482">
      <c r="A482" s="47" t="n">
        <v>40898</v>
      </c>
      <c r="B482" s="48" t="n">
        <v>2916085</v>
      </c>
      <c r="C482" s="48">
        <f>Table9[[#This Row],[WALCL]]-B481</f>
        <v/>
      </c>
    </row>
    <row r="483">
      <c r="A483" s="47" t="n">
        <v>40905</v>
      </c>
      <c r="B483" s="48" t="n">
        <v>2926095</v>
      </c>
      <c r="C483" s="48">
        <f>Table9[[#This Row],[WALCL]]-B482</f>
        <v/>
      </c>
    </row>
    <row r="484">
      <c r="A484" s="47" t="n">
        <v>40912</v>
      </c>
      <c r="B484" s="48" t="n">
        <v>2917689</v>
      </c>
      <c r="C484" s="48">
        <f>Table9[[#This Row],[WALCL]]-B483</f>
        <v/>
      </c>
    </row>
    <row r="485">
      <c r="A485" s="47" t="n">
        <v>40919</v>
      </c>
      <c r="B485" s="48" t="n">
        <v>2899149</v>
      </c>
      <c r="C485" s="48">
        <f>Table9[[#This Row],[WALCL]]-B484</f>
        <v/>
      </c>
    </row>
    <row r="486">
      <c r="A486" s="47" t="n">
        <v>40926</v>
      </c>
      <c r="B486" s="48" t="n">
        <v>2919423</v>
      </c>
      <c r="C486" s="48">
        <f>Table9[[#This Row],[WALCL]]-B485</f>
        <v/>
      </c>
    </row>
    <row r="487">
      <c r="A487" s="47" t="n">
        <v>40933</v>
      </c>
      <c r="B487" s="48" t="n">
        <v>2919545</v>
      </c>
      <c r="C487" s="48">
        <f>Table9[[#This Row],[WALCL]]-B486</f>
        <v/>
      </c>
    </row>
    <row r="488">
      <c r="A488" s="47" t="n">
        <v>40940</v>
      </c>
      <c r="B488" s="48" t="n">
        <v>2924947</v>
      </c>
      <c r="C488" s="48">
        <f>Table9[[#This Row],[WALCL]]-B487</f>
        <v/>
      </c>
    </row>
    <row r="489">
      <c r="A489" s="47" t="n">
        <v>40947</v>
      </c>
      <c r="B489" s="48" t="n">
        <v>2928275</v>
      </c>
      <c r="C489" s="48">
        <f>Table9[[#This Row],[WALCL]]-B488</f>
        <v/>
      </c>
    </row>
    <row r="490">
      <c r="A490" s="47" t="n">
        <v>40954</v>
      </c>
      <c r="B490" s="48" t="n">
        <v>2937893</v>
      </c>
      <c r="C490" s="48">
        <f>Table9[[#This Row],[WALCL]]-B489</f>
        <v/>
      </c>
    </row>
    <row r="491">
      <c r="A491" s="47" t="n">
        <v>40961</v>
      </c>
      <c r="B491" s="48" t="n">
        <v>2932813</v>
      </c>
      <c r="C491" s="48">
        <f>Table9[[#This Row],[WALCL]]-B490</f>
        <v/>
      </c>
    </row>
    <row r="492">
      <c r="A492" s="47" t="n">
        <v>40968</v>
      </c>
      <c r="B492" s="48" t="n">
        <v>2925722</v>
      </c>
      <c r="C492" s="48">
        <f>Table9[[#This Row],[WALCL]]-B491</f>
        <v/>
      </c>
    </row>
    <row r="493">
      <c r="A493" s="47" t="n">
        <v>40975</v>
      </c>
      <c r="B493" s="48" t="n">
        <v>2884747</v>
      </c>
      <c r="C493" s="48">
        <f>Table9[[#This Row],[WALCL]]-B492</f>
        <v/>
      </c>
    </row>
    <row r="494">
      <c r="A494" s="47" t="n">
        <v>40982</v>
      </c>
      <c r="B494" s="48" t="n">
        <v>2893560</v>
      </c>
      <c r="C494" s="48">
        <f>Table9[[#This Row],[WALCL]]-B493</f>
        <v/>
      </c>
    </row>
    <row r="495">
      <c r="A495" s="47" t="n">
        <v>40989</v>
      </c>
      <c r="B495" s="48" t="n">
        <v>2892646</v>
      </c>
      <c r="C495" s="48">
        <f>Table9[[#This Row],[WALCL]]-B494</f>
        <v/>
      </c>
    </row>
    <row r="496">
      <c r="A496" s="47" t="n">
        <v>40996</v>
      </c>
      <c r="B496" s="48" t="n">
        <v>2878137</v>
      </c>
      <c r="C496" s="48">
        <f>Table9[[#This Row],[WALCL]]-B495</f>
        <v/>
      </c>
    </row>
    <row r="497">
      <c r="A497" s="47" t="n">
        <v>41003</v>
      </c>
      <c r="B497" s="48" t="n">
        <v>2865478</v>
      </c>
      <c r="C497" s="48">
        <f>Table9[[#This Row],[WALCL]]-B496</f>
        <v/>
      </c>
    </row>
    <row r="498">
      <c r="A498" s="47" t="n">
        <v>41010</v>
      </c>
      <c r="B498" s="48" t="n">
        <v>2867200</v>
      </c>
      <c r="C498" s="48">
        <f>Table9[[#This Row],[WALCL]]-B497</f>
        <v/>
      </c>
    </row>
    <row r="499">
      <c r="A499" s="47" t="n">
        <v>41017</v>
      </c>
      <c r="B499" s="48" t="n">
        <v>2875470</v>
      </c>
      <c r="C499" s="48">
        <f>Table9[[#This Row],[WALCL]]-B498</f>
        <v/>
      </c>
    </row>
    <row r="500">
      <c r="A500" s="47" t="n">
        <v>41024</v>
      </c>
      <c r="B500" s="48" t="n">
        <v>2866561</v>
      </c>
      <c r="C500" s="48">
        <f>Table9[[#This Row],[WALCL]]-B499</f>
        <v/>
      </c>
    </row>
    <row r="501">
      <c r="A501" s="47" t="n">
        <v>41031</v>
      </c>
      <c r="B501" s="48" t="n">
        <v>2864280</v>
      </c>
      <c r="C501" s="48">
        <f>Table9[[#This Row],[WALCL]]-B500</f>
        <v/>
      </c>
    </row>
    <row r="502">
      <c r="A502" s="47" t="n">
        <v>41038</v>
      </c>
      <c r="B502" s="48" t="n">
        <v>2864150</v>
      </c>
      <c r="C502" s="48">
        <f>Table9[[#This Row],[WALCL]]-B501</f>
        <v/>
      </c>
    </row>
    <row r="503">
      <c r="A503" s="47" t="n">
        <v>41045</v>
      </c>
      <c r="B503" s="48" t="n">
        <v>2850984</v>
      </c>
      <c r="C503" s="48">
        <f>Table9[[#This Row],[WALCL]]-B502</f>
        <v/>
      </c>
    </row>
    <row r="504">
      <c r="A504" s="47" t="n">
        <v>41052</v>
      </c>
      <c r="B504" s="48" t="n">
        <v>2859495</v>
      </c>
      <c r="C504" s="48">
        <f>Table9[[#This Row],[WALCL]]-B503</f>
        <v/>
      </c>
    </row>
    <row r="505">
      <c r="A505" s="47" t="n">
        <v>41059</v>
      </c>
      <c r="B505" s="48" t="n">
        <v>2842654</v>
      </c>
      <c r="C505" s="48">
        <f>Table9[[#This Row],[WALCL]]-B504</f>
        <v/>
      </c>
    </row>
    <row r="506">
      <c r="A506" s="47" t="n">
        <v>41066</v>
      </c>
      <c r="B506" s="48" t="n">
        <v>2852018</v>
      </c>
      <c r="C506" s="48">
        <f>Table9[[#This Row],[WALCL]]-B505</f>
        <v/>
      </c>
    </row>
    <row r="507">
      <c r="A507" s="47" t="n">
        <v>41073</v>
      </c>
      <c r="B507" s="48" t="n">
        <v>2869071</v>
      </c>
      <c r="C507" s="48">
        <f>Table9[[#This Row],[WALCL]]-B506</f>
        <v/>
      </c>
    </row>
    <row r="508">
      <c r="A508" s="47" t="n">
        <v>41080</v>
      </c>
      <c r="B508" s="48" t="n">
        <v>2870846</v>
      </c>
      <c r="C508" s="48">
        <f>Table9[[#This Row],[WALCL]]-B507</f>
        <v/>
      </c>
    </row>
    <row r="509">
      <c r="A509" s="47" t="n">
        <v>41087</v>
      </c>
      <c r="B509" s="48" t="n">
        <v>2863547</v>
      </c>
      <c r="C509" s="48">
        <f>Table9[[#This Row],[WALCL]]-B508</f>
        <v/>
      </c>
    </row>
    <row r="510">
      <c r="A510" s="47" t="n">
        <v>41094</v>
      </c>
      <c r="B510" s="48" t="n">
        <v>2865858</v>
      </c>
      <c r="C510" s="48">
        <f>Table9[[#This Row],[WALCL]]-B509</f>
        <v/>
      </c>
    </row>
    <row r="511">
      <c r="A511" s="47" t="n">
        <v>41101</v>
      </c>
      <c r="B511" s="48" t="n">
        <v>2866279</v>
      </c>
      <c r="C511" s="48">
        <f>Table9[[#This Row],[WALCL]]-B510</f>
        <v/>
      </c>
    </row>
    <row r="512">
      <c r="A512" s="47" t="n">
        <v>41108</v>
      </c>
      <c r="B512" s="48" t="n">
        <v>2855807</v>
      </c>
      <c r="C512" s="48">
        <f>Table9[[#This Row],[WALCL]]-B511</f>
        <v/>
      </c>
    </row>
    <row r="513">
      <c r="A513" s="47" t="n">
        <v>41115</v>
      </c>
      <c r="B513" s="48" t="n">
        <v>2846757</v>
      </c>
      <c r="C513" s="48">
        <f>Table9[[#This Row],[WALCL]]-B512</f>
        <v/>
      </c>
    </row>
    <row r="514">
      <c r="A514" s="47" t="n">
        <v>41122</v>
      </c>
      <c r="B514" s="48" t="n">
        <v>2851118</v>
      </c>
      <c r="C514" s="48">
        <f>Table9[[#This Row],[WALCL]]-B513</f>
        <v/>
      </c>
    </row>
    <row r="515">
      <c r="A515" s="47" t="n">
        <v>41129</v>
      </c>
      <c r="B515" s="48" t="n">
        <v>2856181</v>
      </c>
      <c r="C515" s="48">
        <f>Table9[[#This Row],[WALCL]]-B514</f>
        <v/>
      </c>
    </row>
    <row r="516">
      <c r="A516" s="47" t="n">
        <v>41136</v>
      </c>
      <c r="B516" s="48" t="n">
        <v>2833317</v>
      </c>
      <c r="C516" s="48">
        <f>Table9[[#This Row],[WALCL]]-B515</f>
        <v/>
      </c>
    </row>
    <row r="517">
      <c r="A517" s="47" t="n">
        <v>41143</v>
      </c>
      <c r="B517" s="48" t="n">
        <v>2825661</v>
      </c>
      <c r="C517" s="48">
        <f>Table9[[#This Row],[WALCL]]-B516</f>
        <v/>
      </c>
    </row>
    <row r="518">
      <c r="A518" s="47" t="n">
        <v>41150</v>
      </c>
      <c r="B518" s="48" t="n">
        <v>2812806</v>
      </c>
      <c r="C518" s="48">
        <f>Table9[[#This Row],[WALCL]]-B517</f>
        <v/>
      </c>
    </row>
    <row r="519">
      <c r="A519" s="47" t="n">
        <v>41157</v>
      </c>
      <c r="B519" s="48" t="n">
        <v>2822169</v>
      </c>
      <c r="C519" s="48">
        <f>Table9[[#This Row],[WALCL]]-B518</f>
        <v/>
      </c>
    </row>
    <row r="520">
      <c r="A520" s="47" t="n">
        <v>41164</v>
      </c>
      <c r="B520" s="48" t="n">
        <v>2823448</v>
      </c>
      <c r="C520" s="48">
        <f>Table9[[#This Row],[WALCL]]-B519</f>
        <v/>
      </c>
    </row>
    <row r="521">
      <c r="A521" s="47" t="n">
        <v>41171</v>
      </c>
      <c r="B521" s="48" t="n">
        <v>2821574</v>
      </c>
      <c r="C521" s="48">
        <f>Table9[[#This Row],[WALCL]]-B520</f>
        <v/>
      </c>
    </row>
    <row r="522">
      <c r="A522" s="47" t="n">
        <v>41178</v>
      </c>
      <c r="B522" s="48" t="n">
        <v>2804457</v>
      </c>
      <c r="C522" s="48">
        <f>Table9[[#This Row],[WALCL]]-B521</f>
        <v/>
      </c>
    </row>
    <row r="523">
      <c r="A523" s="47" t="n">
        <v>41185</v>
      </c>
      <c r="B523" s="48" t="n">
        <v>2808512</v>
      </c>
      <c r="C523" s="48">
        <f>Table9[[#This Row],[WALCL]]-B522</f>
        <v/>
      </c>
    </row>
    <row r="524">
      <c r="A524" s="47" t="n">
        <v>41192</v>
      </c>
      <c r="B524" s="48" t="n">
        <v>2811623</v>
      </c>
      <c r="C524" s="48">
        <f>Table9[[#This Row],[WALCL]]-B523</f>
        <v/>
      </c>
    </row>
    <row r="525">
      <c r="A525" s="47" t="n">
        <v>41199</v>
      </c>
      <c r="B525" s="48" t="n">
        <v>2846920</v>
      </c>
      <c r="C525" s="48">
        <f>Table9[[#This Row],[WALCL]]-B524</f>
        <v/>
      </c>
    </row>
    <row r="526">
      <c r="A526" s="47" t="n">
        <v>41206</v>
      </c>
      <c r="B526" s="48" t="n">
        <v>2840964</v>
      </c>
      <c r="C526" s="48">
        <f>Table9[[#This Row],[WALCL]]-B525</f>
        <v/>
      </c>
    </row>
    <row r="527">
      <c r="A527" s="47" t="n">
        <v>41213</v>
      </c>
      <c r="B527" s="48" t="n">
        <v>2823137</v>
      </c>
      <c r="C527" s="48">
        <f>Table9[[#This Row],[WALCL]]-B526</f>
        <v/>
      </c>
    </row>
    <row r="528">
      <c r="A528" s="47" t="n">
        <v>41220</v>
      </c>
      <c r="B528" s="48" t="n">
        <v>2830791</v>
      </c>
      <c r="C528" s="48">
        <f>Table9[[#This Row],[WALCL]]-B527</f>
        <v/>
      </c>
    </row>
    <row r="529">
      <c r="A529" s="47" t="n">
        <v>41227</v>
      </c>
      <c r="B529" s="48" t="n">
        <v>2877244</v>
      </c>
      <c r="C529" s="48">
        <f>Table9[[#This Row],[WALCL]]-B528</f>
        <v/>
      </c>
    </row>
    <row r="530">
      <c r="A530" s="47" t="n">
        <v>41234</v>
      </c>
      <c r="B530" s="48" t="n">
        <v>2871161</v>
      </c>
      <c r="C530" s="48">
        <f>Table9[[#This Row],[WALCL]]-B529</f>
        <v/>
      </c>
    </row>
    <row r="531">
      <c r="A531" s="47" t="n">
        <v>41241</v>
      </c>
      <c r="B531" s="48" t="n">
        <v>2851362</v>
      </c>
      <c r="C531" s="48">
        <f>Table9[[#This Row],[WALCL]]-B530</f>
        <v/>
      </c>
    </row>
    <row r="532">
      <c r="A532" s="47" t="n">
        <v>41248</v>
      </c>
      <c r="B532" s="48" t="n">
        <v>2859807</v>
      </c>
      <c r="C532" s="48">
        <f>Table9[[#This Row],[WALCL]]-B531</f>
        <v/>
      </c>
    </row>
    <row r="533">
      <c r="A533" s="47" t="n">
        <v>41255</v>
      </c>
      <c r="B533" s="48" t="n">
        <v>2917260</v>
      </c>
      <c r="C533" s="48">
        <f>Table9[[#This Row],[WALCL]]-B532</f>
        <v/>
      </c>
    </row>
    <row r="534">
      <c r="A534" s="47" t="n">
        <v>41262</v>
      </c>
      <c r="B534" s="48" t="n">
        <v>2920231</v>
      </c>
      <c r="C534" s="48">
        <f>Table9[[#This Row],[WALCL]]-B533</f>
        <v/>
      </c>
    </row>
    <row r="535">
      <c r="A535" s="47" t="n">
        <v>41269</v>
      </c>
      <c r="B535" s="48" t="n">
        <v>2907300</v>
      </c>
      <c r="C535" s="48">
        <f>Table9[[#This Row],[WALCL]]-B534</f>
        <v/>
      </c>
    </row>
    <row r="536">
      <c r="A536" s="47" t="n">
        <v>41276</v>
      </c>
      <c r="B536" s="48" t="n">
        <v>2917189</v>
      </c>
      <c r="C536" s="48">
        <f>Table9[[#This Row],[WALCL]]-B535</f>
        <v/>
      </c>
    </row>
    <row r="537">
      <c r="A537" s="47" t="n">
        <v>41283</v>
      </c>
      <c r="B537" s="48" t="n">
        <v>2928728</v>
      </c>
      <c r="C537" s="48">
        <f>Table9[[#This Row],[WALCL]]-B536</f>
        <v/>
      </c>
    </row>
    <row r="538">
      <c r="A538" s="47" t="n">
        <v>41290</v>
      </c>
      <c r="B538" s="48" t="n">
        <v>2963812</v>
      </c>
      <c r="C538" s="48">
        <f>Table9[[#This Row],[WALCL]]-B537</f>
        <v/>
      </c>
    </row>
    <row r="539">
      <c r="A539" s="47" t="n">
        <v>41297</v>
      </c>
      <c r="B539" s="48" t="n">
        <v>3011697</v>
      </c>
      <c r="C539" s="48">
        <f>Table9[[#This Row],[WALCL]]-B538</f>
        <v/>
      </c>
    </row>
    <row r="540">
      <c r="A540" s="47" t="n">
        <v>41304</v>
      </c>
      <c r="B540" s="48" t="n">
        <v>3008704</v>
      </c>
      <c r="C540" s="48">
        <f>Table9[[#This Row],[WALCL]]-B539</f>
        <v/>
      </c>
    </row>
    <row r="541">
      <c r="A541" s="47" t="n">
        <v>41311</v>
      </c>
      <c r="B541" s="48" t="n">
        <v>3014975</v>
      </c>
      <c r="C541" s="48">
        <f>Table9[[#This Row],[WALCL]]-B540</f>
        <v/>
      </c>
    </row>
    <row r="542">
      <c r="A542" s="47" t="n">
        <v>41318</v>
      </c>
      <c r="B542" s="48" t="n">
        <v>3074225</v>
      </c>
      <c r="C542" s="48">
        <f>Table9[[#This Row],[WALCL]]-B541</f>
        <v/>
      </c>
    </row>
    <row r="543">
      <c r="A543" s="47" t="n">
        <v>41325</v>
      </c>
      <c r="B543" s="48" t="n">
        <v>3095150</v>
      </c>
      <c r="C543" s="48">
        <f>Table9[[#This Row],[WALCL]]-B542</f>
        <v/>
      </c>
    </row>
    <row r="544">
      <c r="A544" s="47" t="n">
        <v>41332</v>
      </c>
      <c r="B544" s="48" t="n">
        <v>3090600</v>
      </c>
      <c r="C544" s="48">
        <f>Table9[[#This Row],[WALCL]]-B543</f>
        <v/>
      </c>
    </row>
    <row r="545">
      <c r="A545" s="47" t="n">
        <v>41339</v>
      </c>
      <c r="B545" s="48" t="n">
        <v>3108805</v>
      </c>
      <c r="C545" s="48">
        <f>Table9[[#This Row],[WALCL]]-B544</f>
        <v/>
      </c>
    </row>
    <row r="546">
      <c r="A546" s="47" t="n">
        <v>41346</v>
      </c>
      <c r="B546" s="48" t="n">
        <v>3165396</v>
      </c>
      <c r="C546" s="48">
        <f>Table9[[#This Row],[WALCL]]-B545</f>
        <v/>
      </c>
    </row>
    <row r="547">
      <c r="A547" s="47" t="n">
        <v>41353</v>
      </c>
      <c r="B547" s="48" t="n">
        <v>3206888</v>
      </c>
      <c r="C547" s="48">
        <f>Table9[[#This Row],[WALCL]]-B546</f>
        <v/>
      </c>
    </row>
    <row r="548">
      <c r="A548" s="47" t="n">
        <v>41360</v>
      </c>
      <c r="B548" s="48" t="n">
        <v>3202256</v>
      </c>
      <c r="C548" s="48">
        <f>Table9[[#This Row],[WALCL]]-B547</f>
        <v/>
      </c>
    </row>
    <row r="549">
      <c r="A549" s="47" t="n">
        <v>41367</v>
      </c>
      <c r="B549" s="48" t="n">
        <v>3215432</v>
      </c>
      <c r="C549" s="48">
        <f>Table9[[#This Row],[WALCL]]-B548</f>
        <v/>
      </c>
    </row>
    <row r="550">
      <c r="A550" s="47" t="n">
        <v>41374</v>
      </c>
      <c r="B550" s="48" t="n">
        <v>3227762</v>
      </c>
      <c r="C550" s="48">
        <f>Table9[[#This Row],[WALCL]]-B549</f>
        <v/>
      </c>
    </row>
    <row r="551">
      <c r="A551" s="47" t="n">
        <v>41381</v>
      </c>
      <c r="B551" s="48" t="n">
        <v>3295109</v>
      </c>
      <c r="C551" s="48">
        <f>Table9[[#This Row],[WALCL]]-B550</f>
        <v/>
      </c>
    </row>
    <row r="552">
      <c r="A552" s="47" t="n">
        <v>41388</v>
      </c>
      <c r="B552" s="48" t="n">
        <v>3318649</v>
      </c>
      <c r="C552" s="48">
        <f>Table9[[#This Row],[WALCL]]-B551</f>
        <v/>
      </c>
    </row>
    <row r="553">
      <c r="A553" s="47" t="n">
        <v>41395</v>
      </c>
      <c r="B553" s="48" t="n">
        <v>3317194</v>
      </c>
      <c r="C553" s="48">
        <f>Table9[[#This Row],[WALCL]]-B552</f>
        <v/>
      </c>
    </row>
    <row r="554">
      <c r="A554" s="47" t="n">
        <v>41402</v>
      </c>
      <c r="B554" s="48" t="n">
        <v>3324615</v>
      </c>
      <c r="C554" s="48">
        <f>Table9[[#This Row],[WALCL]]-B553</f>
        <v/>
      </c>
    </row>
    <row r="555">
      <c r="A555" s="47" t="n">
        <v>41409</v>
      </c>
      <c r="B555" s="48" t="n">
        <v>3354269</v>
      </c>
      <c r="C555" s="48">
        <f>Table9[[#This Row],[WALCL]]-B554</f>
        <v/>
      </c>
    </row>
    <row r="556">
      <c r="A556" s="47" t="n">
        <v>41416</v>
      </c>
      <c r="B556" s="48" t="n">
        <v>3398713</v>
      </c>
      <c r="C556" s="48">
        <f>Table9[[#This Row],[WALCL]]-B555</f>
        <v/>
      </c>
    </row>
    <row r="557">
      <c r="A557" s="47" t="n">
        <v>41423</v>
      </c>
      <c r="B557" s="48" t="n">
        <v>3385128</v>
      </c>
      <c r="C557" s="48">
        <f>Table9[[#This Row],[WALCL]]-B556</f>
        <v/>
      </c>
    </row>
    <row r="558">
      <c r="A558" s="47" t="n">
        <v>41430</v>
      </c>
      <c r="B558" s="48" t="n">
        <v>3400183</v>
      </c>
      <c r="C558" s="48">
        <f>Table9[[#This Row],[WALCL]]-B557</f>
        <v/>
      </c>
    </row>
    <row r="559">
      <c r="A559" s="47" t="n">
        <v>41437</v>
      </c>
      <c r="B559" s="48" t="n">
        <v>3410842</v>
      </c>
      <c r="C559" s="48">
        <f>Table9[[#This Row],[WALCL]]-B558</f>
        <v/>
      </c>
    </row>
    <row r="560">
      <c r="A560" s="47" t="n">
        <v>41444</v>
      </c>
      <c r="B560" s="48" t="n">
        <v>3470530</v>
      </c>
      <c r="C560" s="48">
        <f>Table9[[#This Row],[WALCL]]-B559</f>
        <v/>
      </c>
    </row>
    <row r="561">
      <c r="A561" s="47" t="n">
        <v>41451</v>
      </c>
      <c r="B561" s="48" t="n">
        <v>3478672</v>
      </c>
      <c r="C561" s="48">
        <f>Table9[[#This Row],[WALCL]]-B560</f>
        <v/>
      </c>
    </row>
    <row r="562">
      <c r="A562" s="47" t="n">
        <v>41458</v>
      </c>
      <c r="B562" s="48" t="n">
        <v>3492742</v>
      </c>
      <c r="C562" s="48">
        <f>Table9[[#This Row],[WALCL]]-B561</f>
        <v/>
      </c>
    </row>
    <row r="563">
      <c r="A563" s="47" t="n">
        <v>41465</v>
      </c>
      <c r="B563" s="48" t="n">
        <v>3504095</v>
      </c>
      <c r="C563" s="48">
        <f>Table9[[#This Row],[WALCL]]-B562</f>
        <v/>
      </c>
    </row>
    <row r="564">
      <c r="A564" s="47" t="n">
        <v>41472</v>
      </c>
      <c r="B564" s="48" t="n">
        <v>3537861</v>
      </c>
      <c r="C564" s="48">
        <f>Table9[[#This Row],[WALCL]]-B563</f>
        <v/>
      </c>
    </row>
    <row r="565">
      <c r="A565" s="47" t="n">
        <v>41479</v>
      </c>
      <c r="B565" s="48" t="n">
        <v>3574574</v>
      </c>
      <c r="C565" s="48">
        <f>Table9[[#This Row],[WALCL]]-B564</f>
        <v/>
      </c>
    </row>
    <row r="566">
      <c r="A566" s="47" t="n">
        <v>41486</v>
      </c>
      <c r="B566" s="48" t="n">
        <v>3571797</v>
      </c>
      <c r="C566" s="48">
        <f>Table9[[#This Row],[WALCL]]-B565</f>
        <v/>
      </c>
    </row>
    <row r="567">
      <c r="A567" s="47" t="n">
        <v>41493</v>
      </c>
      <c r="B567" s="48" t="n">
        <v>3585359</v>
      </c>
      <c r="C567" s="48">
        <f>Table9[[#This Row],[WALCL]]-B566</f>
        <v/>
      </c>
    </row>
    <row r="568">
      <c r="A568" s="47" t="n">
        <v>41500</v>
      </c>
      <c r="B568" s="48" t="n">
        <v>3646323</v>
      </c>
      <c r="C568" s="48">
        <f>Table9[[#This Row],[WALCL]]-B567</f>
        <v/>
      </c>
    </row>
    <row r="569">
      <c r="A569" s="47" t="n">
        <v>41507</v>
      </c>
      <c r="B569" s="48" t="n">
        <v>3645668</v>
      </c>
      <c r="C569" s="48">
        <f>Table9[[#This Row],[WALCL]]-B568</f>
        <v/>
      </c>
    </row>
    <row r="570">
      <c r="A570" s="47" t="n">
        <v>41514</v>
      </c>
      <c r="B570" s="48" t="n">
        <v>3644456</v>
      </c>
      <c r="C570" s="48">
        <f>Table9[[#This Row],[WALCL]]-B569</f>
        <v/>
      </c>
    </row>
    <row r="571">
      <c r="A571" s="47" t="n">
        <v>41521</v>
      </c>
      <c r="B571" s="48" t="n">
        <v>3654182</v>
      </c>
      <c r="C571" s="48">
        <f>Table9[[#This Row],[WALCL]]-B570</f>
        <v/>
      </c>
    </row>
    <row r="572">
      <c r="A572" s="47" t="n">
        <v>41528</v>
      </c>
      <c r="B572" s="48" t="n">
        <v>3662035</v>
      </c>
      <c r="C572" s="48">
        <f>Table9[[#This Row],[WALCL]]-B571</f>
        <v/>
      </c>
    </row>
    <row r="573">
      <c r="A573" s="47" t="n">
        <v>41535</v>
      </c>
      <c r="B573" s="48" t="n">
        <v>3722192</v>
      </c>
      <c r="C573" s="48">
        <f>Table9[[#This Row],[WALCL]]-B572</f>
        <v/>
      </c>
    </row>
    <row r="574">
      <c r="A574" s="47" t="n">
        <v>41542</v>
      </c>
      <c r="B574" s="48" t="n">
        <v>3734018</v>
      </c>
      <c r="C574" s="48">
        <f>Table9[[#This Row],[WALCL]]-B573</f>
        <v/>
      </c>
    </row>
    <row r="575">
      <c r="A575" s="47" t="n">
        <v>41549</v>
      </c>
      <c r="B575" s="48" t="n">
        <v>3747387</v>
      </c>
      <c r="C575" s="48">
        <f>Table9[[#This Row],[WALCL]]-B574</f>
        <v/>
      </c>
    </row>
    <row r="576">
      <c r="A576" s="47" t="n">
        <v>41556</v>
      </c>
      <c r="B576" s="48" t="n">
        <v>3758663</v>
      </c>
      <c r="C576" s="48">
        <f>Table9[[#This Row],[WALCL]]-B575</f>
        <v/>
      </c>
    </row>
    <row r="577">
      <c r="A577" s="47" t="n">
        <v>41563</v>
      </c>
      <c r="B577" s="48" t="n">
        <v>3813599</v>
      </c>
      <c r="C577" s="48">
        <f>Table9[[#This Row],[WALCL]]-B576</f>
        <v/>
      </c>
    </row>
    <row r="578">
      <c r="A578" s="47" t="n">
        <v>41570</v>
      </c>
      <c r="B578" s="48" t="n">
        <v>3839033</v>
      </c>
      <c r="C578" s="48">
        <f>Table9[[#This Row],[WALCL]]-B577</f>
        <v/>
      </c>
    </row>
    <row r="579">
      <c r="A579" s="47" t="n">
        <v>41577</v>
      </c>
      <c r="B579" s="48" t="n">
        <v>3843396</v>
      </c>
      <c r="C579" s="48">
        <f>Table9[[#This Row],[WALCL]]-B578</f>
        <v/>
      </c>
    </row>
    <row r="580">
      <c r="A580" s="47" t="n">
        <v>41584</v>
      </c>
      <c r="B580" s="48" t="n">
        <v>3851623</v>
      </c>
      <c r="C580" s="48">
        <f>Table9[[#This Row],[WALCL]]-B579</f>
        <v/>
      </c>
    </row>
    <row r="581">
      <c r="A581" s="47" t="n">
        <v>41591</v>
      </c>
      <c r="B581" s="48" t="n">
        <v>3907424</v>
      </c>
      <c r="C581" s="48">
        <f>Table9[[#This Row],[WALCL]]-B580</f>
        <v/>
      </c>
    </row>
    <row r="582">
      <c r="A582" s="47" t="n">
        <v>41598</v>
      </c>
      <c r="B582" s="48" t="n">
        <v>3906620</v>
      </c>
      <c r="C582" s="48">
        <f>Table9[[#This Row],[WALCL]]-B581</f>
        <v/>
      </c>
    </row>
    <row r="583">
      <c r="A583" s="47" t="n">
        <v>41605</v>
      </c>
      <c r="B583" s="48" t="n">
        <v>3925876</v>
      </c>
      <c r="C583" s="48">
        <f>Table9[[#This Row],[WALCL]]-B582</f>
        <v/>
      </c>
    </row>
    <row r="584">
      <c r="A584" s="47" t="n">
        <v>41612</v>
      </c>
      <c r="B584" s="48" t="n">
        <v>3932626</v>
      </c>
      <c r="C584" s="48">
        <f>Table9[[#This Row],[WALCL]]-B583</f>
        <v/>
      </c>
    </row>
    <row r="585">
      <c r="A585" s="47" t="n">
        <v>41619</v>
      </c>
      <c r="B585" s="48" t="n">
        <v>3993955</v>
      </c>
      <c r="C585" s="48">
        <f>Table9[[#This Row],[WALCL]]-B584</f>
        <v/>
      </c>
    </row>
    <row r="586">
      <c r="A586" s="47" t="n">
        <v>41626</v>
      </c>
      <c r="B586" s="48" t="n">
        <v>4008062</v>
      </c>
      <c r="C586" s="48">
        <f>Table9[[#This Row],[WALCL]]-B585</f>
        <v/>
      </c>
    </row>
    <row r="587">
      <c r="A587" s="47" t="n">
        <v>41633</v>
      </c>
      <c r="B587" s="48" t="n">
        <v>4032575</v>
      </c>
      <c r="C587" s="48">
        <f>Table9[[#This Row],[WALCL]]-B586</f>
        <v/>
      </c>
    </row>
    <row r="588">
      <c r="A588" s="47" t="n">
        <v>41640</v>
      </c>
      <c r="B588" s="48" t="n">
        <v>4023640</v>
      </c>
      <c r="C588" s="48">
        <f>Table9[[#This Row],[WALCL]]-B587</f>
        <v/>
      </c>
    </row>
    <row r="589">
      <c r="A589" s="47" t="n">
        <v>41647</v>
      </c>
      <c r="B589" s="48" t="n">
        <v>4028185</v>
      </c>
      <c r="C589" s="48">
        <f>Table9[[#This Row],[WALCL]]-B588</f>
        <v/>
      </c>
    </row>
    <row r="590">
      <c r="A590" s="47" t="n">
        <v>41654</v>
      </c>
      <c r="B590" s="48" t="n">
        <v>4071528</v>
      </c>
      <c r="C590" s="48">
        <f>Table9[[#This Row],[WALCL]]-B589</f>
        <v/>
      </c>
    </row>
    <row r="591">
      <c r="A591" s="47" t="n">
        <v>41661</v>
      </c>
      <c r="B591" s="48" t="n">
        <v>4097914</v>
      </c>
      <c r="C591" s="48">
        <f>Table9[[#This Row],[WALCL]]-B590</f>
        <v/>
      </c>
    </row>
    <row r="592">
      <c r="A592" s="47" t="n">
        <v>41668</v>
      </c>
      <c r="B592" s="48" t="n">
        <v>4102138</v>
      </c>
      <c r="C592" s="48">
        <f>Table9[[#This Row],[WALCL]]-B591</f>
        <v/>
      </c>
    </row>
    <row r="593">
      <c r="A593" s="47" t="n">
        <v>41675</v>
      </c>
      <c r="B593" s="48" t="n">
        <v>4109285</v>
      </c>
      <c r="C593" s="48">
        <f>Table9[[#This Row],[WALCL]]-B592</f>
        <v/>
      </c>
    </row>
    <row r="594">
      <c r="A594" s="47" t="n">
        <v>41682</v>
      </c>
      <c r="B594" s="48" t="n">
        <v>4119474</v>
      </c>
      <c r="C594" s="48">
        <f>Table9[[#This Row],[WALCL]]-B593</f>
        <v/>
      </c>
    </row>
    <row r="595">
      <c r="A595" s="47" t="n">
        <v>41689</v>
      </c>
      <c r="B595" s="48" t="n">
        <v>4149224</v>
      </c>
      <c r="C595" s="48">
        <f>Table9[[#This Row],[WALCL]]-B594</f>
        <v/>
      </c>
    </row>
    <row r="596">
      <c r="A596" s="47" t="n">
        <v>41696</v>
      </c>
      <c r="B596" s="48" t="n">
        <v>4159972</v>
      </c>
      <c r="C596" s="48">
        <f>Table9[[#This Row],[WALCL]]-B595</f>
        <v/>
      </c>
    </row>
    <row r="597">
      <c r="A597" s="47" t="n">
        <v>41703</v>
      </c>
      <c r="B597" s="48" t="n">
        <v>4171762</v>
      </c>
      <c r="C597" s="48">
        <f>Table9[[#This Row],[WALCL]]-B596</f>
        <v/>
      </c>
    </row>
    <row r="598">
      <c r="A598" s="47" t="n">
        <v>41710</v>
      </c>
      <c r="B598" s="48" t="n">
        <v>4181361</v>
      </c>
      <c r="C598" s="48">
        <f>Table9[[#This Row],[WALCL]]-B597</f>
        <v/>
      </c>
    </row>
    <row r="599">
      <c r="A599" s="47" t="n">
        <v>41717</v>
      </c>
      <c r="B599" s="48" t="n">
        <v>4222081</v>
      </c>
      <c r="C599" s="48">
        <f>Table9[[#This Row],[WALCL]]-B598</f>
        <v/>
      </c>
    </row>
    <row r="600">
      <c r="A600" s="47" t="n">
        <v>41724</v>
      </c>
      <c r="B600" s="48" t="n">
        <v>4226971</v>
      </c>
      <c r="C600" s="48">
        <f>Table9[[#This Row],[WALCL]]-B599</f>
        <v/>
      </c>
    </row>
    <row r="601">
      <c r="A601" s="47" t="n">
        <v>41731</v>
      </c>
      <c r="B601" s="48" t="n">
        <v>4236441</v>
      </c>
      <c r="C601" s="48">
        <f>Table9[[#This Row],[WALCL]]-B600</f>
        <v/>
      </c>
    </row>
    <row r="602">
      <c r="A602" s="47" t="n">
        <v>41738</v>
      </c>
      <c r="B602" s="48" t="n">
        <v>4244188</v>
      </c>
      <c r="C602" s="48">
        <f>Table9[[#This Row],[WALCL]]-B601</f>
        <v/>
      </c>
    </row>
    <row r="603">
      <c r="A603" s="47" t="n">
        <v>41745</v>
      </c>
      <c r="B603" s="48" t="n">
        <v>4283967</v>
      </c>
      <c r="C603" s="48">
        <f>Table9[[#This Row],[WALCL]]-B602</f>
        <v/>
      </c>
    </row>
    <row r="604">
      <c r="A604" s="47" t="n">
        <v>41752</v>
      </c>
      <c r="B604" s="48" t="n">
        <v>4296339</v>
      </c>
      <c r="C604" s="48">
        <f>Table9[[#This Row],[WALCL]]-B603</f>
        <v/>
      </c>
    </row>
    <row r="605">
      <c r="A605" s="47" t="n">
        <v>41759</v>
      </c>
      <c r="B605" s="48" t="n">
        <v>4296049</v>
      </c>
      <c r="C605" s="48">
        <f>Table9[[#This Row],[WALCL]]-B604</f>
        <v/>
      </c>
    </row>
    <row r="606">
      <c r="A606" s="47" t="n">
        <v>41766</v>
      </c>
      <c r="B606" s="48" t="n">
        <v>4303143</v>
      </c>
      <c r="C606" s="48">
        <f>Table9[[#This Row],[WALCL]]-B605</f>
        <v/>
      </c>
    </row>
    <row r="607">
      <c r="A607" s="47" t="n">
        <v>41773</v>
      </c>
      <c r="B607" s="48" t="n">
        <v>4336649</v>
      </c>
      <c r="C607" s="48">
        <f>Table9[[#This Row],[WALCL]]-B606</f>
        <v/>
      </c>
    </row>
    <row r="608">
      <c r="A608" s="47" t="n">
        <v>41780</v>
      </c>
      <c r="B608" s="48" t="n">
        <v>4327560</v>
      </c>
      <c r="C608" s="48">
        <f>Table9[[#This Row],[WALCL]]-B607</f>
        <v/>
      </c>
    </row>
    <row r="609">
      <c r="A609" s="47" t="n">
        <v>41787</v>
      </c>
      <c r="B609" s="48" t="n">
        <v>4322654</v>
      </c>
      <c r="C609" s="48">
        <f>Table9[[#This Row],[WALCL]]-B608</f>
        <v/>
      </c>
    </row>
    <row r="610">
      <c r="A610" s="47" t="n">
        <v>41794</v>
      </c>
      <c r="B610" s="48" t="n">
        <v>4330917</v>
      </c>
      <c r="C610" s="48">
        <f>Table9[[#This Row],[WALCL]]-B609</f>
        <v/>
      </c>
    </row>
    <row r="611">
      <c r="A611" s="47" t="n">
        <v>41801</v>
      </c>
      <c r="B611" s="48" t="n">
        <v>4340904</v>
      </c>
      <c r="C611" s="48">
        <f>Table9[[#This Row],[WALCL]]-B610</f>
        <v/>
      </c>
    </row>
    <row r="612">
      <c r="A612" s="47" t="n">
        <v>41808</v>
      </c>
      <c r="B612" s="48" t="n">
        <v>4368168</v>
      </c>
      <c r="C612" s="48">
        <f>Table9[[#This Row],[WALCL]]-B611</f>
        <v/>
      </c>
    </row>
    <row r="613">
      <c r="A613" s="47" t="n">
        <v>41815</v>
      </c>
      <c r="B613" s="48" t="n">
        <v>4368348</v>
      </c>
      <c r="C613" s="48">
        <f>Table9[[#This Row],[WALCL]]-B612</f>
        <v/>
      </c>
    </row>
    <row r="614">
      <c r="A614" s="47" t="n">
        <v>41822</v>
      </c>
      <c r="B614" s="48" t="n">
        <v>4377031</v>
      </c>
      <c r="C614" s="48">
        <f>Table9[[#This Row],[WALCL]]-B613</f>
        <v/>
      </c>
    </row>
    <row r="615">
      <c r="A615" s="47" t="n">
        <v>41829</v>
      </c>
      <c r="B615" s="48" t="n">
        <v>4383401</v>
      </c>
      <c r="C615" s="48">
        <f>Table9[[#This Row],[WALCL]]-B614</f>
        <v/>
      </c>
    </row>
    <row r="616">
      <c r="A616" s="47" t="n">
        <v>41836</v>
      </c>
      <c r="B616" s="48" t="n">
        <v>4398201</v>
      </c>
      <c r="C616" s="48">
        <f>Table9[[#This Row],[WALCL]]-B615</f>
        <v/>
      </c>
    </row>
    <row r="617">
      <c r="A617" s="47" t="n">
        <v>41843</v>
      </c>
      <c r="B617" s="48" t="n">
        <v>4410746</v>
      </c>
      <c r="C617" s="48">
        <f>Table9[[#This Row],[WALCL]]-B616</f>
        <v/>
      </c>
    </row>
    <row r="618">
      <c r="A618" s="47" t="n">
        <v>41850</v>
      </c>
      <c r="B618" s="48" t="n">
        <v>4406637</v>
      </c>
      <c r="C618" s="48">
        <f>Table9[[#This Row],[WALCL]]-B617</f>
        <v/>
      </c>
    </row>
    <row r="619">
      <c r="A619" s="47" t="n">
        <v>41857</v>
      </c>
      <c r="B619" s="48" t="n">
        <v>4410111</v>
      </c>
      <c r="C619" s="48">
        <f>Table9[[#This Row],[WALCL]]-B618</f>
        <v/>
      </c>
    </row>
    <row r="620">
      <c r="A620" s="47" t="n">
        <v>41864</v>
      </c>
      <c r="B620" s="48" t="n">
        <v>4431923</v>
      </c>
      <c r="C620" s="48">
        <f>Table9[[#This Row],[WALCL]]-B619</f>
        <v/>
      </c>
    </row>
    <row r="621">
      <c r="A621" s="47" t="n">
        <v>41871</v>
      </c>
      <c r="B621" s="48" t="n">
        <v>4412924</v>
      </c>
      <c r="C621" s="48">
        <f>Table9[[#This Row],[WALCL]]-B620</f>
        <v/>
      </c>
    </row>
    <row r="622">
      <c r="A622" s="47" t="n">
        <v>41878</v>
      </c>
      <c r="B622" s="48" t="n">
        <v>4413736</v>
      </c>
      <c r="C622" s="48">
        <f>Table9[[#This Row],[WALCL]]-B621</f>
        <v/>
      </c>
    </row>
    <row r="623">
      <c r="A623" s="47" t="n">
        <v>41885</v>
      </c>
      <c r="B623" s="48" t="n">
        <v>4415587</v>
      </c>
      <c r="C623" s="48">
        <f>Table9[[#This Row],[WALCL]]-B622</f>
        <v/>
      </c>
    </row>
    <row r="624">
      <c r="A624" s="47" t="n">
        <v>41892</v>
      </c>
      <c r="B624" s="48" t="n">
        <v>4421408</v>
      </c>
      <c r="C624" s="48">
        <f>Table9[[#This Row],[WALCL]]-B623</f>
        <v/>
      </c>
    </row>
    <row r="625">
      <c r="A625" s="47" t="n">
        <v>41899</v>
      </c>
      <c r="B625" s="48" t="n">
        <v>4449588</v>
      </c>
      <c r="C625" s="48">
        <f>Table9[[#This Row],[WALCL]]-B624</f>
        <v/>
      </c>
    </row>
    <row r="626">
      <c r="A626" s="47" t="n">
        <v>41906</v>
      </c>
      <c r="B626" s="48" t="n">
        <v>4459050</v>
      </c>
      <c r="C626" s="48">
        <f>Table9[[#This Row],[WALCL]]-B625</f>
        <v/>
      </c>
    </row>
    <row r="627">
      <c r="A627" s="47" t="n">
        <v>41913</v>
      </c>
      <c r="B627" s="48" t="n">
        <v>4450260</v>
      </c>
      <c r="C627" s="48">
        <f>Table9[[#This Row],[WALCL]]-B626</f>
        <v/>
      </c>
    </row>
    <row r="628">
      <c r="A628" s="47" t="n">
        <v>41920</v>
      </c>
      <c r="B628" s="48" t="n">
        <v>4455403</v>
      </c>
      <c r="C628" s="48">
        <f>Table9[[#This Row],[WALCL]]-B627</f>
        <v/>
      </c>
    </row>
    <row r="629">
      <c r="A629" s="47" t="n">
        <v>41927</v>
      </c>
      <c r="B629" s="48" t="n">
        <v>4474360</v>
      </c>
      <c r="C629" s="48">
        <f>Table9[[#This Row],[WALCL]]-B628</f>
        <v/>
      </c>
    </row>
    <row r="630">
      <c r="A630" s="47" t="n">
        <v>41934</v>
      </c>
      <c r="B630" s="48" t="n">
        <v>4481616</v>
      </c>
      <c r="C630" s="48">
        <f>Table9[[#This Row],[WALCL]]-B629</f>
        <v/>
      </c>
    </row>
    <row r="631">
      <c r="A631" s="47" t="n">
        <v>41941</v>
      </c>
      <c r="B631" s="48" t="n">
        <v>4486754</v>
      </c>
      <c r="C631" s="48">
        <f>Table9[[#This Row],[WALCL]]-B630</f>
        <v/>
      </c>
    </row>
    <row r="632">
      <c r="A632" s="47" t="n">
        <v>41948</v>
      </c>
      <c r="B632" s="48" t="n">
        <v>4486585</v>
      </c>
      <c r="C632" s="48">
        <f>Table9[[#This Row],[WALCL]]-B631</f>
        <v/>
      </c>
    </row>
    <row r="633">
      <c r="A633" s="47" t="n">
        <v>41955</v>
      </c>
      <c r="B633" s="48" t="n">
        <v>4488895</v>
      </c>
      <c r="C633" s="48">
        <f>Table9[[#This Row],[WALCL]]-B632</f>
        <v/>
      </c>
    </row>
    <row r="634">
      <c r="A634" s="47" t="n">
        <v>41962</v>
      </c>
      <c r="B634" s="48" t="n">
        <v>4492759</v>
      </c>
      <c r="C634" s="48">
        <f>Table9[[#This Row],[WALCL]]-B633</f>
        <v/>
      </c>
    </row>
    <row r="635">
      <c r="A635" s="47" t="n">
        <v>41969</v>
      </c>
      <c r="B635" s="48" t="n">
        <v>4485931</v>
      </c>
      <c r="C635" s="48">
        <f>Table9[[#This Row],[WALCL]]-B634</f>
        <v/>
      </c>
    </row>
    <row r="636">
      <c r="A636" s="47" t="n">
        <v>41976</v>
      </c>
      <c r="B636" s="48" t="n">
        <v>4486190</v>
      </c>
      <c r="C636" s="48">
        <f>Table9[[#This Row],[WALCL]]-B635</f>
        <v/>
      </c>
    </row>
    <row r="637">
      <c r="A637" s="47" t="n">
        <v>41983</v>
      </c>
      <c r="B637" s="48" t="n">
        <v>4488865</v>
      </c>
      <c r="C637" s="48">
        <f>Table9[[#This Row],[WALCL]]-B636</f>
        <v/>
      </c>
    </row>
    <row r="638">
      <c r="A638" s="47" t="n">
        <v>41990</v>
      </c>
      <c r="B638" s="48" t="n">
        <v>4502247</v>
      </c>
      <c r="C638" s="48">
        <f>Table9[[#This Row],[WALCL]]-B637</f>
        <v/>
      </c>
    </row>
    <row r="639">
      <c r="A639" s="47" t="n">
        <v>41997</v>
      </c>
      <c r="B639" s="48" t="n">
        <v>4509462</v>
      </c>
      <c r="C639" s="48">
        <f>Table9[[#This Row],[WALCL]]-B638</f>
        <v/>
      </c>
    </row>
    <row r="640">
      <c r="A640" s="47" t="n">
        <v>42004</v>
      </c>
      <c r="B640" s="48" t="n">
        <v>4497660</v>
      </c>
      <c r="C640" s="48">
        <f>Table9[[#This Row],[WALCL]]-B639</f>
        <v/>
      </c>
    </row>
    <row r="641">
      <c r="A641" s="47" t="n">
        <v>42011</v>
      </c>
      <c r="B641" s="48" t="n">
        <v>4499524</v>
      </c>
      <c r="C641" s="48">
        <f>Table9[[#This Row],[WALCL]]-B640</f>
        <v/>
      </c>
    </row>
    <row r="642">
      <c r="A642" s="47" t="n">
        <v>42018</v>
      </c>
      <c r="B642" s="48" t="n">
        <v>4516077</v>
      </c>
      <c r="C642" s="48">
        <f>Table9[[#This Row],[WALCL]]-B641</f>
        <v/>
      </c>
    </row>
    <row r="643">
      <c r="A643" s="47" t="n">
        <v>42025</v>
      </c>
      <c r="B643" s="48" t="n">
        <v>4512936</v>
      </c>
      <c r="C643" s="48">
        <f>Table9[[#This Row],[WALCL]]-B642</f>
        <v/>
      </c>
    </row>
    <row r="644">
      <c r="A644" s="47" t="n">
        <v>42032</v>
      </c>
      <c r="B644" s="48" t="n">
        <v>4500064</v>
      </c>
      <c r="C644" s="48">
        <f>Table9[[#This Row],[WALCL]]-B643</f>
        <v/>
      </c>
    </row>
    <row r="645">
      <c r="A645" s="47" t="n">
        <v>42039</v>
      </c>
      <c r="B645" s="48" t="n">
        <v>4500348</v>
      </c>
      <c r="C645" s="48">
        <f>Table9[[#This Row],[WALCL]]-B644</f>
        <v/>
      </c>
    </row>
    <row r="646">
      <c r="A646" s="47" t="n">
        <v>42046</v>
      </c>
      <c r="B646" s="48" t="n">
        <v>4501685</v>
      </c>
      <c r="C646" s="48">
        <f>Table9[[#This Row],[WALCL]]-B645</f>
        <v/>
      </c>
    </row>
    <row r="647">
      <c r="A647" s="47" t="n">
        <v>42053</v>
      </c>
      <c r="B647" s="48" t="n">
        <v>4496851</v>
      </c>
      <c r="C647" s="48">
        <f>Table9[[#This Row],[WALCL]]-B646</f>
        <v/>
      </c>
    </row>
    <row r="648">
      <c r="A648" s="47" t="n">
        <v>42060</v>
      </c>
      <c r="B648" s="48" t="n">
        <v>4486725</v>
      </c>
      <c r="C648" s="48">
        <f>Table9[[#This Row],[WALCL]]-B647</f>
        <v/>
      </c>
    </row>
    <row r="649">
      <c r="A649" s="47" t="n">
        <v>42067</v>
      </c>
      <c r="B649" s="48" t="n">
        <v>4487583</v>
      </c>
      <c r="C649" s="48">
        <f>Table9[[#This Row],[WALCL]]-B648</f>
        <v/>
      </c>
    </row>
    <row r="650">
      <c r="A650" s="47" t="n">
        <v>42074</v>
      </c>
      <c r="B650" s="48" t="n">
        <v>4489279</v>
      </c>
      <c r="C650" s="48">
        <f>Table9[[#This Row],[WALCL]]-B649</f>
        <v/>
      </c>
    </row>
    <row r="651">
      <c r="A651" s="47" t="n">
        <v>42081</v>
      </c>
      <c r="B651" s="48" t="n">
        <v>4495888</v>
      </c>
      <c r="C651" s="48">
        <f>Table9[[#This Row],[WALCL]]-B650</f>
        <v/>
      </c>
    </row>
    <row r="652">
      <c r="A652" s="47" t="n">
        <v>42088</v>
      </c>
      <c r="B652" s="48" t="n">
        <v>4480603</v>
      </c>
      <c r="C652" s="48">
        <f>Table9[[#This Row],[WALCL]]-B651</f>
        <v/>
      </c>
    </row>
    <row r="653">
      <c r="A653" s="47" t="n">
        <v>42095</v>
      </c>
      <c r="B653" s="48" t="n">
        <v>4481799</v>
      </c>
      <c r="C653" s="48">
        <f>Table9[[#This Row],[WALCL]]-B652</f>
        <v/>
      </c>
    </row>
    <row r="654">
      <c r="A654" s="47" t="n">
        <v>42102</v>
      </c>
      <c r="B654" s="48" t="n">
        <v>4483419</v>
      </c>
      <c r="C654" s="48">
        <f>Table9[[#This Row],[WALCL]]-B653</f>
        <v/>
      </c>
    </row>
    <row r="655">
      <c r="A655" s="47" t="n">
        <v>42109</v>
      </c>
      <c r="B655" s="48" t="n">
        <v>4485366</v>
      </c>
      <c r="C655" s="48">
        <f>Table9[[#This Row],[WALCL]]-B654</f>
        <v/>
      </c>
    </row>
    <row r="656">
      <c r="A656" s="47" t="n">
        <v>42116</v>
      </c>
      <c r="B656" s="48" t="n">
        <v>4489695</v>
      </c>
      <c r="C656" s="48">
        <f>Table9[[#This Row],[WALCL]]-B655</f>
        <v/>
      </c>
    </row>
    <row r="657">
      <c r="A657" s="47" t="n">
        <v>42123</v>
      </c>
      <c r="B657" s="48" t="n">
        <v>4471499</v>
      </c>
      <c r="C657" s="48">
        <f>Table9[[#This Row],[WALCL]]-B656</f>
        <v/>
      </c>
    </row>
    <row r="658">
      <c r="A658" s="47" t="n">
        <v>42130</v>
      </c>
      <c r="B658" s="48" t="n">
        <v>4472703</v>
      </c>
      <c r="C658" s="48">
        <f>Table9[[#This Row],[WALCL]]-B657</f>
        <v/>
      </c>
    </row>
    <row r="659">
      <c r="A659" s="47" t="n">
        <v>42137</v>
      </c>
      <c r="B659" s="48" t="n">
        <v>4501188</v>
      </c>
      <c r="C659" s="48">
        <f>Table9[[#This Row],[WALCL]]-B658</f>
        <v/>
      </c>
    </row>
    <row r="660">
      <c r="A660" s="47" t="n">
        <v>42144</v>
      </c>
      <c r="B660" s="48" t="n">
        <v>4480384</v>
      </c>
      <c r="C660" s="48">
        <f>Table9[[#This Row],[WALCL]]-B659</f>
        <v/>
      </c>
    </row>
    <row r="661">
      <c r="A661" s="47" t="n">
        <v>42151</v>
      </c>
      <c r="B661" s="48" t="n">
        <v>4463981</v>
      </c>
      <c r="C661" s="48">
        <f>Table9[[#This Row],[WALCL]]-B660</f>
        <v/>
      </c>
    </row>
    <row r="662">
      <c r="A662" s="47" t="n">
        <v>42158</v>
      </c>
      <c r="B662" s="48" t="n">
        <v>4465360</v>
      </c>
      <c r="C662" s="48">
        <f>Table9[[#This Row],[WALCL]]-B661</f>
        <v/>
      </c>
    </row>
    <row r="663">
      <c r="A663" s="47" t="n">
        <v>42165</v>
      </c>
      <c r="B663" s="48" t="n">
        <v>4468005</v>
      </c>
      <c r="C663" s="48">
        <f>Table9[[#This Row],[WALCL]]-B662</f>
        <v/>
      </c>
    </row>
    <row r="664">
      <c r="A664" s="47" t="n">
        <v>42172</v>
      </c>
      <c r="B664" s="48" t="n">
        <v>4487817</v>
      </c>
      <c r="C664" s="48">
        <f>Table9[[#This Row],[WALCL]]-B663</f>
        <v/>
      </c>
    </row>
    <row r="665">
      <c r="A665" s="47" t="n">
        <v>42179</v>
      </c>
      <c r="B665" s="48" t="n">
        <v>4495055</v>
      </c>
      <c r="C665" s="48">
        <f>Table9[[#This Row],[WALCL]]-B664</f>
        <v/>
      </c>
    </row>
    <row r="666">
      <c r="A666" s="47" t="n">
        <v>42186</v>
      </c>
      <c r="B666" s="48" t="n">
        <v>4479130</v>
      </c>
      <c r="C666" s="48">
        <f>Table9[[#This Row],[WALCL]]-B665</f>
        <v/>
      </c>
    </row>
    <row r="667">
      <c r="A667" s="47" t="n">
        <v>42193</v>
      </c>
      <c r="B667" s="48" t="n">
        <v>4481289</v>
      </c>
      <c r="C667" s="48">
        <f>Table9[[#This Row],[WALCL]]-B666</f>
        <v/>
      </c>
    </row>
    <row r="668">
      <c r="A668" s="47" t="n">
        <v>42200</v>
      </c>
      <c r="B668" s="48" t="n">
        <v>4493605</v>
      </c>
      <c r="C668" s="48">
        <f>Table9[[#This Row],[WALCL]]-B667</f>
        <v/>
      </c>
    </row>
    <row r="669">
      <c r="A669" s="47" t="n">
        <v>42207</v>
      </c>
      <c r="B669" s="48" t="n">
        <v>4500503</v>
      </c>
      <c r="C669" s="48">
        <f>Table9[[#This Row],[WALCL]]-B668</f>
        <v/>
      </c>
    </row>
    <row r="670">
      <c r="A670" s="47" t="n">
        <v>42214</v>
      </c>
      <c r="B670" s="48" t="n">
        <v>4485480</v>
      </c>
      <c r="C670" s="48">
        <f>Table9[[#This Row],[WALCL]]-B669</f>
        <v/>
      </c>
    </row>
    <row r="671">
      <c r="A671" s="47" t="n">
        <v>42221</v>
      </c>
      <c r="B671" s="48" t="n">
        <v>4486329</v>
      </c>
      <c r="C671" s="48">
        <f>Table9[[#This Row],[WALCL]]-B670</f>
        <v/>
      </c>
    </row>
    <row r="672">
      <c r="A672" s="47" t="n">
        <v>42228</v>
      </c>
      <c r="B672" s="48" t="n">
        <v>4489250</v>
      </c>
      <c r="C672" s="48">
        <f>Table9[[#This Row],[WALCL]]-B671</f>
        <v/>
      </c>
    </row>
    <row r="673">
      <c r="A673" s="47" t="n">
        <v>42235</v>
      </c>
      <c r="B673" s="48" t="n">
        <v>4487208</v>
      </c>
      <c r="C673" s="48">
        <f>Table9[[#This Row],[WALCL]]-B672</f>
        <v/>
      </c>
    </row>
    <row r="674">
      <c r="A674" s="47" t="n">
        <v>42242</v>
      </c>
      <c r="B674" s="48" t="n">
        <v>4475105</v>
      </c>
      <c r="C674" s="48">
        <f>Table9[[#This Row],[WALCL]]-B673</f>
        <v/>
      </c>
    </row>
    <row r="675">
      <c r="A675" s="47" t="n">
        <v>42249</v>
      </c>
      <c r="B675" s="48" t="n">
        <v>4475886</v>
      </c>
      <c r="C675" s="48">
        <f>Table9[[#This Row],[WALCL]]-B674</f>
        <v/>
      </c>
    </row>
    <row r="676">
      <c r="A676" s="47" t="n">
        <v>42256</v>
      </c>
      <c r="B676" s="48" t="n">
        <v>4478213</v>
      </c>
      <c r="C676" s="48">
        <f>Table9[[#This Row],[WALCL]]-B675</f>
        <v/>
      </c>
    </row>
    <row r="677">
      <c r="A677" s="47" t="n">
        <v>42263</v>
      </c>
      <c r="B677" s="48" t="n">
        <v>4487809</v>
      </c>
      <c r="C677" s="48">
        <f>Table9[[#This Row],[WALCL]]-B676</f>
        <v/>
      </c>
    </row>
    <row r="678">
      <c r="A678" s="47" t="n">
        <v>42270</v>
      </c>
      <c r="B678" s="48" t="n">
        <v>4497484</v>
      </c>
      <c r="C678" s="48">
        <f>Table9[[#This Row],[WALCL]]-B677</f>
        <v/>
      </c>
    </row>
    <row r="679">
      <c r="A679" s="47" t="n">
        <v>42277</v>
      </c>
      <c r="B679" s="48" t="n">
        <v>4484111</v>
      </c>
      <c r="C679" s="48">
        <f>Table9[[#This Row],[WALCL]]-B678</f>
        <v/>
      </c>
    </row>
    <row r="680">
      <c r="A680" s="47" t="n">
        <v>42284</v>
      </c>
      <c r="B680" s="48" t="n">
        <v>4486185</v>
      </c>
      <c r="C680" s="48">
        <f>Table9[[#This Row],[WALCL]]-B679</f>
        <v/>
      </c>
    </row>
    <row r="681">
      <c r="A681" s="47" t="n">
        <v>42291</v>
      </c>
      <c r="B681" s="48" t="n">
        <v>4504704</v>
      </c>
      <c r="C681" s="48">
        <f>Table9[[#This Row],[WALCL]]-B680</f>
        <v/>
      </c>
    </row>
    <row r="682">
      <c r="A682" s="47" t="n">
        <v>42298</v>
      </c>
      <c r="B682" s="48" t="n">
        <v>4501372</v>
      </c>
      <c r="C682" s="48">
        <f>Table9[[#This Row],[WALCL]]-B681</f>
        <v/>
      </c>
    </row>
    <row r="683">
      <c r="A683" s="47" t="n">
        <v>42305</v>
      </c>
      <c r="B683" s="48" t="n">
        <v>4489339</v>
      </c>
      <c r="C683" s="48">
        <f>Table9[[#This Row],[WALCL]]-B682</f>
        <v/>
      </c>
    </row>
    <row r="684">
      <c r="A684" s="47" t="n">
        <v>42312</v>
      </c>
      <c r="B684" s="48" t="n">
        <v>4489702</v>
      </c>
      <c r="C684" s="48">
        <f>Table9[[#This Row],[WALCL]]-B683</f>
        <v/>
      </c>
    </row>
    <row r="685">
      <c r="A685" s="47" t="n">
        <v>42319</v>
      </c>
      <c r="B685" s="48" t="n">
        <v>4492012</v>
      </c>
      <c r="C685" s="48">
        <f>Table9[[#This Row],[WALCL]]-B684</f>
        <v/>
      </c>
    </row>
    <row r="686">
      <c r="A686" s="47" t="n">
        <v>42326</v>
      </c>
      <c r="B686" s="48" t="n">
        <v>4486721</v>
      </c>
      <c r="C686" s="48">
        <f>Table9[[#This Row],[WALCL]]-B685</f>
        <v/>
      </c>
    </row>
    <row r="687">
      <c r="A687" s="47" t="n">
        <v>42333</v>
      </c>
      <c r="B687" s="48" t="n">
        <v>4477088</v>
      </c>
      <c r="C687" s="48">
        <f>Table9[[#This Row],[WALCL]]-B686</f>
        <v/>
      </c>
    </row>
    <row r="688">
      <c r="A688" s="47" t="n">
        <v>42340</v>
      </c>
      <c r="B688" s="48" t="n">
        <v>4478069</v>
      </c>
      <c r="C688" s="48">
        <f>Table9[[#This Row],[WALCL]]-B687</f>
        <v/>
      </c>
    </row>
    <row r="689">
      <c r="A689" s="47" t="n">
        <v>42347</v>
      </c>
      <c r="B689" s="48" t="n">
        <v>4480436</v>
      </c>
      <c r="C689" s="48">
        <f>Table9[[#This Row],[WALCL]]-B688</f>
        <v/>
      </c>
    </row>
    <row r="690">
      <c r="A690" s="47" t="n">
        <v>42354</v>
      </c>
      <c r="B690" s="48" t="n">
        <v>4489593</v>
      </c>
      <c r="C690" s="48">
        <f>Table9[[#This Row],[WALCL]]-B689</f>
        <v/>
      </c>
    </row>
    <row r="691">
      <c r="A691" s="47" t="n">
        <v>42361</v>
      </c>
      <c r="B691" s="48" t="n">
        <v>4496523</v>
      </c>
      <c r="C691" s="48">
        <f>Table9[[#This Row],[WALCL]]-B690</f>
        <v/>
      </c>
    </row>
    <row r="692">
      <c r="A692" s="47" t="n">
        <v>42368</v>
      </c>
      <c r="B692" s="48" t="n">
        <v>4486587</v>
      </c>
      <c r="C692" s="48">
        <f>Table9[[#This Row],[WALCL]]-B691</f>
        <v/>
      </c>
    </row>
    <row r="693">
      <c r="A693" s="47" t="n">
        <v>42375</v>
      </c>
      <c r="B693" s="48" t="n">
        <v>4486606</v>
      </c>
      <c r="C693" s="48">
        <f>Table9[[#This Row],[WALCL]]-B692</f>
        <v/>
      </c>
    </row>
    <row r="694">
      <c r="A694" s="47" t="n">
        <v>42382</v>
      </c>
      <c r="B694" s="48" t="n">
        <v>4501695</v>
      </c>
      <c r="C694" s="48">
        <f>Table9[[#This Row],[WALCL]]-B693</f>
        <v/>
      </c>
    </row>
    <row r="695">
      <c r="A695" s="47" t="n">
        <v>42389</v>
      </c>
      <c r="B695" s="48" t="n">
        <v>4488840</v>
      </c>
      <c r="C695" s="48">
        <f>Table9[[#This Row],[WALCL]]-B694</f>
        <v/>
      </c>
    </row>
    <row r="696">
      <c r="A696" s="47" t="n">
        <v>42396</v>
      </c>
      <c r="B696" s="48" t="n">
        <v>4482349</v>
      </c>
      <c r="C696" s="48">
        <f>Table9[[#This Row],[WALCL]]-B695</f>
        <v/>
      </c>
    </row>
    <row r="697">
      <c r="A697" s="47" t="n">
        <v>42403</v>
      </c>
      <c r="B697" s="48" t="n">
        <v>4483495</v>
      </c>
      <c r="C697" s="48">
        <f>Table9[[#This Row],[WALCL]]-B696</f>
        <v/>
      </c>
    </row>
    <row r="698">
      <c r="A698" s="47" t="n">
        <v>42410</v>
      </c>
      <c r="B698" s="48" t="n">
        <v>4486278</v>
      </c>
      <c r="C698" s="48">
        <f>Table9[[#This Row],[WALCL]]-B697</f>
        <v/>
      </c>
    </row>
    <row r="699">
      <c r="A699" s="47" t="n">
        <v>42417</v>
      </c>
      <c r="B699" s="48" t="n">
        <v>4483629</v>
      </c>
      <c r="C699" s="48">
        <f>Table9[[#This Row],[WALCL]]-B698</f>
        <v/>
      </c>
    </row>
    <row r="700">
      <c r="A700" s="47" t="n">
        <v>42424</v>
      </c>
      <c r="B700" s="48" t="n">
        <v>4489796</v>
      </c>
      <c r="C700" s="48">
        <f>Table9[[#This Row],[WALCL]]-B699</f>
        <v/>
      </c>
    </row>
    <row r="701">
      <c r="A701" s="47" t="n">
        <v>42431</v>
      </c>
      <c r="B701" s="48" t="n">
        <v>4478485</v>
      </c>
      <c r="C701" s="48">
        <f>Table9[[#This Row],[WALCL]]-B700</f>
        <v/>
      </c>
    </row>
    <row r="702">
      <c r="A702" s="47" t="n">
        <v>42438</v>
      </c>
      <c r="B702" s="48" t="n">
        <v>4481083</v>
      </c>
      <c r="C702" s="48">
        <f>Table9[[#This Row],[WALCL]]-B701</f>
        <v/>
      </c>
    </row>
    <row r="703">
      <c r="A703" s="47" t="n">
        <v>42445</v>
      </c>
      <c r="B703" s="48" t="n">
        <v>4486333</v>
      </c>
      <c r="C703" s="48">
        <f>Table9[[#This Row],[WALCL]]-B702</f>
        <v/>
      </c>
    </row>
    <row r="704">
      <c r="A704" s="47" t="n">
        <v>42452</v>
      </c>
      <c r="B704" s="48" t="n">
        <v>4492857</v>
      </c>
      <c r="C704" s="48">
        <f>Table9[[#This Row],[WALCL]]-B703</f>
        <v/>
      </c>
    </row>
    <row r="705">
      <c r="A705" s="47" t="n">
        <v>42459</v>
      </c>
      <c r="B705" s="48" t="n">
        <v>4482840</v>
      </c>
      <c r="C705" s="48">
        <f>Table9[[#This Row],[WALCL]]-B704</f>
        <v/>
      </c>
    </row>
    <row r="706">
      <c r="A706" s="47" t="n">
        <v>42466</v>
      </c>
      <c r="B706" s="48" t="n">
        <v>4484069</v>
      </c>
      <c r="C706" s="48">
        <f>Table9[[#This Row],[WALCL]]-B705</f>
        <v/>
      </c>
    </row>
    <row r="707">
      <c r="A707" s="47" t="n">
        <v>42473</v>
      </c>
      <c r="B707" s="48" t="n">
        <v>4499729</v>
      </c>
      <c r="C707" s="48">
        <f>Table9[[#This Row],[WALCL]]-B706</f>
        <v/>
      </c>
    </row>
    <row r="708">
      <c r="A708" s="47" t="n">
        <v>42480</v>
      </c>
      <c r="B708" s="48" t="n">
        <v>4490131</v>
      </c>
      <c r="C708" s="48">
        <f>Table9[[#This Row],[WALCL]]-B707</f>
        <v/>
      </c>
    </row>
    <row r="709">
      <c r="A709" s="47" t="n">
        <v>42487</v>
      </c>
      <c r="B709" s="48" t="n">
        <v>4474665</v>
      </c>
      <c r="C709" s="48">
        <f>Table9[[#This Row],[WALCL]]-B708</f>
        <v/>
      </c>
    </row>
    <row r="710">
      <c r="A710" s="47" t="n">
        <v>42494</v>
      </c>
      <c r="B710" s="48" t="n">
        <v>4477270</v>
      </c>
      <c r="C710" s="48">
        <f>Table9[[#This Row],[WALCL]]-B709</f>
        <v/>
      </c>
    </row>
    <row r="711">
      <c r="A711" s="47" t="n">
        <v>42501</v>
      </c>
      <c r="B711" s="48" t="n">
        <v>4478411</v>
      </c>
      <c r="C711" s="48">
        <f>Table9[[#This Row],[WALCL]]-B710</f>
        <v/>
      </c>
    </row>
    <row r="712">
      <c r="A712" s="47" t="n">
        <v>42508</v>
      </c>
      <c r="B712" s="48" t="n">
        <v>4473741</v>
      </c>
      <c r="C712" s="48">
        <f>Table9[[#This Row],[WALCL]]-B711</f>
        <v/>
      </c>
    </row>
    <row r="713">
      <c r="A713" s="47" t="n">
        <v>42515</v>
      </c>
      <c r="B713" s="48" t="n">
        <v>4461111</v>
      </c>
      <c r="C713" s="48">
        <f>Table9[[#This Row],[WALCL]]-B712</f>
        <v/>
      </c>
    </row>
    <row r="714">
      <c r="A714" s="47" t="n">
        <v>42522</v>
      </c>
      <c r="B714" s="48" t="n">
        <v>4461393</v>
      </c>
      <c r="C714" s="48">
        <f>Table9[[#This Row],[WALCL]]-B713</f>
        <v/>
      </c>
    </row>
    <row r="715">
      <c r="A715" s="47" t="n">
        <v>42529</v>
      </c>
      <c r="B715" s="48" t="n">
        <v>4463542</v>
      </c>
      <c r="C715" s="48">
        <f>Table9[[#This Row],[WALCL]]-B714</f>
        <v/>
      </c>
    </row>
    <row r="716">
      <c r="A716" s="47" t="n">
        <v>42536</v>
      </c>
      <c r="B716" s="48" t="n">
        <v>4472817</v>
      </c>
      <c r="C716" s="48">
        <f>Table9[[#This Row],[WALCL]]-B715</f>
        <v/>
      </c>
    </row>
    <row r="717">
      <c r="A717" s="47" t="n">
        <v>42543</v>
      </c>
      <c r="B717" s="48" t="n">
        <v>4482009</v>
      </c>
      <c r="C717" s="48">
        <f>Table9[[#This Row],[WALCL]]-B716</f>
        <v/>
      </c>
    </row>
    <row r="718">
      <c r="A718" s="47" t="n">
        <v>42550</v>
      </c>
      <c r="B718" s="48" t="n">
        <v>4466482</v>
      </c>
      <c r="C718" s="48">
        <f>Table9[[#This Row],[WALCL]]-B717</f>
        <v/>
      </c>
    </row>
    <row r="719">
      <c r="A719" s="47" t="n">
        <v>42557</v>
      </c>
      <c r="B719" s="48" t="n">
        <v>4470605</v>
      </c>
      <c r="C719" s="48">
        <f>Table9[[#This Row],[WALCL]]-B718</f>
        <v/>
      </c>
    </row>
    <row r="720">
      <c r="A720" s="47" t="n">
        <v>42564</v>
      </c>
      <c r="B720" s="48" t="n">
        <v>4472202</v>
      </c>
      <c r="C720" s="48">
        <f>Table9[[#This Row],[WALCL]]-B719</f>
        <v/>
      </c>
    </row>
    <row r="721">
      <c r="A721" s="47" t="n">
        <v>42571</v>
      </c>
      <c r="B721" s="48" t="n">
        <v>4480973</v>
      </c>
      <c r="C721" s="48">
        <f>Table9[[#This Row],[WALCL]]-B720</f>
        <v/>
      </c>
    </row>
    <row r="722">
      <c r="A722" s="47" t="n">
        <v>42578</v>
      </c>
      <c r="B722" s="48" t="n">
        <v>4464498</v>
      </c>
      <c r="C722" s="48">
        <f>Table9[[#This Row],[WALCL]]-B721</f>
        <v/>
      </c>
    </row>
    <row r="723">
      <c r="A723" s="47" t="n">
        <v>42585</v>
      </c>
      <c r="B723" s="48" t="n">
        <v>4466793</v>
      </c>
      <c r="C723" s="48">
        <f>Table9[[#This Row],[WALCL]]-B722</f>
        <v/>
      </c>
    </row>
    <row r="724">
      <c r="A724" s="47" t="n">
        <v>42592</v>
      </c>
      <c r="B724" s="48" t="n">
        <v>4468929</v>
      </c>
      <c r="C724" s="48">
        <f>Table9[[#This Row],[WALCL]]-B723</f>
        <v/>
      </c>
    </row>
    <row r="725">
      <c r="A725" s="47" t="n">
        <v>42599</v>
      </c>
      <c r="B725" s="48" t="n">
        <v>4466476</v>
      </c>
      <c r="C725" s="48">
        <f>Table9[[#This Row],[WALCL]]-B724</f>
        <v/>
      </c>
    </row>
    <row r="726">
      <c r="A726" s="47" t="n">
        <v>42606</v>
      </c>
      <c r="B726" s="48" t="n">
        <v>4473840</v>
      </c>
      <c r="C726" s="48">
        <f>Table9[[#This Row],[WALCL]]-B725</f>
        <v/>
      </c>
    </row>
    <row r="727">
      <c r="A727" s="47" t="n">
        <v>42613</v>
      </c>
      <c r="B727" s="48" t="n">
        <v>4457907</v>
      </c>
      <c r="C727" s="48">
        <f>Table9[[#This Row],[WALCL]]-B726</f>
        <v/>
      </c>
    </row>
    <row r="728">
      <c r="A728" s="47" t="n">
        <v>42620</v>
      </c>
      <c r="B728" s="48" t="n">
        <v>4459394</v>
      </c>
      <c r="C728" s="48">
        <f>Table9[[#This Row],[WALCL]]-B727</f>
        <v/>
      </c>
    </row>
    <row r="729">
      <c r="A729" s="47" t="n">
        <v>42627</v>
      </c>
      <c r="B729" s="48" t="n">
        <v>4481635</v>
      </c>
      <c r="C729" s="48">
        <f>Table9[[#This Row],[WALCL]]-B728</f>
        <v/>
      </c>
    </row>
    <row r="730">
      <c r="A730" s="47" t="n">
        <v>42634</v>
      </c>
      <c r="B730" s="48" t="n">
        <v>4473032</v>
      </c>
      <c r="C730" s="48">
        <f>Table9[[#This Row],[WALCL]]-B729</f>
        <v/>
      </c>
    </row>
    <row r="731">
      <c r="A731" s="47" t="n">
        <v>42641</v>
      </c>
      <c r="B731" s="48" t="n">
        <v>4452002</v>
      </c>
      <c r="C731" s="48">
        <f>Table9[[#This Row],[WALCL]]-B730</f>
        <v/>
      </c>
    </row>
    <row r="732">
      <c r="A732" s="47" t="n">
        <v>42648</v>
      </c>
      <c r="B732" s="48" t="n">
        <v>4459407</v>
      </c>
      <c r="C732" s="48">
        <f>Table9[[#This Row],[WALCL]]-B731</f>
        <v/>
      </c>
    </row>
    <row r="733">
      <c r="A733" s="47" t="n">
        <v>42655</v>
      </c>
      <c r="B733" s="48" t="n">
        <v>4457698</v>
      </c>
      <c r="C733" s="48">
        <f>Table9[[#This Row],[WALCL]]-B732</f>
        <v/>
      </c>
    </row>
    <row r="734">
      <c r="A734" s="47" t="n">
        <v>42662</v>
      </c>
      <c r="B734" s="48" t="n">
        <v>4467382</v>
      </c>
      <c r="C734" s="48">
        <f>Table9[[#This Row],[WALCL]]-B733</f>
        <v/>
      </c>
    </row>
    <row r="735">
      <c r="A735" s="47" t="n">
        <v>42669</v>
      </c>
      <c r="B735" s="48" t="n">
        <v>4454326</v>
      </c>
      <c r="C735" s="48">
        <f>Table9[[#This Row],[WALCL]]-B734</f>
        <v/>
      </c>
    </row>
    <row r="736">
      <c r="A736" s="47" t="n">
        <v>42676</v>
      </c>
      <c r="B736" s="48" t="n">
        <v>4453087</v>
      </c>
      <c r="C736" s="48">
        <f>Table9[[#This Row],[WALCL]]-B735</f>
        <v/>
      </c>
    </row>
    <row r="737">
      <c r="A737" s="47" t="n">
        <v>42683</v>
      </c>
      <c r="B737" s="48" t="n">
        <v>4455087</v>
      </c>
      <c r="C737" s="48">
        <f>Table9[[#This Row],[WALCL]]-B736</f>
        <v/>
      </c>
    </row>
    <row r="738">
      <c r="A738" s="47" t="n">
        <v>42690</v>
      </c>
      <c r="B738" s="48" t="n">
        <v>4453633</v>
      </c>
      <c r="C738" s="48">
        <f>Table9[[#This Row],[WALCL]]-B737</f>
        <v/>
      </c>
    </row>
    <row r="739">
      <c r="A739" s="47" t="n">
        <v>42697</v>
      </c>
      <c r="B739" s="48" t="n">
        <v>4465782</v>
      </c>
      <c r="C739" s="48">
        <f>Table9[[#This Row],[WALCL]]-B738</f>
        <v/>
      </c>
    </row>
    <row r="740">
      <c r="A740" s="47" t="n">
        <v>42704</v>
      </c>
      <c r="B740" s="48" t="n">
        <v>4446307</v>
      </c>
      <c r="C740" s="48">
        <f>Table9[[#This Row],[WALCL]]-B739</f>
        <v/>
      </c>
    </row>
    <row r="741">
      <c r="A741" s="47" t="n">
        <v>42711</v>
      </c>
      <c r="B741" s="48" t="n">
        <v>4448618</v>
      </c>
      <c r="C741" s="48">
        <f>Table9[[#This Row],[WALCL]]-B740</f>
        <v/>
      </c>
    </row>
    <row r="742">
      <c r="A742" s="47" t="n">
        <v>42718</v>
      </c>
      <c r="B742" s="48" t="n">
        <v>4470973</v>
      </c>
      <c r="C742" s="48">
        <f>Table9[[#This Row],[WALCL]]-B741</f>
        <v/>
      </c>
    </row>
    <row r="743">
      <c r="A743" s="47" t="n">
        <v>42725</v>
      </c>
      <c r="B743" s="48" t="n">
        <v>4469089</v>
      </c>
      <c r="C743" s="48">
        <f>Table9[[#This Row],[WALCL]]-B742</f>
        <v/>
      </c>
    </row>
    <row r="744">
      <c r="A744" s="47" t="n">
        <v>42732</v>
      </c>
      <c r="B744" s="48" t="n">
        <v>4451451</v>
      </c>
      <c r="C744" s="48">
        <f>Table9[[#This Row],[WALCL]]-B743</f>
        <v/>
      </c>
    </row>
    <row r="745">
      <c r="A745" s="47" t="n">
        <v>42739</v>
      </c>
      <c r="B745" s="48" t="n">
        <v>4453101</v>
      </c>
      <c r="C745" s="48">
        <f>Table9[[#This Row],[WALCL]]-B744</f>
        <v/>
      </c>
    </row>
    <row r="746">
      <c r="A746" s="47" t="n">
        <v>42746</v>
      </c>
      <c r="B746" s="48" t="n">
        <v>4452509</v>
      </c>
      <c r="C746" s="48">
        <f>Table9[[#This Row],[WALCL]]-B745</f>
        <v/>
      </c>
    </row>
    <row r="747">
      <c r="A747" s="47" t="n">
        <v>42753</v>
      </c>
      <c r="B747" s="48" t="n">
        <v>4460758</v>
      </c>
      <c r="C747" s="48">
        <f>Table9[[#This Row],[WALCL]]-B746</f>
        <v/>
      </c>
    </row>
    <row r="748">
      <c r="A748" s="47" t="n">
        <v>42760</v>
      </c>
      <c r="B748" s="48" t="n">
        <v>4452838</v>
      </c>
      <c r="C748" s="48">
        <f>Table9[[#This Row],[WALCL]]-B747</f>
        <v/>
      </c>
    </row>
    <row r="749">
      <c r="A749" s="47" t="n">
        <v>42767</v>
      </c>
      <c r="B749" s="48" t="n">
        <v>4453881</v>
      </c>
      <c r="C749" s="48">
        <f>Table9[[#This Row],[WALCL]]-B748</f>
        <v/>
      </c>
    </row>
    <row r="750">
      <c r="A750" s="47" t="n">
        <v>42774</v>
      </c>
      <c r="B750" s="48" t="n">
        <v>4456236</v>
      </c>
      <c r="C750" s="48">
        <f>Table9[[#This Row],[WALCL]]-B749</f>
        <v/>
      </c>
    </row>
    <row r="751">
      <c r="A751" s="47" t="n">
        <v>42781</v>
      </c>
      <c r="B751" s="48" t="n">
        <v>4454676</v>
      </c>
      <c r="C751" s="48">
        <f>Table9[[#This Row],[WALCL]]-B750</f>
        <v/>
      </c>
    </row>
    <row r="752">
      <c r="A752" s="47" t="n">
        <v>42788</v>
      </c>
      <c r="B752" s="48" t="n">
        <v>4468702</v>
      </c>
      <c r="C752" s="48">
        <f>Table9[[#This Row],[WALCL]]-B751</f>
        <v/>
      </c>
    </row>
    <row r="753">
      <c r="A753" s="47" t="n">
        <v>42795</v>
      </c>
      <c r="B753" s="48" t="n">
        <v>4458018</v>
      </c>
      <c r="C753" s="48">
        <f>Table9[[#This Row],[WALCL]]-B752</f>
        <v/>
      </c>
    </row>
    <row r="754">
      <c r="A754" s="47" t="n">
        <v>42802</v>
      </c>
      <c r="B754" s="48" t="n">
        <v>4459840</v>
      </c>
      <c r="C754" s="48">
        <f>Table9[[#This Row],[WALCL]]-B753</f>
        <v/>
      </c>
    </row>
    <row r="755">
      <c r="A755" s="47" t="n">
        <v>42809</v>
      </c>
      <c r="B755" s="48" t="n">
        <v>4469577</v>
      </c>
      <c r="C755" s="48">
        <f>Table9[[#This Row],[WALCL]]-B754</f>
        <v/>
      </c>
    </row>
    <row r="756">
      <c r="A756" s="47" t="n">
        <v>42816</v>
      </c>
      <c r="B756" s="48" t="n">
        <v>4478236</v>
      </c>
      <c r="C756" s="48">
        <f>Table9[[#This Row],[WALCL]]-B755</f>
        <v/>
      </c>
    </row>
    <row r="757">
      <c r="A757" s="47" t="n">
        <v>42823</v>
      </c>
      <c r="B757" s="48" t="n">
        <v>4469618</v>
      </c>
      <c r="C757" s="48">
        <f>Table9[[#This Row],[WALCL]]-B756</f>
        <v/>
      </c>
    </row>
    <row r="758">
      <c r="A758" s="47" t="n">
        <v>42830</v>
      </c>
      <c r="B758" s="48" t="n">
        <v>4474634</v>
      </c>
      <c r="C758" s="48">
        <f>Table9[[#This Row],[WALCL]]-B757</f>
        <v/>
      </c>
    </row>
    <row r="759">
      <c r="A759" s="47" t="n">
        <v>42837</v>
      </c>
      <c r="B759" s="48" t="n">
        <v>4484492</v>
      </c>
      <c r="C759" s="48">
        <f>Table9[[#This Row],[WALCL]]-B758</f>
        <v/>
      </c>
    </row>
    <row r="760">
      <c r="A760" s="47" t="n">
        <v>42844</v>
      </c>
      <c r="B760" s="48" t="n">
        <v>4479270</v>
      </c>
      <c r="C760" s="48">
        <f>Table9[[#This Row],[WALCL]]-B759</f>
        <v/>
      </c>
    </row>
    <row r="761">
      <c r="A761" s="47" t="n">
        <v>42851</v>
      </c>
      <c r="B761" s="48" t="n">
        <v>4470142</v>
      </c>
      <c r="C761" s="48">
        <f>Table9[[#This Row],[WALCL]]-B760</f>
        <v/>
      </c>
    </row>
    <row r="762">
      <c r="A762" s="47" t="n">
        <v>42858</v>
      </c>
      <c r="B762" s="48" t="n">
        <v>4471246</v>
      </c>
      <c r="C762" s="48">
        <f>Table9[[#This Row],[WALCL]]-B761</f>
        <v/>
      </c>
    </row>
    <row r="763">
      <c r="A763" s="47" t="n">
        <v>42865</v>
      </c>
      <c r="B763" s="48" t="n">
        <v>4473459</v>
      </c>
      <c r="C763" s="48">
        <f>Table9[[#This Row],[WALCL]]-B762</f>
        <v/>
      </c>
    </row>
    <row r="764">
      <c r="A764" s="47" t="n">
        <v>42872</v>
      </c>
      <c r="B764" s="48" t="n">
        <v>4467108</v>
      </c>
      <c r="C764" s="48">
        <f>Table9[[#This Row],[WALCL]]-B763</f>
        <v/>
      </c>
    </row>
    <row r="765">
      <c r="A765" s="47" t="n">
        <v>42879</v>
      </c>
      <c r="B765" s="48" t="n">
        <v>4470852</v>
      </c>
      <c r="C765" s="48">
        <f>Table9[[#This Row],[WALCL]]-B764</f>
        <v/>
      </c>
    </row>
    <row r="766">
      <c r="A766" s="47" t="n">
        <v>42886</v>
      </c>
      <c r="B766" s="48" t="n">
        <v>4459914</v>
      </c>
      <c r="C766" s="48">
        <f>Table9[[#This Row],[WALCL]]-B765</f>
        <v/>
      </c>
    </row>
    <row r="767">
      <c r="A767" s="47" t="n">
        <v>42893</v>
      </c>
      <c r="B767" s="48" t="n">
        <v>4462443</v>
      </c>
      <c r="C767" s="48">
        <f>Table9[[#This Row],[WALCL]]-B766</f>
        <v/>
      </c>
    </row>
    <row r="768">
      <c r="A768" s="47" t="n">
        <v>42900</v>
      </c>
      <c r="B768" s="48" t="n">
        <v>4476269</v>
      </c>
      <c r="C768" s="48">
        <f>Table9[[#This Row],[WALCL]]-B767</f>
        <v/>
      </c>
    </row>
    <row r="769">
      <c r="A769" s="47" t="n">
        <v>42907</v>
      </c>
      <c r="B769" s="48" t="n">
        <v>4474257</v>
      </c>
      <c r="C769" s="48">
        <f>Table9[[#This Row],[WALCL]]-B768</f>
        <v/>
      </c>
    </row>
    <row r="770">
      <c r="A770" s="47" t="n">
        <v>42914</v>
      </c>
      <c r="B770" s="48" t="n">
        <v>4463347</v>
      </c>
      <c r="C770" s="48">
        <f>Table9[[#This Row],[WALCL]]-B769</f>
        <v/>
      </c>
    </row>
    <row r="771">
      <c r="A771" s="47" t="n">
        <v>42921</v>
      </c>
      <c r="B771" s="48" t="n">
        <v>4467272</v>
      </c>
      <c r="C771" s="48">
        <f>Table9[[#This Row],[WALCL]]-B770</f>
        <v/>
      </c>
    </row>
    <row r="772">
      <c r="A772" s="47" t="n">
        <v>42928</v>
      </c>
      <c r="B772" s="48" t="n">
        <v>4466702</v>
      </c>
      <c r="C772" s="48">
        <f>Table9[[#This Row],[WALCL]]-B771</f>
        <v/>
      </c>
    </row>
    <row r="773">
      <c r="A773" s="47" t="n">
        <v>42935</v>
      </c>
      <c r="B773" s="48" t="n">
        <v>4476903</v>
      </c>
      <c r="C773" s="48">
        <f>Table9[[#This Row],[WALCL]]-B772</f>
        <v/>
      </c>
    </row>
    <row r="774">
      <c r="A774" s="47" t="n">
        <v>42942</v>
      </c>
      <c r="B774" s="48" t="n">
        <v>4465284</v>
      </c>
      <c r="C774" s="48">
        <f>Table9[[#This Row],[WALCL]]-B773</f>
        <v/>
      </c>
    </row>
    <row r="775">
      <c r="A775" s="47" t="n">
        <v>42949</v>
      </c>
      <c r="B775" s="48" t="n">
        <v>4466846</v>
      </c>
      <c r="C775" s="48">
        <f>Table9[[#This Row],[WALCL]]-B774</f>
        <v/>
      </c>
    </row>
    <row r="776">
      <c r="A776" s="47" t="n">
        <v>42956</v>
      </c>
      <c r="B776" s="48" t="n">
        <v>4469083</v>
      </c>
      <c r="C776" s="48">
        <f>Table9[[#This Row],[WALCL]]-B775</f>
        <v/>
      </c>
    </row>
    <row r="777">
      <c r="A777" s="47" t="n">
        <v>42963</v>
      </c>
      <c r="B777" s="48" t="n">
        <v>4462871</v>
      </c>
      <c r="C777" s="48">
        <f>Table9[[#This Row],[WALCL]]-B776</f>
        <v/>
      </c>
    </row>
    <row r="778">
      <c r="A778" s="47" t="n">
        <v>42970</v>
      </c>
      <c r="B778" s="48" t="n">
        <v>4463837</v>
      </c>
      <c r="C778" s="48">
        <f>Table9[[#This Row],[WALCL]]-B777</f>
        <v/>
      </c>
    </row>
    <row r="779">
      <c r="A779" s="47" t="n">
        <v>42977</v>
      </c>
      <c r="B779" s="48" t="n">
        <v>4452360</v>
      </c>
      <c r="C779" s="48">
        <f>Table9[[#This Row],[WALCL]]-B778</f>
        <v/>
      </c>
    </row>
    <row r="780">
      <c r="A780" s="47" t="n">
        <v>42984</v>
      </c>
      <c r="B780" s="48" t="n">
        <v>4453474</v>
      </c>
      <c r="C780" s="48">
        <f>Table9[[#This Row],[WALCL]]-B779</f>
        <v/>
      </c>
    </row>
    <row r="781">
      <c r="A781" s="47" t="n">
        <v>42991</v>
      </c>
      <c r="B781" s="48" t="n">
        <v>4471174</v>
      </c>
      <c r="C781" s="48">
        <f>Table9[[#This Row],[WALCL]]-B780</f>
        <v/>
      </c>
    </row>
    <row r="782">
      <c r="A782" s="47" t="n">
        <v>42998</v>
      </c>
      <c r="B782" s="48" t="n">
        <v>4458576</v>
      </c>
      <c r="C782" s="48">
        <f>Table9[[#This Row],[WALCL]]-B781</f>
        <v/>
      </c>
    </row>
    <row r="783">
      <c r="A783" s="47" t="n">
        <v>43005</v>
      </c>
      <c r="B783" s="48" t="n">
        <v>4455661</v>
      </c>
      <c r="C783" s="48">
        <f>Table9[[#This Row],[WALCL]]-B782</f>
        <v/>
      </c>
    </row>
    <row r="784">
      <c r="A784" s="47" t="n">
        <v>43012</v>
      </c>
      <c r="B784" s="48" t="n">
        <v>4460422</v>
      </c>
      <c r="C784" s="48">
        <f>Table9[[#This Row],[WALCL]]-B783</f>
        <v/>
      </c>
    </row>
    <row r="785">
      <c r="A785" s="47" t="n">
        <v>43019</v>
      </c>
      <c r="B785" s="48" t="n">
        <v>4459415</v>
      </c>
      <c r="C785" s="48">
        <f>Table9[[#This Row],[WALCL]]-B784</f>
        <v/>
      </c>
    </row>
    <row r="786">
      <c r="A786" s="47" t="n">
        <v>43026</v>
      </c>
      <c r="B786" s="48" t="n">
        <v>4469723</v>
      </c>
      <c r="C786" s="48">
        <f>Table9[[#This Row],[WALCL]]-B785</f>
        <v/>
      </c>
    </row>
    <row r="787">
      <c r="A787" s="47" t="n">
        <v>43033</v>
      </c>
      <c r="B787" s="48" t="n">
        <v>4461117</v>
      </c>
      <c r="C787" s="48">
        <f>Table9[[#This Row],[WALCL]]-B786</f>
        <v/>
      </c>
    </row>
    <row r="788">
      <c r="A788" s="47" t="n">
        <v>43040</v>
      </c>
      <c r="B788" s="48" t="n">
        <v>4455887</v>
      </c>
      <c r="C788" s="48">
        <f>Table9[[#This Row],[WALCL]]-B787</f>
        <v/>
      </c>
    </row>
    <row r="789">
      <c r="A789" s="47" t="n">
        <v>43047</v>
      </c>
      <c r="B789" s="48" t="n">
        <v>4458552</v>
      </c>
      <c r="C789" s="48">
        <f>Table9[[#This Row],[WALCL]]-B788</f>
        <v/>
      </c>
    </row>
    <row r="790">
      <c r="A790" s="47" t="n">
        <v>43054</v>
      </c>
      <c r="B790" s="48" t="n">
        <v>4448289</v>
      </c>
      <c r="C790" s="48">
        <f>Table9[[#This Row],[WALCL]]-B789</f>
        <v/>
      </c>
    </row>
    <row r="791">
      <c r="A791" s="47" t="n">
        <v>43061</v>
      </c>
      <c r="B791" s="48" t="n">
        <v>4450615</v>
      </c>
      <c r="C791" s="48">
        <f>Table9[[#This Row],[WALCL]]-B790</f>
        <v/>
      </c>
    </row>
    <row r="792">
      <c r="A792" s="47" t="n">
        <v>43068</v>
      </c>
      <c r="B792" s="48" t="n">
        <v>4438592</v>
      </c>
      <c r="C792" s="48">
        <f>Table9[[#This Row],[WALCL]]-B791</f>
        <v/>
      </c>
    </row>
    <row r="793">
      <c r="A793" s="47" t="n">
        <v>43075</v>
      </c>
      <c r="B793" s="48" t="n">
        <v>4437148</v>
      </c>
      <c r="C793" s="48">
        <f>Table9[[#This Row],[WALCL]]-B792</f>
        <v/>
      </c>
    </row>
    <row r="794">
      <c r="A794" s="47" t="n">
        <v>43082</v>
      </c>
      <c r="B794" s="48" t="n">
        <v>4452726</v>
      </c>
      <c r="C794" s="48">
        <f>Table9[[#This Row],[WALCL]]-B793</f>
        <v/>
      </c>
    </row>
    <row r="795">
      <c r="A795" s="47" t="n">
        <v>43089</v>
      </c>
      <c r="B795" s="48" t="n">
        <v>4447470</v>
      </c>
      <c r="C795" s="48">
        <f>Table9[[#This Row],[WALCL]]-B794</f>
        <v/>
      </c>
    </row>
    <row r="796">
      <c r="A796" s="47" t="n">
        <v>43096</v>
      </c>
      <c r="B796" s="48" t="n">
        <v>4448680</v>
      </c>
      <c r="C796" s="48">
        <f>Table9[[#This Row],[WALCL]]-B795</f>
        <v/>
      </c>
    </row>
    <row r="797">
      <c r="A797" s="47" t="n">
        <v>43103</v>
      </c>
      <c r="B797" s="48" t="n">
        <v>4443718</v>
      </c>
      <c r="C797" s="48">
        <f>Table9[[#This Row],[WALCL]]-B796</f>
        <v/>
      </c>
    </row>
    <row r="798">
      <c r="A798" s="47" t="n">
        <v>43110</v>
      </c>
      <c r="B798" s="48" t="n">
        <v>4446062</v>
      </c>
      <c r="C798" s="48">
        <f>Table9[[#This Row],[WALCL]]-B797</f>
        <v/>
      </c>
    </row>
    <row r="799">
      <c r="A799" s="47" t="n">
        <v>43117</v>
      </c>
      <c r="B799" s="48" t="n">
        <v>4439145</v>
      </c>
      <c r="C799" s="48">
        <f>Table9[[#This Row],[WALCL]]-B798</f>
        <v/>
      </c>
    </row>
    <row r="800">
      <c r="A800" s="47" t="n">
        <v>43124</v>
      </c>
      <c r="B800" s="48" t="n">
        <v>4441317</v>
      </c>
      <c r="C800" s="48">
        <f>Table9[[#This Row],[WALCL]]-B799</f>
        <v/>
      </c>
    </row>
    <row r="801">
      <c r="A801" s="47" t="n">
        <v>43131</v>
      </c>
      <c r="B801" s="48" t="n">
        <v>4419225</v>
      </c>
      <c r="C801" s="48">
        <f>Table9[[#This Row],[WALCL]]-B800</f>
        <v/>
      </c>
    </row>
    <row r="802">
      <c r="A802" s="47" t="n">
        <v>43138</v>
      </c>
      <c r="B802" s="48" t="n">
        <v>4420745</v>
      </c>
      <c r="C802" s="48">
        <f>Table9[[#This Row],[WALCL]]-B801</f>
        <v/>
      </c>
    </row>
    <row r="803">
      <c r="A803" s="47" t="n">
        <v>43145</v>
      </c>
      <c r="B803" s="48" t="n">
        <v>4434863</v>
      </c>
      <c r="C803" s="48">
        <f>Table9[[#This Row],[WALCL]]-B802</f>
        <v/>
      </c>
    </row>
    <row r="804">
      <c r="A804" s="47" t="n">
        <v>43152</v>
      </c>
      <c r="B804" s="48" t="n">
        <v>4411660</v>
      </c>
      <c r="C804" s="48">
        <f>Table9[[#This Row],[WALCL]]-B803</f>
        <v/>
      </c>
    </row>
    <row r="805">
      <c r="A805" s="47" t="n">
        <v>43159</v>
      </c>
      <c r="B805" s="48" t="n">
        <v>4393401</v>
      </c>
      <c r="C805" s="48">
        <f>Table9[[#This Row],[WALCL]]-B804</f>
        <v/>
      </c>
    </row>
    <row r="806">
      <c r="A806" s="47" t="n">
        <v>43166</v>
      </c>
      <c r="B806" s="48" t="n">
        <v>4396097</v>
      </c>
      <c r="C806" s="48">
        <f>Table9[[#This Row],[WALCL]]-B805</f>
        <v/>
      </c>
    </row>
    <row r="807">
      <c r="A807" s="47" t="n">
        <v>43173</v>
      </c>
      <c r="B807" s="48" t="n">
        <v>4407258</v>
      </c>
      <c r="C807" s="48">
        <f>Table9[[#This Row],[WALCL]]-B806</f>
        <v/>
      </c>
    </row>
    <row r="808">
      <c r="A808" s="47" t="n">
        <v>43180</v>
      </c>
      <c r="B808" s="48" t="n">
        <v>4401222</v>
      </c>
      <c r="C808" s="48">
        <f>Table9[[#This Row],[WALCL]]-B807</f>
        <v/>
      </c>
    </row>
    <row r="809">
      <c r="A809" s="47" t="n">
        <v>43187</v>
      </c>
      <c r="B809" s="48" t="n">
        <v>4392198</v>
      </c>
      <c r="C809" s="48">
        <f>Table9[[#This Row],[WALCL]]-B808</f>
        <v/>
      </c>
    </row>
    <row r="810">
      <c r="A810" s="47" t="n">
        <v>43194</v>
      </c>
      <c r="B810" s="48" t="n">
        <v>4386104</v>
      </c>
      <c r="C810" s="48">
        <f>Table9[[#This Row],[WALCL]]-B809</f>
        <v/>
      </c>
    </row>
    <row r="811">
      <c r="A811" s="47" t="n">
        <v>43201</v>
      </c>
      <c r="B811" s="48" t="n">
        <v>4383684</v>
      </c>
      <c r="C811" s="48">
        <f>Table9[[#This Row],[WALCL]]-B810</f>
        <v/>
      </c>
    </row>
    <row r="812">
      <c r="A812" s="47" t="n">
        <v>43208</v>
      </c>
      <c r="B812" s="48" t="n">
        <v>4385903</v>
      </c>
      <c r="C812" s="48">
        <f>Table9[[#This Row],[WALCL]]-B811</f>
        <v/>
      </c>
    </row>
    <row r="813">
      <c r="A813" s="47" t="n">
        <v>43215</v>
      </c>
      <c r="B813" s="48" t="n">
        <v>4372886</v>
      </c>
      <c r="C813" s="48">
        <f>Table9[[#This Row],[WALCL]]-B812</f>
        <v/>
      </c>
    </row>
    <row r="814">
      <c r="A814" s="47" t="n">
        <v>43222</v>
      </c>
      <c r="B814" s="48" t="n">
        <v>4356129</v>
      </c>
      <c r="C814" s="48">
        <f>Table9[[#This Row],[WALCL]]-B813</f>
        <v/>
      </c>
    </row>
    <row r="815">
      <c r="A815" s="47" t="n">
        <v>43229</v>
      </c>
      <c r="B815" s="48" t="n">
        <v>4358207</v>
      </c>
      <c r="C815" s="48">
        <f>Table9[[#This Row],[WALCL]]-B814</f>
        <v/>
      </c>
    </row>
    <row r="816">
      <c r="A816" s="47" t="n">
        <v>43236</v>
      </c>
      <c r="B816" s="48" t="n">
        <v>4337609</v>
      </c>
      <c r="C816" s="48">
        <f>Table9[[#This Row],[WALCL]]-B815</f>
        <v/>
      </c>
    </row>
    <row r="817">
      <c r="A817" s="47" t="n">
        <v>43243</v>
      </c>
      <c r="B817" s="48" t="n">
        <v>4337301</v>
      </c>
      <c r="C817" s="48">
        <f>Table9[[#This Row],[WALCL]]-B816</f>
        <v/>
      </c>
    </row>
    <row r="818">
      <c r="A818" s="47" t="n">
        <v>43250</v>
      </c>
      <c r="B818" s="48" t="n">
        <v>4327519</v>
      </c>
      <c r="C818" s="48">
        <f>Table9[[#This Row],[WALCL]]-B817</f>
        <v/>
      </c>
    </row>
    <row r="819">
      <c r="A819" s="47" t="n">
        <v>43257</v>
      </c>
      <c r="B819" s="48" t="n">
        <v>4319191</v>
      </c>
      <c r="C819" s="48">
        <f>Table9[[#This Row],[WALCL]]-B818</f>
        <v/>
      </c>
    </row>
    <row r="820">
      <c r="A820" s="47" t="n">
        <v>43264</v>
      </c>
      <c r="B820" s="48" t="n">
        <v>4324906</v>
      </c>
      <c r="C820" s="48">
        <f>Table9[[#This Row],[WALCL]]-B819</f>
        <v/>
      </c>
    </row>
    <row r="821">
      <c r="A821" s="47" t="n">
        <v>43271</v>
      </c>
      <c r="B821" s="48" t="n">
        <v>4315896</v>
      </c>
      <c r="C821" s="48">
        <f>Table9[[#This Row],[WALCL]]-B820</f>
        <v/>
      </c>
    </row>
    <row r="822">
      <c r="A822" s="47" t="n">
        <v>43278</v>
      </c>
      <c r="B822" s="48" t="n">
        <v>4305491</v>
      </c>
      <c r="C822" s="48">
        <f>Table9[[#This Row],[WALCL]]-B821</f>
        <v/>
      </c>
    </row>
    <row r="823">
      <c r="A823" s="47" t="n">
        <v>43285</v>
      </c>
      <c r="B823" s="48" t="n">
        <v>4289764</v>
      </c>
      <c r="C823" s="48">
        <f>Table9[[#This Row],[WALCL]]-B822</f>
        <v/>
      </c>
    </row>
    <row r="824">
      <c r="A824" s="47" t="n">
        <v>43292</v>
      </c>
      <c r="B824" s="48" t="n">
        <v>4291201</v>
      </c>
      <c r="C824" s="48">
        <f>Table9[[#This Row],[WALCL]]-B823</f>
        <v/>
      </c>
    </row>
    <row r="825">
      <c r="A825" s="47" t="n">
        <v>43299</v>
      </c>
      <c r="B825" s="48" t="n">
        <v>4291615</v>
      </c>
      <c r="C825" s="48">
        <f>Table9[[#This Row],[WALCL]]-B824</f>
        <v/>
      </c>
    </row>
    <row r="826">
      <c r="A826" s="47" t="n">
        <v>43306</v>
      </c>
      <c r="B826" s="48" t="n">
        <v>4277681</v>
      </c>
      <c r="C826" s="48">
        <f>Table9[[#This Row],[WALCL]]-B825</f>
        <v/>
      </c>
    </row>
    <row r="827">
      <c r="A827" s="47" t="n">
        <v>43313</v>
      </c>
      <c r="B827" s="48" t="n">
        <v>4255653</v>
      </c>
      <c r="C827" s="48">
        <f>Table9[[#This Row],[WALCL]]-B826</f>
        <v/>
      </c>
    </row>
    <row r="828">
      <c r="A828" s="47" t="n">
        <v>43320</v>
      </c>
      <c r="B828" s="48" t="n">
        <v>4258030</v>
      </c>
      <c r="C828" s="48">
        <f>Table9[[#This Row],[WALCL]]-B827</f>
        <v/>
      </c>
    </row>
    <row r="829">
      <c r="A829" s="47" t="n">
        <v>43327</v>
      </c>
      <c r="B829" s="48" t="n">
        <v>4228924</v>
      </c>
      <c r="C829" s="48">
        <f>Table9[[#This Row],[WALCL]]-B828</f>
        <v/>
      </c>
    </row>
    <row r="830">
      <c r="A830" s="47" t="n">
        <v>43334</v>
      </c>
      <c r="B830" s="48" t="n">
        <v>4228818</v>
      </c>
      <c r="C830" s="48">
        <f>Table9[[#This Row],[WALCL]]-B829</f>
        <v/>
      </c>
    </row>
    <row r="831">
      <c r="A831" s="47" t="n">
        <v>43341</v>
      </c>
      <c r="B831" s="48" t="n">
        <v>4218914</v>
      </c>
      <c r="C831" s="48">
        <f>Table9[[#This Row],[WALCL]]-B830</f>
        <v/>
      </c>
    </row>
    <row r="832">
      <c r="A832" s="47" t="n">
        <v>43348</v>
      </c>
      <c r="B832" s="48" t="n">
        <v>4208496</v>
      </c>
      <c r="C832" s="48">
        <f>Table9[[#This Row],[WALCL]]-B831</f>
        <v/>
      </c>
    </row>
    <row r="833">
      <c r="A833" s="47" t="n">
        <v>43355</v>
      </c>
      <c r="B833" s="48" t="n">
        <v>4210812</v>
      </c>
      <c r="C833" s="48">
        <f>Table9[[#This Row],[WALCL]]-B832</f>
        <v/>
      </c>
    </row>
    <row r="834">
      <c r="A834" s="47" t="n">
        <v>43362</v>
      </c>
      <c r="B834" s="48" t="n">
        <v>4208059</v>
      </c>
      <c r="C834" s="48">
        <f>Table9[[#This Row],[WALCL]]-B833</f>
        <v/>
      </c>
    </row>
    <row r="835">
      <c r="A835" s="47" t="n">
        <v>43369</v>
      </c>
      <c r="B835" s="48" t="n">
        <v>4192909</v>
      </c>
      <c r="C835" s="48">
        <f>Table9[[#This Row],[WALCL]]-B834</f>
        <v/>
      </c>
    </row>
    <row r="836">
      <c r="A836" s="47" t="n">
        <v>43376</v>
      </c>
      <c r="B836" s="48" t="n">
        <v>4174704</v>
      </c>
      <c r="C836" s="48">
        <f>Table9[[#This Row],[WALCL]]-B835</f>
        <v/>
      </c>
    </row>
    <row r="837">
      <c r="A837" s="47" t="n">
        <v>43383</v>
      </c>
      <c r="B837" s="48" t="n">
        <v>4176906</v>
      </c>
      <c r="C837" s="48">
        <f>Table9[[#This Row],[WALCL]]-B836</f>
        <v/>
      </c>
    </row>
    <row r="838">
      <c r="A838" s="47" t="n">
        <v>43390</v>
      </c>
      <c r="B838" s="48" t="n">
        <v>4175446</v>
      </c>
      <c r="C838" s="48">
        <f>Table9[[#This Row],[WALCL]]-B837</f>
        <v/>
      </c>
    </row>
    <row r="839">
      <c r="A839" s="47" t="n">
        <v>43397</v>
      </c>
      <c r="B839" s="48" t="n">
        <v>4173070</v>
      </c>
      <c r="C839" s="48">
        <f>Table9[[#This Row],[WALCL]]-B838</f>
        <v/>
      </c>
    </row>
    <row r="840">
      <c r="A840" s="47" t="n">
        <v>43404</v>
      </c>
      <c r="B840" s="48" t="n">
        <v>4139731</v>
      </c>
      <c r="C840" s="48">
        <f>Table9[[#This Row],[WALCL]]-B839</f>
        <v/>
      </c>
    </row>
    <row r="841">
      <c r="A841" s="47" t="n">
        <v>43411</v>
      </c>
      <c r="B841" s="48" t="n">
        <v>4141936</v>
      </c>
      <c r="C841" s="48">
        <f>Table9[[#This Row],[WALCL]]-B840</f>
        <v/>
      </c>
    </row>
    <row r="842">
      <c r="A842" s="47" t="n">
        <v>43418</v>
      </c>
      <c r="B842" s="48" t="n">
        <v>4145892</v>
      </c>
      <c r="C842" s="48">
        <f>Table9[[#This Row],[WALCL]]-B841</f>
        <v/>
      </c>
    </row>
    <row r="843">
      <c r="A843" s="47" t="n">
        <v>43425</v>
      </c>
      <c r="B843" s="48" t="n">
        <v>4106198</v>
      </c>
      <c r="C843" s="48">
        <f>Table9[[#This Row],[WALCL]]-B842</f>
        <v/>
      </c>
    </row>
    <row r="844">
      <c r="A844" s="47" t="n">
        <v>43432</v>
      </c>
      <c r="B844" s="48" t="n">
        <v>4097170</v>
      </c>
      <c r="C844" s="48">
        <f>Table9[[#This Row],[WALCL]]-B843</f>
        <v/>
      </c>
    </row>
    <row r="845">
      <c r="A845" s="47" t="n">
        <v>43439</v>
      </c>
      <c r="B845" s="48" t="n">
        <v>4086044</v>
      </c>
      <c r="C845" s="48">
        <f>Table9[[#This Row],[WALCL]]-B844</f>
        <v/>
      </c>
    </row>
    <row r="846">
      <c r="A846" s="47" t="n">
        <v>43446</v>
      </c>
      <c r="B846" s="48" t="n">
        <v>4088314</v>
      </c>
      <c r="C846" s="48">
        <f>Table9[[#This Row],[WALCL]]-B845</f>
        <v/>
      </c>
    </row>
    <row r="847">
      <c r="A847" s="47" t="n">
        <v>43453</v>
      </c>
      <c r="B847" s="48" t="n">
        <v>4084274</v>
      </c>
      <c r="C847" s="48">
        <f>Table9[[#This Row],[WALCL]]-B846</f>
        <v/>
      </c>
    </row>
    <row r="848">
      <c r="A848" s="47" t="n">
        <v>43460</v>
      </c>
      <c r="B848" s="48" t="n">
        <v>4075636</v>
      </c>
      <c r="C848" s="48">
        <f>Table9[[#This Row],[WALCL]]-B847</f>
        <v/>
      </c>
    </row>
    <row r="849">
      <c r="A849" s="47" t="n">
        <v>43467</v>
      </c>
      <c r="B849" s="48" t="n">
        <v>4058378</v>
      </c>
      <c r="C849" s="48">
        <f>Table9[[#This Row],[WALCL]]-B848</f>
        <v/>
      </c>
    </row>
    <row r="850">
      <c r="A850" s="47" t="n">
        <v>43474</v>
      </c>
      <c r="B850" s="48" t="n">
        <v>4056563</v>
      </c>
      <c r="C850" s="48">
        <f>Table9[[#This Row],[WALCL]]-B849</f>
        <v/>
      </c>
    </row>
    <row r="851">
      <c r="A851" s="47" t="n">
        <v>43481</v>
      </c>
      <c r="B851" s="48" t="n">
        <v>4050044</v>
      </c>
      <c r="C851" s="48">
        <f>Table9[[#This Row],[WALCL]]-B850</f>
        <v/>
      </c>
    </row>
    <row r="852">
      <c r="A852" s="47" t="n">
        <v>43488</v>
      </c>
      <c r="B852" s="48" t="n">
        <v>4047052</v>
      </c>
      <c r="C852" s="48">
        <f>Table9[[#This Row],[WALCL]]-B851</f>
        <v/>
      </c>
    </row>
    <row r="853">
      <c r="A853" s="47" t="n">
        <v>43495</v>
      </c>
      <c r="B853" s="48" t="n">
        <v>4039678</v>
      </c>
      <c r="C853" s="48">
        <f>Table9[[#This Row],[WALCL]]-B852</f>
        <v/>
      </c>
    </row>
    <row r="854">
      <c r="A854" s="47" t="n">
        <v>43502</v>
      </c>
      <c r="B854" s="48" t="n">
        <v>4026350</v>
      </c>
      <c r="C854" s="48">
        <f>Table9[[#This Row],[WALCL]]-B853</f>
        <v/>
      </c>
    </row>
    <row r="855">
      <c r="A855" s="47" t="n">
        <v>43509</v>
      </c>
      <c r="B855" s="48" t="n">
        <v>4028431</v>
      </c>
      <c r="C855" s="48">
        <f>Table9[[#This Row],[WALCL]]-B854</f>
        <v/>
      </c>
    </row>
    <row r="856">
      <c r="A856" s="47" t="n">
        <v>43516</v>
      </c>
      <c r="B856" s="48" t="n">
        <v>3981420</v>
      </c>
      <c r="C856" s="48">
        <f>Table9[[#This Row],[WALCL]]-B855</f>
        <v/>
      </c>
    </row>
    <row r="857">
      <c r="A857" s="47" t="n">
        <v>43523</v>
      </c>
      <c r="B857" s="48" t="n">
        <v>3974590</v>
      </c>
      <c r="C857" s="48">
        <f>Table9[[#This Row],[WALCL]]-B856</f>
        <v/>
      </c>
    </row>
    <row r="858">
      <c r="A858" s="47" t="n">
        <v>43530</v>
      </c>
      <c r="B858" s="48" t="n">
        <v>3969134</v>
      </c>
      <c r="C858" s="48">
        <f>Table9[[#This Row],[WALCL]]-B857</f>
        <v/>
      </c>
    </row>
    <row r="859">
      <c r="A859" s="47" t="n">
        <v>43537</v>
      </c>
      <c r="B859" s="48" t="n">
        <v>3971559</v>
      </c>
      <c r="C859" s="48">
        <f>Table9[[#This Row],[WALCL]]-B858</f>
        <v/>
      </c>
    </row>
    <row r="860">
      <c r="A860" s="47" t="n">
        <v>43544</v>
      </c>
      <c r="B860" s="48" t="n">
        <v>3962748</v>
      </c>
      <c r="C860" s="48">
        <f>Table9[[#This Row],[WALCL]]-B859</f>
        <v/>
      </c>
    </row>
    <row r="861">
      <c r="A861" s="47" t="n">
        <v>43551</v>
      </c>
      <c r="B861" s="48" t="n">
        <v>3955617</v>
      </c>
      <c r="C861" s="48">
        <f>Table9[[#This Row],[WALCL]]-B860</f>
        <v/>
      </c>
    </row>
    <row r="862">
      <c r="A862" s="47" t="n">
        <v>43558</v>
      </c>
      <c r="B862" s="48" t="n">
        <v>3935509</v>
      </c>
      <c r="C862" s="48">
        <f>Table9[[#This Row],[WALCL]]-B861</f>
        <v/>
      </c>
    </row>
    <row r="863">
      <c r="A863" s="47" t="n">
        <v>43565</v>
      </c>
      <c r="B863" s="48" t="n">
        <v>3936784</v>
      </c>
      <c r="C863" s="48">
        <f>Table9[[#This Row],[WALCL]]-B862</f>
        <v/>
      </c>
    </row>
    <row r="864">
      <c r="A864" s="47" t="n">
        <v>43572</v>
      </c>
      <c r="B864" s="48" t="n">
        <v>3931827</v>
      </c>
      <c r="C864" s="48">
        <f>Table9[[#This Row],[WALCL]]-B863</f>
        <v/>
      </c>
    </row>
    <row r="865">
      <c r="A865" s="47" t="n">
        <v>43579</v>
      </c>
      <c r="B865" s="48" t="n">
        <v>3928273</v>
      </c>
      <c r="C865" s="48">
        <f>Table9[[#This Row],[WALCL]]-B864</f>
        <v/>
      </c>
    </row>
    <row r="866">
      <c r="A866" s="47" t="n">
        <v>43586</v>
      </c>
      <c r="B866" s="48" t="n">
        <v>3889691</v>
      </c>
      <c r="C866" s="48">
        <f>Table9[[#This Row],[WALCL]]-B865</f>
        <v/>
      </c>
    </row>
    <row r="867">
      <c r="A867" s="47" t="n">
        <v>43593</v>
      </c>
      <c r="B867" s="48" t="n">
        <v>3892216</v>
      </c>
      <c r="C867" s="48">
        <f>Table9[[#This Row],[WALCL]]-B866</f>
        <v/>
      </c>
    </row>
    <row r="868">
      <c r="A868" s="47" t="n">
        <v>43600</v>
      </c>
      <c r="B868" s="48" t="n">
        <v>3864749</v>
      </c>
      <c r="C868" s="48">
        <f>Table9[[#This Row],[WALCL]]-B867</f>
        <v/>
      </c>
    </row>
    <row r="869">
      <c r="A869" s="47" t="n">
        <v>43607</v>
      </c>
      <c r="B869" s="48" t="n">
        <v>3860435</v>
      </c>
      <c r="C869" s="48">
        <f>Table9[[#This Row],[WALCL]]-B868</f>
        <v/>
      </c>
    </row>
    <row r="870">
      <c r="A870" s="47" t="n">
        <v>43614</v>
      </c>
      <c r="B870" s="48" t="n">
        <v>3851444</v>
      </c>
      <c r="C870" s="48">
        <f>Table9[[#This Row],[WALCL]]-B869</f>
        <v/>
      </c>
    </row>
    <row r="871">
      <c r="A871" s="47" t="n">
        <v>43621</v>
      </c>
      <c r="B871" s="48" t="n">
        <v>3847645</v>
      </c>
      <c r="C871" s="48">
        <f>Table9[[#This Row],[WALCL]]-B870</f>
        <v/>
      </c>
    </row>
    <row r="872">
      <c r="A872" s="47" t="n">
        <v>43628</v>
      </c>
      <c r="B872" s="48" t="n">
        <v>3849955</v>
      </c>
      <c r="C872" s="48">
        <f>Table9[[#This Row],[WALCL]]-B871</f>
        <v/>
      </c>
    </row>
    <row r="873">
      <c r="A873" s="47" t="n">
        <v>43635</v>
      </c>
      <c r="B873" s="48" t="n">
        <v>3844016</v>
      </c>
      <c r="C873" s="48">
        <f>Table9[[#This Row],[WALCL]]-B872</f>
        <v/>
      </c>
    </row>
    <row r="874">
      <c r="A874" s="47" t="n">
        <v>43642</v>
      </c>
      <c r="B874" s="48" t="n">
        <v>3826817</v>
      </c>
      <c r="C874" s="48">
        <f>Table9[[#This Row],[WALCL]]-B873</f>
        <v/>
      </c>
    </row>
    <row r="875">
      <c r="A875" s="47" t="n">
        <v>43649</v>
      </c>
      <c r="B875" s="48" t="n">
        <v>3813198</v>
      </c>
      <c r="C875" s="48">
        <f>Table9[[#This Row],[WALCL]]-B874</f>
        <v/>
      </c>
    </row>
    <row r="876">
      <c r="A876" s="47" t="n">
        <v>43656</v>
      </c>
      <c r="B876" s="48" t="n">
        <v>3815038</v>
      </c>
      <c r="C876" s="48">
        <f>Table9[[#This Row],[WALCL]]-B875</f>
        <v/>
      </c>
    </row>
    <row r="877">
      <c r="A877" s="47" t="n">
        <v>43663</v>
      </c>
      <c r="B877" s="48" t="n">
        <v>3808110</v>
      </c>
      <c r="C877" s="48">
        <f>Table9[[#This Row],[WALCL]]-B876</f>
        <v/>
      </c>
    </row>
    <row r="878">
      <c r="A878" s="47" t="n">
        <v>43670</v>
      </c>
      <c r="B878" s="48" t="n">
        <v>3803436</v>
      </c>
      <c r="C878" s="48">
        <f>Table9[[#This Row],[WALCL]]-B877</f>
        <v/>
      </c>
    </row>
    <row r="879">
      <c r="A879" s="47" t="n">
        <v>43677</v>
      </c>
      <c r="B879" s="48" t="n">
        <v>3779102</v>
      </c>
      <c r="C879" s="48">
        <f>Table9[[#This Row],[WALCL]]-B878</f>
        <v/>
      </c>
    </row>
    <row r="880">
      <c r="A880" s="47" t="n">
        <v>43684</v>
      </c>
      <c r="B880" s="48" t="n">
        <v>3781543</v>
      </c>
      <c r="C880" s="48">
        <f>Table9[[#This Row],[WALCL]]-B879</f>
        <v/>
      </c>
    </row>
    <row r="881">
      <c r="A881" s="47" t="n">
        <v>43691</v>
      </c>
      <c r="B881" s="48" t="n">
        <v>3786018</v>
      </c>
      <c r="C881" s="48">
        <f>Table9[[#This Row],[WALCL]]-B880</f>
        <v/>
      </c>
    </row>
    <row r="882">
      <c r="A882" s="47" t="n">
        <v>43698</v>
      </c>
      <c r="B882" s="48" t="n">
        <v>3764866</v>
      </c>
      <c r="C882" s="48">
        <f>Table9[[#This Row],[WALCL]]-B881</f>
        <v/>
      </c>
    </row>
    <row r="883">
      <c r="A883" s="47" t="n">
        <v>43705</v>
      </c>
      <c r="B883" s="48" t="n">
        <v>3759946</v>
      </c>
      <c r="C883" s="48">
        <f>Table9[[#This Row],[WALCL]]-B882</f>
        <v/>
      </c>
    </row>
    <row r="884">
      <c r="A884" s="47" t="n">
        <v>43712</v>
      </c>
      <c r="B884" s="48" t="n">
        <v>3761508</v>
      </c>
      <c r="C884" s="48">
        <f>Table9[[#This Row],[WALCL]]-B883</f>
        <v/>
      </c>
    </row>
    <row r="885">
      <c r="A885" s="47" t="n">
        <v>43719</v>
      </c>
      <c r="B885" s="48" t="n">
        <v>3769673</v>
      </c>
      <c r="C885" s="48">
        <f>Table9[[#This Row],[WALCL]]-B884</f>
        <v/>
      </c>
    </row>
    <row r="886">
      <c r="A886" s="47" t="n">
        <v>43726</v>
      </c>
      <c r="B886" s="48" t="n">
        <v>3844695</v>
      </c>
      <c r="C886" s="48">
        <f>Table9[[#This Row],[WALCL]]-B885</f>
        <v/>
      </c>
    </row>
    <row r="887">
      <c r="A887" s="47" t="n">
        <v>43733</v>
      </c>
      <c r="B887" s="48" t="n">
        <v>3857715</v>
      </c>
      <c r="C887" s="48">
        <f>Table9[[#This Row],[WALCL]]-B886</f>
        <v/>
      </c>
    </row>
    <row r="888">
      <c r="A888" s="47" t="n">
        <v>43740</v>
      </c>
      <c r="B888" s="48" t="n">
        <v>3945831</v>
      </c>
      <c r="C888" s="48">
        <f>Table9[[#This Row],[WALCL]]-B887</f>
        <v/>
      </c>
    </row>
    <row r="889">
      <c r="A889" s="47" t="n">
        <v>43747</v>
      </c>
      <c r="B889" s="48" t="n">
        <v>3949955</v>
      </c>
      <c r="C889" s="48">
        <f>Table9[[#This Row],[WALCL]]-B888</f>
        <v/>
      </c>
    </row>
    <row r="890">
      <c r="A890" s="47" t="n">
        <v>43754</v>
      </c>
      <c r="B890" s="48" t="n">
        <v>3966471</v>
      </c>
      <c r="C890" s="48">
        <f>Table9[[#This Row],[WALCL]]-B889</f>
        <v/>
      </c>
    </row>
    <row r="891">
      <c r="A891" s="47" t="n">
        <v>43761</v>
      </c>
      <c r="B891" s="48" t="n">
        <v>3968700</v>
      </c>
      <c r="C891" s="48">
        <f>Table9[[#This Row],[WALCL]]-B890</f>
        <v/>
      </c>
    </row>
    <row r="892">
      <c r="A892" s="47" t="n">
        <v>43768</v>
      </c>
      <c r="B892" s="48" t="n">
        <v>4019823</v>
      </c>
      <c r="C892" s="48">
        <f>Table9[[#This Row],[WALCL]]-B891</f>
        <v/>
      </c>
    </row>
    <row r="893">
      <c r="A893" s="47" t="n">
        <v>43775</v>
      </c>
      <c r="B893" s="48" t="n">
        <v>4039443</v>
      </c>
      <c r="C893" s="48">
        <f>Table9[[#This Row],[WALCL]]-B892</f>
        <v/>
      </c>
    </row>
    <row r="894">
      <c r="A894" s="47" t="n">
        <v>43782</v>
      </c>
      <c r="B894" s="48" t="n">
        <v>4047882</v>
      </c>
      <c r="C894" s="48">
        <f>Table9[[#This Row],[WALCL]]-B893</f>
        <v/>
      </c>
    </row>
    <row r="895">
      <c r="A895" s="47" t="n">
        <v>43789</v>
      </c>
      <c r="B895" s="48" t="n">
        <v>4030249</v>
      </c>
      <c r="C895" s="48">
        <f>Table9[[#This Row],[WALCL]]-B894</f>
        <v/>
      </c>
    </row>
    <row r="896">
      <c r="A896" s="47" t="n">
        <v>43796</v>
      </c>
      <c r="B896" s="48" t="n">
        <v>4052875</v>
      </c>
      <c r="C896" s="48">
        <f>Table9[[#This Row],[WALCL]]-B895</f>
        <v/>
      </c>
    </row>
    <row r="897">
      <c r="A897" s="47" t="n">
        <v>43803</v>
      </c>
      <c r="B897" s="48" t="n">
        <v>4065696</v>
      </c>
      <c r="C897" s="48">
        <f>Table9[[#This Row],[WALCL]]-B896</f>
        <v/>
      </c>
    </row>
    <row r="898">
      <c r="A898" s="47" t="n">
        <v>43810</v>
      </c>
      <c r="B898" s="48" t="n">
        <v>4095491</v>
      </c>
      <c r="C898" s="48">
        <f>Table9[[#This Row],[WALCL]]-B897</f>
        <v/>
      </c>
    </row>
    <row r="899">
      <c r="A899" s="47" t="n">
        <v>43817</v>
      </c>
      <c r="B899" s="48" t="n">
        <v>4137052</v>
      </c>
      <c r="C899" s="48">
        <f>Table9[[#This Row],[WALCL]]-B898</f>
        <v/>
      </c>
    </row>
    <row r="900">
      <c r="A900" s="47" t="n">
        <v>43824</v>
      </c>
      <c r="B900" s="48" t="n">
        <v>4165591</v>
      </c>
      <c r="C900" s="48">
        <f>Table9[[#This Row],[WALCL]]-B899</f>
        <v/>
      </c>
    </row>
    <row r="901">
      <c r="A901" s="47" t="n">
        <v>43831</v>
      </c>
      <c r="B901" s="48" t="n">
        <v>4173626</v>
      </c>
      <c r="C901" s="48">
        <f>Table9[[#This Row],[WALCL]]-B900</f>
        <v/>
      </c>
    </row>
    <row r="902">
      <c r="A902" s="47" t="n">
        <v>43838</v>
      </c>
      <c r="B902" s="48" t="n">
        <v>4149544</v>
      </c>
      <c r="C902" s="48">
        <f>Table9[[#This Row],[WALCL]]-B901</f>
        <v/>
      </c>
    </row>
    <row r="903">
      <c r="A903" s="47" t="n">
        <v>43845</v>
      </c>
      <c r="B903" s="48" t="n">
        <v>4175850</v>
      </c>
      <c r="C903" s="48">
        <f>Table9[[#This Row],[WALCL]]-B902</f>
        <v/>
      </c>
    </row>
    <row r="904">
      <c r="A904" s="47" t="n">
        <v>43852</v>
      </c>
      <c r="B904" s="48" t="n">
        <v>4145912</v>
      </c>
      <c r="C904" s="48">
        <f>Table9[[#This Row],[WALCL]]-B903</f>
        <v/>
      </c>
    </row>
    <row r="905">
      <c r="A905" s="47" t="n">
        <v>43859</v>
      </c>
      <c r="B905" s="48" t="n">
        <v>4151630</v>
      </c>
      <c r="C905" s="48">
        <f>Table9[[#This Row],[WALCL]]-B904</f>
        <v/>
      </c>
    </row>
    <row r="906">
      <c r="A906" s="47" t="n">
        <v>43866</v>
      </c>
      <c r="B906" s="48" t="n">
        <v>4166707</v>
      </c>
      <c r="C906" s="48">
        <f>Table9[[#This Row],[WALCL]]-B905</f>
        <v/>
      </c>
    </row>
    <row r="907">
      <c r="A907" s="47" t="n">
        <v>43873</v>
      </c>
      <c r="B907" s="48" t="n">
        <v>4182689</v>
      </c>
      <c r="C907" s="48">
        <f>Table9[[#This Row],[WALCL]]-B906</f>
        <v/>
      </c>
    </row>
    <row r="908">
      <c r="A908" s="47" t="n">
        <v>43880</v>
      </c>
      <c r="B908" s="48" t="n">
        <v>4171570</v>
      </c>
      <c r="C908" s="48">
        <f>Table9[[#This Row],[WALCL]]-B907</f>
        <v/>
      </c>
    </row>
    <row r="909">
      <c r="A909" s="47" t="n">
        <v>43887</v>
      </c>
      <c r="B909" s="48" t="n">
        <v>4158637</v>
      </c>
      <c r="C909" s="48">
        <f>Table9[[#This Row],[WALCL]]-B908</f>
        <v/>
      </c>
    </row>
    <row r="910">
      <c r="A910" s="47" t="n">
        <v>43894</v>
      </c>
      <c r="B910" s="48" t="n">
        <v>4241507</v>
      </c>
      <c r="C910" s="48">
        <f>Table9[[#This Row],[WALCL]]-B909</f>
        <v/>
      </c>
    </row>
    <row r="911">
      <c r="A911" s="47" t="n">
        <v>43901</v>
      </c>
      <c r="B911" s="48" t="n">
        <v>4311911</v>
      </c>
      <c r="C911" s="48">
        <f>Table9[[#This Row],[WALCL]]-B910</f>
        <v/>
      </c>
    </row>
    <row r="912">
      <c r="A912" s="47" t="n">
        <v>43908</v>
      </c>
      <c r="B912" s="48" t="n">
        <v>4668212</v>
      </c>
      <c r="C912" s="48">
        <f>Table9[[#This Row],[WALCL]]-B911</f>
        <v/>
      </c>
    </row>
    <row r="913">
      <c r="A913" s="47" t="n">
        <v>43915</v>
      </c>
      <c r="B913" s="52" t="n">
        <v>5254278</v>
      </c>
      <c r="C913" s="48">
        <f>Table9[[#This Row],[WALCL]]-B912</f>
        <v/>
      </c>
    </row>
    <row r="914">
      <c r="A914" s="47" t="n">
        <v>43922</v>
      </c>
      <c r="B914" s="52" t="n">
        <v>5811607</v>
      </c>
      <c r="C914" s="48">
        <f>Table9[[#This Row],[WALCL]]-B913</f>
        <v/>
      </c>
    </row>
    <row r="915">
      <c r="A915" s="47" t="n">
        <v>43929</v>
      </c>
      <c r="B915" s="52" t="n">
        <v>6083141</v>
      </c>
      <c r="C915" s="48">
        <f>Table9[[#This Row],[WALCL]]-B914</f>
        <v/>
      </c>
    </row>
    <row r="916">
      <c r="A916" s="47" t="n">
        <v>43936</v>
      </c>
      <c r="B916" s="52" t="n">
        <v>6367887</v>
      </c>
      <c r="C916" s="48">
        <f>Table9[[#This Row],[WALCL]]-B915</f>
        <v/>
      </c>
    </row>
    <row r="917">
      <c r="A917" s="47" t="n">
        <v>43943</v>
      </c>
      <c r="B917" s="52" t="n">
        <v>6573136</v>
      </c>
      <c r="C917" s="48">
        <f>Table9[[#This Row],[WALCL]]-B916</f>
        <v/>
      </c>
    </row>
    <row r="918">
      <c r="A918" s="47" t="n">
        <v>43950</v>
      </c>
      <c r="B918" s="52" t="n">
        <v>6655929</v>
      </c>
      <c r="C918" s="48">
        <f>Table9[[#This Row],[WALCL]]-B917</f>
        <v/>
      </c>
    </row>
    <row r="919">
      <c r="A919" s="47" t="n">
        <v>43957</v>
      </c>
      <c r="B919" s="52" t="n">
        <v>6721420</v>
      </c>
      <c r="C919" s="48">
        <f>Table9[[#This Row],[WALCL]]-B918</f>
        <v/>
      </c>
    </row>
    <row r="920">
      <c r="A920" s="47" t="n">
        <v>43964</v>
      </c>
      <c r="B920" s="52" t="n">
        <v>6934227</v>
      </c>
      <c r="C920" s="48">
        <f>Table9[[#This Row],[WALCL]]-B919</f>
        <v/>
      </c>
    </row>
    <row r="921">
      <c r="A921" s="47" t="n">
        <v>43971</v>
      </c>
      <c r="B921" s="52" t="n">
        <v>7037258</v>
      </c>
      <c r="C921" s="48">
        <f>Table9[[#This Row],[WALCL]]-B920</f>
        <v/>
      </c>
    </row>
    <row r="922">
      <c r="A922" s="47" t="n">
        <v>43978</v>
      </c>
      <c r="B922" s="52" t="n">
        <v>7097316</v>
      </c>
      <c r="C922" s="48">
        <f>Table9[[#This Row],[WALCL]]-B921</f>
        <v/>
      </c>
    </row>
    <row r="923">
      <c r="A923" s="47" t="n">
        <v>43985</v>
      </c>
      <c r="B923" s="52" t="n">
        <v>7165217</v>
      </c>
      <c r="C923" s="48">
        <f>Table9[[#This Row],[WALCL]]-B922</f>
        <v/>
      </c>
    </row>
    <row r="924">
      <c r="A924" s="47" t="n">
        <v>43992</v>
      </c>
      <c r="B924" s="52" t="n">
        <v>7168936</v>
      </c>
      <c r="C924" s="48">
        <f>Table9[[#This Row],[WALCL]]-B923</f>
        <v/>
      </c>
    </row>
    <row r="925">
      <c r="A925" s="47" t="n">
        <v>43999</v>
      </c>
      <c r="B925" s="52" t="n">
        <v>7094690</v>
      </c>
      <c r="C925" s="48">
        <f>Table9[[#This Row],[WALCL]]-B924</f>
        <v/>
      </c>
    </row>
    <row r="926">
      <c r="A926" s="47" t="n">
        <v>44006</v>
      </c>
      <c r="B926" s="52" t="n">
        <v>7082302</v>
      </c>
      <c r="C926" s="48">
        <f>Table9[[#This Row],[WALCL]]-B925</f>
        <v/>
      </c>
    </row>
    <row r="927">
      <c r="A927" s="47" t="n">
        <v>44013</v>
      </c>
      <c r="B927" s="52" t="n">
        <v>7009040</v>
      </c>
      <c r="C927" s="48">
        <f>Table9[[#This Row],[WALCL]]-B926</f>
        <v/>
      </c>
    </row>
    <row r="928">
      <c r="A928" s="47" t="n">
        <v>44020</v>
      </c>
      <c r="B928" s="52" t="n">
        <v>6920716</v>
      </c>
      <c r="C928" s="48">
        <f>Table9[[#This Row],[WALCL]]-B927</f>
        <v/>
      </c>
    </row>
    <row r="929">
      <c r="A929" s="47" t="n">
        <v>44027</v>
      </c>
      <c r="B929" s="52" t="n">
        <v>6958604</v>
      </c>
      <c r="C929" s="48">
        <f>Table9[[#This Row],[WALCL]]-B928</f>
        <v/>
      </c>
    </row>
    <row r="930">
      <c r="A930" s="47" t="n">
        <v>44034</v>
      </c>
      <c r="B930" s="52" t="n">
        <v>6964755</v>
      </c>
      <c r="C930" s="48">
        <f>Table9[[#This Row],[WALCL]]-B929</f>
        <v/>
      </c>
    </row>
    <row r="931">
      <c r="A931" s="47" t="n">
        <v>44041</v>
      </c>
      <c r="B931" s="52" t="n">
        <v>6949032</v>
      </c>
      <c r="C931" s="48">
        <f>Table9[[#This Row],[WALCL]]-B930</f>
        <v/>
      </c>
    </row>
    <row r="932">
      <c r="A932" s="47" t="n">
        <v>44048</v>
      </c>
      <c r="B932" s="52" t="n">
        <v>6945237</v>
      </c>
      <c r="C932" s="48">
        <f>Table9[[#This Row],[WALCL]]-B931</f>
        <v/>
      </c>
    </row>
    <row r="933">
      <c r="A933" s="47" t="n">
        <v>44055</v>
      </c>
      <c r="B933" s="52" t="n">
        <v>6957277</v>
      </c>
      <c r="C933" s="48">
        <f>Table9[[#This Row],[WALCL]]-B932</f>
        <v/>
      </c>
    </row>
    <row r="934">
      <c r="A934" s="47" t="n">
        <v>44062</v>
      </c>
      <c r="B934" s="52" t="n">
        <v>7010637</v>
      </c>
      <c r="C934" s="48">
        <f>Table9[[#This Row],[WALCL]]-B933</f>
        <v/>
      </c>
    </row>
    <row r="935">
      <c r="A935" s="47" t="n">
        <v>44069</v>
      </c>
      <c r="B935" s="52" t="n">
        <v>6990418</v>
      </c>
      <c r="C935" s="48">
        <f>Table9[[#This Row],[WALCL]]-B934</f>
        <v/>
      </c>
    </row>
    <row r="936">
      <c r="A936" s="47" t="n">
        <v>44076</v>
      </c>
      <c r="B936" s="52" t="n">
        <v>7017492</v>
      </c>
      <c r="C936" s="48">
        <f>Table9[[#This Row],[WALCL]]-B935</f>
        <v/>
      </c>
    </row>
    <row r="937">
      <c r="A937" s="47" t="n">
        <v>44083</v>
      </c>
      <c r="B937" s="52" t="n">
        <v>7010614</v>
      </c>
      <c r="C937" s="48">
        <f>Table9[[#This Row],[WALCL]]-B936</f>
        <v/>
      </c>
    </row>
    <row r="938">
      <c r="A938" s="47" t="n">
        <v>44090</v>
      </c>
      <c r="B938" s="52" t="n">
        <v>7064475</v>
      </c>
      <c r="C938" s="48">
        <f>Table9[[#This Row],[WALCL]]-B937</f>
        <v/>
      </c>
    </row>
    <row r="939">
      <c r="A939" s="47" t="n">
        <v>44097</v>
      </c>
      <c r="B939" s="52" t="n">
        <v>7093161</v>
      </c>
      <c r="C939" s="48">
        <f>Table9[[#This Row],[WALCL]]-B938</f>
        <v/>
      </c>
    </row>
    <row r="940">
      <c r="A940" s="47" t="n">
        <v>44104</v>
      </c>
      <c r="B940" s="52" t="n">
        <v>7056129</v>
      </c>
      <c r="C940" s="48">
        <f>Table9[[#This Row],[WALCL]]-B939</f>
        <v/>
      </c>
    </row>
    <row r="941">
      <c r="A941" s="47" t="n">
        <v>44111</v>
      </c>
      <c r="B941" s="52" t="n">
        <v>7074649</v>
      </c>
      <c r="C941" s="48">
        <f>Table9[[#This Row],[WALCL]]-B940</f>
        <v/>
      </c>
    </row>
    <row r="942">
      <c r="A942" s="47" t="n">
        <v>44118</v>
      </c>
      <c r="B942" s="52" t="n">
        <v>7151426</v>
      </c>
      <c r="C942" s="48">
        <f>Table9[[#This Row],[WALCL]]-B941</f>
        <v/>
      </c>
    </row>
    <row r="943">
      <c r="A943" s="47" t="n">
        <v>44125</v>
      </c>
      <c r="B943" s="52" t="n">
        <v>7177265</v>
      </c>
      <c r="C943" s="48">
        <f>Table9[[#This Row],[WALCL]]-B942</f>
        <v/>
      </c>
    </row>
    <row r="944">
      <c r="A944" s="47" t="n">
        <v>44132</v>
      </c>
      <c r="B944" s="52" t="n">
        <v>7146306</v>
      </c>
      <c r="C944" s="48">
        <f>Table9[[#This Row],[WALCL]]-B943</f>
        <v/>
      </c>
    </row>
    <row r="945">
      <c r="A945" s="47" t="n">
        <v>44139</v>
      </c>
      <c r="B945" s="52" t="n">
        <v>7157479</v>
      </c>
      <c r="C945" s="48">
        <f>Table9[[#This Row],[WALCL]]-B944</f>
        <v/>
      </c>
    </row>
    <row r="946">
      <c r="A946" s="47" t="n">
        <v>44146</v>
      </c>
      <c r="B946" s="52" t="n">
        <v>7175417</v>
      </c>
      <c r="C946" s="48">
        <f>Table9[[#This Row],[WALCL]]-B945</f>
        <v/>
      </c>
    </row>
    <row r="947">
      <c r="A947" s="47" t="n">
        <v>44153</v>
      </c>
      <c r="B947" s="52" t="n">
        <v>7243080</v>
      </c>
      <c r="C947" s="48">
        <f>Table9[[#This Row],[WALCL]]-B946</f>
        <v/>
      </c>
    </row>
    <row r="948">
      <c r="A948" s="47" t="n">
        <v>44160</v>
      </c>
      <c r="B948" s="52" t="n">
        <v>7216480</v>
      </c>
      <c r="C948" s="48">
        <f>Table9[[#This Row],[WALCL]]-B947</f>
        <v/>
      </c>
    </row>
    <row r="949">
      <c r="A949" s="47" t="n">
        <v>44167</v>
      </c>
      <c r="B949" s="52" t="n">
        <v>7222414</v>
      </c>
      <c r="C949" s="48">
        <f>Table9[[#This Row],[WALCL]]-B948</f>
        <v/>
      </c>
    </row>
    <row r="950">
      <c r="A950" s="47" t="n">
        <v>44174</v>
      </c>
      <c r="B950" s="52" t="n">
        <v>7242658</v>
      </c>
      <c r="C950" s="48">
        <f>Table9[[#This Row],[WALCL]]-B949</f>
        <v/>
      </c>
    </row>
    <row r="951">
      <c r="A951" s="47" t="n">
        <v>44181</v>
      </c>
      <c r="B951" s="52" t="n">
        <v>7362592</v>
      </c>
      <c r="C951" s="48">
        <f>Table9[[#This Row],[WALCL]]-B950</f>
        <v/>
      </c>
    </row>
    <row r="952">
      <c r="A952" s="47" t="n">
        <v>44188</v>
      </c>
      <c r="B952" s="52" t="n">
        <v>7404039</v>
      </c>
      <c r="C952" s="48">
        <f>Table9[[#This Row],[WALCL]]-B951</f>
        <v/>
      </c>
    </row>
    <row r="953">
      <c r="A953" s="47" t="n">
        <v>44195</v>
      </c>
      <c r="B953" s="52" t="n">
        <v>7363351</v>
      </c>
      <c r="C953" s="48">
        <f>Table9[[#This Row],[WALCL]]-B952</f>
        <v/>
      </c>
    </row>
    <row r="954">
      <c r="A954" s="47" t="n">
        <v>44202</v>
      </c>
      <c r="B954" s="52" t="n">
        <v>7334809</v>
      </c>
      <c r="C954" s="48">
        <f>Table9[[#This Row],[WALCL]]-B953</f>
        <v/>
      </c>
    </row>
    <row r="955">
      <c r="A955" s="47" t="n">
        <v>44209</v>
      </c>
      <c r="B955" s="52" t="n">
        <v>7333968</v>
      </c>
      <c r="C955" s="48">
        <f>Table9[[#This Row],[WALCL]]-B954</f>
        <v/>
      </c>
    </row>
    <row r="956">
      <c r="A956" s="47" t="n">
        <v>44216</v>
      </c>
      <c r="B956" s="52" t="n">
        <v>7414942</v>
      </c>
      <c r="C956" s="48">
        <f>Table9[[#This Row],[WALCL]]-B955</f>
        <v/>
      </c>
    </row>
    <row r="957">
      <c r="A957" s="47" t="n">
        <v>44223</v>
      </c>
      <c r="B957" s="52" t="n">
        <v>7404926</v>
      </c>
      <c r="C957" s="48">
        <f>Table9[[#This Row],[WALCL]]-B956</f>
        <v/>
      </c>
    </row>
    <row r="958">
      <c r="A958" s="47" t="n">
        <v>44230</v>
      </c>
      <c r="B958" s="52" t="n">
        <v>7410598</v>
      </c>
      <c r="C958" s="48">
        <f>Table9[[#This Row],[WALCL]]-B957</f>
        <v/>
      </c>
    </row>
    <row r="959">
      <c r="A959" s="47" t="n">
        <v>44237</v>
      </c>
      <c r="B959" s="52" t="n">
        <v>7442225</v>
      </c>
      <c r="C959" s="48">
        <f>Table9[[#This Row],[WALCL]]-B958</f>
        <v/>
      </c>
    </row>
    <row r="960">
      <c r="A960" s="47" t="n">
        <v>44244</v>
      </c>
      <c r="B960" s="52" t="n">
        <v>7557402</v>
      </c>
      <c r="C960" s="48">
        <f>Table9[[#This Row],[WALCL]]-B959</f>
        <v/>
      </c>
    </row>
    <row r="961">
      <c r="A961" s="47" t="n">
        <v>44251</v>
      </c>
      <c r="B961" s="52" t="n">
        <v>7590111</v>
      </c>
      <c r="C961" s="48">
        <f>Table9[[#This Row],[WALCL]]-B960</f>
        <v/>
      </c>
    </row>
    <row r="962">
      <c r="A962" s="47" t="n">
        <v>44258</v>
      </c>
      <c r="B962" s="52" t="n">
        <v>7557524</v>
      </c>
      <c r="C962" s="48">
        <f>Table9[[#This Row],[WALCL]]-B961</f>
        <v/>
      </c>
    </row>
    <row r="963">
      <c r="A963" s="47" t="n">
        <v>44265</v>
      </c>
      <c r="B963" s="52" t="n">
        <v>7579901</v>
      </c>
      <c r="C963" s="48">
        <f>Table9[[#This Row],[WALCL]]-B962</f>
        <v/>
      </c>
    </row>
    <row r="964">
      <c r="A964" s="47" t="n">
        <v>44272</v>
      </c>
      <c r="B964" s="52" t="n">
        <v>7693506</v>
      </c>
      <c r="C964" s="48">
        <f>Table9[[#This Row],[WALCL]]-B963</f>
        <v/>
      </c>
    </row>
    <row r="965">
      <c r="A965" s="47" t="n">
        <v>44279</v>
      </c>
      <c r="B965" s="52" t="n">
        <v>7719622</v>
      </c>
      <c r="C965" s="48">
        <f>Table9[[#This Row],[WALCL]]-B964</f>
        <v/>
      </c>
    </row>
    <row r="966">
      <c r="A966" s="47" t="n">
        <v>44286</v>
      </c>
      <c r="B966" s="52" t="n">
        <v>7688988</v>
      </c>
      <c r="C966" s="48">
        <f>Table9[[#This Row],[WALCL]]-B965</f>
        <v/>
      </c>
    </row>
    <row r="967">
      <c r="A967" s="47" t="n">
        <v>44293</v>
      </c>
      <c r="B967" s="52" t="n">
        <v>7708882</v>
      </c>
      <c r="C967" s="48">
        <f>Table9[[#This Row],[WALCL]]-B966</f>
        <v/>
      </c>
    </row>
    <row r="968">
      <c r="A968" s="47" t="n">
        <v>44300</v>
      </c>
      <c r="B968" s="52" t="n">
        <v>7793104</v>
      </c>
      <c r="C968" s="48">
        <f>Table9[[#This Row],[WALCL]]-B967</f>
        <v/>
      </c>
    </row>
    <row r="969">
      <c r="A969" s="47" t="n">
        <v>44307</v>
      </c>
      <c r="B969" s="52" t="n">
        <v>7820948</v>
      </c>
      <c r="C969" s="48">
        <f>Table9[[#This Row],[WALCL]]-B968</f>
        <v/>
      </c>
    </row>
    <row r="970">
      <c r="A970" s="47" t="n">
        <v>44314</v>
      </c>
      <c r="B970" s="52" t="n">
        <v>7780962</v>
      </c>
      <c r="C970" s="48">
        <f>Table9[[#This Row],[WALCL]]-B969</f>
        <v/>
      </c>
    </row>
    <row r="971">
      <c r="A971" s="47" t="n">
        <v>44321</v>
      </c>
      <c r="B971" s="52" t="n">
        <v>7810486</v>
      </c>
      <c r="C971" s="48">
        <f>Table9[[#This Row],[WALCL]]-B970</f>
        <v/>
      </c>
    </row>
    <row r="972">
      <c r="A972" s="47" t="n">
        <v>44328</v>
      </c>
      <c r="B972" s="52" t="n">
        <v>7830663</v>
      </c>
      <c r="C972" s="48">
        <f>Table9[[#This Row],[WALCL]]-B971</f>
        <v/>
      </c>
    </row>
    <row r="973">
      <c r="A973" s="47" t="n">
        <v>44335</v>
      </c>
      <c r="B973" s="52" t="n">
        <v>7922883</v>
      </c>
      <c r="C973" s="48">
        <f>Table9[[#This Row],[WALCL]]-B972</f>
        <v/>
      </c>
    </row>
    <row r="974">
      <c r="A974" s="47" t="n">
        <v>44342</v>
      </c>
      <c r="B974" s="52" t="n">
        <v>7903541</v>
      </c>
      <c r="C974" s="48">
        <f>Table9[[#This Row],[WALCL]]-B973</f>
        <v/>
      </c>
    </row>
    <row r="975">
      <c r="A975" s="47" t="n">
        <v>44349</v>
      </c>
      <c r="B975" s="52" t="n">
        <v>7935703</v>
      </c>
      <c r="C975" s="48">
        <f>Table9[[#This Row],[WALCL]]-B974</f>
        <v/>
      </c>
    </row>
    <row r="976">
      <c r="A976" s="47" t="n">
        <v>44356</v>
      </c>
      <c r="B976" s="52" t="n">
        <v>7952327</v>
      </c>
      <c r="C976" s="48">
        <f>Table9[[#This Row],[WALCL]]-B975</f>
        <v/>
      </c>
    </row>
    <row r="977">
      <c r="A977" s="47" t="n">
        <v>44363</v>
      </c>
      <c r="B977" s="52" t="n">
        <v>8064257</v>
      </c>
      <c r="C977" s="48">
        <f>Table9[[#This Row],[WALCL]]-B976</f>
        <v/>
      </c>
    </row>
    <row r="978">
      <c r="A978" s="47" t="n">
        <v>44370</v>
      </c>
      <c r="B978" s="52" t="n">
        <v>8101945</v>
      </c>
      <c r="C978" s="48">
        <f>Table9[[#This Row],[WALCL]]-B977</f>
        <v/>
      </c>
    </row>
    <row r="979">
      <c r="A979" s="47" t="n">
        <v>44377</v>
      </c>
      <c r="B979" s="52" t="n">
        <v>8078544</v>
      </c>
      <c r="C979" s="48">
        <f>Table9[[#This Row],[WALCL]]-B978</f>
        <v/>
      </c>
    </row>
    <row r="980">
      <c r="A980" s="47" t="n">
        <v>44384</v>
      </c>
      <c r="B980" s="52" t="n">
        <v>8097773</v>
      </c>
      <c r="C980" s="48">
        <f>Table9[[#This Row],[WALCL]]-B979</f>
        <v/>
      </c>
    </row>
    <row r="981">
      <c r="A981" s="47" t="n">
        <v>44391</v>
      </c>
      <c r="B981" s="52" t="n">
        <v>8201651</v>
      </c>
      <c r="C981" s="48">
        <f>Table9[[#This Row],[WALCL]]-B980</f>
        <v/>
      </c>
    </row>
    <row r="982">
      <c r="A982" s="47" t="n">
        <v>44398</v>
      </c>
      <c r="B982" s="52" t="n">
        <v>8240530</v>
      </c>
      <c r="C982" s="48">
        <f>Table9[[#This Row],[WALCL]]-B981</f>
        <v/>
      </c>
    </row>
    <row r="983">
      <c r="A983" s="47" t="n">
        <v>44405</v>
      </c>
      <c r="B983" s="52" t="n">
        <v>8221473</v>
      </c>
      <c r="C983" s="48">
        <f>Table9[[#This Row],[WALCL]]-B982</f>
        <v/>
      </c>
    </row>
    <row r="984">
      <c r="A984" s="47" t="n">
        <v>44412</v>
      </c>
      <c r="B984" s="52" t="n">
        <v>8235073</v>
      </c>
      <c r="C984" s="48">
        <f>Table9[[#This Row],[WALCL]]-B983</f>
        <v/>
      </c>
    </row>
    <row r="985">
      <c r="A985" s="47" t="n">
        <v>44419</v>
      </c>
      <c r="B985" s="52" t="n">
        <v>8257159</v>
      </c>
      <c r="C985" s="48">
        <f>Table9[[#This Row],[WALCL]]-B984</f>
        <v/>
      </c>
    </row>
    <row r="986">
      <c r="A986" s="47" t="n">
        <v>44426</v>
      </c>
      <c r="B986" s="52" t="n">
        <v>8342598</v>
      </c>
      <c r="C986" s="48">
        <f>Table9[[#This Row],[WALCL]]-B985</f>
        <v/>
      </c>
    </row>
    <row r="987">
      <c r="A987" s="47" t="n">
        <v>44433</v>
      </c>
      <c r="B987" s="52" t="n">
        <v>8332743</v>
      </c>
      <c r="C987" s="48">
        <f>Table9[[#This Row],[WALCL]]-B986</f>
        <v/>
      </c>
    </row>
    <row r="988">
      <c r="A988" s="47" t="n">
        <v>44440</v>
      </c>
      <c r="B988" s="52" t="n">
        <v>8349173</v>
      </c>
      <c r="C988" s="48">
        <f>Table9[[#This Row],[WALCL]]-B987</f>
        <v/>
      </c>
    </row>
    <row r="989">
      <c r="A989" s="47" t="n">
        <v>44447</v>
      </c>
      <c r="B989" s="52" t="n">
        <v>8357314</v>
      </c>
      <c r="C989" s="48">
        <f>Table9[[#This Row],[WALCL]]-B988</f>
        <v/>
      </c>
    </row>
    <row r="990">
      <c r="A990" s="47" t="n">
        <v>44454</v>
      </c>
      <c r="B990" s="52" t="n">
        <v>8448770</v>
      </c>
      <c r="C990" s="48">
        <f>Table9[[#This Row],[WALCL]]-B989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P990"/>
  <sheetViews>
    <sheetView zoomScale="150" zoomScaleNormal="150" workbookViewId="0">
      <pane ySplit="11" topLeftCell="A12" activePane="bottomLeft" state="frozen"/>
      <selection pane="bottomLeft" activeCell="A1" sqref="A1"/>
    </sheetView>
  </sheetViews>
  <sheetFormatPr baseColWidth="10" defaultColWidth="9.1640625" defaultRowHeight="15"/>
  <cols>
    <col width="20.6640625" customWidth="1" style="54" min="1" max="2"/>
    <col width="10.6640625" bestFit="1" customWidth="1" style="72" min="3" max="3"/>
    <col width="17" customWidth="1" style="72" min="4" max="4"/>
    <col width="9.1640625" customWidth="1" style="72" min="5" max="5"/>
    <col width="17.83203125" customWidth="1" style="72" min="6" max="6"/>
    <col width="12.33203125" customWidth="1" style="72" min="7" max="7"/>
    <col width="9.1640625" customWidth="1" style="72" min="8" max="16"/>
    <col width="36.1640625" customWidth="1" style="72" min="17" max="17"/>
    <col width="9.1640625" customWidth="1" style="72" min="18" max="18"/>
    <col width="29.6640625" customWidth="1" style="72" min="19" max="19"/>
    <col width="37.6640625" customWidth="1" style="72" min="20" max="20"/>
    <col width="9.1640625" customWidth="1" style="72" min="21" max="21"/>
    <col width="9.1640625" customWidth="1" style="72" min="22" max="16384"/>
  </cols>
  <sheetData>
    <row r="1">
      <c r="A1" s="3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72" t="n"/>
      <c r="B3" s="72" t="n"/>
    </row>
    <row r="4">
      <c r="A4" s="72" t="inlineStr">
        <is>
          <t>Fed Balance Sheet</t>
        </is>
      </c>
      <c r="B4" s="72" t="n"/>
    </row>
    <row r="5">
      <c r="A5" s="72" t="n"/>
      <c r="B5" s="72" t="n"/>
    </row>
    <row r="6">
      <c r="A6" s="72" t="n"/>
      <c r="B6" s="72" t="n"/>
    </row>
    <row r="7">
      <c r="A7" s="72" t="n"/>
      <c r="B7" s="72" t="n"/>
    </row>
    <row r="8">
      <c r="A8" s="72" t="n"/>
      <c r="B8" s="72" t="n"/>
    </row>
    <row r="9">
      <c r="A9" s="72" t="n"/>
      <c r="B9" s="72" t="n"/>
    </row>
    <row r="10">
      <c r="A10" t="inlineStr">
        <is>
          <t>Frequency: Weekly, As of Wednesday</t>
        </is>
      </c>
    </row>
    <row r="11">
      <c r="A11" t="inlineStr">
        <is>
          <t>Date</t>
        </is>
      </c>
      <c r="B11" t="inlineStr">
        <is>
          <t>WALCL</t>
        </is>
      </c>
      <c r="C11" s="15" t="inlineStr">
        <is>
          <t>GDP qoq</t>
        </is>
      </c>
      <c r="D11" s="15" t="inlineStr">
        <is>
          <t>Fed Balance Sheet as % U.S. GDP</t>
        </is>
      </c>
    </row>
    <row r="12">
      <c r="A12" s="10" t="n">
        <v>37608</v>
      </c>
      <c r="B12" s="9" t="n">
        <v>719542</v>
      </c>
      <c r="C12" s="7" t="n">
        <v>0.006207302338938403</v>
      </c>
      <c r="D12" s="88">
        <f>(Table4[[#This Row],[WALCL]]/1000)/19222</f>
        <v/>
      </c>
    </row>
    <row r="13">
      <c r="A13" s="10" t="n">
        <v>37615</v>
      </c>
      <c r="B13" s="9" t="n">
        <v>732059</v>
      </c>
      <c r="C13" s="7" t="n">
        <v>0.006207302338938403</v>
      </c>
      <c r="D13" s="7">
        <f>(Table4[[#This Row],[WALCL]]/1000)/19222</f>
        <v/>
      </c>
    </row>
    <row r="14">
      <c r="A14" s="10" t="n">
        <v>37622</v>
      </c>
      <c r="B14" s="9" t="n">
        <v>730994</v>
      </c>
      <c r="C14" s="7" t="n">
        <v>0.0223760132417512</v>
      </c>
      <c r="D14" s="7">
        <f>(Table4[[#This Row],[WALCL]]/1000)/19222</f>
        <v/>
      </c>
    </row>
    <row r="15">
      <c r="A15" s="10" t="n">
        <v>37629</v>
      </c>
      <c r="B15" s="9" t="n">
        <v>723762</v>
      </c>
      <c r="C15" s="7" t="n">
        <v>0.0223760132417512</v>
      </c>
      <c r="D15" s="7">
        <f>(Table4[[#This Row],[WALCL]]/1000)/19222</f>
        <v/>
      </c>
    </row>
    <row r="16">
      <c r="A16" s="10" t="n">
        <v>37636</v>
      </c>
      <c r="B16" s="9" t="n">
        <v>720074</v>
      </c>
      <c r="C16" s="7" t="n">
        <v>0.0223760132417512</v>
      </c>
      <c r="D16" s="7">
        <f>(Table4[[#This Row],[WALCL]]/1000)/19222</f>
        <v/>
      </c>
    </row>
    <row r="17">
      <c r="A17" s="10" t="n">
        <v>37643</v>
      </c>
      <c r="B17" s="9" t="n">
        <v>735953</v>
      </c>
      <c r="C17" s="7" t="n">
        <v>0.0223760132417512</v>
      </c>
      <c r="D17" s="7">
        <f>(Table4[[#This Row],[WALCL]]/1000)/19222</f>
        <v/>
      </c>
    </row>
    <row r="18">
      <c r="A18" s="10" t="n">
        <v>37650</v>
      </c>
      <c r="B18" s="9" t="n">
        <v>712809</v>
      </c>
      <c r="C18" s="7" t="n">
        <v>0.0223760132417512</v>
      </c>
      <c r="D18" s="7">
        <f>(Table4[[#This Row],[WALCL]]/1000)/19222</f>
        <v/>
      </c>
    </row>
    <row r="19">
      <c r="A19" s="10" t="n">
        <v>37657</v>
      </c>
      <c r="B19" s="9" t="n">
        <v>719643</v>
      </c>
      <c r="C19" s="7" t="n">
        <v>0.0223760132417512</v>
      </c>
      <c r="D19" s="7">
        <f>(Table4[[#This Row],[WALCL]]/1000)/19222</f>
        <v/>
      </c>
    </row>
    <row r="20">
      <c r="A20" s="10" t="n">
        <v>37664</v>
      </c>
      <c r="B20" s="9" t="n">
        <v>713281</v>
      </c>
      <c r="C20" s="7" t="n">
        <v>0.0223760132417512</v>
      </c>
      <c r="D20" s="7">
        <f>(Table4[[#This Row],[WALCL]]/1000)/19222</f>
        <v/>
      </c>
    </row>
    <row r="21">
      <c r="A21" s="10" t="n">
        <v>37671</v>
      </c>
      <c r="B21" s="9" t="n">
        <v>730400</v>
      </c>
      <c r="C21" s="7" t="n">
        <v>0.0223760132417512</v>
      </c>
      <c r="D21" s="7">
        <f>(Table4[[#This Row],[WALCL]]/1000)/19222</f>
        <v/>
      </c>
    </row>
    <row r="22">
      <c r="A22" s="10" t="n">
        <v>37678</v>
      </c>
      <c r="B22" s="9" t="n">
        <v>721980</v>
      </c>
      <c r="C22" s="7" t="n">
        <v>0.0223760132417512</v>
      </c>
      <c r="D22" s="7">
        <f>(Table4[[#This Row],[WALCL]]/1000)/19222</f>
        <v/>
      </c>
    </row>
    <row r="23">
      <c r="A23" s="10" t="n">
        <v>37685</v>
      </c>
      <c r="B23" s="9" t="n">
        <v>722649</v>
      </c>
      <c r="C23" s="7" t="n">
        <v>0.0223760132417512</v>
      </c>
      <c r="D23" s="7">
        <f>(Table4[[#This Row],[WALCL]]/1000)/19222</f>
        <v/>
      </c>
    </row>
    <row r="24">
      <c r="A24" s="10" t="n">
        <v>37692</v>
      </c>
      <c r="B24" s="9" t="n">
        <v>717014</v>
      </c>
      <c r="C24" s="7" t="n">
        <v>0.0223760132417512</v>
      </c>
      <c r="D24" s="7">
        <f>(Table4[[#This Row],[WALCL]]/1000)/19222</f>
        <v/>
      </c>
    </row>
    <row r="25">
      <c r="A25" s="10" t="n">
        <v>37699</v>
      </c>
      <c r="B25" s="9" t="n">
        <v>729923</v>
      </c>
      <c r="C25" s="7" t="n">
        <v>0.0223760132417512</v>
      </c>
      <c r="D25" s="7">
        <f>(Table4[[#This Row],[WALCL]]/1000)/19222</f>
        <v/>
      </c>
    </row>
    <row r="26">
      <c r="A26" s="10" t="n">
        <v>37706</v>
      </c>
      <c r="B26" s="9" t="n">
        <v>725019</v>
      </c>
      <c r="C26" s="7" t="n">
        <v>0.0223760132417512</v>
      </c>
      <c r="D26" s="7">
        <f>(Table4[[#This Row],[WALCL]]/1000)/19222</f>
        <v/>
      </c>
    </row>
    <row r="27">
      <c r="A27" s="10" t="n">
        <v>37713</v>
      </c>
      <c r="B27" s="9" t="n">
        <v>732452</v>
      </c>
      <c r="C27" s="7" t="n">
        <v>0.03485697288692502</v>
      </c>
      <c r="D27" s="7">
        <f>(Table4[[#This Row],[WALCL]]/1000)/19222</f>
        <v/>
      </c>
    </row>
    <row r="28">
      <c r="A28" s="10" t="n">
        <v>37720</v>
      </c>
      <c r="B28" s="9" t="n">
        <v>727826</v>
      </c>
      <c r="C28" s="7" t="n">
        <v>0.03485697288692502</v>
      </c>
      <c r="D28" s="7">
        <f>(Table4[[#This Row],[WALCL]]/1000)/19222</f>
        <v/>
      </c>
    </row>
    <row r="29">
      <c r="A29" s="10" t="n">
        <v>37727</v>
      </c>
      <c r="B29" s="9" t="n">
        <v>745838</v>
      </c>
      <c r="C29" s="7" t="n">
        <v>0.03485697288692502</v>
      </c>
      <c r="D29" s="7">
        <f>(Table4[[#This Row],[WALCL]]/1000)/19222</f>
        <v/>
      </c>
    </row>
    <row r="30">
      <c r="A30" s="10" t="n">
        <v>37734</v>
      </c>
      <c r="B30" s="9" t="n">
        <v>732222</v>
      </c>
      <c r="C30" s="7" t="n">
        <v>0.03485697288692502</v>
      </c>
      <c r="D30" s="7">
        <f>(Table4[[#This Row],[WALCL]]/1000)/19222</f>
        <v/>
      </c>
    </row>
    <row r="31">
      <c r="A31" s="10" t="n">
        <v>37741</v>
      </c>
      <c r="B31" s="9" t="n">
        <v>746294</v>
      </c>
      <c r="C31" s="7" t="n">
        <v>0.03485697288692502</v>
      </c>
      <c r="D31" s="7">
        <f>(Table4[[#This Row],[WALCL]]/1000)/19222</f>
        <v/>
      </c>
    </row>
    <row r="32">
      <c r="A32" s="10" t="n">
        <v>37748</v>
      </c>
      <c r="B32" s="9" t="n">
        <v>733466</v>
      </c>
      <c r="C32" s="7" t="n">
        <v>0.03485697288692502</v>
      </c>
      <c r="D32" s="7">
        <f>(Table4[[#This Row],[WALCL]]/1000)/19222</f>
        <v/>
      </c>
    </row>
    <row r="33">
      <c r="A33" s="10" t="n">
        <v>37755</v>
      </c>
      <c r="B33" s="9" t="n">
        <v>740371</v>
      </c>
      <c r="C33" s="7" t="n">
        <v>0.03485697288692502</v>
      </c>
      <c r="D33" s="7">
        <f>(Table4[[#This Row],[WALCL]]/1000)/19222</f>
        <v/>
      </c>
    </row>
    <row r="34">
      <c r="A34" s="10" t="n">
        <v>37762</v>
      </c>
      <c r="B34" s="9" t="n">
        <v>734699</v>
      </c>
      <c r="C34" s="7" t="n">
        <v>0.03485697288692502</v>
      </c>
      <c r="D34" s="7">
        <f>(Table4[[#This Row],[WALCL]]/1000)/19222</f>
        <v/>
      </c>
    </row>
    <row r="35">
      <c r="A35" s="10" t="n">
        <v>37769</v>
      </c>
      <c r="B35" s="9" t="n">
        <v>744896</v>
      </c>
      <c r="C35" s="7" t="n">
        <v>0.03485697288692502</v>
      </c>
      <c r="D35" s="7">
        <f>(Table4[[#This Row],[WALCL]]/1000)/19222</f>
        <v/>
      </c>
    </row>
    <row r="36">
      <c r="A36" s="10" t="n">
        <v>37776</v>
      </c>
      <c r="B36" s="9" t="n">
        <v>731667</v>
      </c>
      <c r="C36" s="7" t="n">
        <v>0.03485697288692502</v>
      </c>
      <c r="D36" s="7">
        <f>(Table4[[#This Row],[WALCL]]/1000)/19222</f>
        <v/>
      </c>
    </row>
    <row r="37">
      <c r="A37" s="10" t="n">
        <v>37783</v>
      </c>
      <c r="B37" s="9" t="n">
        <v>743236</v>
      </c>
      <c r="C37" s="7" t="n">
        <v>0.03485697288692502</v>
      </c>
      <c r="D37" s="7">
        <f>(Table4[[#This Row],[WALCL]]/1000)/19222</f>
        <v/>
      </c>
    </row>
    <row r="38">
      <c r="A38" s="10" t="n">
        <v>37790</v>
      </c>
      <c r="B38" s="9" t="n">
        <v>735926</v>
      </c>
      <c r="C38" s="7" t="n">
        <v>0.03485697288692502</v>
      </c>
      <c r="D38" s="7">
        <f>(Table4[[#This Row],[WALCL]]/1000)/19222</f>
        <v/>
      </c>
    </row>
    <row r="39">
      <c r="A39" s="10" t="n">
        <v>37797</v>
      </c>
      <c r="B39" s="9" t="n">
        <v>744018</v>
      </c>
      <c r="C39" s="7" t="n">
        <v>0.03485697288692502</v>
      </c>
      <c r="D39" s="7">
        <f>(Table4[[#This Row],[WALCL]]/1000)/19222</f>
        <v/>
      </c>
    </row>
    <row r="40">
      <c r="A40" s="10" t="n">
        <v>37804</v>
      </c>
      <c r="B40" s="9" t="n">
        <v>740126</v>
      </c>
      <c r="C40" s="7" t="n">
        <v>0.06967839950004118</v>
      </c>
      <c r="D40" s="7">
        <f>(Table4[[#This Row],[WALCL]]/1000)/19222</f>
        <v/>
      </c>
    </row>
    <row r="41">
      <c r="A41" s="10" t="n">
        <v>37811</v>
      </c>
      <c r="B41" s="9" t="n">
        <v>744430</v>
      </c>
      <c r="C41" s="7" t="n">
        <v>0.06967839950004118</v>
      </c>
      <c r="D41" s="7">
        <f>(Table4[[#This Row],[WALCL]]/1000)/19222</f>
        <v/>
      </c>
    </row>
    <row r="42">
      <c r="A42" s="10" t="n">
        <v>37818</v>
      </c>
      <c r="B42" s="9" t="n">
        <v>737765</v>
      </c>
      <c r="C42" s="7" t="n">
        <v>0.06967839950004118</v>
      </c>
      <c r="D42" s="7">
        <f>(Table4[[#This Row],[WALCL]]/1000)/19222</f>
        <v/>
      </c>
    </row>
    <row r="43">
      <c r="A43" s="10" t="n">
        <v>37825</v>
      </c>
      <c r="B43" s="9" t="n">
        <v>745665</v>
      </c>
      <c r="C43" s="7" t="n">
        <v>0.06967839950004118</v>
      </c>
      <c r="D43" s="7">
        <f>(Table4[[#This Row],[WALCL]]/1000)/19222</f>
        <v/>
      </c>
    </row>
    <row r="44">
      <c r="A44" s="10" t="n">
        <v>37832</v>
      </c>
      <c r="B44" s="9" t="n">
        <v>740295</v>
      </c>
      <c r="C44" s="7" t="n">
        <v>0.06967839950004118</v>
      </c>
      <c r="D44" s="7">
        <f>(Table4[[#This Row],[WALCL]]/1000)/19222</f>
        <v/>
      </c>
    </row>
    <row r="45">
      <c r="A45" s="10" t="n">
        <v>37839</v>
      </c>
      <c r="B45" s="9" t="n">
        <v>734018</v>
      </c>
      <c r="C45" s="7" t="n">
        <v>0.06967839950004118</v>
      </c>
      <c r="D45" s="7">
        <f>(Table4[[#This Row],[WALCL]]/1000)/19222</f>
        <v/>
      </c>
    </row>
    <row r="46">
      <c r="A46" s="10" t="n">
        <v>37846</v>
      </c>
      <c r="B46" s="9" t="n">
        <v>735386</v>
      </c>
      <c r="C46" s="7" t="n">
        <v>0.06967839950004118</v>
      </c>
      <c r="D46" s="7">
        <f>(Table4[[#This Row],[WALCL]]/1000)/19222</f>
        <v/>
      </c>
    </row>
    <row r="47">
      <c r="A47" s="10" t="n">
        <v>37853</v>
      </c>
      <c r="B47" s="9" t="n">
        <v>750825</v>
      </c>
      <c r="C47" s="7" t="n">
        <v>0.06967839950004118</v>
      </c>
      <c r="D47" s="7">
        <f>(Table4[[#This Row],[WALCL]]/1000)/19222</f>
        <v/>
      </c>
    </row>
    <row r="48">
      <c r="A48" s="10" t="n">
        <v>37860</v>
      </c>
      <c r="B48" s="9" t="n">
        <v>740637</v>
      </c>
      <c r="C48" s="7" t="n">
        <v>0.06967839950004118</v>
      </c>
      <c r="D48" s="7">
        <f>(Table4[[#This Row],[WALCL]]/1000)/19222</f>
        <v/>
      </c>
    </row>
    <row r="49">
      <c r="A49" s="10" t="n">
        <v>37867</v>
      </c>
      <c r="B49" s="9" t="n">
        <v>750461</v>
      </c>
      <c r="C49" s="7" t="n">
        <v>0.06967839950004118</v>
      </c>
      <c r="D49" s="7">
        <f>(Table4[[#This Row],[WALCL]]/1000)/19222</f>
        <v/>
      </c>
    </row>
    <row r="50">
      <c r="A50" s="10" t="n">
        <v>37874</v>
      </c>
      <c r="B50" s="9" t="n">
        <v>737234</v>
      </c>
      <c r="C50" s="7" t="n">
        <v>0.06967839950004118</v>
      </c>
      <c r="D50" s="7">
        <f>(Table4[[#This Row],[WALCL]]/1000)/19222</f>
        <v/>
      </c>
    </row>
    <row r="51">
      <c r="A51" s="10" t="n">
        <v>37881</v>
      </c>
      <c r="B51" s="9" t="n">
        <v>743939</v>
      </c>
      <c r="C51" s="7" t="n">
        <v>0.06967839950004118</v>
      </c>
      <c r="D51" s="7">
        <f>(Table4[[#This Row],[WALCL]]/1000)/19222</f>
        <v/>
      </c>
    </row>
    <row r="52">
      <c r="A52" s="10" t="n">
        <v>37888</v>
      </c>
      <c r="B52" s="9" t="n">
        <v>741193</v>
      </c>
      <c r="C52" s="7" t="n">
        <v>0.06967839950004118</v>
      </c>
      <c r="D52" s="7">
        <f>(Table4[[#This Row],[WALCL]]/1000)/19222</f>
        <v/>
      </c>
    </row>
    <row r="53">
      <c r="A53" s="10" t="n">
        <v>37895</v>
      </c>
      <c r="B53" s="9" t="n">
        <v>753155</v>
      </c>
      <c r="C53" s="7" t="n">
        <v>0.04672372635015298</v>
      </c>
      <c r="D53" s="7">
        <f>(Table4[[#This Row],[WALCL]]/1000)/19222</f>
        <v/>
      </c>
    </row>
    <row r="54">
      <c r="A54" s="10" t="n">
        <v>37902</v>
      </c>
      <c r="B54" s="9" t="n">
        <v>737108</v>
      </c>
      <c r="C54" s="7" t="n">
        <v>0.04672372635015298</v>
      </c>
      <c r="D54" s="7">
        <f>(Table4[[#This Row],[WALCL]]/1000)/19222</f>
        <v/>
      </c>
    </row>
    <row r="55">
      <c r="A55" s="10" t="n">
        <v>37909</v>
      </c>
      <c r="B55" s="9" t="n">
        <v>754229</v>
      </c>
      <c r="C55" s="7" t="n">
        <v>0.04672372635015298</v>
      </c>
      <c r="D55" s="7">
        <f>(Table4[[#This Row],[WALCL]]/1000)/19222</f>
        <v/>
      </c>
    </row>
    <row r="56">
      <c r="A56" s="10" t="n">
        <v>37916</v>
      </c>
      <c r="B56" s="9" t="n">
        <v>743578</v>
      </c>
      <c r="C56" s="7" t="n">
        <v>0.04672372635015298</v>
      </c>
      <c r="D56" s="7">
        <f>(Table4[[#This Row],[WALCL]]/1000)/19222</f>
        <v/>
      </c>
    </row>
    <row r="57">
      <c r="A57" s="10" t="n">
        <v>37923</v>
      </c>
      <c r="B57" s="9" t="n">
        <v>747272</v>
      </c>
      <c r="C57" s="7" t="n">
        <v>0.04672372635015298</v>
      </c>
      <c r="D57" s="7">
        <f>(Table4[[#This Row],[WALCL]]/1000)/19222</f>
        <v/>
      </c>
    </row>
    <row r="58">
      <c r="A58" s="10" t="n">
        <v>37930</v>
      </c>
      <c r="B58" s="9" t="n">
        <v>744116</v>
      </c>
      <c r="C58" s="7" t="n">
        <v>0.04672372635015298</v>
      </c>
      <c r="D58" s="7">
        <f>(Table4[[#This Row],[WALCL]]/1000)/19222</f>
        <v/>
      </c>
    </row>
    <row r="59">
      <c r="A59" s="10" t="n">
        <v>37937</v>
      </c>
      <c r="B59" s="9" t="n">
        <v>745604</v>
      </c>
      <c r="C59" s="7" t="n">
        <v>0.04672372635015298</v>
      </c>
      <c r="D59" s="7">
        <f>(Table4[[#This Row],[WALCL]]/1000)/19222</f>
        <v/>
      </c>
    </row>
    <row r="60">
      <c r="A60" s="10" t="n">
        <v>37944</v>
      </c>
      <c r="B60" s="9" t="n">
        <v>744521</v>
      </c>
      <c r="C60" s="7" t="n">
        <v>0.04672372635015298</v>
      </c>
      <c r="D60" s="7">
        <f>(Table4[[#This Row],[WALCL]]/1000)/19222</f>
        <v/>
      </c>
    </row>
    <row r="61">
      <c r="A61" s="10" t="n">
        <v>37951</v>
      </c>
      <c r="B61" s="9" t="n">
        <v>756964</v>
      </c>
      <c r="C61" s="7" t="n">
        <v>0.04672372635015298</v>
      </c>
      <c r="D61" s="7">
        <f>(Table4[[#This Row],[WALCL]]/1000)/19222</f>
        <v/>
      </c>
    </row>
    <row r="62">
      <c r="A62" s="10" t="n">
        <v>37958</v>
      </c>
      <c r="B62" s="9" t="n">
        <v>749981</v>
      </c>
      <c r="C62" s="7" t="n">
        <v>0.04672372635015298</v>
      </c>
      <c r="D62" s="7">
        <f>(Table4[[#This Row],[WALCL]]/1000)/19222</f>
        <v/>
      </c>
    </row>
    <row r="63">
      <c r="A63" s="10" t="n">
        <v>37965</v>
      </c>
      <c r="B63" s="9" t="n">
        <v>756585</v>
      </c>
      <c r="C63" s="7" t="n">
        <v>0.04672372635015298</v>
      </c>
      <c r="D63" s="7">
        <f>(Table4[[#This Row],[WALCL]]/1000)/19222</f>
        <v/>
      </c>
    </row>
    <row r="64">
      <c r="A64" s="10" t="n">
        <v>37972</v>
      </c>
      <c r="B64" s="9" t="n">
        <v>753919</v>
      </c>
      <c r="C64" s="7" t="n">
        <v>0.04672372635015298</v>
      </c>
      <c r="D64" s="7">
        <f>(Table4[[#This Row],[WALCL]]/1000)/19222</f>
        <v/>
      </c>
    </row>
    <row r="65">
      <c r="A65" s="10" t="n">
        <v>37979</v>
      </c>
      <c r="B65" s="9" t="n">
        <v>767012</v>
      </c>
      <c r="C65" s="7" t="n">
        <v>0.04672372635015298</v>
      </c>
      <c r="D65" s="7">
        <f>(Table4[[#This Row],[WALCL]]/1000)/19222</f>
        <v/>
      </c>
    </row>
    <row r="66">
      <c r="A66" s="10" t="n">
        <v>37986</v>
      </c>
      <c r="B66" s="9" t="n">
        <v>771551</v>
      </c>
      <c r="C66" s="7" t="n">
        <v>0.04672372635015298</v>
      </c>
      <c r="D66" s="7">
        <f>(Table4[[#This Row],[WALCL]]/1000)/19222</f>
        <v/>
      </c>
    </row>
    <row r="67">
      <c r="A67" s="10" t="n">
        <v>37993</v>
      </c>
      <c r="B67" s="9" t="n">
        <v>755829</v>
      </c>
      <c r="C67" s="7" t="n">
        <v>0.02152143325003086</v>
      </c>
      <c r="D67" s="7">
        <f>(Table4[[#This Row],[WALCL]]/1000)/19222</f>
        <v/>
      </c>
    </row>
    <row r="68">
      <c r="A68" s="10" t="n">
        <v>38000</v>
      </c>
      <c r="B68" s="9" t="n">
        <v>752812</v>
      </c>
      <c r="C68" s="7" t="n">
        <v>0.02152143325003086</v>
      </c>
      <c r="D68" s="7">
        <f>(Table4[[#This Row],[WALCL]]/1000)/19222</f>
        <v/>
      </c>
    </row>
    <row r="69">
      <c r="A69" s="10" t="n">
        <v>38007</v>
      </c>
      <c r="B69" s="9" t="n">
        <v>775833</v>
      </c>
      <c r="C69" s="7" t="n">
        <v>0.02152143325003086</v>
      </c>
      <c r="D69" s="7">
        <f>(Table4[[#This Row],[WALCL]]/1000)/19222</f>
        <v/>
      </c>
    </row>
    <row r="70">
      <c r="A70" s="10" t="n">
        <v>38014</v>
      </c>
      <c r="B70" s="9" t="n">
        <v>755279</v>
      </c>
      <c r="C70" s="7" t="n">
        <v>0.02152143325003086</v>
      </c>
      <c r="D70" s="7">
        <f>(Table4[[#This Row],[WALCL]]/1000)/19222</f>
        <v/>
      </c>
    </row>
    <row r="71">
      <c r="A71" s="10" t="n">
        <v>38021</v>
      </c>
      <c r="B71" s="9" t="n">
        <v>754153</v>
      </c>
      <c r="C71" s="7" t="n">
        <v>0.02152143325003086</v>
      </c>
      <c r="D71" s="7">
        <f>(Table4[[#This Row],[WALCL]]/1000)/19222</f>
        <v/>
      </c>
    </row>
    <row r="72">
      <c r="A72" s="10" t="n">
        <v>38028</v>
      </c>
      <c r="B72" s="9" t="n">
        <v>750999</v>
      </c>
      <c r="C72" s="7" t="n">
        <v>0.02152143325003086</v>
      </c>
      <c r="D72" s="7">
        <f>(Table4[[#This Row],[WALCL]]/1000)/19222</f>
        <v/>
      </c>
    </row>
    <row r="73">
      <c r="A73" s="10" t="n">
        <v>38035</v>
      </c>
      <c r="B73" s="9" t="n">
        <v>758759</v>
      </c>
      <c r="C73" s="7" t="n">
        <v>0.02152143325003086</v>
      </c>
      <c r="D73" s="7">
        <f>(Table4[[#This Row],[WALCL]]/1000)/19222</f>
        <v/>
      </c>
    </row>
    <row r="74">
      <c r="A74" s="10" t="n">
        <v>38042</v>
      </c>
      <c r="B74" s="9" t="n">
        <v>750666</v>
      </c>
      <c r="C74" s="7" t="n">
        <v>0.02152143325003086</v>
      </c>
      <c r="D74" s="7">
        <f>(Table4[[#This Row],[WALCL]]/1000)/19222</f>
        <v/>
      </c>
    </row>
    <row r="75">
      <c r="A75" s="10" t="n">
        <v>38049</v>
      </c>
      <c r="B75" s="9" t="n">
        <v>754867</v>
      </c>
      <c r="C75" s="7" t="n">
        <v>0.02152143325003086</v>
      </c>
      <c r="D75" s="7">
        <f>(Table4[[#This Row],[WALCL]]/1000)/19222</f>
        <v/>
      </c>
    </row>
    <row r="76">
      <c r="A76" s="10" t="n">
        <v>38056</v>
      </c>
      <c r="B76" s="9" t="n">
        <v>749950</v>
      </c>
      <c r="C76" s="7" t="n">
        <v>0.02152143325003086</v>
      </c>
      <c r="D76" s="7">
        <f>(Table4[[#This Row],[WALCL]]/1000)/19222</f>
        <v/>
      </c>
    </row>
    <row r="77">
      <c r="A77" s="10" t="n">
        <v>38063</v>
      </c>
      <c r="B77" s="9" t="n">
        <v>760638</v>
      </c>
      <c r="C77" s="7" t="n">
        <v>0.02152143325003086</v>
      </c>
      <c r="D77" s="7">
        <f>(Table4[[#This Row],[WALCL]]/1000)/19222</f>
        <v/>
      </c>
    </row>
    <row r="78">
      <c r="A78" s="10" t="n">
        <v>38070</v>
      </c>
      <c r="B78" s="9" t="n">
        <v>751510</v>
      </c>
      <c r="C78" s="7" t="n">
        <v>0.02152143325003086</v>
      </c>
      <c r="D78" s="7">
        <f>(Table4[[#This Row],[WALCL]]/1000)/19222</f>
        <v/>
      </c>
    </row>
    <row r="79">
      <c r="A79" s="10" t="n">
        <v>38077</v>
      </c>
      <c r="B79" s="9" t="n">
        <v>760725</v>
      </c>
      <c r="C79" s="7" t="n">
        <v>0.02152143325003086</v>
      </c>
      <c r="D79" s="7">
        <f>(Table4[[#This Row],[WALCL]]/1000)/19222</f>
        <v/>
      </c>
    </row>
    <row r="80">
      <c r="A80" s="10" t="n">
        <v>38084</v>
      </c>
      <c r="B80" s="9" t="n">
        <v>754083</v>
      </c>
      <c r="C80" s="7" t="n">
        <v>0.03083328450532052</v>
      </c>
      <c r="D80" s="7">
        <f>(Table4[[#This Row],[WALCL]]/1000)/19222</f>
        <v/>
      </c>
    </row>
    <row r="81">
      <c r="A81" s="10" t="n">
        <v>38091</v>
      </c>
      <c r="B81" s="9" t="n">
        <v>763734</v>
      </c>
      <c r="C81" s="7" t="n">
        <v>0.03083328450532052</v>
      </c>
      <c r="D81" s="7">
        <f>(Table4[[#This Row],[WALCL]]/1000)/19222</f>
        <v/>
      </c>
    </row>
    <row r="82">
      <c r="A82" s="10" t="n">
        <v>38098</v>
      </c>
      <c r="B82" s="9" t="n">
        <v>757984</v>
      </c>
      <c r="C82" s="7" t="n">
        <v>0.03083328450532052</v>
      </c>
      <c r="D82" s="7">
        <f>(Table4[[#This Row],[WALCL]]/1000)/19222</f>
        <v/>
      </c>
    </row>
    <row r="83">
      <c r="A83" s="10" t="n">
        <v>38105</v>
      </c>
      <c r="B83" s="9" t="n">
        <v>772927</v>
      </c>
      <c r="C83" s="7" t="n">
        <v>0.03083328450532052</v>
      </c>
      <c r="D83" s="7">
        <f>(Table4[[#This Row],[WALCL]]/1000)/19222</f>
        <v/>
      </c>
    </row>
    <row r="84">
      <c r="A84" s="10" t="n">
        <v>38112</v>
      </c>
      <c r="B84" s="9" t="n">
        <v>758838</v>
      </c>
      <c r="C84" s="7" t="n">
        <v>0.03083328450532052</v>
      </c>
      <c r="D84" s="7">
        <f>(Table4[[#This Row],[WALCL]]/1000)/19222</f>
        <v/>
      </c>
    </row>
    <row r="85">
      <c r="A85" s="10" t="n">
        <v>38119</v>
      </c>
      <c r="B85" s="9" t="n">
        <v>764835</v>
      </c>
      <c r="C85" s="7" t="n">
        <v>0.03083328450532052</v>
      </c>
      <c r="D85" s="7">
        <f>(Table4[[#This Row],[WALCL]]/1000)/19222</f>
        <v/>
      </c>
    </row>
    <row r="86">
      <c r="A86" s="10" t="n">
        <v>38126</v>
      </c>
      <c r="B86" s="9" t="n">
        <v>756874</v>
      </c>
      <c r="C86" s="7" t="n">
        <v>0.03083328450532052</v>
      </c>
      <c r="D86" s="7">
        <f>(Table4[[#This Row],[WALCL]]/1000)/19222</f>
        <v/>
      </c>
    </row>
    <row r="87">
      <c r="A87" s="10" t="n">
        <v>38133</v>
      </c>
      <c r="B87" s="9" t="n">
        <v>771108</v>
      </c>
      <c r="C87" s="7" t="n">
        <v>0.03083328450532052</v>
      </c>
      <c r="D87" s="7">
        <f>(Table4[[#This Row],[WALCL]]/1000)/19222</f>
        <v/>
      </c>
    </row>
    <row r="88">
      <c r="A88" s="10" t="n">
        <v>38140</v>
      </c>
      <c r="B88" s="9" t="n">
        <v>764090</v>
      </c>
      <c r="C88" s="7" t="n">
        <v>0.03083328450532052</v>
      </c>
      <c r="D88" s="7">
        <f>(Table4[[#This Row],[WALCL]]/1000)/19222</f>
        <v/>
      </c>
    </row>
    <row r="89">
      <c r="A89" s="10" t="n">
        <v>38147</v>
      </c>
      <c r="B89" s="9" t="n">
        <v>772187</v>
      </c>
      <c r="C89" s="7" t="n">
        <v>0.03083328450532052</v>
      </c>
      <c r="D89" s="7">
        <f>(Table4[[#This Row],[WALCL]]/1000)/19222</f>
        <v/>
      </c>
    </row>
    <row r="90">
      <c r="A90" s="10" t="n">
        <v>38154</v>
      </c>
      <c r="B90" s="9" t="n">
        <v>761834</v>
      </c>
      <c r="C90" s="7" t="n">
        <v>0.03083328450532052</v>
      </c>
      <c r="D90" s="7">
        <f>(Table4[[#This Row],[WALCL]]/1000)/19222</f>
        <v/>
      </c>
    </row>
    <row r="91">
      <c r="A91" s="10" t="n">
        <v>38161</v>
      </c>
      <c r="B91" s="9" t="n">
        <v>775261</v>
      </c>
      <c r="C91" s="7" t="n">
        <v>0.03083328450532052</v>
      </c>
      <c r="D91" s="7">
        <f>(Table4[[#This Row],[WALCL]]/1000)/19222</f>
        <v/>
      </c>
    </row>
    <row r="92">
      <c r="A92" s="10" t="n">
        <v>38168</v>
      </c>
      <c r="B92" s="9" t="n">
        <v>779578</v>
      </c>
      <c r="C92" s="7" t="n">
        <v>0.03083328450532052</v>
      </c>
      <c r="D92" s="7">
        <f>(Table4[[#This Row],[WALCL]]/1000)/19222</f>
        <v/>
      </c>
    </row>
    <row r="93">
      <c r="A93" s="10" t="n">
        <v>38175</v>
      </c>
      <c r="B93" s="9" t="n">
        <v>778163</v>
      </c>
      <c r="C93" s="7" t="n">
        <v>0.03835269610993408</v>
      </c>
      <c r="D93" s="7">
        <f>(Table4[[#This Row],[WALCL]]/1000)/19222</f>
        <v/>
      </c>
    </row>
    <row r="94">
      <c r="A94" s="10" t="n">
        <v>38182</v>
      </c>
      <c r="B94" s="9" t="n">
        <v>775536</v>
      </c>
      <c r="C94" s="7" t="n">
        <v>0.03835269610993408</v>
      </c>
      <c r="D94" s="7">
        <f>(Table4[[#This Row],[WALCL]]/1000)/19222</f>
        <v/>
      </c>
    </row>
    <row r="95">
      <c r="A95" s="10" t="n">
        <v>38189</v>
      </c>
      <c r="B95" s="9" t="n">
        <v>776764</v>
      </c>
      <c r="C95" s="7" t="n">
        <v>0.03835269610993408</v>
      </c>
      <c r="D95" s="7">
        <f>(Table4[[#This Row],[WALCL]]/1000)/19222</f>
        <v/>
      </c>
    </row>
    <row r="96">
      <c r="A96" s="10" t="n">
        <v>38196</v>
      </c>
      <c r="B96" s="9" t="n">
        <v>773916</v>
      </c>
      <c r="C96" s="7" t="n">
        <v>0.03835269610993408</v>
      </c>
      <c r="D96" s="7">
        <f>(Table4[[#This Row],[WALCL]]/1000)/19222</f>
        <v/>
      </c>
    </row>
    <row r="97">
      <c r="A97" s="10" t="n">
        <v>38203</v>
      </c>
      <c r="B97" s="9" t="n">
        <v>772085</v>
      </c>
      <c r="C97" s="7" t="n">
        <v>0.03835269610993408</v>
      </c>
      <c r="D97" s="7">
        <f>(Table4[[#This Row],[WALCL]]/1000)/19222</f>
        <v/>
      </c>
    </row>
    <row r="98">
      <c r="A98" s="10" t="n">
        <v>38210</v>
      </c>
      <c r="B98" s="9" t="n">
        <v>769265</v>
      </c>
      <c r="C98" s="7" t="n">
        <v>0.03835269610993408</v>
      </c>
      <c r="D98" s="7">
        <f>(Table4[[#This Row],[WALCL]]/1000)/19222</f>
        <v/>
      </c>
    </row>
    <row r="99">
      <c r="A99" s="10" t="n">
        <v>38217</v>
      </c>
      <c r="B99" s="9" t="n">
        <v>767595</v>
      </c>
      <c r="C99" s="7" t="n">
        <v>0.03835269610993408</v>
      </c>
      <c r="D99" s="7">
        <f>(Table4[[#This Row],[WALCL]]/1000)/19222</f>
        <v/>
      </c>
    </row>
    <row r="100">
      <c r="A100" s="10" t="n">
        <v>38224</v>
      </c>
      <c r="B100" s="9" t="n">
        <v>775437</v>
      </c>
      <c r="C100" s="7" t="n">
        <v>0.03835269610993408</v>
      </c>
      <c r="D100" s="7">
        <f>(Table4[[#This Row],[WALCL]]/1000)/19222</f>
        <v/>
      </c>
    </row>
    <row r="101">
      <c r="A101" s="10" t="n">
        <v>38231</v>
      </c>
      <c r="B101" s="9" t="n">
        <v>785273</v>
      </c>
      <c r="C101" s="7" t="n">
        <v>0.03835269610993408</v>
      </c>
      <c r="D101" s="7">
        <f>(Table4[[#This Row],[WALCL]]/1000)/19222</f>
        <v/>
      </c>
    </row>
    <row r="102">
      <c r="A102" s="10" t="n">
        <v>38238</v>
      </c>
      <c r="B102" s="9" t="n">
        <v>788602</v>
      </c>
      <c r="C102" s="7" t="n">
        <v>0.03835269610993408</v>
      </c>
      <c r="D102" s="7">
        <f>(Table4[[#This Row],[WALCL]]/1000)/19222</f>
        <v/>
      </c>
    </row>
    <row r="103">
      <c r="A103" s="10" t="n">
        <v>38245</v>
      </c>
      <c r="B103" s="9" t="n">
        <v>789128</v>
      </c>
      <c r="C103" s="7" t="n">
        <v>0.03835269610993408</v>
      </c>
      <c r="D103" s="7">
        <f>(Table4[[#This Row],[WALCL]]/1000)/19222</f>
        <v/>
      </c>
    </row>
    <row r="104">
      <c r="A104" s="10" t="n">
        <v>38252</v>
      </c>
      <c r="B104" s="9" t="n">
        <v>782124</v>
      </c>
      <c r="C104" s="7" t="n">
        <v>0.03835269610993408</v>
      </c>
      <c r="D104" s="7">
        <f>(Table4[[#This Row],[WALCL]]/1000)/19222</f>
        <v/>
      </c>
    </row>
    <row r="105">
      <c r="A105" s="10" t="n">
        <v>38259</v>
      </c>
      <c r="B105" s="9" t="n">
        <v>786330</v>
      </c>
      <c r="C105" s="7" t="n">
        <v>0.03835269610993408</v>
      </c>
      <c r="D105" s="7">
        <f>(Table4[[#This Row],[WALCL]]/1000)/19222</f>
        <v/>
      </c>
    </row>
    <row r="106">
      <c r="A106" s="10" t="n">
        <v>38266</v>
      </c>
      <c r="B106" s="9" t="n">
        <v>781777</v>
      </c>
      <c r="C106" s="7" t="n">
        <v>0.04067300527673168</v>
      </c>
      <c r="D106" s="7">
        <f>(Table4[[#This Row],[WALCL]]/1000)/19222</f>
        <v/>
      </c>
    </row>
    <row r="107">
      <c r="A107" s="10" t="n">
        <v>38273</v>
      </c>
      <c r="B107" s="9" t="n">
        <v>795483</v>
      </c>
      <c r="C107" s="7" t="n">
        <v>0.04067300527673168</v>
      </c>
      <c r="D107" s="7">
        <f>(Table4[[#This Row],[WALCL]]/1000)/19222</f>
        <v/>
      </c>
    </row>
    <row r="108">
      <c r="A108" s="10" t="n">
        <v>38280</v>
      </c>
      <c r="B108" s="9" t="n">
        <v>784954</v>
      </c>
      <c r="C108" s="7" t="n">
        <v>0.04067300527673168</v>
      </c>
      <c r="D108" s="7">
        <f>(Table4[[#This Row],[WALCL]]/1000)/19222</f>
        <v/>
      </c>
    </row>
    <row r="109">
      <c r="A109" s="10" t="n">
        <v>38287</v>
      </c>
      <c r="B109" s="9" t="n">
        <v>791336</v>
      </c>
      <c r="C109" s="7" t="n">
        <v>0.04067300527673168</v>
      </c>
      <c r="D109" s="7">
        <f>(Table4[[#This Row],[WALCL]]/1000)/19222</f>
        <v/>
      </c>
    </row>
    <row r="110">
      <c r="A110" s="10" t="n">
        <v>38294</v>
      </c>
      <c r="B110" s="9" t="n">
        <v>790552</v>
      </c>
      <c r="C110" s="7" t="n">
        <v>0.04067300527673168</v>
      </c>
      <c r="D110" s="7">
        <f>(Table4[[#This Row],[WALCL]]/1000)/19222</f>
        <v/>
      </c>
    </row>
    <row r="111">
      <c r="A111" s="10" t="n">
        <v>38301</v>
      </c>
      <c r="B111" s="9" t="n">
        <v>800473</v>
      </c>
      <c r="C111" s="7" t="n">
        <v>0.04067300527673168</v>
      </c>
      <c r="D111" s="7">
        <f>(Table4[[#This Row],[WALCL]]/1000)/19222</f>
        <v/>
      </c>
    </row>
    <row r="112">
      <c r="A112" s="10" t="n">
        <v>38308</v>
      </c>
      <c r="B112" s="9" t="n">
        <v>794090</v>
      </c>
      <c r="C112" s="7" t="n">
        <v>0.04067300527673168</v>
      </c>
      <c r="D112" s="7">
        <f>(Table4[[#This Row],[WALCL]]/1000)/19222</f>
        <v/>
      </c>
    </row>
    <row r="113">
      <c r="A113" s="10" t="n">
        <v>38315</v>
      </c>
      <c r="B113" s="9" t="n">
        <v>809956</v>
      </c>
      <c r="C113" s="7" t="n">
        <v>0.04067300527673168</v>
      </c>
      <c r="D113" s="7">
        <f>(Table4[[#This Row],[WALCL]]/1000)/19222</f>
        <v/>
      </c>
    </row>
    <row r="114">
      <c r="A114" s="10" t="n">
        <v>38322</v>
      </c>
      <c r="B114" s="9" t="n">
        <v>807063</v>
      </c>
      <c r="C114" s="7" t="n">
        <v>0.04067300527673168</v>
      </c>
      <c r="D114" s="7">
        <f>(Table4[[#This Row],[WALCL]]/1000)/19222</f>
        <v/>
      </c>
    </row>
    <row r="115">
      <c r="A115" s="10" t="n">
        <v>38329</v>
      </c>
      <c r="B115" s="9" t="n">
        <v>808495</v>
      </c>
      <c r="C115" s="7" t="n">
        <v>0.04067300527673168</v>
      </c>
      <c r="D115" s="7">
        <f>(Table4[[#This Row],[WALCL]]/1000)/19222</f>
        <v/>
      </c>
    </row>
    <row r="116">
      <c r="A116" s="10" t="n">
        <v>38336</v>
      </c>
      <c r="B116" s="9" t="n">
        <v>807028</v>
      </c>
      <c r="C116" s="7" t="n">
        <v>0.04067300527673168</v>
      </c>
      <c r="D116" s="7">
        <f>(Table4[[#This Row],[WALCL]]/1000)/19222</f>
        <v/>
      </c>
    </row>
    <row r="117">
      <c r="A117" s="10" t="n">
        <v>38343</v>
      </c>
      <c r="B117" s="9" t="n">
        <v>811333</v>
      </c>
      <c r="C117" s="7" t="n">
        <v>0.04067300527673168</v>
      </c>
      <c r="D117" s="7">
        <f>(Table4[[#This Row],[WALCL]]/1000)/19222</f>
        <v/>
      </c>
    </row>
    <row r="118">
      <c r="A118" s="10" t="n">
        <v>38350</v>
      </c>
      <c r="B118" s="9" t="n">
        <v>810944</v>
      </c>
      <c r="C118" s="7" t="n">
        <v>0.04067300527673168</v>
      </c>
      <c r="D118" s="7">
        <f>(Table4[[#This Row],[WALCL]]/1000)/19222</f>
        <v/>
      </c>
    </row>
    <row r="119">
      <c r="A119" s="10" t="n">
        <v>38357</v>
      </c>
      <c r="B119" s="9" t="n">
        <v>815702</v>
      </c>
      <c r="C119" s="7" t="n">
        <v>0.04501920317639341</v>
      </c>
      <c r="D119" s="7">
        <f>(Table4[[#This Row],[WALCL]]/1000)/19222</f>
        <v/>
      </c>
    </row>
    <row r="120">
      <c r="A120" s="10" t="n">
        <v>38364</v>
      </c>
      <c r="B120" s="9" t="n">
        <v>798455</v>
      </c>
      <c r="C120" s="7" t="n">
        <v>0.04501920317639341</v>
      </c>
      <c r="D120" s="7">
        <f>(Table4[[#This Row],[WALCL]]/1000)/19222</f>
        <v/>
      </c>
    </row>
    <row r="121">
      <c r="A121" s="10" t="n">
        <v>38371</v>
      </c>
      <c r="B121" s="9" t="n">
        <v>806960</v>
      </c>
      <c r="C121" s="7" t="n">
        <v>0.04501920317639341</v>
      </c>
      <c r="D121" s="7">
        <f>(Table4[[#This Row],[WALCL]]/1000)/19222</f>
        <v/>
      </c>
    </row>
    <row r="122">
      <c r="A122" s="10" t="n">
        <v>38378</v>
      </c>
      <c r="B122" s="9" t="n">
        <v>807262</v>
      </c>
      <c r="C122" s="7" t="n">
        <v>0.04501920317639341</v>
      </c>
      <c r="D122" s="7">
        <f>(Table4[[#This Row],[WALCL]]/1000)/19222</f>
        <v/>
      </c>
    </row>
    <row r="123">
      <c r="A123" s="10" t="n">
        <v>38385</v>
      </c>
      <c r="B123" s="9" t="n">
        <v>804746</v>
      </c>
      <c r="C123" s="7" t="n">
        <v>0.04501920317639341</v>
      </c>
      <c r="D123" s="7">
        <f>(Table4[[#This Row],[WALCL]]/1000)/19222</f>
        <v/>
      </c>
    </row>
    <row r="124">
      <c r="A124" s="10" t="n">
        <v>38392</v>
      </c>
      <c r="B124" s="9" t="n">
        <v>797299</v>
      </c>
      <c r="C124" s="7" t="n">
        <v>0.04501920317639341</v>
      </c>
      <c r="D124" s="7">
        <f>(Table4[[#This Row],[WALCL]]/1000)/19222</f>
        <v/>
      </c>
    </row>
    <row r="125">
      <c r="A125" s="10" t="n">
        <v>38399</v>
      </c>
      <c r="B125" s="9" t="n">
        <v>795606</v>
      </c>
      <c r="C125" s="7" t="n">
        <v>0.04501920317639341</v>
      </c>
      <c r="D125" s="7">
        <f>(Table4[[#This Row],[WALCL]]/1000)/19222</f>
        <v/>
      </c>
    </row>
    <row r="126">
      <c r="A126" s="10" t="n">
        <v>38406</v>
      </c>
      <c r="B126" s="9" t="n">
        <v>804576</v>
      </c>
      <c r="C126" s="7" t="n">
        <v>0.04501920317639341</v>
      </c>
      <c r="D126" s="7">
        <f>(Table4[[#This Row],[WALCL]]/1000)/19222</f>
        <v/>
      </c>
    </row>
    <row r="127">
      <c r="A127" s="10" t="n">
        <v>38413</v>
      </c>
      <c r="B127" s="9" t="n">
        <v>801252</v>
      </c>
      <c r="C127" s="7" t="n">
        <v>0.04501920317639341</v>
      </c>
      <c r="D127" s="7">
        <f>(Table4[[#This Row],[WALCL]]/1000)/19222</f>
        <v/>
      </c>
    </row>
    <row r="128">
      <c r="A128" s="10" t="n">
        <v>38420</v>
      </c>
      <c r="B128" s="9" t="n">
        <v>799250</v>
      </c>
      <c r="C128" s="7" t="n">
        <v>0.04501920317639341</v>
      </c>
      <c r="D128" s="7">
        <f>(Table4[[#This Row],[WALCL]]/1000)/19222</f>
        <v/>
      </c>
    </row>
    <row r="129">
      <c r="A129" s="10" t="n">
        <v>38427</v>
      </c>
      <c r="B129" s="9" t="n">
        <v>807211</v>
      </c>
      <c r="C129" s="7" t="n">
        <v>0.04501920317639341</v>
      </c>
      <c r="D129" s="7">
        <f>(Table4[[#This Row],[WALCL]]/1000)/19222</f>
        <v/>
      </c>
    </row>
    <row r="130">
      <c r="A130" s="10" t="n">
        <v>38434</v>
      </c>
      <c r="B130" s="9" t="n">
        <v>797094</v>
      </c>
      <c r="C130" s="7" t="n">
        <v>0.04501920317639341</v>
      </c>
      <c r="D130" s="7">
        <f>(Table4[[#This Row],[WALCL]]/1000)/19222</f>
        <v/>
      </c>
    </row>
    <row r="131">
      <c r="A131" s="10" t="n">
        <v>38441</v>
      </c>
      <c r="B131" s="9" t="n">
        <v>807551</v>
      </c>
      <c r="C131" s="7" t="n">
        <v>0.04501920317639341</v>
      </c>
      <c r="D131" s="7">
        <f>(Table4[[#This Row],[WALCL]]/1000)/19222</f>
        <v/>
      </c>
    </row>
    <row r="132">
      <c r="A132" s="10" t="n">
        <v>38448</v>
      </c>
      <c r="B132" s="9" t="n">
        <v>797327</v>
      </c>
      <c r="C132" s="7" t="n">
        <v>0.01859066956412891</v>
      </c>
      <c r="D132" s="7">
        <f>(Table4[[#This Row],[WALCL]]/1000)/19222</f>
        <v/>
      </c>
    </row>
    <row r="133">
      <c r="A133" s="10" t="n">
        <v>38455</v>
      </c>
      <c r="B133" s="9" t="n">
        <v>805707</v>
      </c>
      <c r="C133" s="7" t="n">
        <v>0.01859066956412891</v>
      </c>
      <c r="D133" s="7">
        <f>(Table4[[#This Row],[WALCL]]/1000)/19222</f>
        <v/>
      </c>
    </row>
    <row r="134">
      <c r="A134" s="10" t="n">
        <v>38462</v>
      </c>
      <c r="B134" s="9" t="n">
        <v>801793</v>
      </c>
      <c r="C134" s="7" t="n">
        <v>0.01859066956412891</v>
      </c>
      <c r="D134" s="7">
        <f>(Table4[[#This Row],[WALCL]]/1000)/19222</f>
        <v/>
      </c>
    </row>
    <row r="135">
      <c r="A135" s="10" t="n">
        <v>38469</v>
      </c>
      <c r="B135" s="9" t="n">
        <v>809797</v>
      </c>
      <c r="C135" s="7" t="n">
        <v>0.01859066956412891</v>
      </c>
      <c r="D135" s="7">
        <f>(Table4[[#This Row],[WALCL]]/1000)/19222</f>
        <v/>
      </c>
    </row>
    <row r="136">
      <c r="A136" s="10" t="n">
        <v>38476</v>
      </c>
      <c r="B136" s="9" t="n">
        <v>802412</v>
      </c>
      <c r="C136" s="7" t="n">
        <v>0.01859066956412891</v>
      </c>
      <c r="D136" s="7">
        <f>(Table4[[#This Row],[WALCL]]/1000)/19222</f>
        <v/>
      </c>
    </row>
    <row r="137">
      <c r="A137" s="10" t="n">
        <v>38483</v>
      </c>
      <c r="B137" s="9" t="n">
        <v>808378</v>
      </c>
      <c r="C137" s="7" t="n">
        <v>0.01859066956412891</v>
      </c>
      <c r="D137" s="7">
        <f>(Table4[[#This Row],[WALCL]]/1000)/19222</f>
        <v/>
      </c>
    </row>
    <row r="138">
      <c r="A138" s="10" t="n">
        <v>38490</v>
      </c>
      <c r="B138" s="9" t="n">
        <v>801546</v>
      </c>
      <c r="C138" s="7" t="n">
        <v>0.01859066956412891</v>
      </c>
      <c r="D138" s="7">
        <f>(Table4[[#This Row],[WALCL]]/1000)/19222</f>
        <v/>
      </c>
    </row>
    <row r="139">
      <c r="A139" s="10" t="n">
        <v>38497</v>
      </c>
      <c r="B139" s="9" t="n">
        <v>810160</v>
      </c>
      <c r="C139" s="7" t="n">
        <v>0.01859066956412891</v>
      </c>
      <c r="D139" s="7">
        <f>(Table4[[#This Row],[WALCL]]/1000)/19222</f>
        <v/>
      </c>
    </row>
    <row r="140">
      <c r="A140" s="10" t="n">
        <v>38504</v>
      </c>
      <c r="B140" s="9" t="n">
        <v>817335</v>
      </c>
      <c r="C140" s="7" t="n">
        <v>0.01859066956412891</v>
      </c>
      <c r="D140" s="7">
        <f>(Table4[[#This Row],[WALCL]]/1000)/19222</f>
        <v/>
      </c>
    </row>
    <row r="141">
      <c r="A141" s="10" t="n">
        <v>38511</v>
      </c>
      <c r="B141" s="9" t="n">
        <v>814172</v>
      </c>
      <c r="C141" s="7" t="n">
        <v>0.01859066956412891</v>
      </c>
      <c r="D141" s="7">
        <f>(Table4[[#This Row],[WALCL]]/1000)/19222</f>
        <v/>
      </c>
    </row>
    <row r="142">
      <c r="A142" s="10" t="n">
        <v>38518</v>
      </c>
      <c r="B142" s="9" t="n">
        <v>811198</v>
      </c>
      <c r="C142" s="7" t="n">
        <v>0.01859066956412891</v>
      </c>
      <c r="D142" s="7">
        <f>(Table4[[#This Row],[WALCL]]/1000)/19222</f>
        <v/>
      </c>
    </row>
    <row r="143">
      <c r="A143" s="10" t="n">
        <v>38525</v>
      </c>
      <c r="B143" s="9" t="n">
        <v>810429</v>
      </c>
      <c r="C143" s="7" t="n">
        <v>0.01859066956412891</v>
      </c>
      <c r="D143" s="7">
        <f>(Table4[[#This Row],[WALCL]]/1000)/19222</f>
        <v/>
      </c>
    </row>
    <row r="144">
      <c r="A144" s="10" t="n">
        <v>38532</v>
      </c>
      <c r="B144" s="9" t="n">
        <v>810082</v>
      </c>
      <c r="C144" s="7" t="n">
        <v>0.01859066956412891</v>
      </c>
      <c r="D144" s="7">
        <f>(Table4[[#This Row],[WALCL]]/1000)/19222</f>
        <v/>
      </c>
    </row>
    <row r="145">
      <c r="A145" s="10" t="n">
        <v>38539</v>
      </c>
      <c r="B145" s="9" t="n">
        <v>821556</v>
      </c>
      <c r="C145" s="7" t="n">
        <v>0.03613287844045843</v>
      </c>
      <c r="D145" s="7">
        <f>(Table4[[#This Row],[WALCL]]/1000)/19222</f>
        <v/>
      </c>
    </row>
    <row r="146">
      <c r="A146" s="10" t="n">
        <v>38546</v>
      </c>
      <c r="B146" s="9" t="n">
        <v>808861</v>
      </c>
      <c r="C146" s="7" t="n">
        <v>0.03613287844045843</v>
      </c>
      <c r="D146" s="7">
        <f>(Table4[[#This Row],[WALCL]]/1000)/19222</f>
        <v/>
      </c>
    </row>
    <row r="147">
      <c r="A147" s="10" t="n">
        <v>38553</v>
      </c>
      <c r="B147" s="9" t="n">
        <v>816804</v>
      </c>
      <c r="C147" s="7" t="n">
        <v>0.03613287844045843</v>
      </c>
      <c r="D147" s="7">
        <f>(Table4[[#This Row],[WALCL]]/1000)/19222</f>
        <v/>
      </c>
    </row>
    <row r="148">
      <c r="A148" s="10" t="n">
        <v>38560</v>
      </c>
      <c r="B148" s="9" t="n">
        <v>814259</v>
      </c>
      <c r="C148" s="7" t="n">
        <v>0.03613287844045843</v>
      </c>
      <c r="D148" s="7">
        <f>(Table4[[#This Row],[WALCL]]/1000)/19222</f>
        <v/>
      </c>
    </row>
    <row r="149">
      <c r="A149" s="10" t="n">
        <v>38567</v>
      </c>
      <c r="B149" s="9" t="n">
        <v>818841</v>
      </c>
      <c r="C149" s="7" t="n">
        <v>0.03613287844045843</v>
      </c>
      <c r="D149" s="7">
        <f>(Table4[[#This Row],[WALCL]]/1000)/19222</f>
        <v/>
      </c>
    </row>
    <row r="150">
      <c r="A150" s="10" t="n">
        <v>38574</v>
      </c>
      <c r="B150" s="9" t="n">
        <v>808544</v>
      </c>
      <c r="C150" s="7" t="n">
        <v>0.03613287844045843</v>
      </c>
      <c r="D150" s="7">
        <f>(Table4[[#This Row],[WALCL]]/1000)/19222</f>
        <v/>
      </c>
    </row>
    <row r="151">
      <c r="A151" s="10" t="n">
        <v>38581</v>
      </c>
      <c r="B151" s="9" t="n">
        <v>813774</v>
      </c>
      <c r="C151" s="7" t="n">
        <v>0.03613287844045843</v>
      </c>
      <c r="D151" s="7">
        <f>(Table4[[#This Row],[WALCL]]/1000)/19222</f>
        <v/>
      </c>
    </row>
    <row r="152">
      <c r="A152" s="10" t="n">
        <v>38588</v>
      </c>
      <c r="B152" s="9" t="n">
        <v>811313</v>
      </c>
      <c r="C152" s="7" t="n">
        <v>0.03613287844045843</v>
      </c>
      <c r="D152" s="7">
        <f>(Table4[[#This Row],[WALCL]]/1000)/19222</f>
        <v/>
      </c>
    </row>
    <row r="153">
      <c r="A153" s="10" t="n">
        <v>38595</v>
      </c>
      <c r="B153" s="9" t="n">
        <v>823237</v>
      </c>
      <c r="C153" s="7" t="n">
        <v>0.03613287844045843</v>
      </c>
      <c r="D153" s="7">
        <f>(Table4[[#This Row],[WALCL]]/1000)/19222</f>
        <v/>
      </c>
    </row>
    <row r="154">
      <c r="A154" s="10" t="n">
        <v>38602</v>
      </c>
      <c r="B154" s="9" t="n">
        <v>822500</v>
      </c>
      <c r="C154" s="7" t="n">
        <v>0.03613287844045843</v>
      </c>
      <c r="D154" s="7">
        <f>(Table4[[#This Row],[WALCL]]/1000)/19222</f>
        <v/>
      </c>
    </row>
    <row r="155">
      <c r="A155" s="10" t="n">
        <v>38609</v>
      </c>
      <c r="B155" s="9" t="n">
        <v>823590</v>
      </c>
      <c r="C155" s="7" t="n">
        <v>0.03613287844045843</v>
      </c>
      <c r="D155" s="7">
        <f>(Table4[[#This Row],[WALCL]]/1000)/19222</f>
        <v/>
      </c>
    </row>
    <row r="156">
      <c r="A156" s="10" t="n">
        <v>38616</v>
      </c>
      <c r="B156" s="9" t="n">
        <v>812926</v>
      </c>
      <c r="C156" s="7" t="n">
        <v>0.03613287844045843</v>
      </c>
      <c r="D156" s="7">
        <f>(Table4[[#This Row],[WALCL]]/1000)/19222</f>
        <v/>
      </c>
    </row>
    <row r="157">
      <c r="A157" s="10" t="n">
        <v>38623</v>
      </c>
      <c r="B157" s="9" t="n">
        <v>823771</v>
      </c>
      <c r="C157" s="7" t="n">
        <v>0.03613287844045843</v>
      </c>
      <c r="D157" s="7">
        <f>(Table4[[#This Row],[WALCL]]/1000)/19222</f>
        <v/>
      </c>
    </row>
    <row r="158">
      <c r="A158" s="10" t="n">
        <v>38630</v>
      </c>
      <c r="B158" s="9" t="n">
        <v>817137</v>
      </c>
      <c r="C158" s="7" t="n">
        <v>0.0254987811519698</v>
      </c>
      <c r="D158" s="7">
        <f>(Table4[[#This Row],[WALCL]]/1000)/19222</f>
        <v/>
      </c>
    </row>
    <row r="159">
      <c r="A159" s="10" t="n">
        <v>38637</v>
      </c>
      <c r="B159" s="9" t="n">
        <v>826306</v>
      </c>
      <c r="C159" s="7" t="n">
        <v>0.0254987811519698</v>
      </c>
      <c r="D159" s="7">
        <f>(Table4[[#This Row],[WALCL]]/1000)/19222</f>
        <v/>
      </c>
    </row>
    <row r="160">
      <c r="A160" s="10" t="n">
        <v>38644</v>
      </c>
      <c r="B160" s="9" t="n">
        <v>814281</v>
      </c>
      <c r="C160" s="7" t="n">
        <v>0.0254987811519698</v>
      </c>
      <c r="D160" s="7">
        <f>(Table4[[#This Row],[WALCL]]/1000)/19222</f>
        <v/>
      </c>
    </row>
    <row r="161">
      <c r="A161" s="10" t="n">
        <v>38651</v>
      </c>
      <c r="B161" s="9" t="n">
        <v>819105</v>
      </c>
      <c r="C161" s="7" t="n">
        <v>0.0254987811519698</v>
      </c>
      <c r="D161" s="7">
        <f>(Table4[[#This Row],[WALCL]]/1000)/19222</f>
        <v/>
      </c>
    </row>
    <row r="162">
      <c r="A162" s="10" t="n">
        <v>38658</v>
      </c>
      <c r="B162" s="9" t="n">
        <v>814571</v>
      </c>
      <c r="C162" s="7" t="n">
        <v>0.0254987811519698</v>
      </c>
      <c r="D162" s="7">
        <f>(Table4[[#This Row],[WALCL]]/1000)/19222</f>
        <v/>
      </c>
    </row>
    <row r="163">
      <c r="A163" s="10" t="n">
        <v>38665</v>
      </c>
      <c r="B163" s="9" t="n">
        <v>824991</v>
      </c>
      <c r="C163" s="7" t="n">
        <v>0.0254987811519698</v>
      </c>
      <c r="D163" s="7">
        <f>(Table4[[#This Row],[WALCL]]/1000)/19222</f>
        <v/>
      </c>
    </row>
    <row r="164">
      <c r="A164" s="10" t="n">
        <v>38672</v>
      </c>
      <c r="B164" s="9" t="n">
        <v>823263</v>
      </c>
      <c r="C164" s="7" t="n">
        <v>0.0254987811519698</v>
      </c>
      <c r="D164" s="7">
        <f>(Table4[[#This Row],[WALCL]]/1000)/19222</f>
        <v/>
      </c>
    </row>
    <row r="165">
      <c r="A165" s="10" t="n">
        <v>38679</v>
      </c>
      <c r="B165" s="9" t="n">
        <v>833124</v>
      </c>
      <c r="C165" s="7" t="n">
        <v>0.0254987811519698</v>
      </c>
      <c r="D165" s="7">
        <f>(Table4[[#This Row],[WALCL]]/1000)/19222</f>
        <v/>
      </c>
    </row>
    <row r="166">
      <c r="A166" s="10" t="n">
        <v>38686</v>
      </c>
      <c r="B166" s="9" t="n">
        <v>835059</v>
      </c>
      <c r="C166" s="7" t="n">
        <v>0.0254987811519698</v>
      </c>
      <c r="D166" s="7">
        <f>(Table4[[#This Row],[WALCL]]/1000)/19222</f>
        <v/>
      </c>
    </row>
    <row r="167">
      <c r="A167" s="10" t="n">
        <v>38693</v>
      </c>
      <c r="B167" s="9" t="n">
        <v>833250</v>
      </c>
      <c r="C167" s="7" t="n">
        <v>0.0254987811519698</v>
      </c>
      <c r="D167" s="7">
        <f>(Table4[[#This Row],[WALCL]]/1000)/19222</f>
        <v/>
      </c>
    </row>
    <row r="168">
      <c r="A168" s="10" t="n">
        <v>38700</v>
      </c>
      <c r="B168" s="9" t="n">
        <v>830950</v>
      </c>
      <c r="C168" s="7" t="n">
        <v>0.0254987811519698</v>
      </c>
      <c r="D168" s="7">
        <f>(Table4[[#This Row],[WALCL]]/1000)/19222</f>
        <v/>
      </c>
    </row>
    <row r="169">
      <c r="A169" s="10" t="n">
        <v>38707</v>
      </c>
      <c r="B169" s="9" t="n">
        <v>848317</v>
      </c>
      <c r="C169" s="7" t="n">
        <v>0.0254987811519698</v>
      </c>
      <c r="D169" s="7">
        <f>(Table4[[#This Row],[WALCL]]/1000)/19222</f>
        <v/>
      </c>
    </row>
    <row r="170">
      <c r="A170" s="10" t="n">
        <v>38714</v>
      </c>
      <c r="B170" s="9" t="n">
        <v>847700</v>
      </c>
      <c r="C170" s="7" t="n">
        <v>0.0254987811519698</v>
      </c>
      <c r="D170" s="7">
        <f>(Table4[[#This Row],[WALCL]]/1000)/19222</f>
        <v/>
      </c>
    </row>
    <row r="171">
      <c r="A171" s="10" t="n">
        <v>38721</v>
      </c>
      <c r="B171" s="9" t="n">
        <v>851856</v>
      </c>
      <c r="C171" s="7" t="n">
        <v>0.0542827312437193</v>
      </c>
      <c r="D171" s="7">
        <f>(Table4[[#This Row],[WALCL]]/1000)/19222</f>
        <v/>
      </c>
    </row>
    <row r="172">
      <c r="A172" s="10" t="n">
        <v>38728</v>
      </c>
      <c r="B172" s="9" t="n">
        <v>829357</v>
      </c>
      <c r="C172" s="7" t="n">
        <v>0.0542827312437193</v>
      </c>
      <c r="D172" s="7">
        <f>(Table4[[#This Row],[WALCL]]/1000)/19222</f>
        <v/>
      </c>
    </row>
    <row r="173">
      <c r="A173" s="10" t="n">
        <v>38735</v>
      </c>
      <c r="B173" s="9" t="n">
        <v>836042</v>
      </c>
      <c r="C173" s="7" t="n">
        <v>0.0542827312437193</v>
      </c>
      <c r="D173" s="7">
        <f>(Table4[[#This Row],[WALCL]]/1000)/19222</f>
        <v/>
      </c>
    </row>
    <row r="174">
      <c r="A174" s="10" t="n">
        <v>38742</v>
      </c>
      <c r="B174" s="9" t="n">
        <v>828901</v>
      </c>
      <c r="C174" s="7" t="n">
        <v>0.0542827312437193</v>
      </c>
      <c r="D174" s="7">
        <f>(Table4[[#This Row],[WALCL]]/1000)/19222</f>
        <v/>
      </c>
    </row>
    <row r="175">
      <c r="A175" s="10" t="n">
        <v>38749</v>
      </c>
      <c r="B175" s="9" t="n">
        <v>831808</v>
      </c>
      <c r="C175" s="7" t="n">
        <v>0.0542827312437193</v>
      </c>
      <c r="D175" s="7">
        <f>(Table4[[#This Row],[WALCL]]/1000)/19222</f>
        <v/>
      </c>
    </row>
    <row r="176">
      <c r="A176" s="10" t="n">
        <v>38756</v>
      </c>
      <c r="B176" s="9" t="n">
        <v>827613</v>
      </c>
      <c r="C176" s="7" t="n">
        <v>0.0542827312437193</v>
      </c>
      <c r="D176" s="7">
        <f>(Table4[[#This Row],[WALCL]]/1000)/19222</f>
        <v/>
      </c>
    </row>
    <row r="177">
      <c r="A177" s="10" t="n">
        <v>38763</v>
      </c>
      <c r="B177" s="9" t="n">
        <v>835240</v>
      </c>
      <c r="C177" s="7" t="n">
        <v>0.0542827312437193</v>
      </c>
      <c r="D177" s="7">
        <f>(Table4[[#This Row],[WALCL]]/1000)/19222</f>
        <v/>
      </c>
    </row>
    <row r="178">
      <c r="A178" s="10" t="n">
        <v>38770</v>
      </c>
      <c r="B178" s="9" t="n">
        <v>840555</v>
      </c>
      <c r="C178" s="7" t="n">
        <v>0.0542827312437193</v>
      </c>
      <c r="D178" s="7">
        <f>(Table4[[#This Row],[WALCL]]/1000)/19222</f>
        <v/>
      </c>
    </row>
    <row r="179">
      <c r="A179" s="10" t="n">
        <v>38777</v>
      </c>
      <c r="B179" s="9" t="n">
        <v>839356</v>
      </c>
      <c r="C179" s="7" t="n">
        <v>0.0542827312437193</v>
      </c>
      <c r="D179" s="7">
        <f>(Table4[[#This Row],[WALCL]]/1000)/19222</f>
        <v/>
      </c>
    </row>
    <row r="180">
      <c r="A180" s="10" t="n">
        <v>38784</v>
      </c>
      <c r="B180" s="9" t="n">
        <v>839234</v>
      </c>
      <c r="C180" s="7" t="n">
        <v>0.0542827312437193</v>
      </c>
      <c r="D180" s="7">
        <f>(Table4[[#This Row],[WALCL]]/1000)/19222</f>
        <v/>
      </c>
    </row>
    <row r="181">
      <c r="A181" s="10" t="n">
        <v>38791</v>
      </c>
      <c r="B181" s="9" t="n">
        <v>843010</v>
      </c>
      <c r="C181" s="7" t="n">
        <v>0.0542827312437193</v>
      </c>
      <c r="D181" s="7">
        <f>(Table4[[#This Row],[WALCL]]/1000)/19222</f>
        <v/>
      </c>
    </row>
    <row r="182">
      <c r="A182" s="10" t="n">
        <v>38798</v>
      </c>
      <c r="B182" s="9" t="n">
        <v>838003</v>
      </c>
      <c r="C182" s="7" t="n">
        <v>0.0542827312437193</v>
      </c>
      <c r="D182" s="7">
        <f>(Table4[[#This Row],[WALCL]]/1000)/19222</f>
        <v/>
      </c>
    </row>
    <row r="183">
      <c r="A183" s="10" t="n">
        <v>38805</v>
      </c>
      <c r="B183" s="9" t="n">
        <v>833675</v>
      </c>
      <c r="C183" s="7" t="n">
        <v>0.0542827312437193</v>
      </c>
      <c r="D183" s="7">
        <f>(Table4[[#This Row],[WALCL]]/1000)/19222</f>
        <v/>
      </c>
    </row>
    <row r="184">
      <c r="A184" s="10" t="n">
        <v>38812</v>
      </c>
      <c r="B184" s="9" t="n">
        <v>834589</v>
      </c>
      <c r="C184" s="7" t="n">
        <v>0.009380810007620255</v>
      </c>
      <c r="D184" s="7">
        <f>(Table4[[#This Row],[WALCL]]/1000)/19222</f>
        <v/>
      </c>
    </row>
    <row r="185">
      <c r="A185" s="10" t="n">
        <v>38819</v>
      </c>
      <c r="B185" s="9" t="n">
        <v>836862</v>
      </c>
      <c r="C185" s="7" t="n">
        <v>0.009380810007620255</v>
      </c>
      <c r="D185" s="7">
        <f>(Table4[[#This Row],[WALCL]]/1000)/19222</f>
        <v/>
      </c>
    </row>
    <row r="186">
      <c r="A186" s="10" t="n">
        <v>38826</v>
      </c>
      <c r="B186" s="9" t="n">
        <v>836352</v>
      </c>
      <c r="C186" s="7" t="n">
        <v>0.009380810007620255</v>
      </c>
      <c r="D186" s="7">
        <f>(Table4[[#This Row],[WALCL]]/1000)/19222</f>
        <v/>
      </c>
    </row>
    <row r="187">
      <c r="A187" s="10" t="n">
        <v>38833</v>
      </c>
      <c r="B187" s="9" t="n">
        <v>844572</v>
      </c>
      <c r="C187" s="7" t="n">
        <v>0.009380810007620255</v>
      </c>
      <c r="D187" s="7">
        <f>(Table4[[#This Row],[WALCL]]/1000)/19222</f>
        <v/>
      </c>
    </row>
    <row r="188">
      <c r="A188" s="10" t="n">
        <v>38840</v>
      </c>
      <c r="B188" s="9" t="n">
        <v>843867</v>
      </c>
      <c r="C188" s="7" t="n">
        <v>0.009380810007620255</v>
      </c>
      <c r="D188" s="7">
        <f>(Table4[[#This Row],[WALCL]]/1000)/19222</f>
        <v/>
      </c>
    </row>
    <row r="189">
      <c r="A189" s="10" t="n">
        <v>38847</v>
      </c>
      <c r="B189" s="9" t="n">
        <v>838405</v>
      </c>
      <c r="C189" s="7" t="n">
        <v>0.009380810007620255</v>
      </c>
      <c r="D189" s="7">
        <f>(Table4[[#This Row],[WALCL]]/1000)/19222</f>
        <v/>
      </c>
    </row>
    <row r="190">
      <c r="A190" s="10" t="n">
        <v>38854</v>
      </c>
      <c r="B190" s="9" t="n">
        <v>838153</v>
      </c>
      <c r="C190" s="7" t="n">
        <v>0.009380810007620255</v>
      </c>
      <c r="D190" s="7">
        <f>(Table4[[#This Row],[WALCL]]/1000)/19222</f>
        <v/>
      </c>
    </row>
    <row r="191">
      <c r="A191" s="10" t="n">
        <v>38861</v>
      </c>
      <c r="B191" s="9" t="n">
        <v>840251</v>
      </c>
      <c r="C191" s="7" t="n">
        <v>0.009380810007620255</v>
      </c>
      <c r="D191" s="7">
        <f>(Table4[[#This Row],[WALCL]]/1000)/19222</f>
        <v/>
      </c>
    </row>
    <row r="192">
      <c r="A192" s="10" t="n">
        <v>38868</v>
      </c>
      <c r="B192" s="9" t="n">
        <v>851580</v>
      </c>
      <c r="C192" s="7" t="n">
        <v>0.009380810007620255</v>
      </c>
      <c r="D192" s="7">
        <f>(Table4[[#This Row],[WALCL]]/1000)/19222</f>
        <v/>
      </c>
    </row>
    <row r="193">
      <c r="A193" s="10" t="n">
        <v>38875</v>
      </c>
      <c r="B193" s="9" t="n">
        <v>849074</v>
      </c>
      <c r="C193" s="7" t="n">
        <v>0.009380810007620255</v>
      </c>
      <c r="D193" s="7">
        <f>(Table4[[#This Row],[WALCL]]/1000)/19222</f>
        <v/>
      </c>
    </row>
    <row r="194">
      <c r="A194" s="10" t="n">
        <v>38882</v>
      </c>
      <c r="B194" s="9" t="n">
        <v>845869</v>
      </c>
      <c r="C194" s="7" t="n">
        <v>0.009380810007620255</v>
      </c>
      <c r="D194" s="7">
        <f>(Table4[[#This Row],[WALCL]]/1000)/19222</f>
        <v/>
      </c>
    </row>
    <row r="195">
      <c r="A195" s="10" t="n">
        <v>38889</v>
      </c>
      <c r="B195" s="9" t="n">
        <v>844773</v>
      </c>
      <c r="C195" s="7" t="n">
        <v>0.009380810007620255</v>
      </c>
      <c r="D195" s="7">
        <f>(Table4[[#This Row],[WALCL]]/1000)/19222</f>
        <v/>
      </c>
    </row>
    <row r="196">
      <c r="A196" s="10" t="n">
        <v>38896</v>
      </c>
      <c r="B196" s="9" t="n">
        <v>844436</v>
      </c>
      <c r="C196" s="7" t="n">
        <v>0.009380810007620255</v>
      </c>
      <c r="D196" s="7">
        <f>(Table4[[#This Row],[WALCL]]/1000)/19222</f>
        <v/>
      </c>
    </row>
    <row r="197">
      <c r="A197" s="10" t="n">
        <v>38903</v>
      </c>
      <c r="B197" s="9" t="n">
        <v>851659</v>
      </c>
      <c r="C197" s="7" t="n">
        <v>0.00619967325765125</v>
      </c>
      <c r="D197" s="7">
        <f>(Table4[[#This Row],[WALCL]]/1000)/19222</f>
        <v/>
      </c>
    </row>
    <row r="198">
      <c r="A198" s="10" t="n">
        <v>38910</v>
      </c>
      <c r="B198" s="9" t="n">
        <v>844391</v>
      </c>
      <c r="C198" s="7" t="n">
        <v>0.00619967325765125</v>
      </c>
      <c r="D198" s="7">
        <f>(Table4[[#This Row],[WALCL]]/1000)/19222</f>
        <v/>
      </c>
    </row>
    <row r="199">
      <c r="A199" s="10" t="n">
        <v>38917</v>
      </c>
      <c r="B199" s="9" t="n">
        <v>849894</v>
      </c>
      <c r="C199" s="7" t="n">
        <v>0.00619967325765125</v>
      </c>
      <c r="D199" s="7">
        <f>(Table4[[#This Row],[WALCL]]/1000)/19222</f>
        <v/>
      </c>
    </row>
    <row r="200">
      <c r="A200" s="10" t="n">
        <v>38924</v>
      </c>
      <c r="B200" s="9" t="n">
        <v>841552</v>
      </c>
      <c r="C200" s="7" t="n">
        <v>0.00619967325765125</v>
      </c>
      <c r="D200" s="7">
        <f>(Table4[[#This Row],[WALCL]]/1000)/19222</f>
        <v/>
      </c>
    </row>
    <row r="201">
      <c r="A201" s="10" t="n">
        <v>38931</v>
      </c>
      <c r="B201" s="9" t="n">
        <v>850263</v>
      </c>
      <c r="C201" s="7" t="n">
        <v>0.00619967325765125</v>
      </c>
      <c r="D201" s="7">
        <f>(Table4[[#This Row],[WALCL]]/1000)/19222</f>
        <v/>
      </c>
    </row>
    <row r="202">
      <c r="A202" s="10" t="n">
        <v>38938</v>
      </c>
      <c r="B202" s="9" t="n">
        <v>840006</v>
      </c>
      <c r="C202" s="7" t="n">
        <v>0.00619967325765125</v>
      </c>
      <c r="D202" s="7">
        <f>(Table4[[#This Row],[WALCL]]/1000)/19222</f>
        <v/>
      </c>
    </row>
    <row r="203">
      <c r="A203" s="10" t="n">
        <v>38945</v>
      </c>
      <c r="B203" s="9" t="n">
        <v>842876</v>
      </c>
      <c r="C203" s="7" t="n">
        <v>0.00619967325765125</v>
      </c>
      <c r="D203" s="7">
        <f>(Table4[[#This Row],[WALCL]]/1000)/19222</f>
        <v/>
      </c>
    </row>
    <row r="204">
      <c r="A204" s="10" t="n">
        <v>38952</v>
      </c>
      <c r="B204" s="9" t="n">
        <v>837987</v>
      </c>
      <c r="C204" s="7" t="n">
        <v>0.00619967325765125</v>
      </c>
      <c r="D204" s="7">
        <f>(Table4[[#This Row],[WALCL]]/1000)/19222</f>
        <v/>
      </c>
    </row>
    <row r="205">
      <c r="A205" s="10" t="n">
        <v>38959</v>
      </c>
      <c r="B205" s="9" t="n">
        <v>850925</v>
      </c>
      <c r="C205" s="7" t="n">
        <v>0.00619967325765125</v>
      </c>
      <c r="D205" s="7">
        <f>(Table4[[#This Row],[WALCL]]/1000)/19222</f>
        <v/>
      </c>
    </row>
    <row r="206">
      <c r="A206" s="10" t="n">
        <v>38966</v>
      </c>
      <c r="B206" s="9" t="n">
        <v>848594</v>
      </c>
      <c r="C206" s="7" t="n">
        <v>0.00619967325765125</v>
      </c>
      <c r="D206" s="7">
        <f>(Table4[[#This Row],[WALCL]]/1000)/19222</f>
        <v/>
      </c>
    </row>
    <row r="207">
      <c r="A207" s="10" t="n">
        <v>38973</v>
      </c>
      <c r="B207" s="9" t="n">
        <v>840886</v>
      </c>
      <c r="C207" s="7" t="n">
        <v>0.00619967325765125</v>
      </c>
      <c r="D207" s="7">
        <f>(Table4[[#This Row],[WALCL]]/1000)/19222</f>
        <v/>
      </c>
    </row>
    <row r="208">
      <c r="A208" s="10" t="n">
        <v>38980</v>
      </c>
      <c r="B208" s="9" t="n">
        <v>838192</v>
      </c>
      <c r="C208" s="7" t="n">
        <v>0.00619967325765125</v>
      </c>
      <c r="D208" s="7">
        <f>(Table4[[#This Row],[WALCL]]/1000)/19222</f>
        <v/>
      </c>
    </row>
    <row r="209">
      <c r="A209" s="10" t="n">
        <v>38987</v>
      </c>
      <c r="B209" s="9" t="n">
        <v>849971</v>
      </c>
      <c r="C209" s="7" t="n">
        <v>0.00619967325765125</v>
      </c>
      <c r="D209" s="7">
        <f>(Table4[[#This Row],[WALCL]]/1000)/19222</f>
        <v/>
      </c>
    </row>
    <row r="210">
      <c r="A210" s="10" t="n">
        <v>38994</v>
      </c>
      <c r="B210" s="9" t="n">
        <v>842296</v>
      </c>
      <c r="C210" s="7" t="n">
        <v>0.03451249179143212</v>
      </c>
      <c r="D210" s="7">
        <f>(Table4[[#This Row],[WALCL]]/1000)/19222</f>
        <v/>
      </c>
    </row>
    <row r="211">
      <c r="A211" s="10" t="n">
        <v>39001</v>
      </c>
      <c r="B211" s="9" t="n">
        <v>859339</v>
      </c>
      <c r="C211" s="7" t="n">
        <v>0.03451249179143212</v>
      </c>
      <c r="D211" s="7">
        <f>(Table4[[#This Row],[WALCL]]/1000)/19222</f>
        <v/>
      </c>
    </row>
    <row r="212">
      <c r="A212" s="10" t="n">
        <v>39008</v>
      </c>
      <c r="B212" s="9" t="n">
        <v>844200</v>
      </c>
      <c r="C212" s="7" t="n">
        <v>0.03451249179143212</v>
      </c>
      <c r="D212" s="7">
        <f>(Table4[[#This Row],[WALCL]]/1000)/19222</f>
        <v/>
      </c>
    </row>
    <row r="213">
      <c r="A213" s="10" t="n">
        <v>39015</v>
      </c>
      <c r="B213" s="9" t="n">
        <v>852648</v>
      </c>
      <c r="C213" s="7" t="n">
        <v>0.03451249179143212</v>
      </c>
      <c r="D213" s="7">
        <f>(Table4[[#This Row],[WALCL]]/1000)/19222</f>
        <v/>
      </c>
    </row>
    <row r="214">
      <c r="A214" s="10" t="n">
        <v>39022</v>
      </c>
      <c r="B214" s="9" t="n">
        <v>855536</v>
      </c>
      <c r="C214" s="7" t="n">
        <v>0.03451249179143212</v>
      </c>
      <c r="D214" s="7">
        <f>(Table4[[#This Row],[WALCL]]/1000)/19222</f>
        <v/>
      </c>
    </row>
    <row r="215">
      <c r="A215" s="10" t="n">
        <v>39029</v>
      </c>
      <c r="B215" s="9" t="n">
        <v>858630</v>
      </c>
      <c r="C215" s="7" t="n">
        <v>0.03451249179143212</v>
      </c>
      <c r="D215" s="7">
        <f>(Table4[[#This Row],[WALCL]]/1000)/19222</f>
        <v/>
      </c>
    </row>
    <row r="216">
      <c r="A216" s="10" t="n">
        <v>39036</v>
      </c>
      <c r="B216" s="9" t="n">
        <v>855551</v>
      </c>
      <c r="C216" s="7" t="n">
        <v>0.03451249179143212</v>
      </c>
      <c r="D216" s="7">
        <f>(Table4[[#This Row],[WALCL]]/1000)/19222</f>
        <v/>
      </c>
    </row>
    <row r="217">
      <c r="A217" s="10" t="n">
        <v>39043</v>
      </c>
      <c r="B217" s="9" t="n">
        <v>865126</v>
      </c>
      <c r="C217" s="7" t="n">
        <v>0.03451249179143212</v>
      </c>
      <c r="D217" s="7">
        <f>(Table4[[#This Row],[WALCL]]/1000)/19222</f>
        <v/>
      </c>
    </row>
    <row r="218">
      <c r="A218" s="10" t="n">
        <v>39050</v>
      </c>
      <c r="B218" s="9" t="n">
        <v>856671</v>
      </c>
      <c r="C218" s="7" t="n">
        <v>0.03451249179143212</v>
      </c>
      <c r="D218" s="7">
        <f>(Table4[[#This Row],[WALCL]]/1000)/19222</f>
        <v/>
      </c>
    </row>
    <row r="219">
      <c r="A219" s="10" t="n">
        <v>39057</v>
      </c>
      <c r="B219" s="9" t="n">
        <v>862178</v>
      </c>
      <c r="C219" s="7" t="n">
        <v>0.03451249179143212</v>
      </c>
      <c r="D219" s="7">
        <f>(Table4[[#This Row],[WALCL]]/1000)/19222</f>
        <v/>
      </c>
    </row>
    <row r="220">
      <c r="A220" s="10" t="n">
        <v>39064</v>
      </c>
      <c r="B220" s="9" t="n">
        <v>853851</v>
      </c>
      <c r="C220" s="7" t="n">
        <v>0.03451249179143212</v>
      </c>
      <c r="D220" s="7">
        <f>(Table4[[#This Row],[WALCL]]/1000)/19222</f>
        <v/>
      </c>
    </row>
    <row r="221">
      <c r="A221" s="10" t="n">
        <v>39071</v>
      </c>
      <c r="B221" s="9" t="n">
        <v>865010</v>
      </c>
      <c r="C221" s="7" t="n">
        <v>0.03451249179143212</v>
      </c>
      <c r="D221" s="7">
        <f>(Table4[[#This Row],[WALCL]]/1000)/19222</f>
        <v/>
      </c>
    </row>
    <row r="222">
      <c r="A222" s="10" t="n">
        <v>39078</v>
      </c>
      <c r="B222" s="9" t="n">
        <v>869988</v>
      </c>
      <c r="C222" s="7" t="n">
        <v>0.03451249179143212</v>
      </c>
      <c r="D222" s="7">
        <f>(Table4[[#This Row],[WALCL]]/1000)/19222</f>
        <v/>
      </c>
    </row>
    <row r="223">
      <c r="A223" s="10" t="n">
        <v>39085</v>
      </c>
      <c r="B223" s="9" t="n">
        <v>874626</v>
      </c>
      <c r="C223" s="7" t="n">
        <v>0.009453050753365444</v>
      </c>
      <c r="D223" s="7">
        <f>(Table4[[#This Row],[WALCL]]/1000)/19222</f>
        <v/>
      </c>
    </row>
    <row r="224">
      <c r="A224" s="10" t="n">
        <v>39092</v>
      </c>
      <c r="B224" s="9" t="n">
        <v>854819</v>
      </c>
      <c r="C224" s="7" t="n">
        <v>0.009453050753365444</v>
      </c>
      <c r="D224" s="7">
        <f>(Table4[[#This Row],[WALCL]]/1000)/19222</f>
        <v/>
      </c>
    </row>
    <row r="225">
      <c r="A225" s="10" t="n">
        <v>39099</v>
      </c>
      <c r="B225" s="9" t="n">
        <v>859363</v>
      </c>
      <c r="C225" s="7" t="n">
        <v>0.009453050753365444</v>
      </c>
      <c r="D225" s="7">
        <f>(Table4[[#This Row],[WALCL]]/1000)/19222</f>
        <v/>
      </c>
    </row>
    <row r="226">
      <c r="A226" s="10" t="n">
        <v>39106</v>
      </c>
      <c r="B226" s="9" t="n">
        <v>851755</v>
      </c>
      <c r="C226" s="7" t="n">
        <v>0.009453050753365444</v>
      </c>
      <c r="D226" s="7">
        <f>(Table4[[#This Row],[WALCL]]/1000)/19222</f>
        <v/>
      </c>
    </row>
    <row r="227">
      <c r="A227" s="10" t="n">
        <v>39113</v>
      </c>
      <c r="B227" s="9" t="n">
        <v>865730</v>
      </c>
      <c r="C227" s="7" t="n">
        <v>0.009453050753365444</v>
      </c>
      <c r="D227" s="7">
        <f>(Table4[[#This Row],[WALCL]]/1000)/19222</f>
        <v/>
      </c>
    </row>
    <row r="228">
      <c r="A228" s="10" t="n">
        <v>39120</v>
      </c>
      <c r="B228" s="9" t="n">
        <v>855057</v>
      </c>
      <c r="C228" s="7" t="n">
        <v>0.009453050753365444</v>
      </c>
      <c r="D228" s="7">
        <f>(Table4[[#This Row],[WALCL]]/1000)/19222</f>
        <v/>
      </c>
    </row>
    <row r="229">
      <c r="A229" s="10" t="n">
        <v>39127</v>
      </c>
      <c r="B229" s="9" t="n">
        <v>867199</v>
      </c>
      <c r="C229" s="7" t="n">
        <v>0.009453050753365444</v>
      </c>
      <c r="D229" s="7">
        <f>(Table4[[#This Row],[WALCL]]/1000)/19222</f>
        <v/>
      </c>
    </row>
    <row r="230">
      <c r="A230" s="10" t="n">
        <v>39134</v>
      </c>
      <c r="B230" s="9" t="n">
        <v>869235</v>
      </c>
      <c r="C230" s="7" t="n">
        <v>0.009453050753365444</v>
      </c>
      <c r="D230" s="7">
        <f>(Table4[[#This Row],[WALCL]]/1000)/19222</f>
        <v/>
      </c>
    </row>
    <row r="231">
      <c r="A231" s="10" t="n">
        <v>39141</v>
      </c>
      <c r="B231" s="9" t="n">
        <v>877409</v>
      </c>
      <c r="C231" s="7" t="n">
        <v>0.009453050753365444</v>
      </c>
      <c r="D231" s="7">
        <f>(Table4[[#This Row],[WALCL]]/1000)/19222</f>
        <v/>
      </c>
    </row>
    <row r="232">
      <c r="A232" s="10" t="n">
        <v>39148</v>
      </c>
      <c r="B232" s="9" t="n">
        <v>864505</v>
      </c>
      <c r="C232" s="7" t="n">
        <v>0.009453050753365444</v>
      </c>
      <c r="D232" s="7">
        <f>(Table4[[#This Row],[WALCL]]/1000)/19222</f>
        <v/>
      </c>
    </row>
    <row r="233">
      <c r="A233" s="10" t="n">
        <v>39155</v>
      </c>
      <c r="B233" s="9" t="n">
        <v>876108</v>
      </c>
      <c r="C233" s="7" t="n">
        <v>0.009453050753365444</v>
      </c>
      <c r="D233" s="7">
        <f>(Table4[[#This Row],[WALCL]]/1000)/19222</f>
        <v/>
      </c>
    </row>
    <row r="234">
      <c r="A234" s="10" t="n">
        <v>39162</v>
      </c>
      <c r="B234" s="9" t="n">
        <v>863067</v>
      </c>
      <c r="C234" s="7" t="n">
        <v>0.009453050753365444</v>
      </c>
      <c r="D234" s="7">
        <f>(Table4[[#This Row],[WALCL]]/1000)/19222</f>
        <v/>
      </c>
    </row>
    <row r="235">
      <c r="A235" s="10" t="n">
        <v>39169</v>
      </c>
      <c r="B235" s="9" t="n">
        <v>869803</v>
      </c>
      <c r="C235" s="7" t="n">
        <v>0.009453050753365444</v>
      </c>
      <c r="D235" s="7">
        <f>(Table4[[#This Row],[WALCL]]/1000)/19222</f>
        <v/>
      </c>
    </row>
    <row r="236">
      <c r="A236" s="10" t="n">
        <v>39176</v>
      </c>
      <c r="B236" s="9" t="n">
        <v>862319</v>
      </c>
      <c r="C236" s="7" t="n">
        <v>0.02311255878871088</v>
      </c>
      <c r="D236" s="7">
        <f>(Table4[[#This Row],[WALCL]]/1000)/19222</f>
        <v/>
      </c>
    </row>
    <row r="237">
      <c r="A237" s="10" t="n">
        <v>39183</v>
      </c>
      <c r="B237" s="9" t="n">
        <v>865441</v>
      </c>
      <c r="C237" s="7" t="n">
        <v>0.02311255878871088</v>
      </c>
      <c r="D237" s="7">
        <f>(Table4[[#This Row],[WALCL]]/1000)/19222</f>
        <v/>
      </c>
    </row>
    <row r="238">
      <c r="A238" s="10" t="n">
        <v>39190</v>
      </c>
      <c r="B238" s="9" t="n">
        <v>861335</v>
      </c>
      <c r="C238" s="7" t="n">
        <v>0.02311255878871088</v>
      </c>
      <c r="D238" s="7">
        <f>(Table4[[#This Row],[WALCL]]/1000)/19222</f>
        <v/>
      </c>
    </row>
    <row r="239">
      <c r="A239" s="10" t="n">
        <v>39197</v>
      </c>
      <c r="B239" s="9" t="n">
        <v>879686</v>
      </c>
      <c r="C239" s="7" t="n">
        <v>0.02311255878871088</v>
      </c>
      <c r="D239" s="7">
        <f>(Table4[[#This Row],[WALCL]]/1000)/19222</f>
        <v/>
      </c>
    </row>
    <row r="240">
      <c r="A240" s="10" t="n">
        <v>39204</v>
      </c>
      <c r="B240" s="9" t="n">
        <v>890857</v>
      </c>
      <c r="C240" s="7" t="n">
        <v>0.02311255878871088</v>
      </c>
      <c r="D240" s="7">
        <f>(Table4[[#This Row],[WALCL]]/1000)/19222</f>
        <v/>
      </c>
    </row>
    <row r="241">
      <c r="A241" s="10" t="n">
        <v>39211</v>
      </c>
      <c r="B241" s="9" t="n">
        <v>875270</v>
      </c>
      <c r="C241" s="7" t="n">
        <v>0.02311255878871088</v>
      </c>
      <c r="D241" s="7">
        <f>(Table4[[#This Row],[WALCL]]/1000)/19222</f>
        <v/>
      </c>
    </row>
    <row r="242">
      <c r="A242" s="10" t="n">
        <v>39218</v>
      </c>
      <c r="B242" s="9" t="n">
        <v>859559</v>
      </c>
      <c r="C242" s="7" t="n">
        <v>0.02311255878871088</v>
      </c>
      <c r="D242" s="7">
        <f>(Table4[[#This Row],[WALCL]]/1000)/19222</f>
        <v/>
      </c>
    </row>
    <row r="243">
      <c r="A243" s="10" t="n">
        <v>39225</v>
      </c>
      <c r="B243" s="9" t="n">
        <v>873935</v>
      </c>
      <c r="C243" s="7" t="n">
        <v>0.02311255878871088</v>
      </c>
      <c r="D243" s="7">
        <f>(Table4[[#This Row],[WALCL]]/1000)/19222</f>
        <v/>
      </c>
    </row>
    <row r="244">
      <c r="A244" s="10" t="n">
        <v>39232</v>
      </c>
      <c r="B244" s="9" t="n">
        <v>876986</v>
      </c>
      <c r="C244" s="7" t="n">
        <v>0.02311255878871088</v>
      </c>
      <c r="D244" s="7">
        <f>(Table4[[#This Row],[WALCL]]/1000)/19222</f>
        <v/>
      </c>
    </row>
    <row r="245">
      <c r="A245" s="10" t="n">
        <v>39239</v>
      </c>
      <c r="B245" s="9" t="n">
        <v>872706</v>
      </c>
      <c r="C245" s="7" t="n">
        <v>0.02311255878871088</v>
      </c>
      <c r="D245" s="7">
        <f>(Table4[[#This Row],[WALCL]]/1000)/19222</f>
        <v/>
      </c>
    </row>
    <row r="246">
      <c r="A246" s="10" t="n">
        <v>39246</v>
      </c>
      <c r="B246" s="9" t="n">
        <v>864989</v>
      </c>
      <c r="C246" s="7" t="n">
        <v>0.02311255878871088</v>
      </c>
      <c r="D246" s="7">
        <f>(Table4[[#This Row],[WALCL]]/1000)/19222</f>
        <v/>
      </c>
    </row>
    <row r="247">
      <c r="A247" s="10" t="n">
        <v>39253</v>
      </c>
      <c r="B247" s="9" t="n">
        <v>866089</v>
      </c>
      <c r="C247" s="7" t="n">
        <v>0.02311255878871088</v>
      </c>
      <c r="D247" s="7">
        <f>(Table4[[#This Row],[WALCL]]/1000)/19222</f>
        <v/>
      </c>
    </row>
    <row r="248">
      <c r="A248" s="10" t="n">
        <v>39260</v>
      </c>
      <c r="B248" s="9" t="n">
        <v>865105</v>
      </c>
      <c r="C248" s="7" t="n">
        <v>0.02311255878871088</v>
      </c>
      <c r="D248" s="7">
        <f>(Table4[[#This Row],[WALCL]]/1000)/19222</f>
        <v/>
      </c>
    </row>
    <row r="249">
      <c r="A249" s="10" t="n">
        <v>39267</v>
      </c>
      <c r="B249" s="9" t="n">
        <v>876611</v>
      </c>
      <c r="C249" s="7" t="n">
        <v>0.02190858157651876</v>
      </c>
      <c r="D249" s="7">
        <f>(Table4[[#This Row],[WALCL]]/1000)/19222</f>
        <v/>
      </c>
    </row>
    <row r="250">
      <c r="A250" s="10" t="n">
        <v>39274</v>
      </c>
      <c r="B250" s="9" t="n">
        <v>869407</v>
      </c>
      <c r="C250" s="7" t="n">
        <v>0.02190858157651876</v>
      </c>
      <c r="D250" s="7">
        <f>(Table4[[#This Row],[WALCL]]/1000)/19222</f>
        <v/>
      </c>
    </row>
    <row r="251">
      <c r="A251" s="10" t="n">
        <v>39281</v>
      </c>
      <c r="B251" s="9" t="n">
        <v>872916</v>
      </c>
      <c r="C251" s="7" t="n">
        <v>0.02190858157651876</v>
      </c>
      <c r="D251" s="7">
        <f>(Table4[[#This Row],[WALCL]]/1000)/19222</f>
        <v/>
      </c>
    </row>
    <row r="252">
      <c r="A252" s="10" t="n">
        <v>39288</v>
      </c>
      <c r="B252" s="9" t="n">
        <v>863890</v>
      </c>
      <c r="C252" s="7" t="n">
        <v>0.02190858157651876</v>
      </c>
      <c r="D252" s="7">
        <f>(Table4[[#This Row],[WALCL]]/1000)/19222</f>
        <v/>
      </c>
    </row>
    <row r="253">
      <c r="A253" s="10" t="n">
        <v>39295</v>
      </c>
      <c r="B253" s="9" t="n">
        <v>870261</v>
      </c>
      <c r="C253" s="7" t="n">
        <v>0.02190858157651876</v>
      </c>
      <c r="D253" s="7">
        <f>(Table4[[#This Row],[WALCL]]/1000)/19222</f>
        <v/>
      </c>
    </row>
    <row r="254">
      <c r="A254" s="10" t="n">
        <v>39302</v>
      </c>
      <c r="B254" s="9" t="n">
        <v>865453</v>
      </c>
      <c r="C254" s="7" t="n">
        <v>0.02190858157651876</v>
      </c>
      <c r="D254" s="7">
        <f>(Table4[[#This Row],[WALCL]]/1000)/19222</f>
        <v/>
      </c>
    </row>
    <row r="255">
      <c r="A255" s="10" t="n">
        <v>39309</v>
      </c>
      <c r="B255" s="9" t="n">
        <v>864931</v>
      </c>
      <c r="C255" s="7" t="n">
        <v>0.02190858157651876</v>
      </c>
      <c r="D255" s="7">
        <f>(Table4[[#This Row],[WALCL]]/1000)/19222</f>
        <v/>
      </c>
    </row>
    <row r="256">
      <c r="A256" s="10" t="n">
        <v>39316</v>
      </c>
      <c r="B256" s="9" t="n">
        <v>862775</v>
      </c>
      <c r="C256" s="7" t="n">
        <v>0.02190858157651876</v>
      </c>
      <c r="D256" s="7">
        <f>(Table4[[#This Row],[WALCL]]/1000)/19222</f>
        <v/>
      </c>
    </row>
    <row r="257">
      <c r="A257" s="10" t="n">
        <v>39323</v>
      </c>
      <c r="B257" s="9" t="n">
        <v>872873</v>
      </c>
      <c r="C257" s="7" t="n">
        <v>0.02190858157651876</v>
      </c>
      <c r="D257" s="7">
        <f>(Table4[[#This Row],[WALCL]]/1000)/19222</f>
        <v/>
      </c>
    </row>
    <row r="258">
      <c r="A258" s="10" t="n">
        <v>39330</v>
      </c>
      <c r="B258" s="9" t="n">
        <v>871156</v>
      </c>
      <c r="C258" s="7" t="n">
        <v>0.02190858157651876</v>
      </c>
      <c r="D258" s="7">
        <f>(Table4[[#This Row],[WALCL]]/1000)/19222</f>
        <v/>
      </c>
    </row>
    <row r="259">
      <c r="A259" s="10" t="n">
        <v>39337</v>
      </c>
      <c r="B259" s="9" t="n">
        <v>886314</v>
      </c>
      <c r="C259" s="7" t="n">
        <v>0.02190858157651876</v>
      </c>
      <c r="D259" s="7">
        <f>(Table4[[#This Row],[WALCL]]/1000)/19222</f>
        <v/>
      </c>
    </row>
    <row r="260">
      <c r="A260" s="10" t="n">
        <v>39344</v>
      </c>
      <c r="B260" s="9" t="n">
        <v>867732</v>
      </c>
      <c r="C260" s="7" t="n">
        <v>0.02190858157651876</v>
      </c>
      <c r="D260" s="7">
        <f>(Table4[[#This Row],[WALCL]]/1000)/19222</f>
        <v/>
      </c>
    </row>
    <row r="261">
      <c r="A261" s="10" t="n">
        <v>39351</v>
      </c>
      <c r="B261" s="9" t="n">
        <v>889900</v>
      </c>
      <c r="C261" s="7" t="n">
        <v>0.02190858157651876</v>
      </c>
      <c r="D261" s="7">
        <f>(Table4[[#This Row],[WALCL]]/1000)/19222</f>
        <v/>
      </c>
    </row>
    <row r="262">
      <c r="A262" s="10" t="n">
        <v>39358</v>
      </c>
      <c r="B262" s="9" t="n">
        <v>869051</v>
      </c>
      <c r="C262" s="7" t="n">
        <v>0.02453625929096193</v>
      </c>
      <c r="D262" s="7">
        <f>(Table4[[#This Row],[WALCL]]/1000)/19222</f>
        <v/>
      </c>
    </row>
    <row r="263">
      <c r="A263" s="10" t="n">
        <v>39365</v>
      </c>
      <c r="B263" s="9" t="n">
        <v>886363</v>
      </c>
      <c r="C263" s="7" t="n">
        <v>0.02453625929096193</v>
      </c>
      <c r="D263" s="7">
        <f>(Table4[[#This Row],[WALCL]]/1000)/19222</f>
        <v/>
      </c>
    </row>
    <row r="264">
      <c r="A264" s="10" t="n">
        <v>39372</v>
      </c>
      <c r="B264" s="9" t="n">
        <v>869509</v>
      </c>
      <c r="C264" s="7" t="n">
        <v>0.02453625929096193</v>
      </c>
      <c r="D264" s="7">
        <f>(Table4[[#This Row],[WALCL]]/1000)/19222</f>
        <v/>
      </c>
    </row>
    <row r="265">
      <c r="A265" s="10" t="n">
        <v>39379</v>
      </c>
      <c r="B265" s="9" t="n">
        <v>881395</v>
      </c>
      <c r="C265" s="7" t="n">
        <v>0.02453625929096193</v>
      </c>
      <c r="D265" s="7">
        <f>(Table4[[#This Row],[WALCL]]/1000)/19222</f>
        <v/>
      </c>
    </row>
    <row r="266">
      <c r="A266" s="10" t="n">
        <v>39386</v>
      </c>
      <c r="B266" s="9" t="n">
        <v>883385</v>
      </c>
      <c r="C266" s="7" t="n">
        <v>0.02453625929096193</v>
      </c>
      <c r="D266" s="7">
        <f>(Table4[[#This Row],[WALCL]]/1000)/19222</f>
        <v/>
      </c>
    </row>
    <row r="267">
      <c r="A267" s="10" t="n">
        <v>39393</v>
      </c>
      <c r="B267" s="9" t="n">
        <v>885724</v>
      </c>
      <c r="C267" s="7" t="n">
        <v>0.02453625929096193</v>
      </c>
      <c r="D267" s="7">
        <f>(Table4[[#This Row],[WALCL]]/1000)/19222</f>
        <v/>
      </c>
    </row>
    <row r="268">
      <c r="A268" s="10" t="n">
        <v>39400</v>
      </c>
      <c r="B268" s="9" t="n">
        <v>889537</v>
      </c>
      <c r="C268" s="7" t="n">
        <v>0.02453625929096193</v>
      </c>
      <c r="D268" s="7">
        <f>(Table4[[#This Row],[WALCL]]/1000)/19222</f>
        <v/>
      </c>
    </row>
    <row r="269">
      <c r="A269" s="10" t="n">
        <v>39407</v>
      </c>
      <c r="B269" s="9" t="n">
        <v>891028</v>
      </c>
      <c r="C269" s="7" t="n">
        <v>0.02453625929096193</v>
      </c>
      <c r="D269" s="7">
        <f>(Table4[[#This Row],[WALCL]]/1000)/19222</f>
        <v/>
      </c>
    </row>
    <row r="270">
      <c r="A270" s="10" t="n">
        <v>39414</v>
      </c>
      <c r="B270" s="9" t="n">
        <v>879417</v>
      </c>
      <c r="C270" s="7" t="n">
        <v>0.02453625929096193</v>
      </c>
      <c r="D270" s="7">
        <f>(Table4[[#This Row],[WALCL]]/1000)/19222</f>
        <v/>
      </c>
    </row>
    <row r="271">
      <c r="A271" s="10" t="n">
        <v>39421</v>
      </c>
      <c r="B271" s="9" t="n">
        <v>882764</v>
      </c>
      <c r="C271" s="7" t="n">
        <v>0.02453625929096193</v>
      </c>
      <c r="D271" s="7">
        <f>(Table4[[#This Row],[WALCL]]/1000)/19222</f>
        <v/>
      </c>
    </row>
    <row r="272">
      <c r="A272" s="10" t="n">
        <v>39428</v>
      </c>
      <c r="B272" s="9" t="n">
        <v>881750</v>
      </c>
      <c r="C272" s="7" t="n">
        <v>0.02453625929096193</v>
      </c>
      <c r="D272" s="7">
        <f>(Table4[[#This Row],[WALCL]]/1000)/19222</f>
        <v/>
      </c>
    </row>
    <row r="273">
      <c r="A273" s="10" t="n">
        <v>39435</v>
      </c>
      <c r="B273" s="9" t="n">
        <v>887983</v>
      </c>
      <c r="C273" s="7" t="n">
        <v>0.02453625929096193</v>
      </c>
      <c r="D273" s="7">
        <f>(Table4[[#This Row],[WALCL]]/1000)/19222</f>
        <v/>
      </c>
    </row>
    <row r="274">
      <c r="A274" s="10" t="n">
        <v>39442</v>
      </c>
      <c r="B274" s="9" t="n">
        <v>890662</v>
      </c>
      <c r="C274" s="7" t="n">
        <v>0.02453625929096193</v>
      </c>
      <c r="D274" s="7">
        <f>(Table4[[#This Row],[WALCL]]/1000)/19222</f>
        <v/>
      </c>
    </row>
    <row r="275">
      <c r="A275" s="10" t="n">
        <v>39449</v>
      </c>
      <c r="B275" s="9" t="n">
        <v>922187</v>
      </c>
      <c r="C275" s="7" t="n">
        <v>-0.02279058402976775</v>
      </c>
      <c r="D275" s="7">
        <f>(Table4[[#This Row],[WALCL]]/1000)/19222</f>
        <v/>
      </c>
    </row>
    <row r="276">
      <c r="A276" s="10" t="n">
        <v>39456</v>
      </c>
      <c r="B276" s="9" t="n">
        <v>880754</v>
      </c>
      <c r="C276" s="7" t="n">
        <v>-0.02279058402976775</v>
      </c>
      <c r="D276" s="7">
        <f>(Table4[[#This Row],[WALCL]]/1000)/19222</f>
        <v/>
      </c>
    </row>
    <row r="277">
      <c r="A277" s="10" t="n">
        <v>39463</v>
      </c>
      <c r="B277" s="9" t="n">
        <v>893581</v>
      </c>
      <c r="C277" s="7" t="n">
        <v>-0.02279058402976775</v>
      </c>
      <c r="D277" s="7">
        <f>(Table4[[#This Row],[WALCL]]/1000)/19222</f>
        <v/>
      </c>
    </row>
    <row r="278">
      <c r="A278" s="10" t="n">
        <v>39470</v>
      </c>
      <c r="B278" s="9" t="n">
        <v>877253</v>
      </c>
      <c r="C278" s="7" t="n">
        <v>-0.02279058402976775</v>
      </c>
      <c r="D278" s="7">
        <f>(Table4[[#This Row],[WALCL]]/1000)/19222</f>
        <v/>
      </c>
    </row>
    <row r="279">
      <c r="A279" s="10" t="n">
        <v>39477</v>
      </c>
      <c r="B279" s="9" t="n">
        <v>900264</v>
      </c>
      <c r="C279" s="7" t="n">
        <v>-0.02279058402976775</v>
      </c>
      <c r="D279" s="7">
        <f>(Table4[[#This Row],[WALCL]]/1000)/19222</f>
        <v/>
      </c>
    </row>
    <row r="280">
      <c r="A280" s="10" t="n">
        <v>39484</v>
      </c>
      <c r="B280" s="9" t="n">
        <v>871022</v>
      </c>
      <c r="C280" s="7" t="n">
        <v>-0.02279058402976775</v>
      </c>
      <c r="D280" s="7">
        <f>(Table4[[#This Row],[WALCL]]/1000)/19222</f>
        <v/>
      </c>
    </row>
    <row r="281">
      <c r="A281" s="10" t="n">
        <v>39491</v>
      </c>
      <c r="B281" s="9" t="n">
        <v>883005</v>
      </c>
      <c r="C281" s="7" t="n">
        <v>-0.02279058402976775</v>
      </c>
      <c r="D281" s="7">
        <f>(Table4[[#This Row],[WALCL]]/1000)/19222</f>
        <v/>
      </c>
    </row>
    <row r="282">
      <c r="A282" s="10" t="n">
        <v>39498</v>
      </c>
      <c r="B282" s="9" t="n">
        <v>878949</v>
      </c>
      <c r="C282" s="7" t="n">
        <v>-0.02279058402976775</v>
      </c>
      <c r="D282" s="7">
        <f>(Table4[[#This Row],[WALCL]]/1000)/19222</f>
        <v/>
      </c>
    </row>
    <row r="283">
      <c r="A283" s="10" t="n">
        <v>39505</v>
      </c>
      <c r="B283" s="9" t="n">
        <v>893825</v>
      </c>
      <c r="C283" s="7" t="n">
        <v>-0.02279058402976775</v>
      </c>
      <c r="D283" s="7">
        <f>(Table4[[#This Row],[WALCL]]/1000)/19222</f>
        <v/>
      </c>
    </row>
    <row r="284">
      <c r="A284" s="10" t="n">
        <v>39512</v>
      </c>
      <c r="B284" s="9" t="n">
        <v>881208</v>
      </c>
      <c r="C284" s="7" t="n">
        <v>-0.02279058402976775</v>
      </c>
      <c r="D284" s="7">
        <f>(Table4[[#This Row],[WALCL]]/1000)/19222</f>
        <v/>
      </c>
    </row>
    <row r="285">
      <c r="A285" s="10" t="n">
        <v>39519</v>
      </c>
      <c r="B285" s="9" t="n">
        <v>896565</v>
      </c>
      <c r="C285" s="7" t="n">
        <v>-0.02279058402976775</v>
      </c>
      <c r="D285" s="7">
        <f>(Table4[[#This Row],[WALCL]]/1000)/19222</f>
        <v/>
      </c>
    </row>
    <row r="286">
      <c r="A286" s="10" t="n">
        <v>39526</v>
      </c>
      <c r="B286" s="9" t="n">
        <v>888646</v>
      </c>
      <c r="C286" s="7" t="n">
        <v>-0.02279058402976775</v>
      </c>
      <c r="D286" s="7">
        <f>(Table4[[#This Row],[WALCL]]/1000)/19222</f>
        <v/>
      </c>
    </row>
    <row r="287">
      <c r="A287" s="10" t="n">
        <v>39533</v>
      </c>
      <c r="B287" s="9" t="n">
        <v>893965</v>
      </c>
      <c r="C287" s="7" t="n">
        <v>-0.02279058402976775</v>
      </c>
      <c r="D287" s="7">
        <f>(Table4[[#This Row],[WALCL]]/1000)/19222</f>
        <v/>
      </c>
    </row>
    <row r="288">
      <c r="A288" s="10" t="n">
        <v>39540</v>
      </c>
      <c r="B288" s="9" t="n">
        <v>883708</v>
      </c>
      <c r="C288" s="7" t="n">
        <v>0.02081602883063072</v>
      </c>
      <c r="D288" s="7">
        <f>(Table4[[#This Row],[WALCL]]/1000)/19222</f>
        <v/>
      </c>
    </row>
    <row r="289">
      <c r="A289" s="10" t="n">
        <v>39547</v>
      </c>
      <c r="B289" s="9" t="n">
        <v>893029</v>
      </c>
      <c r="C289" s="7" t="n">
        <v>0.02081602883063072</v>
      </c>
      <c r="D289" s="7">
        <f>(Table4[[#This Row],[WALCL]]/1000)/19222</f>
        <v/>
      </c>
    </row>
    <row r="290">
      <c r="A290" s="10" t="n">
        <v>39554</v>
      </c>
      <c r="B290" s="9" t="n">
        <v>881904</v>
      </c>
      <c r="C290" s="7" t="n">
        <v>0.02081602883063072</v>
      </c>
      <c r="D290" s="7">
        <f>(Table4[[#This Row],[WALCL]]/1000)/19222</f>
        <v/>
      </c>
    </row>
    <row r="291">
      <c r="A291" s="10" t="n">
        <v>39561</v>
      </c>
      <c r="B291" s="9" t="n">
        <v>885781</v>
      </c>
      <c r="C291" s="7" t="n">
        <v>0.02081602883063072</v>
      </c>
      <c r="D291" s="7">
        <f>(Table4[[#This Row],[WALCL]]/1000)/19222</f>
        <v/>
      </c>
    </row>
    <row r="292">
      <c r="A292" s="10" t="n">
        <v>39568</v>
      </c>
      <c r="B292" s="9" t="n">
        <v>888131</v>
      </c>
      <c r="C292" s="7" t="n">
        <v>0.02081602883063072</v>
      </c>
      <c r="D292" s="7">
        <f>(Table4[[#This Row],[WALCL]]/1000)/19222</f>
        <v/>
      </c>
    </row>
    <row r="293">
      <c r="A293" s="10" t="n">
        <v>39575</v>
      </c>
      <c r="B293" s="9" t="n">
        <v>889228</v>
      </c>
      <c r="C293" s="7" t="n">
        <v>0.02081602883063072</v>
      </c>
      <c r="D293" s="7">
        <f>(Table4[[#This Row],[WALCL]]/1000)/19222</f>
        <v/>
      </c>
    </row>
    <row r="294">
      <c r="A294" s="10" t="n">
        <v>39582</v>
      </c>
      <c r="B294" s="9" t="n">
        <v>880175</v>
      </c>
      <c r="C294" s="7" t="n">
        <v>0.02081602883063072</v>
      </c>
      <c r="D294" s="7">
        <f>(Table4[[#This Row],[WALCL]]/1000)/19222</f>
        <v/>
      </c>
    </row>
    <row r="295">
      <c r="A295" s="10" t="n">
        <v>39589</v>
      </c>
      <c r="B295" s="9" t="n">
        <v>898487</v>
      </c>
      <c r="C295" s="7" t="n">
        <v>0.02081602883063072</v>
      </c>
      <c r="D295" s="7">
        <f>(Table4[[#This Row],[WALCL]]/1000)/19222</f>
        <v/>
      </c>
    </row>
    <row r="296">
      <c r="A296" s="10" t="n">
        <v>39596</v>
      </c>
      <c r="B296" s="9" t="n">
        <v>904054</v>
      </c>
      <c r="C296" s="7" t="n">
        <v>0.02081602883063072</v>
      </c>
      <c r="D296" s="7">
        <f>(Table4[[#This Row],[WALCL]]/1000)/19222</f>
        <v/>
      </c>
    </row>
    <row r="297">
      <c r="A297" s="10" t="n">
        <v>39603</v>
      </c>
      <c r="B297" s="9" t="n">
        <v>895939</v>
      </c>
      <c r="C297" s="7" t="n">
        <v>0.02081602883063072</v>
      </c>
      <c r="D297" s="7">
        <f>(Table4[[#This Row],[WALCL]]/1000)/19222</f>
        <v/>
      </c>
    </row>
    <row r="298">
      <c r="A298" s="10" t="n">
        <v>39610</v>
      </c>
      <c r="B298" s="9" t="n">
        <v>890610</v>
      </c>
      <c r="C298" s="7" t="n">
        <v>0.02081602883063072</v>
      </c>
      <c r="D298" s="7">
        <f>(Table4[[#This Row],[WALCL]]/1000)/19222</f>
        <v/>
      </c>
    </row>
    <row r="299">
      <c r="A299" s="10" t="n">
        <v>39617</v>
      </c>
      <c r="B299" s="9" t="n">
        <v>902304</v>
      </c>
      <c r="C299" s="7" t="n">
        <v>0.02081602883063072</v>
      </c>
      <c r="D299" s="7">
        <f>(Table4[[#This Row],[WALCL]]/1000)/19222</f>
        <v/>
      </c>
    </row>
    <row r="300">
      <c r="A300" s="10" t="n">
        <v>39624</v>
      </c>
      <c r="B300" s="9" t="n">
        <v>892713</v>
      </c>
      <c r="C300" s="7" t="n">
        <v>0.02081602883063072</v>
      </c>
      <c r="D300" s="7">
        <f>(Table4[[#This Row],[WALCL]]/1000)/19222</f>
        <v/>
      </c>
    </row>
    <row r="301">
      <c r="A301" s="10" t="n">
        <v>39631</v>
      </c>
      <c r="B301" s="9" t="n">
        <v>902962</v>
      </c>
      <c r="C301" s="7" t="n">
        <v>-0.02147901784960871</v>
      </c>
      <c r="D301" s="7">
        <f>(Table4[[#This Row],[WALCL]]/1000)/19222</f>
        <v/>
      </c>
    </row>
    <row r="302">
      <c r="A302" s="10" t="n">
        <v>39638</v>
      </c>
      <c r="B302" s="9" t="n">
        <v>898034</v>
      </c>
      <c r="C302" s="7" t="n">
        <v>-0.02147901784960871</v>
      </c>
      <c r="D302" s="7">
        <f>(Table4[[#This Row],[WALCL]]/1000)/19222</f>
        <v/>
      </c>
    </row>
    <row r="303">
      <c r="A303" s="10" t="n">
        <v>39645</v>
      </c>
      <c r="B303" s="9" t="n">
        <v>910681</v>
      </c>
      <c r="C303" s="7" t="n">
        <v>-0.02147901784960871</v>
      </c>
      <c r="D303" s="7">
        <f>(Table4[[#This Row],[WALCL]]/1000)/19222</f>
        <v/>
      </c>
    </row>
    <row r="304">
      <c r="A304" s="10" t="n">
        <v>39652</v>
      </c>
      <c r="B304" s="9" t="n">
        <v>899665</v>
      </c>
      <c r="C304" s="7" t="n">
        <v>-0.02147901784960871</v>
      </c>
      <c r="D304" s="7">
        <f>(Table4[[#This Row],[WALCL]]/1000)/19222</f>
        <v/>
      </c>
    </row>
    <row r="305">
      <c r="A305" s="10" t="n">
        <v>39659</v>
      </c>
      <c r="B305" s="9" t="n">
        <v>918625</v>
      </c>
      <c r="C305" s="7" t="n">
        <v>-0.02147901784960871</v>
      </c>
      <c r="D305" s="7">
        <f>(Table4[[#This Row],[WALCL]]/1000)/19222</f>
        <v/>
      </c>
    </row>
    <row r="306">
      <c r="A306" s="10" t="n">
        <v>39666</v>
      </c>
      <c r="B306" s="9" t="n">
        <v>901710</v>
      </c>
      <c r="C306" s="7" t="n">
        <v>-0.02147901784960871</v>
      </c>
      <c r="D306" s="7">
        <f>(Table4[[#This Row],[WALCL]]/1000)/19222</f>
        <v/>
      </c>
    </row>
    <row r="307">
      <c r="A307" s="10" t="n">
        <v>39673</v>
      </c>
      <c r="B307" s="9" t="n">
        <v>914632</v>
      </c>
      <c r="C307" s="7" t="n">
        <v>-0.02147901784960871</v>
      </c>
      <c r="D307" s="7">
        <f>(Table4[[#This Row],[WALCL]]/1000)/19222</f>
        <v/>
      </c>
    </row>
    <row r="308">
      <c r="A308" s="10" t="n">
        <v>39680</v>
      </c>
      <c r="B308" s="9" t="n">
        <v>898611</v>
      </c>
      <c r="C308" s="7" t="n">
        <v>-0.02147901784960871</v>
      </c>
      <c r="D308" s="7">
        <f>(Table4[[#This Row],[WALCL]]/1000)/19222</f>
        <v/>
      </c>
    </row>
    <row r="309">
      <c r="A309" s="10" t="n">
        <v>39687</v>
      </c>
      <c r="B309" s="9" t="n">
        <v>909982</v>
      </c>
      <c r="C309" s="7" t="n">
        <v>-0.02147901784960871</v>
      </c>
      <c r="D309" s="7">
        <f>(Table4[[#This Row],[WALCL]]/1000)/19222</f>
        <v/>
      </c>
    </row>
    <row r="310">
      <c r="A310" s="10" t="n">
        <v>39694</v>
      </c>
      <c r="B310" s="9" t="n">
        <v>905253</v>
      </c>
      <c r="C310" s="7" t="n">
        <v>-0.02147901784960871</v>
      </c>
      <c r="D310" s="7">
        <f>(Table4[[#This Row],[WALCL]]/1000)/19222</f>
        <v/>
      </c>
    </row>
    <row r="311">
      <c r="A311" s="10" t="n">
        <v>39701</v>
      </c>
      <c r="B311" s="9" t="n">
        <v>925725</v>
      </c>
      <c r="C311" s="7" t="n">
        <v>-0.02147901784960871</v>
      </c>
      <c r="D311" s="7">
        <f>(Table4[[#This Row],[WALCL]]/1000)/19222</f>
        <v/>
      </c>
    </row>
    <row r="312">
      <c r="A312" s="10" t="n">
        <v>39708</v>
      </c>
      <c r="B312" s="9" t="n">
        <v>995093</v>
      </c>
      <c r="C312" s="7" t="n">
        <v>-0.02147901784960871</v>
      </c>
      <c r="D312" s="7">
        <f>(Table4[[#This Row],[WALCL]]/1000)/19222</f>
        <v/>
      </c>
    </row>
    <row r="313">
      <c r="A313" s="10" t="n">
        <v>39715</v>
      </c>
      <c r="B313" s="9" t="n">
        <v>1211825</v>
      </c>
      <c r="C313" s="7" t="n">
        <v>-0.02147901784960871</v>
      </c>
      <c r="D313" s="7">
        <f>(Table4[[#This Row],[WALCL]]/1000)/19222</f>
        <v/>
      </c>
    </row>
    <row r="314">
      <c r="A314" s="10" t="n">
        <v>39722</v>
      </c>
      <c r="B314" s="9" t="n">
        <v>1503989</v>
      </c>
      <c r="C314" s="7" t="n">
        <v>-0.08378350761907771</v>
      </c>
      <c r="D314" s="7">
        <f>(Table4[[#This Row],[WALCL]]/1000)/19222</f>
        <v/>
      </c>
    </row>
    <row r="315">
      <c r="A315" s="10" t="n">
        <v>39729</v>
      </c>
      <c r="B315" s="9" t="n">
        <v>1591587</v>
      </c>
      <c r="C315" s="7" t="n">
        <v>-0.08378350761907771</v>
      </c>
      <c r="D315" s="7">
        <f>(Table4[[#This Row],[WALCL]]/1000)/19222</f>
        <v/>
      </c>
    </row>
    <row r="316">
      <c r="A316" s="10" t="n">
        <v>39736</v>
      </c>
      <c r="B316" s="9" t="n">
        <v>1770809</v>
      </c>
      <c r="C316" s="7" t="n">
        <v>-0.08378350761907771</v>
      </c>
      <c r="D316" s="7">
        <f>(Table4[[#This Row],[WALCL]]/1000)/19222</f>
        <v/>
      </c>
    </row>
    <row r="317">
      <c r="A317" s="10" t="n">
        <v>39743</v>
      </c>
      <c r="B317" s="9" t="n">
        <v>1802602</v>
      </c>
      <c r="C317" s="7" t="n">
        <v>-0.08378350761907771</v>
      </c>
      <c r="D317" s="7">
        <f>(Table4[[#This Row],[WALCL]]/1000)/19222</f>
        <v/>
      </c>
    </row>
    <row r="318">
      <c r="A318" s="10" t="n">
        <v>39750</v>
      </c>
      <c r="B318" s="9" t="n">
        <v>1969086</v>
      </c>
      <c r="C318" s="7" t="n">
        <v>-0.08378350761907771</v>
      </c>
      <c r="D318" s="7">
        <f>(Table4[[#This Row],[WALCL]]/1000)/19222</f>
        <v/>
      </c>
    </row>
    <row r="319">
      <c r="A319" s="10" t="n">
        <v>39757</v>
      </c>
      <c r="B319" s="9" t="n">
        <v>2074205</v>
      </c>
      <c r="C319" s="7" t="n">
        <v>-0.08378350761907771</v>
      </c>
      <c r="D319" s="7">
        <f>(Table4[[#This Row],[WALCL]]/1000)/19222</f>
        <v/>
      </c>
    </row>
    <row r="320">
      <c r="A320" s="10" t="n">
        <v>39764</v>
      </c>
      <c r="B320" s="9" t="n">
        <v>2212852</v>
      </c>
      <c r="C320" s="7" t="n">
        <v>-0.08378350761907771</v>
      </c>
      <c r="D320" s="7">
        <f>(Table4[[#This Row],[WALCL]]/1000)/19222</f>
        <v/>
      </c>
    </row>
    <row r="321">
      <c r="A321" s="10" t="n">
        <v>39771</v>
      </c>
      <c r="B321" s="9" t="n">
        <v>2187137</v>
      </c>
      <c r="C321" s="7" t="n">
        <v>-0.08378350761907771</v>
      </c>
      <c r="D321" s="7">
        <f>(Table4[[#This Row],[WALCL]]/1000)/19222</f>
        <v/>
      </c>
    </row>
    <row r="322">
      <c r="A322" s="10" t="n">
        <v>39778</v>
      </c>
      <c r="B322" s="9" t="n">
        <v>2106117</v>
      </c>
      <c r="C322" s="7" t="n">
        <v>-0.08378350761907771</v>
      </c>
      <c r="D322" s="7">
        <f>(Table4[[#This Row],[WALCL]]/1000)/19222</f>
        <v/>
      </c>
    </row>
    <row r="323">
      <c r="A323" s="10" t="n">
        <v>39785</v>
      </c>
      <c r="B323" s="9" t="n">
        <v>2136924</v>
      </c>
      <c r="C323" s="7" t="n">
        <v>-0.08378350761907771</v>
      </c>
      <c r="D323" s="7">
        <f>(Table4[[#This Row],[WALCL]]/1000)/19222</f>
        <v/>
      </c>
    </row>
    <row r="324">
      <c r="A324" s="10" t="n">
        <v>39792</v>
      </c>
      <c r="B324" s="9" t="n">
        <v>2250012</v>
      </c>
      <c r="C324" s="7" t="n">
        <v>-0.08378350761907771</v>
      </c>
      <c r="D324" s="7">
        <f>(Table4[[#This Row],[WALCL]]/1000)/19222</f>
        <v/>
      </c>
    </row>
    <row r="325">
      <c r="A325" s="10" t="n">
        <v>39799</v>
      </c>
      <c r="B325" s="9" t="n">
        <v>2254983</v>
      </c>
      <c r="C325" s="7" t="n">
        <v>-0.08378350761907771</v>
      </c>
      <c r="D325" s="7">
        <f>(Table4[[#This Row],[WALCL]]/1000)/19222</f>
        <v/>
      </c>
    </row>
    <row r="326">
      <c r="A326" s="10" t="n">
        <v>39806</v>
      </c>
      <c r="B326" s="9" t="n">
        <v>2232311</v>
      </c>
      <c r="C326" s="7" t="n">
        <v>-0.08378350761907771</v>
      </c>
      <c r="D326" s="7">
        <f>(Table4[[#This Row],[WALCL]]/1000)/19222</f>
        <v/>
      </c>
    </row>
    <row r="327">
      <c r="A327" s="10" t="n">
        <v>39813</v>
      </c>
      <c r="B327" s="9" t="n">
        <v>2239457</v>
      </c>
      <c r="C327" s="7" t="n">
        <v>-0.08378350761907771</v>
      </c>
      <c r="D327" s="7">
        <f>(Table4[[#This Row],[WALCL]]/1000)/19222</f>
        <v/>
      </c>
    </row>
    <row r="328">
      <c r="A328" s="10" t="n">
        <v>39820</v>
      </c>
      <c r="B328" s="9" t="n">
        <v>2121439</v>
      </c>
      <c r="C328" s="7" t="n">
        <v>-0.0441571798865692</v>
      </c>
      <c r="D328" s="7">
        <f>(Table4[[#This Row],[WALCL]]/1000)/19222</f>
        <v/>
      </c>
    </row>
    <row r="329">
      <c r="A329" s="10" t="n">
        <v>39827</v>
      </c>
      <c r="B329" s="9" t="n">
        <v>2049714</v>
      </c>
      <c r="C329" s="7" t="n">
        <v>-0.0441571798865692</v>
      </c>
      <c r="D329" s="7">
        <f>(Table4[[#This Row],[WALCL]]/1000)/19222</f>
        <v/>
      </c>
    </row>
    <row r="330">
      <c r="A330" s="10" t="n">
        <v>39834</v>
      </c>
      <c r="B330" s="9" t="n">
        <v>2037112</v>
      </c>
      <c r="C330" s="7" t="n">
        <v>-0.0441571798865692</v>
      </c>
      <c r="D330" s="7">
        <f>(Table4[[#This Row],[WALCL]]/1000)/19222</f>
        <v/>
      </c>
    </row>
    <row r="331">
      <c r="A331" s="10" t="n">
        <v>39841</v>
      </c>
      <c r="B331" s="9" t="n">
        <v>1927082</v>
      </c>
      <c r="C331" s="7" t="n">
        <v>-0.0441571798865692</v>
      </c>
      <c r="D331" s="7">
        <f>(Table4[[#This Row],[WALCL]]/1000)/19222</f>
        <v/>
      </c>
    </row>
    <row r="332">
      <c r="A332" s="10" t="n">
        <v>39848</v>
      </c>
      <c r="B332" s="9" t="n">
        <v>1851437</v>
      </c>
      <c r="C332" s="7" t="n">
        <v>-0.0441571798865692</v>
      </c>
      <c r="D332" s="7">
        <f>(Table4[[#This Row],[WALCL]]/1000)/19222</f>
        <v/>
      </c>
    </row>
    <row r="333">
      <c r="A333" s="10" t="n">
        <v>39855</v>
      </c>
      <c r="B333" s="9" t="n">
        <v>1843400</v>
      </c>
      <c r="C333" s="7" t="n">
        <v>-0.0441571798865692</v>
      </c>
      <c r="D333" s="7">
        <f>(Table4[[#This Row],[WALCL]]/1000)/19222</f>
        <v/>
      </c>
    </row>
    <row r="334">
      <c r="A334" s="10" t="n">
        <v>39862</v>
      </c>
      <c r="B334" s="9" t="n">
        <v>1915562</v>
      </c>
      <c r="C334" s="7" t="n">
        <v>-0.0441571798865692</v>
      </c>
      <c r="D334" s="7">
        <f>(Table4[[#This Row],[WALCL]]/1000)/19222</f>
        <v/>
      </c>
    </row>
    <row r="335">
      <c r="A335" s="10" t="n">
        <v>39869</v>
      </c>
      <c r="B335" s="9" t="n">
        <v>1916115</v>
      </c>
      <c r="C335" s="7" t="n">
        <v>-0.0441571798865692</v>
      </c>
      <c r="D335" s="7">
        <f>(Table4[[#This Row],[WALCL]]/1000)/19222</f>
        <v/>
      </c>
    </row>
    <row r="336">
      <c r="A336" s="10" t="n">
        <v>39876</v>
      </c>
      <c r="B336" s="9" t="n">
        <v>1901317</v>
      </c>
      <c r="C336" s="7" t="n">
        <v>-0.0441571798865692</v>
      </c>
      <c r="D336" s="7">
        <f>(Table4[[#This Row],[WALCL]]/1000)/19222</f>
        <v/>
      </c>
    </row>
    <row r="337">
      <c r="A337" s="10" t="n">
        <v>39883</v>
      </c>
      <c r="B337" s="9" t="n">
        <v>1899514</v>
      </c>
      <c r="C337" s="7" t="n">
        <v>-0.0441571798865692</v>
      </c>
      <c r="D337" s="7">
        <f>(Table4[[#This Row],[WALCL]]/1000)/19222</f>
        <v/>
      </c>
    </row>
    <row r="338">
      <c r="A338" s="10" t="n">
        <v>39890</v>
      </c>
      <c r="B338" s="9" t="n">
        <v>2066942</v>
      </c>
      <c r="C338" s="7" t="n">
        <v>-0.0441571798865692</v>
      </c>
      <c r="D338" s="7">
        <f>(Table4[[#This Row],[WALCL]]/1000)/19222</f>
        <v/>
      </c>
    </row>
    <row r="339">
      <c r="A339" s="10" t="n">
        <v>39897</v>
      </c>
      <c r="B339" s="9" t="n">
        <v>2071556</v>
      </c>
      <c r="C339" s="7" t="n">
        <v>-0.0441571798865692</v>
      </c>
      <c r="D339" s="7">
        <f>(Table4[[#This Row],[WALCL]]/1000)/19222</f>
        <v/>
      </c>
    </row>
    <row r="340">
      <c r="A340" s="10" t="n">
        <v>39904</v>
      </c>
      <c r="B340" s="9" t="n">
        <v>2078936</v>
      </c>
      <c r="C340" s="7" t="n">
        <v>-0.00574716207770154</v>
      </c>
      <c r="D340" s="7">
        <f>(Table4[[#This Row],[WALCL]]/1000)/19222</f>
        <v/>
      </c>
    </row>
    <row r="341">
      <c r="A341" s="10" t="n">
        <v>39911</v>
      </c>
      <c r="B341" s="9" t="n">
        <v>2088573</v>
      </c>
      <c r="C341" s="7" t="n">
        <v>-0.00574716207770154</v>
      </c>
      <c r="D341" s="7">
        <f>(Table4[[#This Row],[WALCL]]/1000)/19222</f>
        <v/>
      </c>
    </row>
    <row r="342">
      <c r="A342" s="10" t="n">
        <v>39918</v>
      </c>
      <c r="B342" s="9" t="n">
        <v>2186498</v>
      </c>
      <c r="C342" s="7" t="n">
        <v>-0.00574716207770154</v>
      </c>
      <c r="D342" s="7">
        <f>(Table4[[#This Row],[WALCL]]/1000)/19222</f>
        <v/>
      </c>
    </row>
    <row r="343">
      <c r="A343" s="10" t="n">
        <v>39925</v>
      </c>
      <c r="B343" s="9" t="n">
        <v>2196812</v>
      </c>
      <c r="C343" s="7" t="n">
        <v>-0.00574716207770154</v>
      </c>
      <c r="D343" s="7">
        <f>(Table4[[#This Row],[WALCL]]/1000)/19222</f>
        <v/>
      </c>
    </row>
    <row r="344">
      <c r="A344" s="10" t="n">
        <v>39932</v>
      </c>
      <c r="B344" s="9" t="n">
        <v>2066712</v>
      </c>
      <c r="C344" s="7" t="n">
        <v>-0.00574716207770154</v>
      </c>
      <c r="D344" s="7">
        <f>(Table4[[#This Row],[WALCL]]/1000)/19222</f>
        <v/>
      </c>
    </row>
    <row r="345">
      <c r="A345" s="10" t="n">
        <v>39939</v>
      </c>
      <c r="B345" s="9" t="n">
        <v>2079758</v>
      </c>
      <c r="C345" s="7" t="n">
        <v>-0.00574716207770154</v>
      </c>
      <c r="D345" s="7">
        <f>(Table4[[#This Row],[WALCL]]/1000)/19222</f>
        <v/>
      </c>
    </row>
    <row r="346">
      <c r="A346" s="10" t="n">
        <v>39946</v>
      </c>
      <c r="B346" s="9" t="n">
        <v>2196351</v>
      </c>
      <c r="C346" s="7" t="n">
        <v>-0.00574716207770154</v>
      </c>
      <c r="D346" s="7">
        <f>(Table4[[#This Row],[WALCL]]/1000)/19222</f>
        <v/>
      </c>
    </row>
    <row r="347">
      <c r="A347" s="10" t="n">
        <v>39953</v>
      </c>
      <c r="B347" s="9" t="n">
        <v>2181632</v>
      </c>
      <c r="C347" s="7" t="n">
        <v>-0.00574716207770154</v>
      </c>
      <c r="D347" s="7">
        <f>(Table4[[#This Row],[WALCL]]/1000)/19222</f>
        <v/>
      </c>
    </row>
    <row r="348">
      <c r="A348" s="10" t="n">
        <v>39960</v>
      </c>
      <c r="B348" s="9" t="n">
        <v>2080115</v>
      </c>
      <c r="C348" s="7" t="n">
        <v>-0.00574716207770154</v>
      </c>
      <c r="D348" s="7">
        <f>(Table4[[#This Row],[WALCL]]/1000)/19222</f>
        <v/>
      </c>
    </row>
    <row r="349">
      <c r="A349" s="10" t="n">
        <v>39967</v>
      </c>
      <c r="B349" s="9" t="n">
        <v>2077695</v>
      </c>
      <c r="C349" s="7" t="n">
        <v>-0.00574716207770154</v>
      </c>
      <c r="D349" s="7">
        <f>(Table4[[#This Row],[WALCL]]/1000)/19222</f>
        <v/>
      </c>
    </row>
    <row r="350">
      <c r="A350" s="10" t="n">
        <v>39974</v>
      </c>
      <c r="B350" s="9" t="n">
        <v>2052297</v>
      </c>
      <c r="C350" s="7" t="n">
        <v>-0.00574716207770154</v>
      </c>
      <c r="D350" s="7">
        <f>(Table4[[#This Row],[WALCL]]/1000)/19222</f>
        <v/>
      </c>
    </row>
    <row r="351">
      <c r="A351" s="10" t="n">
        <v>39981</v>
      </c>
      <c r="B351" s="9" t="n">
        <v>2072527</v>
      </c>
      <c r="C351" s="7" t="n">
        <v>-0.00574716207770154</v>
      </c>
      <c r="D351" s="7">
        <f>(Table4[[#This Row],[WALCL]]/1000)/19222</f>
        <v/>
      </c>
    </row>
    <row r="352">
      <c r="A352" s="10" t="n">
        <v>39988</v>
      </c>
      <c r="B352" s="9" t="n">
        <v>2025571</v>
      </c>
      <c r="C352" s="7" t="n">
        <v>-0.00574716207770154</v>
      </c>
      <c r="D352" s="7">
        <f>(Table4[[#This Row],[WALCL]]/1000)/19222</f>
        <v/>
      </c>
    </row>
    <row r="353">
      <c r="A353" s="10" t="n">
        <v>39995</v>
      </c>
      <c r="B353" s="9" t="n">
        <v>2005627</v>
      </c>
      <c r="C353" s="7" t="n">
        <v>0.01464418343352492</v>
      </c>
      <c r="D353" s="7">
        <f>(Table4[[#This Row],[WALCL]]/1000)/19222</f>
        <v/>
      </c>
    </row>
    <row r="354">
      <c r="A354" s="10" t="n">
        <v>40002</v>
      </c>
      <c r="B354" s="9" t="n">
        <v>1992740</v>
      </c>
      <c r="C354" s="7" t="n">
        <v>0.01464418343352492</v>
      </c>
      <c r="D354" s="7">
        <f>(Table4[[#This Row],[WALCL]]/1000)/19222</f>
        <v/>
      </c>
    </row>
    <row r="355">
      <c r="A355" s="10" t="n">
        <v>40009</v>
      </c>
      <c r="B355" s="9" t="n">
        <v>2072451</v>
      </c>
      <c r="C355" s="7" t="n">
        <v>0.01464418343352492</v>
      </c>
      <c r="D355" s="7">
        <f>(Table4[[#This Row],[WALCL]]/1000)/19222</f>
        <v/>
      </c>
    </row>
    <row r="356">
      <c r="A356" s="10" t="n">
        <v>40016</v>
      </c>
      <c r="B356" s="9" t="n">
        <v>2039001</v>
      </c>
      <c r="C356" s="7" t="n">
        <v>0.01464418343352492</v>
      </c>
      <c r="D356" s="7">
        <f>(Table4[[#This Row],[WALCL]]/1000)/19222</f>
        <v/>
      </c>
    </row>
    <row r="357">
      <c r="A357" s="10" t="n">
        <v>40023</v>
      </c>
      <c r="B357" s="9" t="n">
        <v>2000547</v>
      </c>
      <c r="C357" s="7" t="n">
        <v>0.01464418343352492</v>
      </c>
      <c r="D357" s="7">
        <f>(Table4[[#This Row],[WALCL]]/1000)/19222</f>
        <v/>
      </c>
    </row>
    <row r="358">
      <c r="A358" s="10" t="n">
        <v>40030</v>
      </c>
      <c r="B358" s="9" t="n">
        <v>1989203</v>
      </c>
      <c r="C358" s="7" t="n">
        <v>0.01464418343352492</v>
      </c>
      <c r="D358" s="7">
        <f>(Table4[[#This Row],[WALCL]]/1000)/19222</f>
        <v/>
      </c>
    </row>
    <row r="359">
      <c r="A359" s="10" t="n">
        <v>40037</v>
      </c>
      <c r="B359" s="9" t="n">
        <v>2014899</v>
      </c>
      <c r="C359" s="7" t="n">
        <v>0.01464418343352492</v>
      </c>
      <c r="D359" s="7">
        <f>(Table4[[#This Row],[WALCL]]/1000)/19222</f>
        <v/>
      </c>
    </row>
    <row r="360">
      <c r="A360" s="10" t="n">
        <v>40044</v>
      </c>
      <c r="B360" s="9" t="n">
        <v>2060641</v>
      </c>
      <c r="C360" s="7" t="n">
        <v>0.01464418343352492</v>
      </c>
      <c r="D360" s="7">
        <f>(Table4[[#This Row],[WALCL]]/1000)/19222</f>
        <v/>
      </c>
    </row>
    <row r="361">
      <c r="A361" s="10" t="n">
        <v>40051</v>
      </c>
      <c r="B361" s="9" t="n">
        <v>2074902</v>
      </c>
      <c r="C361" s="7" t="n">
        <v>0.01464418343352492</v>
      </c>
      <c r="D361" s="7">
        <f>(Table4[[#This Row],[WALCL]]/1000)/19222</f>
        <v/>
      </c>
    </row>
    <row r="362">
      <c r="A362" s="10" t="n">
        <v>40058</v>
      </c>
      <c r="B362" s="9" t="n">
        <v>2083720</v>
      </c>
      <c r="C362" s="7" t="n">
        <v>0.01464418343352492</v>
      </c>
      <c r="D362" s="7">
        <f>(Table4[[#This Row],[WALCL]]/1000)/19222</f>
        <v/>
      </c>
    </row>
    <row r="363">
      <c r="A363" s="10" t="n">
        <v>40065</v>
      </c>
      <c r="B363" s="9" t="n">
        <v>2087946</v>
      </c>
      <c r="C363" s="7" t="n">
        <v>0.01464418343352492</v>
      </c>
      <c r="D363" s="7">
        <f>(Table4[[#This Row],[WALCL]]/1000)/19222</f>
        <v/>
      </c>
    </row>
    <row r="364">
      <c r="A364" s="10" t="n">
        <v>40072</v>
      </c>
      <c r="B364" s="9" t="n">
        <v>2139783</v>
      </c>
      <c r="C364" s="7" t="n">
        <v>0.01464418343352492</v>
      </c>
      <c r="D364" s="7">
        <f>(Table4[[#This Row],[WALCL]]/1000)/19222</f>
        <v/>
      </c>
    </row>
    <row r="365">
      <c r="A365" s="10" t="n">
        <v>40079</v>
      </c>
      <c r="B365" s="9" t="n">
        <v>2158631</v>
      </c>
      <c r="C365" s="7" t="n">
        <v>0.01464418343352492</v>
      </c>
      <c r="D365" s="7">
        <f>(Table4[[#This Row],[WALCL]]/1000)/19222</f>
        <v/>
      </c>
    </row>
    <row r="366">
      <c r="A366" s="10" t="n">
        <v>40086</v>
      </c>
      <c r="B366" s="9" t="n">
        <v>2141020</v>
      </c>
      <c r="C366" s="7" t="n">
        <v>0.01464418343352492</v>
      </c>
      <c r="D366" s="7">
        <f>(Table4[[#This Row],[WALCL]]/1000)/19222</f>
        <v/>
      </c>
    </row>
    <row r="367">
      <c r="A367" s="10" t="n">
        <v>40093</v>
      </c>
      <c r="B367" s="9" t="n">
        <v>2138086</v>
      </c>
      <c r="C367" s="7" t="n">
        <v>0.04466454787911323</v>
      </c>
      <c r="D367" s="7">
        <f>(Table4[[#This Row],[WALCL]]/1000)/19222</f>
        <v/>
      </c>
    </row>
    <row r="368">
      <c r="A368" s="10" t="n">
        <v>40100</v>
      </c>
      <c r="B368" s="9" t="n">
        <v>2192787</v>
      </c>
      <c r="C368" s="7" t="n">
        <v>0.04466454787911323</v>
      </c>
      <c r="D368" s="7">
        <f>(Table4[[#This Row],[WALCL]]/1000)/19222</f>
        <v/>
      </c>
    </row>
    <row r="369">
      <c r="A369" s="10" t="n">
        <v>40107</v>
      </c>
      <c r="B369" s="9" t="n">
        <v>2201119</v>
      </c>
      <c r="C369" s="7" t="n">
        <v>0.04466454787911323</v>
      </c>
      <c r="D369" s="7">
        <f>(Table4[[#This Row],[WALCL]]/1000)/19222</f>
        <v/>
      </c>
    </row>
    <row r="370">
      <c r="A370" s="10" t="n">
        <v>40114</v>
      </c>
      <c r="B370" s="9" t="n">
        <v>2161537</v>
      </c>
      <c r="C370" s="7" t="n">
        <v>0.04466454787911323</v>
      </c>
      <c r="D370" s="7">
        <f>(Table4[[#This Row],[WALCL]]/1000)/19222</f>
        <v/>
      </c>
    </row>
    <row r="371">
      <c r="A371" s="10" t="n">
        <v>40121</v>
      </c>
      <c r="B371" s="9" t="n">
        <v>2165067</v>
      </c>
      <c r="C371" s="7" t="n">
        <v>0.04466454787911323</v>
      </c>
      <c r="D371" s="7">
        <f>(Table4[[#This Row],[WALCL]]/1000)/19222</f>
        <v/>
      </c>
    </row>
    <row r="372">
      <c r="A372" s="10" t="n">
        <v>40128</v>
      </c>
      <c r="B372" s="9" t="n">
        <v>2135035</v>
      </c>
      <c r="C372" s="7" t="n">
        <v>0.04466454787911323</v>
      </c>
      <c r="D372" s="7">
        <f>(Table4[[#This Row],[WALCL]]/1000)/19222</f>
        <v/>
      </c>
    </row>
    <row r="373">
      <c r="A373" s="10" t="n">
        <v>40135</v>
      </c>
      <c r="B373" s="9" t="n">
        <v>2208721</v>
      </c>
      <c r="C373" s="7" t="n">
        <v>0.04466454787911323</v>
      </c>
      <c r="D373" s="7">
        <f>(Table4[[#This Row],[WALCL]]/1000)/19222</f>
        <v/>
      </c>
    </row>
    <row r="374">
      <c r="A374" s="12" t="n">
        <v>40142</v>
      </c>
      <c r="B374" s="11" t="n">
        <v>2206359</v>
      </c>
      <c r="C374" s="7" t="n">
        <v>0.04466454787911323</v>
      </c>
      <c r="D374" s="7">
        <f>(Table4[[#This Row],[WALCL]]/1000)/19222</f>
        <v/>
      </c>
    </row>
    <row r="375">
      <c r="A375" s="10" t="n">
        <v>40149</v>
      </c>
      <c r="B375" s="9" t="n">
        <v>2204074</v>
      </c>
      <c r="C375" s="7" t="n">
        <v>0.04466454787911323</v>
      </c>
      <c r="D375" s="7">
        <f>(Table4[[#This Row],[WALCL]]/1000)/19222</f>
        <v/>
      </c>
    </row>
    <row r="376">
      <c r="A376" s="10" t="n">
        <v>40156</v>
      </c>
      <c r="B376" s="9" t="n">
        <v>2186383</v>
      </c>
      <c r="C376" s="7" t="n">
        <v>0.04466454787911323</v>
      </c>
      <c r="D376" s="7">
        <f>(Table4[[#This Row],[WALCL]]/1000)/19222</f>
        <v/>
      </c>
    </row>
    <row r="377">
      <c r="A377" s="10" t="n">
        <v>40163</v>
      </c>
      <c r="B377" s="9" t="n">
        <v>2235763</v>
      </c>
      <c r="C377" s="7" t="n">
        <v>0.04466454787911323</v>
      </c>
      <c r="D377" s="7">
        <f>(Table4[[#This Row],[WALCL]]/1000)/19222</f>
        <v/>
      </c>
    </row>
    <row r="378">
      <c r="A378" s="10" t="n">
        <v>40170</v>
      </c>
      <c r="B378" s="9" t="n">
        <v>2235803</v>
      </c>
      <c r="C378" s="7" t="n">
        <v>0.04466454787911323</v>
      </c>
      <c r="D378" s="7">
        <f>(Table4[[#This Row],[WALCL]]/1000)/19222</f>
        <v/>
      </c>
    </row>
    <row r="379">
      <c r="A379" s="10" t="n">
        <v>40177</v>
      </c>
      <c r="B379" s="9" t="n">
        <v>2234067</v>
      </c>
      <c r="C379" s="7" t="n">
        <v>0.04466454787911323</v>
      </c>
      <c r="D379" s="7">
        <f>(Table4[[#This Row],[WALCL]]/1000)/19222</f>
        <v/>
      </c>
    </row>
    <row r="380">
      <c r="A380" s="10" t="n">
        <v>40184</v>
      </c>
      <c r="B380" s="9" t="n">
        <v>2235304</v>
      </c>
      <c r="C380" s="7" t="n">
        <v>0.01548025095084848</v>
      </c>
      <c r="D380" s="7">
        <f>(Table4[[#This Row],[WALCL]]/1000)/19222</f>
        <v/>
      </c>
    </row>
    <row r="381">
      <c r="A381" s="10" t="n">
        <v>40191</v>
      </c>
      <c r="B381" s="9" t="n">
        <v>2291700</v>
      </c>
      <c r="C381" s="7" t="n">
        <v>0.01548025095084848</v>
      </c>
      <c r="D381" s="7">
        <f>(Table4[[#This Row],[WALCL]]/1000)/19222</f>
        <v/>
      </c>
    </row>
    <row r="382">
      <c r="A382" s="10" t="n">
        <v>40198</v>
      </c>
      <c r="B382" s="9" t="n">
        <v>2251806</v>
      </c>
      <c r="C382" s="7" t="n">
        <v>0.01548025095084848</v>
      </c>
      <c r="D382" s="7">
        <f>(Table4[[#This Row],[WALCL]]/1000)/19222</f>
        <v/>
      </c>
    </row>
    <row r="383">
      <c r="A383" s="10" t="n">
        <v>40205</v>
      </c>
      <c r="B383" s="9" t="n">
        <v>2246886</v>
      </c>
      <c r="C383" s="7" t="n">
        <v>0.01548025095084848</v>
      </c>
      <c r="D383" s="7">
        <f>(Table4[[#This Row],[WALCL]]/1000)/19222</f>
        <v/>
      </c>
    </row>
    <row r="384">
      <c r="A384" s="10" t="n">
        <v>40212</v>
      </c>
      <c r="B384" s="9" t="n">
        <v>2249319</v>
      </c>
      <c r="C384" s="7" t="n">
        <v>0.01548025095084848</v>
      </c>
      <c r="D384" s="7">
        <f>(Table4[[#This Row],[WALCL]]/1000)/19222</f>
        <v/>
      </c>
    </row>
    <row r="385">
      <c r="A385" s="10" t="n">
        <v>40219</v>
      </c>
      <c r="B385" s="9" t="n">
        <v>2256679</v>
      </c>
      <c r="C385" s="7" t="n">
        <v>0.01548025095084848</v>
      </c>
      <c r="D385" s="7">
        <f>(Table4[[#This Row],[WALCL]]/1000)/19222</f>
        <v/>
      </c>
    </row>
    <row r="386">
      <c r="A386" s="10" t="n">
        <v>40226</v>
      </c>
      <c r="B386" s="9" t="n">
        <v>2277574</v>
      </c>
      <c r="C386" s="7" t="n">
        <v>0.01548025095084848</v>
      </c>
      <c r="D386" s="7">
        <f>(Table4[[#This Row],[WALCL]]/1000)/19222</f>
        <v/>
      </c>
    </row>
    <row r="387">
      <c r="A387" s="10" t="n">
        <v>40233</v>
      </c>
      <c r="B387" s="9" t="n">
        <v>2286127</v>
      </c>
      <c r="C387" s="7" t="n">
        <v>0.01548025095084848</v>
      </c>
      <c r="D387" s="7">
        <f>(Table4[[#This Row],[WALCL]]/1000)/19222</f>
        <v/>
      </c>
    </row>
    <row r="388">
      <c r="A388" s="10" t="n">
        <v>40240</v>
      </c>
      <c r="B388" s="9" t="n">
        <v>2280147</v>
      </c>
      <c r="C388" s="7" t="n">
        <v>0.01548025095084848</v>
      </c>
      <c r="D388" s="7">
        <f>(Table4[[#This Row],[WALCL]]/1000)/19222</f>
        <v/>
      </c>
    </row>
    <row r="389">
      <c r="A389" s="10" t="n">
        <v>40247</v>
      </c>
      <c r="B389" s="9" t="n">
        <v>2282474</v>
      </c>
      <c r="C389" s="7" t="n">
        <v>0.01548025095084848</v>
      </c>
      <c r="D389" s="7">
        <f>(Table4[[#This Row],[WALCL]]/1000)/19222</f>
        <v/>
      </c>
    </row>
    <row r="390">
      <c r="A390" s="10" t="n">
        <v>40254</v>
      </c>
      <c r="B390" s="9" t="n">
        <v>2307997</v>
      </c>
      <c r="C390" s="7" t="n">
        <v>0.01548025095084848</v>
      </c>
      <c r="D390" s="7">
        <f>(Table4[[#This Row],[WALCL]]/1000)/19222</f>
        <v/>
      </c>
    </row>
    <row r="391">
      <c r="A391" s="10" t="n">
        <v>40261</v>
      </c>
      <c r="B391" s="9" t="n">
        <v>2313149</v>
      </c>
      <c r="C391" s="7" t="n">
        <v>0.01548025095084848</v>
      </c>
      <c r="D391" s="7">
        <f>(Table4[[#This Row],[WALCL]]/1000)/19222</f>
        <v/>
      </c>
    </row>
    <row r="392">
      <c r="A392" s="10" t="n">
        <v>40268</v>
      </c>
      <c r="B392" s="9" t="n">
        <v>2307150</v>
      </c>
      <c r="C392" s="7" t="n">
        <v>0.01548025095084848</v>
      </c>
      <c r="D392" s="7">
        <f>(Table4[[#This Row],[WALCL]]/1000)/19222</f>
        <v/>
      </c>
      <c r="E392" s="13" t="n"/>
    </row>
    <row r="393">
      <c r="A393" s="10" t="n">
        <v>40275</v>
      </c>
      <c r="B393" s="9" t="n">
        <v>2307575</v>
      </c>
      <c r="C393" s="7" t="n">
        <v>0.03739435650116785</v>
      </c>
      <c r="D393" s="7">
        <f>(Table4[[#This Row],[WALCL]]/1000)/19222</f>
        <v/>
      </c>
    </row>
    <row r="394">
      <c r="A394" s="10" t="n">
        <v>40282</v>
      </c>
      <c r="B394" s="9" t="n">
        <v>2339345</v>
      </c>
      <c r="C394" s="7" t="n">
        <v>0.03739435650116785</v>
      </c>
      <c r="D394" s="7">
        <f>(Table4[[#This Row],[WALCL]]/1000)/19222</f>
        <v/>
      </c>
    </row>
    <row r="395">
      <c r="A395" s="10" t="n">
        <v>40289</v>
      </c>
      <c r="B395" s="9" t="n">
        <v>2337556</v>
      </c>
      <c r="C395" s="7" t="n">
        <v>0.03739435650116785</v>
      </c>
      <c r="D395" s="7">
        <f>(Table4[[#This Row],[WALCL]]/1000)/19222</f>
        <v/>
      </c>
    </row>
    <row r="396">
      <c r="A396" s="10" t="n">
        <v>40296</v>
      </c>
      <c r="B396" s="9" t="n">
        <v>2330472</v>
      </c>
      <c r="C396" s="7" t="n">
        <v>0.03739435650116785</v>
      </c>
      <c r="D396" s="7">
        <f>(Table4[[#This Row],[WALCL]]/1000)/19222</f>
        <v/>
      </c>
    </row>
    <row r="397">
      <c r="A397" s="10" t="n">
        <v>40303</v>
      </c>
      <c r="B397" s="9" t="n">
        <v>2326164</v>
      </c>
      <c r="C397" s="7" t="n">
        <v>0.03739435650116785</v>
      </c>
      <c r="D397" s="7">
        <f>(Table4[[#This Row],[WALCL]]/1000)/19222</f>
        <v/>
      </c>
    </row>
    <row r="398">
      <c r="A398" s="10" t="n">
        <v>40310</v>
      </c>
      <c r="B398" s="9" t="n">
        <v>2336103</v>
      </c>
      <c r="C398" s="7" t="n">
        <v>0.03739435650116785</v>
      </c>
      <c r="D398" s="7">
        <f>(Table4[[#This Row],[WALCL]]/1000)/19222</f>
        <v/>
      </c>
    </row>
    <row r="399">
      <c r="A399" s="10" t="n">
        <v>40317</v>
      </c>
      <c r="B399" s="9" t="n">
        <v>2350890</v>
      </c>
      <c r="C399" s="7" t="n">
        <v>0.03739435650116785</v>
      </c>
      <c r="D399" s="7">
        <f>(Table4[[#This Row],[WALCL]]/1000)/19222</f>
        <v/>
      </c>
    </row>
    <row r="400">
      <c r="A400" s="10" t="n">
        <v>40324</v>
      </c>
      <c r="B400" s="9" t="n">
        <v>2334041</v>
      </c>
      <c r="C400" s="7" t="n">
        <v>0.03739435650116785</v>
      </c>
      <c r="D400" s="7">
        <f>(Table4[[#This Row],[WALCL]]/1000)/19222</f>
        <v/>
      </c>
    </row>
    <row r="401">
      <c r="A401" s="10" t="n">
        <v>40331</v>
      </c>
      <c r="B401" s="9" t="n">
        <v>2336216</v>
      </c>
      <c r="C401" s="7" t="n">
        <v>0.03739435650116785</v>
      </c>
      <c r="D401" s="7">
        <f>(Table4[[#This Row],[WALCL]]/1000)/19222</f>
        <v/>
      </c>
    </row>
    <row r="402">
      <c r="A402" s="10" t="n">
        <v>40338</v>
      </c>
      <c r="B402" s="9" t="n">
        <v>2331529</v>
      </c>
      <c r="C402" s="7" t="n">
        <v>0.03739435650116785</v>
      </c>
      <c r="D402" s="7">
        <f>(Table4[[#This Row],[WALCL]]/1000)/19222</f>
        <v/>
      </c>
    </row>
    <row r="403">
      <c r="A403" s="10" t="n">
        <v>40345</v>
      </c>
      <c r="B403" s="9" t="n">
        <v>2344316</v>
      </c>
      <c r="C403" s="7" t="n">
        <v>0.03739435650116785</v>
      </c>
      <c r="D403" s="7">
        <f>(Table4[[#This Row],[WALCL]]/1000)/19222</f>
        <v/>
      </c>
    </row>
    <row r="404">
      <c r="A404" s="10" t="n">
        <v>40352</v>
      </c>
      <c r="B404" s="9" t="n">
        <v>2344497</v>
      </c>
      <c r="C404" s="7" t="n">
        <v>0.03739435650116785</v>
      </c>
      <c r="D404" s="7">
        <f>(Table4[[#This Row],[WALCL]]/1000)/19222</f>
        <v/>
      </c>
    </row>
    <row r="405">
      <c r="A405" s="10" t="n">
        <v>40359</v>
      </c>
      <c r="B405" s="9" t="n">
        <v>2330851</v>
      </c>
      <c r="C405" s="7" t="n">
        <v>0.03739435650116785</v>
      </c>
      <c r="D405" s="7">
        <f>(Table4[[#This Row],[WALCL]]/1000)/19222</f>
        <v/>
      </c>
    </row>
    <row r="406">
      <c r="A406" s="10" t="n">
        <v>40366</v>
      </c>
      <c r="B406" s="9" t="n">
        <v>2332017</v>
      </c>
      <c r="C406" s="7" t="n">
        <v>0.02981614483842954</v>
      </c>
      <c r="D406" s="7">
        <f>(Table4[[#This Row],[WALCL]]/1000)/19222</f>
        <v/>
      </c>
    </row>
    <row r="407">
      <c r="A407" s="10" t="n">
        <v>40373</v>
      </c>
      <c r="B407" s="9" t="n">
        <v>2340717</v>
      </c>
      <c r="C407" s="7" t="n">
        <v>0.02981614483842954</v>
      </c>
      <c r="D407" s="7">
        <f>(Table4[[#This Row],[WALCL]]/1000)/19222</f>
        <v/>
      </c>
    </row>
    <row r="408">
      <c r="A408" s="10" t="n">
        <v>40380</v>
      </c>
      <c r="B408" s="9" t="n">
        <v>2332322</v>
      </c>
      <c r="C408" s="7" t="n">
        <v>0.02981614483842954</v>
      </c>
      <c r="D408" s="7">
        <f>(Table4[[#This Row],[WALCL]]/1000)/19222</f>
        <v/>
      </c>
    </row>
    <row r="409">
      <c r="A409" s="10" t="n">
        <v>40387</v>
      </c>
      <c r="B409" s="9" t="n">
        <v>2325298</v>
      </c>
      <c r="C409" s="7" t="n">
        <v>0.02981614483842954</v>
      </c>
      <c r="D409" s="7">
        <f>(Table4[[#This Row],[WALCL]]/1000)/19222</f>
        <v/>
      </c>
    </row>
    <row r="410">
      <c r="A410" s="10" t="n">
        <v>40394</v>
      </c>
      <c r="B410" s="9" t="n">
        <v>2326479</v>
      </c>
      <c r="C410" s="7" t="n">
        <v>0.02981614483842954</v>
      </c>
      <c r="D410" s="7">
        <f>(Table4[[#This Row],[WALCL]]/1000)/19222</f>
        <v/>
      </c>
    </row>
    <row r="411">
      <c r="A411" s="10" t="n">
        <v>40401</v>
      </c>
      <c r="B411" s="9" t="n">
        <v>2327533</v>
      </c>
      <c r="C411" s="7" t="n">
        <v>0.02981614483842954</v>
      </c>
      <c r="D411" s="7">
        <f>(Table4[[#This Row],[WALCL]]/1000)/19222</f>
        <v/>
      </c>
      <c r="E411" s="13" t="n"/>
      <c r="P411" s="3" t="n"/>
    </row>
    <row r="412">
      <c r="A412" s="10" t="n">
        <v>40408</v>
      </c>
      <c r="B412" s="9" t="n">
        <v>2313662</v>
      </c>
      <c r="C412" s="7" t="n">
        <v>0.02981614483842954</v>
      </c>
      <c r="D412" s="7">
        <f>(Table4[[#This Row],[WALCL]]/1000)/19222</f>
        <v/>
      </c>
    </row>
    <row r="413">
      <c r="A413" s="10" t="n">
        <v>40415</v>
      </c>
      <c r="B413" s="9" t="n">
        <v>2301015</v>
      </c>
      <c r="C413" s="7" t="n">
        <v>0.02981614483842954</v>
      </c>
      <c r="D413" s="7">
        <f>(Table4[[#This Row],[WALCL]]/1000)/19222</f>
        <v/>
      </c>
    </row>
    <row r="414">
      <c r="A414" s="10" t="n">
        <v>40422</v>
      </c>
      <c r="B414" s="9" t="n">
        <v>2301996</v>
      </c>
      <c r="C414" s="7" t="n">
        <v>0.02981614483842954</v>
      </c>
      <c r="D414" s="7">
        <f>(Table4[[#This Row],[WALCL]]/1000)/19222</f>
        <v/>
      </c>
    </row>
    <row r="415">
      <c r="A415" s="10" t="n">
        <v>40429</v>
      </c>
      <c r="B415" s="9" t="n">
        <v>2305802</v>
      </c>
      <c r="C415" s="7" t="n">
        <v>0.02981614483842954</v>
      </c>
      <c r="D415" s="7">
        <f>(Table4[[#This Row],[WALCL]]/1000)/19222</f>
        <v/>
      </c>
    </row>
    <row r="416">
      <c r="A416" s="10" t="n">
        <v>40436</v>
      </c>
      <c r="B416" s="9" t="n">
        <v>2296079</v>
      </c>
      <c r="C416" s="7" t="n">
        <v>0.02981614483842954</v>
      </c>
      <c r="D416" s="7">
        <f>(Table4[[#This Row],[WALCL]]/1000)/19222</f>
        <v/>
      </c>
    </row>
    <row r="417">
      <c r="A417" s="10" t="n">
        <v>40443</v>
      </c>
      <c r="B417" s="9" t="n">
        <v>2307171</v>
      </c>
      <c r="C417" s="7" t="n">
        <v>0.02981614483842954</v>
      </c>
      <c r="D417" s="7">
        <f>(Table4[[#This Row],[WALCL]]/1000)/19222</f>
        <v/>
      </c>
    </row>
    <row r="418">
      <c r="A418" s="10" t="n">
        <v>40450</v>
      </c>
      <c r="B418" s="9" t="n">
        <v>2298691</v>
      </c>
      <c r="C418" s="7" t="n">
        <v>0.02981614483842954</v>
      </c>
      <c r="D418" s="7">
        <f>(Table4[[#This Row],[WALCL]]/1000)/19222</f>
        <v/>
      </c>
      <c r="E418" s="13" t="n"/>
    </row>
    <row r="419">
      <c r="A419" s="10" t="n">
        <v>40457</v>
      </c>
      <c r="B419" s="9" t="n">
        <v>2308092</v>
      </c>
      <c r="C419" s="7" t="n">
        <v>0.02022775154547629</v>
      </c>
      <c r="D419" s="7">
        <f>(Table4[[#This Row],[WALCL]]/1000)/19222</f>
        <v/>
      </c>
    </row>
    <row r="420">
      <c r="A420" s="10" t="n">
        <v>40464</v>
      </c>
      <c r="B420" s="9" t="n">
        <v>2309885</v>
      </c>
      <c r="C420" s="7" t="n">
        <v>0.02022775154547629</v>
      </c>
      <c r="D420" s="7">
        <f>(Table4[[#This Row],[WALCL]]/1000)/19222</f>
        <v/>
      </c>
    </row>
    <row r="421">
      <c r="A421" s="10" t="n">
        <v>40471</v>
      </c>
      <c r="B421" s="9" t="n">
        <v>2305227</v>
      </c>
      <c r="C421" s="7" t="n">
        <v>0.02022775154547629</v>
      </c>
      <c r="D421" s="7">
        <f>(Table4[[#This Row],[WALCL]]/1000)/19222</f>
        <v/>
      </c>
    </row>
    <row r="422">
      <c r="A422" s="10" t="n">
        <v>40478</v>
      </c>
      <c r="B422" s="9" t="n">
        <v>2295392</v>
      </c>
      <c r="C422" s="7" t="n">
        <v>0.02022775154547629</v>
      </c>
      <c r="D422" s="7">
        <f>(Table4[[#This Row],[WALCL]]/1000)/19222</f>
        <v/>
      </c>
    </row>
    <row r="423">
      <c r="A423" s="10" t="n">
        <v>40485</v>
      </c>
      <c r="B423" s="9" t="n">
        <v>2300353</v>
      </c>
      <c r="C423" s="7" t="n">
        <v>0.02022775154547629</v>
      </c>
      <c r="D423" s="7">
        <f>(Table4[[#This Row],[WALCL]]/1000)/19222</f>
        <v/>
      </c>
      <c r="E423" s="13" t="n"/>
    </row>
    <row r="424">
      <c r="A424" s="10" t="n">
        <v>40492</v>
      </c>
      <c r="B424" s="9" t="n">
        <v>2312768</v>
      </c>
      <c r="C424" s="7" t="n">
        <v>0.02022775154547629</v>
      </c>
      <c r="D424" s="7">
        <f>(Table4[[#This Row],[WALCL]]/1000)/19222</f>
        <v/>
      </c>
    </row>
    <row r="425">
      <c r="A425" s="10" t="n">
        <v>40499</v>
      </c>
      <c r="B425" s="9" t="n">
        <v>2314757</v>
      </c>
      <c r="C425" s="7" t="n">
        <v>0.02022775154547629</v>
      </c>
      <c r="D425" s="7">
        <f>(Table4[[#This Row],[WALCL]]/1000)/19222</f>
        <v/>
      </c>
    </row>
    <row r="426">
      <c r="A426" s="10" t="n">
        <v>40506</v>
      </c>
      <c r="B426" s="9" t="n">
        <v>2346001</v>
      </c>
      <c r="C426" s="7" t="n">
        <v>0.02022775154547629</v>
      </c>
      <c r="D426" s="7">
        <f>(Table4[[#This Row],[WALCL]]/1000)/19222</f>
        <v/>
      </c>
    </row>
    <row r="427">
      <c r="A427" s="10" t="n">
        <v>40513</v>
      </c>
      <c r="B427" s="9" t="n">
        <v>2346920</v>
      </c>
      <c r="C427" s="7" t="n">
        <v>0.02022775154547629</v>
      </c>
      <c r="D427" s="7">
        <f>(Table4[[#This Row],[WALCL]]/1000)/19222</f>
        <v/>
      </c>
    </row>
    <row r="428">
      <c r="A428" s="10" t="n">
        <v>40520</v>
      </c>
      <c r="B428" s="9" t="n">
        <v>2382294</v>
      </c>
      <c r="C428" s="7" t="n">
        <v>0.02022775154547629</v>
      </c>
      <c r="D428" s="7">
        <f>(Table4[[#This Row],[WALCL]]/1000)/19222</f>
        <v/>
      </c>
    </row>
    <row r="429">
      <c r="A429" s="10" t="n">
        <v>40527</v>
      </c>
      <c r="B429" s="9" t="n">
        <v>2385754</v>
      </c>
      <c r="C429" s="7" t="n">
        <v>0.02022775154547629</v>
      </c>
      <c r="D429" s="7">
        <f>(Table4[[#This Row],[WALCL]]/1000)/19222</f>
        <v/>
      </c>
    </row>
    <row r="430">
      <c r="A430" s="10" t="n">
        <v>40534</v>
      </c>
      <c r="B430" s="9" t="n">
        <v>2427921</v>
      </c>
      <c r="C430" s="7" t="n">
        <v>0.02022775154547629</v>
      </c>
      <c r="D430" s="7">
        <f>(Table4[[#This Row],[WALCL]]/1000)/19222</f>
        <v/>
      </c>
    </row>
    <row r="431">
      <c r="A431" s="10" t="n">
        <v>40541</v>
      </c>
      <c r="B431" s="9" t="n">
        <v>2420570</v>
      </c>
      <c r="C431" s="7" t="n">
        <v>0.02022775154547629</v>
      </c>
      <c r="D431" s="7">
        <f>(Table4[[#This Row],[WALCL]]/1000)/19222</f>
        <v/>
      </c>
    </row>
    <row r="432">
      <c r="A432" s="10" t="n">
        <v>40548</v>
      </c>
      <c r="B432" s="9" t="n">
        <v>2436064</v>
      </c>
      <c r="C432" s="7" t="n">
        <v>-0.009583018463888759</v>
      </c>
      <c r="D432" s="7">
        <f>(Table4[[#This Row],[WALCL]]/1000)/19222</f>
        <v/>
      </c>
    </row>
    <row r="433">
      <c r="A433" s="10" t="n">
        <v>40555</v>
      </c>
      <c r="B433" s="9" t="n">
        <v>2468131</v>
      </c>
      <c r="C433" s="7" t="n">
        <v>-0.009583018463888759</v>
      </c>
      <c r="D433" s="7">
        <f>(Table4[[#This Row],[WALCL]]/1000)/19222</f>
        <v/>
      </c>
    </row>
    <row r="434">
      <c r="A434" s="10" t="n">
        <v>40562</v>
      </c>
      <c r="B434" s="9" t="n">
        <v>2425164</v>
      </c>
      <c r="C434" s="7" t="n">
        <v>-0.009583018463888759</v>
      </c>
      <c r="D434" s="7">
        <f>(Table4[[#This Row],[WALCL]]/1000)/19222</f>
        <v/>
      </c>
    </row>
    <row r="435">
      <c r="A435" s="10" t="n">
        <v>40569</v>
      </c>
      <c r="B435" s="9" t="n">
        <v>2443527</v>
      </c>
      <c r="C435" s="7" t="n">
        <v>-0.009583018463888759</v>
      </c>
      <c r="D435" s="7">
        <f>(Table4[[#This Row],[WALCL]]/1000)/19222</f>
        <v/>
      </c>
    </row>
    <row r="436">
      <c r="A436" s="10" t="n">
        <v>40576</v>
      </c>
      <c r="B436" s="9" t="n">
        <v>2469419</v>
      </c>
      <c r="C436" s="7" t="n">
        <v>-0.009583018463888759</v>
      </c>
      <c r="D436" s="7">
        <f>(Table4[[#This Row],[WALCL]]/1000)/19222</f>
        <v/>
      </c>
    </row>
    <row r="437">
      <c r="A437" s="10" t="n">
        <v>40583</v>
      </c>
      <c r="B437" s="9" t="n">
        <v>2500481</v>
      </c>
      <c r="C437" s="7" t="n">
        <v>-0.009583018463888759</v>
      </c>
      <c r="D437" s="7">
        <f>(Table4[[#This Row],[WALCL]]/1000)/19222</f>
        <v/>
      </c>
    </row>
    <row r="438">
      <c r="A438" s="10" t="n">
        <v>40590</v>
      </c>
      <c r="B438" s="9" t="n">
        <v>2508868</v>
      </c>
      <c r="C438" s="7" t="n">
        <v>-0.009583018463888759</v>
      </c>
      <c r="D438" s="7">
        <f>(Table4[[#This Row],[WALCL]]/1000)/19222</f>
        <v/>
      </c>
    </row>
    <row r="439">
      <c r="A439" s="10" t="n">
        <v>40597</v>
      </c>
      <c r="B439" s="9" t="n">
        <v>2533221</v>
      </c>
      <c r="C439" s="7" t="n">
        <v>-0.009583018463888759</v>
      </c>
      <c r="D439" s="7">
        <f>(Table4[[#This Row],[WALCL]]/1000)/19222</f>
        <v/>
      </c>
    </row>
    <row r="440">
      <c r="A440" s="10" t="n">
        <v>40604</v>
      </c>
      <c r="B440" s="9" t="n">
        <v>2545119</v>
      </c>
      <c r="C440" s="7" t="n">
        <v>-0.009583018463888759</v>
      </c>
      <c r="D440" s="7">
        <f>(Table4[[#This Row],[WALCL]]/1000)/19222</f>
        <v/>
      </c>
    </row>
    <row r="441">
      <c r="A441" s="10" t="n">
        <v>40611</v>
      </c>
      <c r="B441" s="9" t="n">
        <v>2577076</v>
      </c>
      <c r="C441" s="7" t="n">
        <v>-0.009583018463888759</v>
      </c>
      <c r="D441" s="7">
        <f>(Table4[[#This Row],[WALCL]]/1000)/19222</f>
        <v/>
      </c>
    </row>
    <row r="442">
      <c r="A442" s="10" t="n">
        <v>40618</v>
      </c>
      <c r="B442" s="9" t="n">
        <v>2583046</v>
      </c>
      <c r="C442" s="7" t="n">
        <v>-0.009583018463888759</v>
      </c>
      <c r="D442" s="7">
        <f>(Table4[[#This Row],[WALCL]]/1000)/19222</f>
        <v/>
      </c>
    </row>
    <row r="443">
      <c r="A443" s="10" t="n">
        <v>40625</v>
      </c>
      <c r="B443" s="9" t="n">
        <v>2601341</v>
      </c>
      <c r="C443" s="7" t="n">
        <v>-0.009583018463888759</v>
      </c>
      <c r="D443" s="7">
        <f>(Table4[[#This Row],[WALCL]]/1000)/19222</f>
        <v/>
      </c>
    </row>
    <row r="444">
      <c r="A444" s="10" t="n">
        <v>40632</v>
      </c>
      <c r="B444" s="9" t="n">
        <v>2622523</v>
      </c>
      <c r="C444" s="7" t="n">
        <v>-0.009583018463888759</v>
      </c>
      <c r="D444" s="7">
        <f>(Table4[[#This Row],[WALCL]]/1000)/19222</f>
        <v/>
      </c>
    </row>
    <row r="445">
      <c r="A445" s="10" t="n">
        <v>40639</v>
      </c>
      <c r="B445" s="9" t="n">
        <v>2648676</v>
      </c>
      <c r="C445" s="7" t="n">
        <v>0.02890710973833244</v>
      </c>
      <c r="D445" s="7">
        <f>(Table4[[#This Row],[WALCL]]/1000)/19222</f>
        <v/>
      </c>
    </row>
    <row r="446">
      <c r="A446" s="10" t="n">
        <v>40646</v>
      </c>
      <c r="B446" s="9" t="n">
        <v>2665408</v>
      </c>
      <c r="C446" s="7" t="n">
        <v>0.02890710973833244</v>
      </c>
      <c r="D446" s="7">
        <f>(Table4[[#This Row],[WALCL]]/1000)/19222</f>
        <v/>
      </c>
    </row>
    <row r="447">
      <c r="A447" s="10" t="n">
        <v>40653</v>
      </c>
      <c r="B447" s="9" t="n">
        <v>2685782</v>
      </c>
      <c r="C447" s="7" t="n">
        <v>0.02890710973833244</v>
      </c>
      <c r="D447" s="7">
        <f>(Table4[[#This Row],[WALCL]]/1000)/19222</f>
        <v/>
      </c>
    </row>
    <row r="448">
      <c r="A448" s="10" t="n">
        <v>40660</v>
      </c>
      <c r="B448" s="9" t="n">
        <v>2690985</v>
      </c>
      <c r="C448" s="7" t="n">
        <v>0.02890710973833244</v>
      </c>
      <c r="D448" s="7">
        <f>(Table4[[#This Row],[WALCL]]/1000)/19222</f>
        <v/>
      </c>
    </row>
    <row r="449">
      <c r="A449" s="10" t="n">
        <v>40667</v>
      </c>
      <c r="B449" s="9" t="n">
        <v>2718757</v>
      </c>
      <c r="C449" s="7" t="n">
        <v>0.02890710973833244</v>
      </c>
      <c r="D449" s="7">
        <f>(Table4[[#This Row],[WALCL]]/1000)/19222</f>
        <v/>
      </c>
    </row>
    <row r="450">
      <c r="A450" s="10" t="n">
        <v>40674</v>
      </c>
      <c r="B450" s="9" t="n">
        <v>2744498</v>
      </c>
      <c r="C450" s="7" t="n">
        <v>0.02890710973833244</v>
      </c>
      <c r="D450" s="7">
        <f>(Table4[[#This Row],[WALCL]]/1000)/19222</f>
        <v/>
      </c>
    </row>
    <row r="451">
      <c r="A451" s="10" t="n">
        <v>40681</v>
      </c>
      <c r="B451" s="9" t="n">
        <v>2758009</v>
      </c>
      <c r="C451" s="7" t="n">
        <v>0.02890710973833244</v>
      </c>
      <c r="D451" s="7">
        <f>(Table4[[#This Row],[WALCL]]/1000)/19222</f>
        <v/>
      </c>
    </row>
    <row r="452">
      <c r="A452" s="10" t="n">
        <v>40688</v>
      </c>
      <c r="B452" s="9" t="n">
        <v>2774996</v>
      </c>
      <c r="C452" s="7" t="n">
        <v>0.02890710973833244</v>
      </c>
      <c r="D452" s="7">
        <f>(Table4[[#This Row],[WALCL]]/1000)/19222</f>
        <v/>
      </c>
    </row>
    <row r="453">
      <c r="A453" s="10" t="n">
        <v>40695</v>
      </c>
      <c r="B453" s="9" t="n">
        <v>2788723</v>
      </c>
      <c r="C453" s="7" t="n">
        <v>0.02890710973833244</v>
      </c>
      <c r="D453" s="7">
        <f>(Table4[[#This Row],[WALCL]]/1000)/19222</f>
        <v/>
      </c>
    </row>
    <row r="454">
      <c r="A454" s="10" t="n">
        <v>40702</v>
      </c>
      <c r="B454" s="9" t="n">
        <v>2811206</v>
      </c>
      <c r="C454" s="7" t="n">
        <v>0.02890710973833244</v>
      </c>
      <c r="D454" s="7">
        <f>(Table4[[#This Row],[WALCL]]/1000)/19222</f>
        <v/>
      </c>
    </row>
    <row r="455">
      <c r="A455" s="10" t="n">
        <v>40709</v>
      </c>
      <c r="B455" s="9" t="n">
        <v>2827549</v>
      </c>
      <c r="C455" s="7" t="n">
        <v>0.02890710973833244</v>
      </c>
      <c r="D455" s="7">
        <f>(Table4[[#This Row],[WALCL]]/1000)/19222</f>
        <v/>
      </c>
    </row>
    <row r="456">
      <c r="A456" s="10" t="n">
        <v>40716</v>
      </c>
      <c r="B456" s="9" t="n">
        <v>2856403</v>
      </c>
      <c r="C456" s="7" t="n">
        <v>0.02890710973833244</v>
      </c>
      <c r="D456" s="7">
        <f>(Table4[[#This Row],[WALCL]]/1000)/19222</f>
        <v/>
      </c>
    </row>
    <row r="457">
      <c r="A457" s="10" t="n">
        <v>40723</v>
      </c>
      <c r="B457" s="9" t="n">
        <v>2865251</v>
      </c>
      <c r="C457" s="7" t="n">
        <v>0.02890710973833244</v>
      </c>
      <c r="D457" s="7">
        <f>(Table4[[#This Row],[WALCL]]/1000)/19222</f>
        <v/>
      </c>
    </row>
    <row r="458">
      <c r="A458" s="10" t="n">
        <v>40730</v>
      </c>
      <c r="B458" s="9" t="n">
        <v>2870103</v>
      </c>
      <c r="C458" s="7" t="n">
        <v>-0.001110683591225792</v>
      </c>
      <c r="D458" s="7">
        <f>(Table4[[#This Row],[WALCL]]/1000)/19222</f>
        <v/>
      </c>
    </row>
    <row r="459">
      <c r="A459" s="10" t="n">
        <v>40737</v>
      </c>
      <c r="B459" s="9" t="n">
        <v>2878074</v>
      </c>
      <c r="C459" s="7" t="n">
        <v>-0.001110683591225792</v>
      </c>
      <c r="D459" s="7">
        <f>(Table4[[#This Row],[WALCL]]/1000)/19222</f>
        <v/>
      </c>
    </row>
    <row r="460">
      <c r="A460" s="10" t="n">
        <v>40744</v>
      </c>
      <c r="B460" s="9" t="n">
        <v>2871301</v>
      </c>
      <c r="C460" s="7" t="n">
        <v>-0.001110683591225792</v>
      </c>
      <c r="D460" s="7">
        <f>(Table4[[#This Row],[WALCL]]/1000)/19222</f>
        <v/>
      </c>
    </row>
    <row r="461">
      <c r="A461" s="10" t="n">
        <v>40751</v>
      </c>
      <c r="B461" s="9" t="n">
        <v>2863576</v>
      </c>
      <c r="C461" s="7" t="n">
        <v>-0.001110683591225792</v>
      </c>
      <c r="D461" s="7">
        <f>(Table4[[#This Row],[WALCL]]/1000)/19222</f>
        <v/>
      </c>
    </row>
    <row r="462">
      <c r="A462" s="10" t="n">
        <v>40758</v>
      </c>
      <c r="B462" s="9" t="n">
        <v>2867215</v>
      </c>
      <c r="C462" s="7" t="n">
        <v>-0.001110683591225792</v>
      </c>
      <c r="D462" s="7">
        <f>(Table4[[#This Row],[WALCL]]/1000)/19222</f>
        <v/>
      </c>
    </row>
    <row r="463">
      <c r="A463" s="10" t="n">
        <v>40765</v>
      </c>
      <c r="B463" s="9" t="n">
        <v>2872423</v>
      </c>
      <c r="C463" s="7" t="n">
        <v>-0.001110683591225792</v>
      </c>
      <c r="D463" s="7">
        <f>(Table4[[#This Row],[WALCL]]/1000)/19222</f>
        <v/>
      </c>
    </row>
    <row r="464">
      <c r="A464" s="10" t="n">
        <v>40772</v>
      </c>
      <c r="B464" s="9" t="n">
        <v>2857906</v>
      </c>
      <c r="C464" s="7" t="n">
        <v>-0.001110683591225792</v>
      </c>
      <c r="D464" s="7">
        <f>(Table4[[#This Row],[WALCL]]/1000)/19222</f>
        <v/>
      </c>
    </row>
    <row r="465">
      <c r="A465" s="10" t="n">
        <v>40779</v>
      </c>
      <c r="B465" s="9" t="n">
        <v>2859433</v>
      </c>
      <c r="C465" s="7" t="n">
        <v>-0.001110683591225792</v>
      </c>
      <c r="D465" s="7">
        <f>(Table4[[#This Row],[WALCL]]/1000)/19222</f>
        <v/>
      </c>
    </row>
    <row r="466">
      <c r="A466" s="10" t="n">
        <v>40786</v>
      </c>
      <c r="B466" s="9" t="n">
        <v>2853888</v>
      </c>
      <c r="C466" s="7" t="n">
        <v>-0.001110683591225792</v>
      </c>
      <c r="D466" s="7">
        <f>(Table4[[#This Row],[WALCL]]/1000)/19222</f>
        <v/>
      </c>
    </row>
    <row r="467">
      <c r="A467" s="10" t="n">
        <v>40793</v>
      </c>
      <c r="B467" s="9" t="n">
        <v>2858660</v>
      </c>
      <c r="C467" s="7" t="n">
        <v>-0.001110683591225792</v>
      </c>
      <c r="D467" s="7">
        <f>(Table4[[#This Row],[WALCL]]/1000)/19222</f>
        <v/>
      </c>
    </row>
    <row r="468">
      <c r="A468" s="10" t="n">
        <v>40800</v>
      </c>
      <c r="B468" s="9" t="n">
        <v>2863540</v>
      </c>
      <c r="C468" s="7" t="n">
        <v>-0.001110683591225792</v>
      </c>
      <c r="D468" s="7">
        <f>(Table4[[#This Row],[WALCL]]/1000)/19222</f>
        <v/>
      </c>
    </row>
    <row r="469">
      <c r="A469" s="10" t="n">
        <v>40807</v>
      </c>
      <c r="B469" s="9" t="n">
        <v>2857747</v>
      </c>
      <c r="C469" s="7" t="n">
        <v>-0.001110683591225792</v>
      </c>
      <c r="D469" s="7">
        <f>(Table4[[#This Row],[WALCL]]/1000)/19222</f>
        <v/>
      </c>
      <c r="E469" s="13" t="n"/>
    </row>
    <row r="470">
      <c r="A470" s="10" t="n">
        <v>40814</v>
      </c>
      <c r="B470" s="9" t="n">
        <v>2850921</v>
      </c>
      <c r="C470" s="7" t="n">
        <v>-0.001110683591225792</v>
      </c>
      <c r="D470" s="7">
        <f>(Table4[[#This Row],[WALCL]]/1000)/19222</f>
        <v/>
      </c>
    </row>
    <row r="471">
      <c r="A471" s="10" t="n">
        <v>40821</v>
      </c>
      <c r="B471" s="9" t="n">
        <v>2859701</v>
      </c>
      <c r="C471" s="7" t="n">
        <v>0.04718401461224575</v>
      </c>
      <c r="D471" s="7">
        <f>(Table4[[#This Row],[WALCL]]/1000)/19222</f>
        <v/>
      </c>
    </row>
    <row r="472">
      <c r="A472" s="10" t="n">
        <v>40828</v>
      </c>
      <c r="B472" s="9" t="n">
        <v>2860822</v>
      </c>
      <c r="C472" s="7" t="n">
        <v>0.04718401461224575</v>
      </c>
      <c r="D472" s="7">
        <f>(Table4[[#This Row],[WALCL]]/1000)/19222</f>
        <v/>
      </c>
    </row>
    <row r="473">
      <c r="A473" s="10" t="n">
        <v>40835</v>
      </c>
      <c r="B473" s="9" t="n">
        <v>2852390</v>
      </c>
      <c r="C473" s="7" t="n">
        <v>0.04718401461224575</v>
      </c>
      <c r="D473" s="7">
        <f>(Table4[[#This Row],[WALCL]]/1000)/19222</f>
        <v/>
      </c>
    </row>
    <row r="474">
      <c r="A474" s="10" t="n">
        <v>40842</v>
      </c>
      <c r="B474" s="9" t="n">
        <v>2845685</v>
      </c>
      <c r="C474" s="7" t="n">
        <v>0.04718401461224575</v>
      </c>
      <c r="D474" s="7">
        <f>(Table4[[#This Row],[WALCL]]/1000)/19222</f>
        <v/>
      </c>
    </row>
    <row r="475">
      <c r="A475" s="10" t="n">
        <v>40849</v>
      </c>
      <c r="B475" s="9" t="n">
        <v>2822034</v>
      </c>
      <c r="C475" s="7" t="n">
        <v>0.04718401461224575</v>
      </c>
      <c r="D475" s="7">
        <f>(Table4[[#This Row],[WALCL]]/1000)/19222</f>
        <v/>
      </c>
    </row>
    <row r="476">
      <c r="A476" s="10" t="n">
        <v>40856</v>
      </c>
      <c r="B476" s="9" t="n">
        <v>2839786</v>
      </c>
      <c r="C476" s="7" t="n">
        <v>0.04718401461224575</v>
      </c>
      <c r="D476" s="7">
        <f>(Table4[[#This Row],[WALCL]]/1000)/19222</f>
        <v/>
      </c>
    </row>
    <row r="477">
      <c r="A477" s="10" t="n">
        <v>40863</v>
      </c>
      <c r="B477" s="9" t="n">
        <v>2831576</v>
      </c>
      <c r="C477" s="7" t="n">
        <v>0.04718401461224575</v>
      </c>
      <c r="D477" s="7">
        <f>(Table4[[#This Row],[WALCL]]/1000)/19222</f>
        <v/>
      </c>
    </row>
    <row r="478">
      <c r="A478" s="10" t="n">
        <v>40870</v>
      </c>
      <c r="B478" s="9" t="n">
        <v>2821980</v>
      </c>
      <c r="C478" s="7" t="n">
        <v>0.04718401461224575</v>
      </c>
      <c r="D478" s="7">
        <f>(Table4[[#This Row],[WALCL]]/1000)/19222</f>
        <v/>
      </c>
    </row>
    <row r="479">
      <c r="A479" s="10" t="n">
        <v>40877</v>
      </c>
      <c r="B479" s="9" t="n">
        <v>2814235</v>
      </c>
      <c r="C479" s="7" t="n">
        <v>0.04718401461224575</v>
      </c>
      <c r="D479" s="7">
        <f>(Table4[[#This Row],[WALCL]]/1000)/19222</f>
        <v/>
      </c>
    </row>
    <row r="480">
      <c r="A480" s="10" t="n">
        <v>40884</v>
      </c>
      <c r="B480" s="9" t="n">
        <v>2820691</v>
      </c>
      <c r="C480" s="7" t="n">
        <v>0.04718401461224575</v>
      </c>
      <c r="D480" s="7">
        <f>(Table4[[#This Row],[WALCL]]/1000)/19222</f>
        <v/>
      </c>
    </row>
    <row r="481">
      <c r="A481" s="10" t="n">
        <v>40891</v>
      </c>
      <c r="B481" s="9" t="n">
        <v>2902488</v>
      </c>
      <c r="C481" s="7" t="n">
        <v>0.04718401461224575</v>
      </c>
      <c r="D481" s="7">
        <f>(Table4[[#This Row],[WALCL]]/1000)/19222</f>
        <v/>
      </c>
    </row>
    <row r="482">
      <c r="A482" s="10" t="n">
        <v>40898</v>
      </c>
      <c r="B482" s="9" t="n">
        <v>2916085</v>
      </c>
      <c r="C482" s="7" t="n">
        <v>0.04718401461224575</v>
      </c>
      <c r="D482" s="7">
        <f>(Table4[[#This Row],[WALCL]]/1000)/19222</f>
        <v/>
      </c>
    </row>
    <row r="483">
      <c r="A483" s="10" t="n">
        <v>40905</v>
      </c>
      <c r="B483" s="9" t="n">
        <v>2926095</v>
      </c>
      <c r="C483" s="7" t="n">
        <v>0.04718401461224575</v>
      </c>
      <c r="D483" s="7">
        <f>(Table4[[#This Row],[WALCL]]/1000)/19222</f>
        <v/>
      </c>
    </row>
    <row r="484">
      <c r="A484" s="10" t="n">
        <v>40912</v>
      </c>
      <c r="B484" s="9" t="n">
        <v>2917689</v>
      </c>
      <c r="C484" s="7" t="n">
        <v>0.03168948112448322</v>
      </c>
      <c r="D484" s="7">
        <f>(Table4[[#This Row],[WALCL]]/1000)/19222</f>
        <v/>
      </c>
    </row>
    <row r="485">
      <c r="A485" s="10" t="n">
        <v>40919</v>
      </c>
      <c r="B485" s="9" t="n">
        <v>2899149</v>
      </c>
      <c r="C485" s="7" t="n">
        <v>0.03168948112448322</v>
      </c>
      <c r="D485" s="7">
        <f>(Table4[[#This Row],[WALCL]]/1000)/19222</f>
        <v/>
      </c>
    </row>
    <row r="486">
      <c r="A486" s="10" t="n">
        <v>40926</v>
      </c>
      <c r="B486" s="9" t="n">
        <v>2919423</v>
      </c>
      <c r="C486" s="7" t="n">
        <v>0.03168948112448322</v>
      </c>
      <c r="D486" s="7">
        <f>(Table4[[#This Row],[WALCL]]/1000)/19222</f>
        <v/>
      </c>
    </row>
    <row r="487">
      <c r="A487" s="10" t="n">
        <v>40933</v>
      </c>
      <c r="B487" s="9" t="n">
        <v>2919545</v>
      </c>
      <c r="C487" s="7" t="n">
        <v>0.03168948112448322</v>
      </c>
      <c r="D487" s="7">
        <f>(Table4[[#This Row],[WALCL]]/1000)/19222</f>
        <v/>
      </c>
    </row>
    <row r="488">
      <c r="A488" s="10" t="n">
        <v>40940</v>
      </c>
      <c r="B488" s="9" t="n">
        <v>2924947</v>
      </c>
      <c r="C488" s="7" t="n">
        <v>0.03168948112448322</v>
      </c>
      <c r="D488" s="7">
        <f>(Table4[[#This Row],[WALCL]]/1000)/19222</f>
        <v/>
      </c>
    </row>
    <row r="489">
      <c r="A489" s="10" t="n">
        <v>40947</v>
      </c>
      <c r="B489" s="9" t="n">
        <v>2928275</v>
      </c>
      <c r="C489" s="7" t="n">
        <v>0.03168948112448322</v>
      </c>
      <c r="D489" s="7">
        <f>(Table4[[#This Row],[WALCL]]/1000)/19222</f>
        <v/>
      </c>
    </row>
    <row r="490">
      <c r="A490" s="10" t="n">
        <v>40954</v>
      </c>
      <c r="B490" s="9" t="n">
        <v>2937893</v>
      </c>
      <c r="C490" s="7" t="n">
        <v>0.03168948112448322</v>
      </c>
      <c r="D490" s="7">
        <f>(Table4[[#This Row],[WALCL]]/1000)/19222</f>
        <v/>
      </c>
    </row>
    <row r="491">
      <c r="A491" s="10" t="n">
        <v>40961</v>
      </c>
      <c r="B491" s="9" t="n">
        <v>2932813</v>
      </c>
      <c r="C491" s="7" t="n">
        <v>0.03168948112448322</v>
      </c>
      <c r="D491" s="7">
        <f>(Table4[[#This Row],[WALCL]]/1000)/19222</f>
        <v/>
      </c>
    </row>
    <row r="492">
      <c r="A492" s="10" t="n">
        <v>40968</v>
      </c>
      <c r="B492" s="9" t="n">
        <v>2925722</v>
      </c>
      <c r="C492" s="7" t="n">
        <v>0.03168948112448322</v>
      </c>
      <c r="D492" s="7">
        <f>(Table4[[#This Row],[WALCL]]/1000)/19222</f>
        <v/>
      </c>
    </row>
    <row r="493">
      <c r="A493" s="10" t="n">
        <v>40975</v>
      </c>
      <c r="B493" s="9" t="n">
        <v>2884747</v>
      </c>
      <c r="C493" s="7" t="n">
        <v>0.03168948112448322</v>
      </c>
      <c r="D493" s="7">
        <f>(Table4[[#This Row],[WALCL]]/1000)/19222</f>
        <v/>
      </c>
    </row>
    <row r="494">
      <c r="A494" s="10" t="n">
        <v>40982</v>
      </c>
      <c r="B494" s="9" t="n">
        <v>2893560</v>
      </c>
      <c r="C494" s="7" t="n">
        <v>0.03168948112448322</v>
      </c>
      <c r="D494" s="7">
        <f>(Table4[[#This Row],[WALCL]]/1000)/19222</f>
        <v/>
      </c>
    </row>
    <row r="495">
      <c r="A495" s="10" t="n">
        <v>40989</v>
      </c>
      <c r="B495" s="9" t="n">
        <v>2892646</v>
      </c>
      <c r="C495" s="7" t="n">
        <v>0.03168948112448322</v>
      </c>
      <c r="D495" s="7">
        <f>(Table4[[#This Row],[WALCL]]/1000)/19222</f>
        <v/>
      </c>
    </row>
    <row r="496">
      <c r="A496" s="10" t="n">
        <v>40996</v>
      </c>
      <c r="B496" s="9" t="n">
        <v>2878137</v>
      </c>
      <c r="C496" s="7" t="n">
        <v>0.03168948112448322</v>
      </c>
      <c r="D496" s="7">
        <f>(Table4[[#This Row],[WALCL]]/1000)/19222</f>
        <v/>
      </c>
    </row>
    <row r="497">
      <c r="A497" s="10" t="n">
        <v>41003</v>
      </c>
      <c r="B497" s="9" t="n">
        <v>2865478</v>
      </c>
      <c r="C497" s="7" t="n">
        <v>0.01731942327406633</v>
      </c>
      <c r="D497" s="7">
        <f>(Table4[[#This Row],[WALCL]]/1000)/19222</f>
        <v/>
      </c>
    </row>
    <row r="498">
      <c r="A498" s="10" t="n">
        <v>41010</v>
      </c>
      <c r="B498" s="9" t="n">
        <v>2867200</v>
      </c>
      <c r="C498" s="7" t="n">
        <v>0.01731942327406633</v>
      </c>
      <c r="D498" s="7">
        <f>(Table4[[#This Row],[WALCL]]/1000)/19222</f>
        <v/>
      </c>
    </row>
    <row r="499">
      <c r="A499" s="10" t="n">
        <v>41017</v>
      </c>
      <c r="B499" s="9" t="n">
        <v>2875470</v>
      </c>
      <c r="C499" s="7" t="n">
        <v>0.01731942327406633</v>
      </c>
      <c r="D499" s="7">
        <f>(Table4[[#This Row],[WALCL]]/1000)/19222</f>
        <v/>
      </c>
    </row>
    <row r="500">
      <c r="A500" s="10" t="n">
        <v>41024</v>
      </c>
      <c r="B500" s="9" t="n">
        <v>2866561</v>
      </c>
      <c r="C500" s="7" t="n">
        <v>0.01731942327406633</v>
      </c>
      <c r="D500" s="7">
        <f>(Table4[[#This Row],[WALCL]]/1000)/19222</f>
        <v/>
      </c>
    </row>
    <row r="501">
      <c r="A501" s="10" t="n">
        <v>41031</v>
      </c>
      <c r="B501" s="9" t="n">
        <v>2864280</v>
      </c>
      <c r="C501" s="7" t="n">
        <v>0.01731942327406633</v>
      </c>
      <c r="D501" s="7">
        <f>(Table4[[#This Row],[WALCL]]/1000)/19222</f>
        <v/>
      </c>
    </row>
    <row r="502">
      <c r="A502" s="10" t="n">
        <v>41038</v>
      </c>
      <c r="B502" s="9" t="n">
        <v>2864150</v>
      </c>
      <c r="C502" s="7" t="n">
        <v>0.01731942327406633</v>
      </c>
      <c r="D502" s="7">
        <f>(Table4[[#This Row],[WALCL]]/1000)/19222</f>
        <v/>
      </c>
    </row>
    <row r="503">
      <c r="A503" s="10" t="n">
        <v>41045</v>
      </c>
      <c r="B503" s="9" t="n">
        <v>2850984</v>
      </c>
      <c r="C503" s="7" t="n">
        <v>0.01731942327406633</v>
      </c>
      <c r="D503" s="7">
        <f>(Table4[[#This Row],[WALCL]]/1000)/19222</f>
        <v/>
      </c>
    </row>
    <row r="504">
      <c r="A504" s="10" t="n">
        <v>41052</v>
      </c>
      <c r="B504" s="9" t="n">
        <v>2859495</v>
      </c>
      <c r="C504" s="7" t="n">
        <v>0.01731942327406633</v>
      </c>
      <c r="D504" s="7">
        <f>(Table4[[#This Row],[WALCL]]/1000)/19222</f>
        <v/>
      </c>
    </row>
    <row r="505">
      <c r="A505" s="10" t="n">
        <v>41059</v>
      </c>
      <c r="B505" s="9" t="n">
        <v>2842654</v>
      </c>
      <c r="C505" s="7" t="n">
        <v>0.01731942327406633</v>
      </c>
      <c r="D505" s="7">
        <f>(Table4[[#This Row],[WALCL]]/1000)/19222</f>
        <v/>
      </c>
    </row>
    <row r="506">
      <c r="A506" s="10" t="n">
        <v>41066</v>
      </c>
      <c r="B506" s="9" t="n">
        <v>2852018</v>
      </c>
      <c r="C506" s="7" t="n">
        <v>0.01731942327406633</v>
      </c>
      <c r="D506" s="7">
        <f>(Table4[[#This Row],[WALCL]]/1000)/19222</f>
        <v/>
      </c>
    </row>
    <row r="507">
      <c r="A507" s="10" t="n">
        <v>41073</v>
      </c>
      <c r="B507" s="9" t="n">
        <v>2869071</v>
      </c>
      <c r="C507" s="7" t="n">
        <v>0.01731942327406633</v>
      </c>
      <c r="D507" s="7">
        <f>(Table4[[#This Row],[WALCL]]/1000)/19222</f>
        <v/>
      </c>
      <c r="E507" s="13" t="n"/>
    </row>
    <row r="508">
      <c r="A508" s="10" t="n">
        <v>41080</v>
      </c>
      <c r="B508" s="9" t="n">
        <v>2870846</v>
      </c>
      <c r="C508" s="7" t="n">
        <v>0.01731942327406633</v>
      </c>
      <c r="D508" s="7">
        <f>(Table4[[#This Row],[WALCL]]/1000)/19222</f>
        <v/>
      </c>
    </row>
    <row r="509">
      <c r="A509" s="10" t="n">
        <v>41087</v>
      </c>
      <c r="B509" s="9" t="n">
        <v>2863547</v>
      </c>
      <c r="C509" s="7" t="n">
        <v>0.01731942327406633</v>
      </c>
      <c r="D509" s="7">
        <f>(Table4[[#This Row],[WALCL]]/1000)/19222</f>
        <v/>
      </c>
      <c r="E509" s="14" t="n"/>
    </row>
    <row r="510">
      <c r="A510" s="10" t="n">
        <v>41094</v>
      </c>
      <c r="B510" s="9" t="n">
        <v>2865858</v>
      </c>
      <c r="C510" s="7" t="n">
        <v>0.005408864823340576</v>
      </c>
      <c r="D510" s="7">
        <f>(Table4[[#This Row],[WALCL]]/1000)/19222</f>
        <v/>
      </c>
    </row>
    <row r="511">
      <c r="A511" s="10" t="n">
        <v>41101</v>
      </c>
      <c r="B511" s="9" t="n">
        <v>2866279</v>
      </c>
      <c r="C511" s="7" t="n">
        <v>0.005408864823340576</v>
      </c>
      <c r="D511" s="7">
        <f>(Table4[[#This Row],[WALCL]]/1000)/19222</f>
        <v/>
      </c>
    </row>
    <row r="512">
      <c r="A512" s="10" t="n">
        <v>41108</v>
      </c>
      <c r="B512" s="9" t="n">
        <v>2855807</v>
      </c>
      <c r="C512" s="7" t="n">
        <v>0.005408864823340576</v>
      </c>
      <c r="D512" s="7">
        <f>(Table4[[#This Row],[WALCL]]/1000)/19222</f>
        <v/>
      </c>
    </row>
    <row r="513">
      <c r="A513" s="10" t="n">
        <v>41115</v>
      </c>
      <c r="B513" s="9" t="n">
        <v>2846757</v>
      </c>
      <c r="C513" s="7" t="n">
        <v>0.005408864823340576</v>
      </c>
      <c r="D513" s="7">
        <f>(Table4[[#This Row],[WALCL]]/1000)/19222</f>
        <v/>
      </c>
    </row>
    <row r="514">
      <c r="A514" s="10" t="n">
        <v>41122</v>
      </c>
      <c r="B514" s="9" t="n">
        <v>2851118</v>
      </c>
      <c r="C514" s="7" t="n">
        <v>0.005408864823340576</v>
      </c>
      <c r="D514" s="7">
        <f>(Table4[[#This Row],[WALCL]]/1000)/19222</f>
        <v/>
      </c>
    </row>
    <row r="515">
      <c r="A515" s="10" t="n">
        <v>41129</v>
      </c>
      <c r="B515" s="9" t="n">
        <v>2856181</v>
      </c>
      <c r="C515" s="7" t="n">
        <v>0.005408864823340576</v>
      </c>
      <c r="D515" s="7">
        <f>(Table4[[#This Row],[WALCL]]/1000)/19222</f>
        <v/>
      </c>
    </row>
    <row r="516">
      <c r="A516" s="10" t="n">
        <v>41136</v>
      </c>
      <c r="B516" s="9" t="n">
        <v>2833317</v>
      </c>
      <c r="C516" s="7" t="n">
        <v>0.005408864823340576</v>
      </c>
      <c r="D516" s="7">
        <f>(Table4[[#This Row],[WALCL]]/1000)/19222</f>
        <v/>
      </c>
    </row>
    <row r="517">
      <c r="A517" s="10" t="n">
        <v>41143</v>
      </c>
      <c r="B517" s="9" t="n">
        <v>2825661</v>
      </c>
      <c r="C517" s="7" t="n">
        <v>0.005408864823340576</v>
      </c>
      <c r="D517" s="7">
        <f>(Table4[[#This Row],[WALCL]]/1000)/19222</f>
        <v/>
      </c>
    </row>
    <row r="518">
      <c r="A518" s="10" t="n">
        <v>41150</v>
      </c>
      <c r="B518" s="9" t="n">
        <v>2812806</v>
      </c>
      <c r="C518" s="7" t="n">
        <v>0.005408864823340576</v>
      </c>
      <c r="D518" s="7">
        <f>(Table4[[#This Row],[WALCL]]/1000)/19222</f>
        <v/>
      </c>
    </row>
    <row r="519">
      <c r="A519" s="10" t="n">
        <v>41157</v>
      </c>
      <c r="B519" s="9" t="n">
        <v>2822169</v>
      </c>
      <c r="C519" s="7" t="n">
        <v>0.005408864823340576</v>
      </c>
      <c r="D519" s="7">
        <f>(Table4[[#This Row],[WALCL]]/1000)/19222</f>
        <v/>
      </c>
    </row>
    <row r="520">
      <c r="A520" s="10" t="n">
        <v>41164</v>
      </c>
      <c r="B520" s="9" t="n">
        <v>2823448</v>
      </c>
      <c r="C520" s="7" t="n">
        <v>0.005408864823340576</v>
      </c>
      <c r="D520" s="7">
        <f>(Table4[[#This Row],[WALCL]]/1000)/19222</f>
        <v/>
      </c>
      <c r="E520" s="13" t="n"/>
    </row>
    <row r="521">
      <c r="A521" s="10" t="n">
        <v>41171</v>
      </c>
      <c r="B521" s="9" t="n">
        <v>2821574</v>
      </c>
      <c r="C521" s="7" t="n">
        <v>0.005408864823340576</v>
      </c>
      <c r="D521" s="7">
        <f>(Table4[[#This Row],[WALCL]]/1000)/19222</f>
        <v/>
      </c>
    </row>
    <row r="522">
      <c r="A522" s="10" t="n">
        <v>41178</v>
      </c>
      <c r="B522" s="9" t="n">
        <v>2804457</v>
      </c>
      <c r="C522" s="7" t="n">
        <v>0.005408864823340576</v>
      </c>
      <c r="D522" s="7">
        <f>(Table4[[#This Row],[WALCL]]/1000)/19222</f>
        <v/>
      </c>
    </row>
    <row r="523">
      <c r="A523" s="10" t="n">
        <v>41185</v>
      </c>
      <c r="B523" s="9" t="n">
        <v>2808512</v>
      </c>
      <c r="C523" s="7" t="n">
        <v>0.004562716008958967</v>
      </c>
      <c r="D523" s="7">
        <f>(Table4[[#This Row],[WALCL]]/1000)/19222</f>
        <v/>
      </c>
    </row>
    <row r="524">
      <c r="A524" s="10" t="n">
        <v>41192</v>
      </c>
      <c r="B524" s="9" t="n">
        <v>2811623</v>
      </c>
      <c r="C524" s="7" t="n">
        <v>0.004562716008958967</v>
      </c>
      <c r="D524" s="7">
        <f>(Table4[[#This Row],[WALCL]]/1000)/19222</f>
        <v/>
      </c>
    </row>
    <row r="525">
      <c r="A525" s="10" t="n">
        <v>41199</v>
      </c>
      <c r="B525" s="9" t="n">
        <v>2846920</v>
      </c>
      <c r="C525" s="7" t="n">
        <v>0.004562716008958967</v>
      </c>
      <c r="D525" s="7">
        <f>(Table4[[#This Row],[WALCL]]/1000)/19222</f>
        <v/>
      </c>
    </row>
    <row r="526">
      <c r="A526" s="10" t="n">
        <v>41206</v>
      </c>
      <c r="B526" s="9" t="n">
        <v>2840964</v>
      </c>
      <c r="C526" s="7" t="n">
        <v>0.004562716008958967</v>
      </c>
      <c r="D526" s="7">
        <f>(Table4[[#This Row],[WALCL]]/1000)/19222</f>
        <v/>
      </c>
    </row>
    <row r="527">
      <c r="A527" s="10" t="n">
        <v>41213</v>
      </c>
      <c r="B527" s="9" t="n">
        <v>2823137</v>
      </c>
      <c r="C527" s="7" t="n">
        <v>0.004562716008958967</v>
      </c>
      <c r="D527" s="7">
        <f>(Table4[[#This Row],[WALCL]]/1000)/19222</f>
        <v/>
      </c>
    </row>
    <row r="528">
      <c r="A528" s="10" t="n">
        <v>41220</v>
      </c>
      <c r="B528" s="9" t="n">
        <v>2830791</v>
      </c>
      <c r="C528" s="7" t="n">
        <v>0.004562716008958967</v>
      </c>
      <c r="D528" s="7">
        <f>(Table4[[#This Row],[WALCL]]/1000)/19222</f>
        <v/>
      </c>
    </row>
    <row r="529">
      <c r="A529" s="10" t="n">
        <v>41227</v>
      </c>
      <c r="B529" s="9" t="n">
        <v>2877244</v>
      </c>
      <c r="C529" s="7" t="n">
        <v>0.004562716008958967</v>
      </c>
      <c r="D529" s="7">
        <f>(Table4[[#This Row],[WALCL]]/1000)/19222</f>
        <v/>
      </c>
    </row>
    <row r="530">
      <c r="A530" s="10" t="n">
        <v>41234</v>
      </c>
      <c r="B530" s="9" t="n">
        <v>2871161</v>
      </c>
      <c r="C530" s="7" t="n">
        <v>0.004562716008958967</v>
      </c>
      <c r="D530" s="7">
        <f>(Table4[[#This Row],[WALCL]]/1000)/19222</f>
        <v/>
      </c>
    </row>
    <row r="531">
      <c r="A531" s="10" t="n">
        <v>41241</v>
      </c>
      <c r="B531" s="9" t="n">
        <v>2851362</v>
      </c>
      <c r="C531" s="7" t="n">
        <v>0.004562716008958967</v>
      </c>
      <c r="D531" s="7">
        <f>(Table4[[#This Row],[WALCL]]/1000)/19222</f>
        <v/>
      </c>
    </row>
    <row r="532">
      <c r="A532" s="10" t="n">
        <v>41248</v>
      </c>
      <c r="B532" s="9" t="n">
        <v>2859807</v>
      </c>
      <c r="C532" s="7" t="n">
        <v>0.004562716008958967</v>
      </c>
      <c r="D532" s="7">
        <f>(Table4[[#This Row],[WALCL]]/1000)/19222</f>
        <v/>
      </c>
    </row>
    <row r="533">
      <c r="A533" s="10" t="n">
        <v>41255</v>
      </c>
      <c r="B533" s="9" t="n">
        <v>2917260</v>
      </c>
      <c r="C533" s="7" t="n">
        <v>0.004562716008958967</v>
      </c>
      <c r="D533" s="7">
        <f>(Table4[[#This Row],[WALCL]]/1000)/19222</f>
        <v/>
      </c>
    </row>
    <row r="534">
      <c r="A534" s="10" t="n">
        <v>41262</v>
      </c>
      <c r="B534" s="9" t="n">
        <v>2920231</v>
      </c>
      <c r="C534" s="7" t="n">
        <v>0.004562716008958967</v>
      </c>
      <c r="D534" s="7">
        <f>(Table4[[#This Row],[WALCL]]/1000)/19222</f>
        <v/>
      </c>
    </row>
    <row r="535">
      <c r="A535" s="10" t="n">
        <v>41269</v>
      </c>
      <c r="B535" s="9" t="n">
        <v>2907300</v>
      </c>
      <c r="C535" s="7" t="n">
        <v>0.004562716008958967</v>
      </c>
      <c r="D535" s="7">
        <f>(Table4[[#This Row],[WALCL]]/1000)/19222</f>
        <v/>
      </c>
      <c r="E535" s="13" t="n"/>
      <c r="P535" s="3" t="n"/>
    </row>
    <row r="536">
      <c r="A536" s="10" t="n">
        <v>41276</v>
      </c>
      <c r="B536" s="9" t="n">
        <v>2917189</v>
      </c>
      <c r="C536" s="7" t="n">
        <v>0.03590044091402711</v>
      </c>
      <c r="D536" s="7">
        <f>(Table4[[#This Row],[WALCL]]/1000)/19222</f>
        <v/>
      </c>
    </row>
    <row r="537">
      <c r="A537" s="10" t="n">
        <v>41283</v>
      </c>
      <c r="B537" s="9" t="n">
        <v>2928728</v>
      </c>
      <c r="C537" s="7" t="n">
        <v>0.03590044091402711</v>
      </c>
      <c r="D537" s="7">
        <f>(Table4[[#This Row],[WALCL]]/1000)/19222</f>
        <v/>
      </c>
    </row>
    <row r="538">
      <c r="A538" s="10" t="n">
        <v>41290</v>
      </c>
      <c r="B538" s="9" t="n">
        <v>2963812</v>
      </c>
      <c r="C538" s="7" t="n">
        <v>0.03590044091402711</v>
      </c>
      <c r="D538" s="7">
        <f>(Table4[[#This Row],[WALCL]]/1000)/19222</f>
        <v/>
      </c>
    </row>
    <row r="539">
      <c r="A539" s="10" t="n">
        <v>41297</v>
      </c>
      <c r="B539" s="9" t="n">
        <v>3011697</v>
      </c>
      <c r="C539" s="7" t="n">
        <v>0.03590044091402711</v>
      </c>
      <c r="D539" s="7">
        <f>(Table4[[#This Row],[WALCL]]/1000)/19222</f>
        <v/>
      </c>
    </row>
    <row r="540">
      <c r="A540" s="10" t="n">
        <v>41304</v>
      </c>
      <c r="B540" s="9" t="n">
        <v>3008704</v>
      </c>
      <c r="C540" s="7" t="n">
        <v>0.03590044091402711</v>
      </c>
      <c r="D540" s="7">
        <f>(Table4[[#This Row],[WALCL]]/1000)/19222</f>
        <v/>
      </c>
    </row>
    <row r="541">
      <c r="A541" s="10" t="n">
        <v>41311</v>
      </c>
      <c r="B541" s="9" t="n">
        <v>3014975</v>
      </c>
      <c r="C541" s="7" t="n">
        <v>0.03590044091402711</v>
      </c>
      <c r="D541" s="7">
        <f>(Table4[[#This Row],[WALCL]]/1000)/19222</f>
        <v/>
      </c>
    </row>
    <row r="542">
      <c r="A542" s="10" t="n">
        <v>41318</v>
      </c>
      <c r="B542" s="9" t="n">
        <v>3074225</v>
      </c>
      <c r="C542" s="7" t="n">
        <v>0.03590044091402711</v>
      </c>
      <c r="D542" s="7">
        <f>(Table4[[#This Row],[WALCL]]/1000)/19222</f>
        <v/>
      </c>
    </row>
    <row r="543">
      <c r="A543" s="10" t="n">
        <v>41325</v>
      </c>
      <c r="B543" s="9" t="n">
        <v>3095150</v>
      </c>
      <c r="C543" s="7" t="n">
        <v>0.03590044091402711</v>
      </c>
      <c r="D543" s="7">
        <f>(Table4[[#This Row],[WALCL]]/1000)/19222</f>
        <v/>
      </c>
    </row>
    <row r="544">
      <c r="A544" s="10" t="n">
        <v>41332</v>
      </c>
      <c r="B544" s="9" t="n">
        <v>3090600</v>
      </c>
      <c r="C544" s="7" t="n">
        <v>0.03590044091402711</v>
      </c>
      <c r="D544" s="7">
        <f>(Table4[[#This Row],[WALCL]]/1000)/19222</f>
        <v/>
      </c>
    </row>
    <row r="545">
      <c r="A545" s="10" t="n">
        <v>41339</v>
      </c>
      <c r="B545" s="9" t="n">
        <v>3108805</v>
      </c>
      <c r="C545" s="7" t="n">
        <v>0.03590044091402711</v>
      </c>
      <c r="D545" s="7">
        <f>(Table4[[#This Row],[WALCL]]/1000)/19222</f>
        <v/>
      </c>
    </row>
    <row r="546">
      <c r="A546" s="10" t="n">
        <v>41346</v>
      </c>
      <c r="B546" s="9" t="n">
        <v>3165396</v>
      </c>
      <c r="C546" s="7" t="n">
        <v>0.03590044091402711</v>
      </c>
      <c r="D546" s="7">
        <f>(Table4[[#This Row],[WALCL]]/1000)/19222</f>
        <v/>
      </c>
    </row>
    <row r="547">
      <c r="A547" s="10" t="n">
        <v>41353</v>
      </c>
      <c r="B547" s="9" t="n">
        <v>3206888</v>
      </c>
      <c r="C547" s="7" t="n">
        <v>0.03590044091402711</v>
      </c>
      <c r="D547" s="7">
        <f>(Table4[[#This Row],[WALCL]]/1000)/19222</f>
        <v/>
      </c>
    </row>
    <row r="548">
      <c r="A548" s="10" t="n">
        <v>41360</v>
      </c>
      <c r="B548" s="9" t="n">
        <v>3202256</v>
      </c>
      <c r="C548" s="7" t="n">
        <v>0.03590044091402711</v>
      </c>
      <c r="D548" s="7">
        <f>(Table4[[#This Row],[WALCL]]/1000)/19222</f>
        <v/>
      </c>
    </row>
    <row r="549">
      <c r="A549" s="10" t="n">
        <v>41367</v>
      </c>
      <c r="B549" s="9" t="n">
        <v>3215432</v>
      </c>
      <c r="C549" s="7" t="n">
        <v>0.004945002513272012</v>
      </c>
      <c r="D549" s="7">
        <f>(Table4[[#This Row],[WALCL]]/1000)/19222</f>
        <v/>
      </c>
    </row>
    <row r="550">
      <c r="A550" s="10" t="n">
        <v>41374</v>
      </c>
      <c r="B550" s="9" t="n">
        <v>3227762</v>
      </c>
      <c r="C550" s="7" t="n">
        <v>0.004945002513272012</v>
      </c>
      <c r="D550" s="7">
        <f>(Table4[[#This Row],[WALCL]]/1000)/19222</f>
        <v/>
      </c>
    </row>
    <row r="551">
      <c r="A551" s="10" t="n">
        <v>41381</v>
      </c>
      <c r="B551" s="9" t="n">
        <v>3295109</v>
      </c>
      <c r="C551" s="7" t="n">
        <v>0.004945002513272012</v>
      </c>
      <c r="D551" s="7">
        <f>(Table4[[#This Row],[WALCL]]/1000)/19222</f>
        <v/>
      </c>
    </row>
    <row r="552">
      <c r="A552" s="10" t="n">
        <v>41388</v>
      </c>
      <c r="B552" s="9" t="n">
        <v>3318649</v>
      </c>
      <c r="C552" s="7" t="n">
        <v>0.004945002513272012</v>
      </c>
      <c r="D552" s="7">
        <f>(Table4[[#This Row],[WALCL]]/1000)/19222</f>
        <v/>
      </c>
    </row>
    <row r="553">
      <c r="A553" s="10" t="n">
        <v>41395</v>
      </c>
      <c r="B553" s="9" t="n">
        <v>3317194</v>
      </c>
      <c r="C553" s="7" t="n">
        <v>0.004945002513272012</v>
      </c>
      <c r="D553" s="7">
        <f>(Table4[[#This Row],[WALCL]]/1000)/19222</f>
        <v/>
      </c>
    </row>
    <row r="554">
      <c r="A554" s="10" t="n">
        <v>41402</v>
      </c>
      <c r="B554" s="9" t="n">
        <v>3324615</v>
      </c>
      <c r="C554" s="7" t="n">
        <v>0.004945002513272012</v>
      </c>
      <c r="D554" s="7">
        <f>(Table4[[#This Row],[WALCL]]/1000)/19222</f>
        <v/>
      </c>
    </row>
    <row r="555">
      <c r="A555" s="10" t="n">
        <v>41409</v>
      </c>
      <c r="B555" s="9" t="n">
        <v>3354269</v>
      </c>
      <c r="C555" s="7" t="n">
        <v>0.004945002513272012</v>
      </c>
      <c r="D555" s="7">
        <f>(Table4[[#This Row],[WALCL]]/1000)/19222</f>
        <v/>
      </c>
    </row>
    <row r="556">
      <c r="A556" s="10" t="n">
        <v>41416</v>
      </c>
      <c r="B556" s="9" t="n">
        <v>3398713</v>
      </c>
      <c r="C556" s="7" t="n">
        <v>0.004945002513272012</v>
      </c>
      <c r="D556" s="7">
        <f>(Table4[[#This Row],[WALCL]]/1000)/19222</f>
        <v/>
      </c>
    </row>
    <row r="557">
      <c r="A557" s="10" t="n">
        <v>41423</v>
      </c>
      <c r="B557" s="9" t="n">
        <v>3385128</v>
      </c>
      <c r="C557" s="7" t="n">
        <v>0.004945002513272012</v>
      </c>
      <c r="D557" s="7">
        <f>(Table4[[#This Row],[WALCL]]/1000)/19222</f>
        <v/>
      </c>
    </row>
    <row r="558">
      <c r="A558" s="10" t="n">
        <v>41430</v>
      </c>
      <c r="B558" s="9" t="n">
        <v>3400183</v>
      </c>
      <c r="C558" s="7" t="n">
        <v>0.004945002513272012</v>
      </c>
      <c r="D558" s="7">
        <f>(Table4[[#This Row],[WALCL]]/1000)/19222</f>
        <v/>
      </c>
    </row>
    <row r="559">
      <c r="A559" s="10" t="n">
        <v>41437</v>
      </c>
      <c r="B559" s="9" t="n">
        <v>3410842</v>
      </c>
      <c r="C559" s="7" t="n">
        <v>0.004945002513272012</v>
      </c>
      <c r="D559" s="7">
        <f>(Table4[[#This Row],[WALCL]]/1000)/19222</f>
        <v/>
      </c>
    </row>
    <row r="560">
      <c r="A560" s="10" t="n">
        <v>41444</v>
      </c>
      <c r="B560" s="9" t="n">
        <v>3470530</v>
      </c>
      <c r="C560" s="7" t="n">
        <v>0.004945002513272012</v>
      </c>
      <c r="D560" s="7">
        <f>(Table4[[#This Row],[WALCL]]/1000)/19222</f>
        <v/>
      </c>
    </row>
    <row r="561">
      <c r="A561" s="10" t="n">
        <v>41451</v>
      </c>
      <c r="B561" s="9" t="n">
        <v>3478672</v>
      </c>
      <c r="C561" s="7" t="n">
        <v>0.004945002513272012</v>
      </c>
      <c r="D561" s="7">
        <f>(Table4[[#This Row],[WALCL]]/1000)/19222</f>
        <v/>
      </c>
    </row>
    <row r="562">
      <c r="A562" s="10" t="n">
        <v>41458</v>
      </c>
      <c r="B562" s="9" t="n">
        <v>3492742</v>
      </c>
      <c r="C562" s="7" t="n">
        <v>0.03170677729429006</v>
      </c>
      <c r="D562" s="7">
        <f>(Table4[[#This Row],[WALCL]]/1000)/19222</f>
        <v/>
      </c>
    </row>
    <row r="563">
      <c r="A563" s="10" t="n">
        <v>41465</v>
      </c>
      <c r="B563" s="9" t="n">
        <v>3504095</v>
      </c>
      <c r="C563" s="7" t="n">
        <v>0.03170677729429006</v>
      </c>
      <c r="D563" s="7">
        <f>(Table4[[#This Row],[WALCL]]/1000)/19222</f>
        <v/>
      </c>
    </row>
    <row r="564">
      <c r="A564" s="10" t="n">
        <v>41472</v>
      </c>
      <c r="B564" s="9" t="n">
        <v>3537861</v>
      </c>
      <c r="C564" s="7" t="n">
        <v>0.03170677729429006</v>
      </c>
      <c r="D564" s="7">
        <f>(Table4[[#This Row],[WALCL]]/1000)/19222</f>
        <v/>
      </c>
    </row>
    <row r="565">
      <c r="A565" s="10" t="n">
        <v>41479</v>
      </c>
      <c r="B565" s="9" t="n">
        <v>3574574</v>
      </c>
      <c r="C565" s="7" t="n">
        <v>0.03170677729429006</v>
      </c>
      <c r="D565" s="7">
        <f>(Table4[[#This Row],[WALCL]]/1000)/19222</f>
        <v/>
      </c>
    </row>
    <row r="566">
      <c r="A566" s="10" t="n">
        <v>41486</v>
      </c>
      <c r="B566" s="9" t="n">
        <v>3571797</v>
      </c>
      <c r="C566" s="7" t="n">
        <v>0.03170677729429006</v>
      </c>
      <c r="D566" s="7">
        <f>(Table4[[#This Row],[WALCL]]/1000)/19222</f>
        <v/>
      </c>
    </row>
    <row r="567">
      <c r="A567" s="10" t="n">
        <v>41493</v>
      </c>
      <c r="B567" s="9" t="n">
        <v>3585359</v>
      </c>
      <c r="C567" s="7" t="n">
        <v>0.03170677729429006</v>
      </c>
      <c r="D567" s="7">
        <f>(Table4[[#This Row],[WALCL]]/1000)/19222</f>
        <v/>
      </c>
    </row>
    <row r="568">
      <c r="A568" s="10" t="n">
        <v>41500</v>
      </c>
      <c r="B568" s="9" t="n">
        <v>3646323</v>
      </c>
      <c r="C568" s="7" t="n">
        <v>0.03170677729429006</v>
      </c>
      <c r="D568" s="7">
        <f>(Table4[[#This Row],[WALCL]]/1000)/19222</f>
        <v/>
      </c>
    </row>
    <row r="569">
      <c r="A569" s="10" t="n">
        <v>41507</v>
      </c>
      <c r="B569" s="9" t="n">
        <v>3645668</v>
      </c>
      <c r="C569" s="7" t="n">
        <v>0.03170677729429006</v>
      </c>
      <c r="D569" s="7">
        <f>(Table4[[#This Row],[WALCL]]/1000)/19222</f>
        <v/>
      </c>
    </row>
    <row r="570">
      <c r="A570" s="10" t="n">
        <v>41514</v>
      </c>
      <c r="B570" s="9" t="n">
        <v>3644456</v>
      </c>
      <c r="C570" s="7" t="n">
        <v>0.03170677729429006</v>
      </c>
      <c r="D570" s="7">
        <f>(Table4[[#This Row],[WALCL]]/1000)/19222</f>
        <v/>
      </c>
    </row>
    <row r="571">
      <c r="A571" s="10" t="n">
        <v>41521</v>
      </c>
      <c r="B571" s="9" t="n">
        <v>3654182</v>
      </c>
      <c r="C571" s="7" t="n">
        <v>0.03170677729429006</v>
      </c>
      <c r="D571" s="7">
        <f>(Table4[[#This Row],[WALCL]]/1000)/19222</f>
        <v/>
      </c>
    </row>
    <row r="572">
      <c r="A572" s="10" t="n">
        <v>41528</v>
      </c>
      <c r="B572" s="9" t="n">
        <v>3662035</v>
      </c>
      <c r="C572" s="7" t="n">
        <v>0.03170677729429006</v>
      </c>
      <c r="D572" s="7">
        <f>(Table4[[#This Row],[WALCL]]/1000)/19222</f>
        <v/>
      </c>
    </row>
    <row r="573">
      <c r="A573" s="10" t="n">
        <v>41535</v>
      </c>
      <c r="B573" s="9" t="n">
        <v>3722192</v>
      </c>
      <c r="C573" s="7" t="n">
        <v>0.03170677729429006</v>
      </c>
      <c r="D573" s="7">
        <f>(Table4[[#This Row],[WALCL]]/1000)/19222</f>
        <v/>
      </c>
    </row>
    <row r="574">
      <c r="A574" s="10" t="n">
        <v>41542</v>
      </c>
      <c r="B574" s="9" t="n">
        <v>3734018</v>
      </c>
      <c r="C574" s="7" t="n">
        <v>0.03170677729429006</v>
      </c>
      <c r="D574" s="7">
        <f>(Table4[[#This Row],[WALCL]]/1000)/19222</f>
        <v/>
      </c>
    </row>
    <row r="575">
      <c r="A575" s="10" t="n">
        <v>41549</v>
      </c>
      <c r="B575" s="9" t="n">
        <v>3747387</v>
      </c>
      <c r="C575" s="7" t="n">
        <v>0.03231431699510434</v>
      </c>
      <c r="D575" s="7">
        <f>(Table4[[#This Row],[WALCL]]/1000)/19222</f>
        <v/>
      </c>
    </row>
    <row r="576">
      <c r="A576" s="10" t="n">
        <v>41556</v>
      </c>
      <c r="B576" s="9" t="n">
        <v>3758663</v>
      </c>
      <c r="C576" s="7" t="n">
        <v>0.03231431699510434</v>
      </c>
      <c r="D576" s="7">
        <f>(Table4[[#This Row],[WALCL]]/1000)/19222</f>
        <v/>
      </c>
    </row>
    <row r="577">
      <c r="A577" s="10" t="n">
        <v>41563</v>
      </c>
      <c r="B577" s="9" t="n">
        <v>3813599</v>
      </c>
      <c r="C577" s="7" t="n">
        <v>0.03231431699510434</v>
      </c>
      <c r="D577" s="7">
        <f>(Table4[[#This Row],[WALCL]]/1000)/19222</f>
        <v/>
      </c>
    </row>
    <row r="578">
      <c r="A578" s="10" t="n">
        <v>41570</v>
      </c>
      <c r="B578" s="9" t="n">
        <v>3839033</v>
      </c>
      <c r="C578" s="7" t="n">
        <v>0.03231431699510434</v>
      </c>
      <c r="D578" s="7">
        <f>(Table4[[#This Row],[WALCL]]/1000)/19222</f>
        <v/>
      </c>
    </row>
    <row r="579">
      <c r="A579" s="10" t="n">
        <v>41577</v>
      </c>
      <c r="B579" s="9" t="n">
        <v>3843396</v>
      </c>
      <c r="C579" s="7" t="n">
        <v>0.03231431699510434</v>
      </c>
      <c r="D579" s="7">
        <f>(Table4[[#This Row],[WALCL]]/1000)/19222</f>
        <v/>
      </c>
    </row>
    <row r="580">
      <c r="A580" s="10" t="n">
        <v>41584</v>
      </c>
      <c r="B580" s="9" t="n">
        <v>3851623</v>
      </c>
      <c r="C580" s="7" t="n">
        <v>0.03231431699510434</v>
      </c>
      <c r="D580" s="7">
        <f>(Table4[[#This Row],[WALCL]]/1000)/19222</f>
        <v/>
      </c>
    </row>
    <row r="581">
      <c r="A581" s="10" t="n">
        <v>41591</v>
      </c>
      <c r="B581" s="9" t="n">
        <v>3907424</v>
      </c>
      <c r="C581" s="7" t="n">
        <v>0.03231431699510434</v>
      </c>
      <c r="D581" s="7">
        <f>(Table4[[#This Row],[WALCL]]/1000)/19222</f>
        <v/>
      </c>
    </row>
    <row r="582">
      <c r="A582" s="10" t="n">
        <v>41598</v>
      </c>
      <c r="B582" s="9" t="n">
        <v>3906620</v>
      </c>
      <c r="C582" s="7" t="n">
        <v>0.03231431699510434</v>
      </c>
      <c r="D582" s="7">
        <f>(Table4[[#This Row],[WALCL]]/1000)/19222</f>
        <v/>
      </c>
    </row>
    <row r="583">
      <c r="A583" s="10" t="n">
        <v>41605</v>
      </c>
      <c r="B583" s="9" t="n">
        <v>3925876</v>
      </c>
      <c r="C583" s="7" t="n">
        <v>0.03231431699510434</v>
      </c>
      <c r="D583" s="7">
        <f>(Table4[[#This Row],[WALCL]]/1000)/19222</f>
        <v/>
      </c>
    </row>
    <row r="584">
      <c r="A584" s="10" t="n">
        <v>41612</v>
      </c>
      <c r="B584" s="9" t="n">
        <v>3932626</v>
      </c>
      <c r="C584" s="7" t="n">
        <v>0.03231431699510434</v>
      </c>
      <c r="D584" s="7">
        <f>(Table4[[#This Row],[WALCL]]/1000)/19222</f>
        <v/>
      </c>
    </row>
    <row r="585">
      <c r="A585" s="10" t="n">
        <v>41619</v>
      </c>
      <c r="B585" s="9" t="n">
        <v>3993955</v>
      </c>
      <c r="C585" s="7" t="n">
        <v>0.03231431699510434</v>
      </c>
      <c r="D585" s="7">
        <f>(Table4[[#This Row],[WALCL]]/1000)/19222</f>
        <v/>
      </c>
    </row>
    <row r="586">
      <c r="A586" s="10" t="n">
        <v>41626</v>
      </c>
      <c r="B586" s="9" t="n">
        <v>4008062</v>
      </c>
      <c r="C586" s="7" t="n">
        <v>0.03231431699510434</v>
      </c>
      <c r="D586" s="7">
        <f>(Table4[[#This Row],[WALCL]]/1000)/19222</f>
        <v/>
      </c>
    </row>
    <row r="587">
      <c r="A587" s="10" t="n">
        <v>41633</v>
      </c>
      <c r="B587" s="9" t="n">
        <v>4032575</v>
      </c>
      <c r="C587" s="7" t="n">
        <v>0.03231431699510434</v>
      </c>
      <c r="D587" s="7">
        <f>(Table4[[#This Row],[WALCL]]/1000)/19222</f>
        <v/>
      </c>
    </row>
    <row r="588">
      <c r="A588" s="10" t="n">
        <v>41640</v>
      </c>
      <c r="B588" s="9" t="n">
        <v>4023640</v>
      </c>
      <c r="C588" s="7" t="n">
        <v>-0.01126034444435642</v>
      </c>
      <c r="D588" s="7">
        <f>(Table4[[#This Row],[WALCL]]/1000)/19222</f>
        <v/>
      </c>
    </row>
    <row r="589">
      <c r="A589" s="10" t="n">
        <v>41647</v>
      </c>
      <c r="B589" s="9" t="n">
        <v>4028185</v>
      </c>
      <c r="C589" s="7" t="n">
        <v>-0.01126034444435642</v>
      </c>
      <c r="D589" s="7">
        <f>(Table4[[#This Row],[WALCL]]/1000)/19222</f>
        <v/>
      </c>
    </row>
    <row r="590">
      <c r="A590" s="10" t="n">
        <v>41654</v>
      </c>
      <c r="B590" s="9" t="n">
        <v>4071528</v>
      </c>
      <c r="C590" s="7" t="n">
        <v>-0.01126034444435642</v>
      </c>
      <c r="D590" s="7">
        <f>(Table4[[#This Row],[WALCL]]/1000)/19222</f>
        <v/>
      </c>
    </row>
    <row r="591">
      <c r="A591" s="10" t="n">
        <v>41661</v>
      </c>
      <c r="B591" s="9" t="n">
        <v>4097914</v>
      </c>
      <c r="C591" s="7" t="n">
        <v>-0.01126034444435642</v>
      </c>
      <c r="D591" s="7">
        <f>(Table4[[#This Row],[WALCL]]/1000)/19222</f>
        <v/>
      </c>
    </row>
    <row r="592">
      <c r="A592" s="10" t="n">
        <v>41668</v>
      </c>
      <c r="B592" s="9" t="n">
        <v>4102138</v>
      </c>
      <c r="C592" s="7" t="n">
        <v>-0.01126034444435642</v>
      </c>
      <c r="D592" s="7">
        <f>(Table4[[#This Row],[WALCL]]/1000)/19222</f>
        <v/>
      </c>
    </row>
    <row r="593">
      <c r="A593" s="10" t="n">
        <v>41675</v>
      </c>
      <c r="B593" s="9" t="n">
        <v>4109285</v>
      </c>
      <c r="C593" s="7" t="n">
        <v>-0.01126034444435642</v>
      </c>
      <c r="D593" s="7">
        <f>(Table4[[#This Row],[WALCL]]/1000)/19222</f>
        <v/>
      </c>
    </row>
    <row r="594">
      <c r="A594" s="10" t="n">
        <v>41682</v>
      </c>
      <c r="B594" s="9" t="n">
        <v>4119474</v>
      </c>
      <c r="C594" s="7" t="n">
        <v>-0.01126034444435642</v>
      </c>
      <c r="D594" s="7">
        <f>(Table4[[#This Row],[WALCL]]/1000)/19222</f>
        <v/>
      </c>
    </row>
    <row r="595">
      <c r="A595" s="10" t="n">
        <v>41689</v>
      </c>
      <c r="B595" s="9" t="n">
        <v>4149224</v>
      </c>
      <c r="C595" s="7" t="n">
        <v>-0.01126034444435642</v>
      </c>
      <c r="D595" s="7">
        <f>(Table4[[#This Row],[WALCL]]/1000)/19222</f>
        <v/>
      </c>
    </row>
    <row r="596">
      <c r="A596" s="10" t="n">
        <v>41696</v>
      </c>
      <c r="B596" s="9" t="n">
        <v>4159972</v>
      </c>
      <c r="C596" s="7" t="n">
        <v>-0.01126034444435642</v>
      </c>
      <c r="D596" s="7">
        <f>(Table4[[#This Row],[WALCL]]/1000)/19222</f>
        <v/>
      </c>
    </row>
    <row r="597">
      <c r="A597" s="10" t="n">
        <v>41703</v>
      </c>
      <c r="B597" s="9" t="n">
        <v>4171762</v>
      </c>
      <c r="C597" s="7" t="n">
        <v>-0.01126034444435642</v>
      </c>
      <c r="D597" s="7">
        <f>(Table4[[#This Row],[WALCL]]/1000)/19222</f>
        <v/>
      </c>
    </row>
    <row r="598">
      <c r="A598" s="10" t="n">
        <v>41710</v>
      </c>
      <c r="B598" s="9" t="n">
        <v>4181361</v>
      </c>
      <c r="C598" s="7" t="n">
        <v>-0.01126034444435642</v>
      </c>
      <c r="D598" s="7">
        <f>(Table4[[#This Row],[WALCL]]/1000)/19222</f>
        <v/>
      </c>
    </row>
    <row r="599">
      <c r="A599" s="10" t="n">
        <v>41717</v>
      </c>
      <c r="B599" s="9" t="n">
        <v>4222081</v>
      </c>
      <c r="C599" s="7" t="n">
        <v>-0.01126034444435642</v>
      </c>
      <c r="D599" s="7">
        <f>(Table4[[#This Row],[WALCL]]/1000)/19222</f>
        <v/>
      </c>
    </row>
    <row r="600">
      <c r="A600" s="10" t="n">
        <v>41724</v>
      </c>
      <c r="B600" s="9" t="n">
        <v>4226971</v>
      </c>
      <c r="C600" s="7" t="n">
        <v>-0.01126034444435642</v>
      </c>
      <c r="D600" s="7">
        <f>(Table4[[#This Row],[WALCL]]/1000)/19222</f>
        <v/>
      </c>
    </row>
    <row r="601">
      <c r="A601" s="10" t="n">
        <v>41731</v>
      </c>
      <c r="B601" s="9" t="n">
        <v>4236441</v>
      </c>
      <c r="C601" s="7" t="n">
        <v>0.05525668097740288</v>
      </c>
      <c r="D601" s="7">
        <f>(Table4[[#This Row],[WALCL]]/1000)/19222</f>
        <v/>
      </c>
    </row>
    <row r="602">
      <c r="A602" s="10" t="n">
        <v>41738</v>
      </c>
      <c r="B602" s="9" t="n">
        <v>4244188</v>
      </c>
      <c r="C602" s="7" t="n">
        <v>0.05525668097740288</v>
      </c>
      <c r="D602" s="7">
        <f>(Table4[[#This Row],[WALCL]]/1000)/19222</f>
        <v/>
      </c>
    </row>
    <row r="603">
      <c r="A603" s="10" t="n">
        <v>41745</v>
      </c>
      <c r="B603" s="9" t="n">
        <v>4283967</v>
      </c>
      <c r="C603" s="7" t="n">
        <v>0.05525668097740288</v>
      </c>
      <c r="D603" s="7">
        <f>(Table4[[#This Row],[WALCL]]/1000)/19222</f>
        <v/>
      </c>
    </row>
    <row r="604">
      <c r="A604" s="10" t="n">
        <v>41752</v>
      </c>
      <c r="B604" s="9" t="n">
        <v>4296339</v>
      </c>
      <c r="C604" s="7" t="n">
        <v>0.05525668097740288</v>
      </c>
      <c r="D604" s="7">
        <f>(Table4[[#This Row],[WALCL]]/1000)/19222</f>
        <v/>
      </c>
    </row>
    <row r="605">
      <c r="A605" s="10" t="n">
        <v>41759</v>
      </c>
      <c r="B605" s="9" t="n">
        <v>4296049</v>
      </c>
      <c r="C605" s="7" t="n">
        <v>0.05525668097740288</v>
      </c>
      <c r="D605" s="7">
        <f>(Table4[[#This Row],[WALCL]]/1000)/19222</f>
        <v/>
      </c>
    </row>
    <row r="606">
      <c r="A606" s="10" t="n">
        <v>41766</v>
      </c>
      <c r="B606" s="9" t="n">
        <v>4303143</v>
      </c>
      <c r="C606" s="7" t="n">
        <v>0.05525668097740288</v>
      </c>
      <c r="D606" s="7">
        <f>(Table4[[#This Row],[WALCL]]/1000)/19222</f>
        <v/>
      </c>
    </row>
    <row r="607">
      <c r="A607" s="10" t="n">
        <v>41773</v>
      </c>
      <c r="B607" s="9" t="n">
        <v>4336649</v>
      </c>
      <c r="C607" s="7" t="n">
        <v>0.05525668097740288</v>
      </c>
      <c r="D607" s="7">
        <f>(Table4[[#This Row],[WALCL]]/1000)/19222</f>
        <v/>
      </c>
    </row>
    <row r="608">
      <c r="A608" s="10" t="n">
        <v>41780</v>
      </c>
      <c r="B608" s="9" t="n">
        <v>4327560</v>
      </c>
      <c r="C608" s="7" t="n">
        <v>0.05525668097740288</v>
      </c>
      <c r="D608" s="7">
        <f>(Table4[[#This Row],[WALCL]]/1000)/19222</f>
        <v/>
      </c>
    </row>
    <row r="609">
      <c r="A609" s="10" t="n">
        <v>41787</v>
      </c>
      <c r="B609" s="9" t="n">
        <v>4322654</v>
      </c>
      <c r="C609" s="7" t="n">
        <v>0.05525668097740288</v>
      </c>
      <c r="D609" s="7">
        <f>(Table4[[#This Row],[WALCL]]/1000)/19222</f>
        <v/>
      </c>
    </row>
    <row r="610">
      <c r="A610" s="10" t="n">
        <v>41794</v>
      </c>
      <c r="B610" s="9" t="n">
        <v>4330917</v>
      </c>
      <c r="C610" s="7" t="n">
        <v>0.05525668097740288</v>
      </c>
      <c r="D610" s="7">
        <f>(Table4[[#This Row],[WALCL]]/1000)/19222</f>
        <v/>
      </c>
    </row>
    <row r="611">
      <c r="A611" s="10" t="n">
        <v>41801</v>
      </c>
      <c r="B611" s="9" t="n">
        <v>4340904</v>
      </c>
      <c r="C611" s="7" t="n">
        <v>0.05525668097740288</v>
      </c>
      <c r="D611" s="7">
        <f>(Table4[[#This Row],[WALCL]]/1000)/19222</f>
        <v/>
      </c>
    </row>
    <row r="612">
      <c r="A612" s="10" t="n">
        <v>41808</v>
      </c>
      <c r="B612" s="9" t="n">
        <v>4368168</v>
      </c>
      <c r="C612" s="7" t="n">
        <v>0.05525668097740288</v>
      </c>
      <c r="D612" s="7">
        <f>(Table4[[#This Row],[WALCL]]/1000)/19222</f>
        <v/>
      </c>
    </row>
    <row r="613">
      <c r="A613" s="10" t="n">
        <v>41815</v>
      </c>
      <c r="B613" s="9" t="n">
        <v>4368348</v>
      </c>
      <c r="C613" s="7" t="n">
        <v>0.05525668097740288</v>
      </c>
      <c r="D613" s="7">
        <f>(Table4[[#This Row],[WALCL]]/1000)/19222</f>
        <v/>
      </c>
    </row>
    <row r="614">
      <c r="A614" s="10" t="n">
        <v>41822</v>
      </c>
      <c r="B614" s="9" t="n">
        <v>4377031</v>
      </c>
      <c r="C614" s="7" t="n">
        <v>0.04973899769808954</v>
      </c>
      <c r="D614" s="7">
        <f>(Table4[[#This Row],[WALCL]]/1000)/19222</f>
        <v/>
      </c>
    </row>
    <row r="615">
      <c r="A615" s="10" t="n">
        <v>41829</v>
      </c>
      <c r="B615" s="9" t="n">
        <v>4383401</v>
      </c>
      <c r="C615" s="7" t="n">
        <v>0.04973899769808954</v>
      </c>
      <c r="D615" s="7">
        <f>(Table4[[#This Row],[WALCL]]/1000)/19222</f>
        <v/>
      </c>
    </row>
    <row r="616">
      <c r="A616" s="10" t="n">
        <v>41836</v>
      </c>
      <c r="B616" s="9" t="n">
        <v>4398201</v>
      </c>
      <c r="C616" s="7" t="n">
        <v>0.04973899769808954</v>
      </c>
      <c r="D616" s="7">
        <f>(Table4[[#This Row],[WALCL]]/1000)/19222</f>
        <v/>
      </c>
    </row>
    <row r="617">
      <c r="A617" s="10" t="n">
        <v>41843</v>
      </c>
      <c r="B617" s="9" t="n">
        <v>4410746</v>
      </c>
      <c r="C617" s="7" t="n">
        <v>0.04973899769808954</v>
      </c>
      <c r="D617" s="7">
        <f>(Table4[[#This Row],[WALCL]]/1000)/19222</f>
        <v/>
      </c>
    </row>
    <row r="618">
      <c r="A618" s="10" t="n">
        <v>41850</v>
      </c>
      <c r="B618" s="9" t="n">
        <v>4406637</v>
      </c>
      <c r="C618" s="7" t="n">
        <v>0.04973899769808954</v>
      </c>
      <c r="D618" s="7">
        <f>(Table4[[#This Row],[WALCL]]/1000)/19222</f>
        <v/>
      </c>
    </row>
    <row r="619">
      <c r="A619" s="10" t="n">
        <v>41857</v>
      </c>
      <c r="B619" s="9" t="n">
        <v>4410111</v>
      </c>
      <c r="C619" s="7" t="n">
        <v>0.04973899769808954</v>
      </c>
      <c r="D619" s="7">
        <f>(Table4[[#This Row],[WALCL]]/1000)/19222</f>
        <v/>
      </c>
    </row>
    <row r="620">
      <c r="A620" s="10" t="n">
        <v>41864</v>
      </c>
      <c r="B620" s="9" t="n">
        <v>4431923</v>
      </c>
      <c r="C620" s="7" t="n">
        <v>0.04973899769808954</v>
      </c>
      <c r="D620" s="7">
        <f>(Table4[[#This Row],[WALCL]]/1000)/19222</f>
        <v/>
      </c>
    </row>
    <row r="621">
      <c r="A621" s="10" t="n">
        <v>41871</v>
      </c>
      <c r="B621" s="9" t="n">
        <v>4412924</v>
      </c>
      <c r="C621" s="7" t="n">
        <v>0.04973899769808954</v>
      </c>
      <c r="D621" s="7">
        <f>(Table4[[#This Row],[WALCL]]/1000)/19222</f>
        <v/>
      </c>
    </row>
    <row r="622">
      <c r="A622" s="10" t="n">
        <v>41878</v>
      </c>
      <c r="B622" s="9" t="n">
        <v>4413736</v>
      </c>
      <c r="C622" s="7" t="n">
        <v>0.04973899769808954</v>
      </c>
      <c r="D622" s="7">
        <f>(Table4[[#This Row],[WALCL]]/1000)/19222</f>
        <v/>
      </c>
    </row>
    <row r="623">
      <c r="A623" s="10" t="n">
        <v>41885</v>
      </c>
      <c r="B623" s="9" t="n">
        <v>4415587</v>
      </c>
      <c r="C623" s="7" t="n">
        <v>0.04973899769808954</v>
      </c>
      <c r="D623" s="7">
        <f>(Table4[[#This Row],[WALCL]]/1000)/19222</f>
        <v/>
      </c>
    </row>
    <row r="624">
      <c r="A624" s="10" t="n">
        <v>41892</v>
      </c>
      <c r="B624" s="9" t="n">
        <v>4421408</v>
      </c>
      <c r="C624" s="7" t="n">
        <v>0.04973899769808954</v>
      </c>
      <c r="D624" s="7">
        <f>(Table4[[#This Row],[WALCL]]/1000)/19222</f>
        <v/>
      </c>
    </row>
    <row r="625">
      <c r="A625" s="10" t="n">
        <v>41899</v>
      </c>
      <c r="B625" s="9" t="n">
        <v>4449588</v>
      </c>
      <c r="C625" s="7" t="n">
        <v>0.04973899769808954</v>
      </c>
      <c r="D625" s="7">
        <f>(Table4[[#This Row],[WALCL]]/1000)/19222</f>
        <v/>
      </c>
    </row>
    <row r="626">
      <c r="A626" s="10" t="n">
        <v>41906</v>
      </c>
      <c r="B626" s="9" t="n">
        <v>4459050</v>
      </c>
      <c r="C626" s="7" t="n">
        <v>0.04973899769808954</v>
      </c>
      <c r="D626" s="7">
        <f>(Table4[[#This Row],[WALCL]]/1000)/19222</f>
        <v/>
      </c>
    </row>
    <row r="627">
      <c r="A627" s="10" t="n">
        <v>41913</v>
      </c>
      <c r="B627" s="9" t="n">
        <v>4450260</v>
      </c>
      <c r="C627" s="7" t="n">
        <v>0.02270250561501364</v>
      </c>
      <c r="D627" s="7">
        <f>(Table4[[#This Row],[WALCL]]/1000)/19222</f>
        <v/>
      </c>
    </row>
    <row r="628">
      <c r="A628" s="10" t="n">
        <v>41920</v>
      </c>
      <c r="B628" s="9" t="n">
        <v>4455403</v>
      </c>
      <c r="C628" s="7" t="n">
        <v>0.02270250561501364</v>
      </c>
      <c r="D628" s="7">
        <f>(Table4[[#This Row],[WALCL]]/1000)/19222</f>
        <v/>
      </c>
    </row>
    <row r="629">
      <c r="A629" s="10" t="n">
        <v>41927</v>
      </c>
      <c r="B629" s="9" t="n">
        <v>4474360</v>
      </c>
      <c r="C629" s="7" t="n">
        <v>0.02270250561501364</v>
      </c>
      <c r="D629" s="7">
        <f>(Table4[[#This Row],[WALCL]]/1000)/19222</f>
        <v/>
      </c>
    </row>
    <row r="630">
      <c r="A630" s="10" t="n">
        <v>41934</v>
      </c>
      <c r="B630" s="9" t="n">
        <v>4481616</v>
      </c>
      <c r="C630" s="7" t="n">
        <v>0.02270250561501364</v>
      </c>
      <c r="D630" s="7">
        <f>(Table4[[#This Row],[WALCL]]/1000)/19222</f>
        <v/>
      </c>
    </row>
    <row r="631">
      <c r="A631" s="10" t="n">
        <v>41941</v>
      </c>
      <c r="B631" s="9" t="n">
        <v>4486754</v>
      </c>
      <c r="C631" s="7" t="n">
        <v>0.02270250561501364</v>
      </c>
      <c r="D631" s="7">
        <f>(Table4[[#This Row],[WALCL]]/1000)/19222</f>
        <v/>
      </c>
    </row>
    <row r="632">
      <c r="A632" s="10" t="n">
        <v>41948</v>
      </c>
      <c r="B632" s="9" t="n">
        <v>4486585</v>
      </c>
      <c r="C632" s="7" t="n">
        <v>0.02270250561501364</v>
      </c>
      <c r="D632" s="7">
        <f>(Table4[[#This Row],[WALCL]]/1000)/19222</f>
        <v/>
      </c>
    </row>
    <row r="633">
      <c r="A633" s="10" t="n">
        <v>41955</v>
      </c>
      <c r="B633" s="9" t="n">
        <v>4488895</v>
      </c>
      <c r="C633" s="7" t="n">
        <v>0.02270250561501364</v>
      </c>
      <c r="D633" s="7">
        <f>(Table4[[#This Row],[WALCL]]/1000)/19222</f>
        <v/>
      </c>
    </row>
    <row r="634">
      <c r="A634" s="10" t="n">
        <v>41962</v>
      </c>
      <c r="B634" s="9" t="n">
        <v>4492759</v>
      </c>
      <c r="C634" s="7" t="n">
        <v>0.02270250561501364</v>
      </c>
      <c r="D634" s="7">
        <f>(Table4[[#This Row],[WALCL]]/1000)/19222</f>
        <v/>
      </c>
    </row>
    <row r="635">
      <c r="A635" s="10" t="n">
        <v>41969</v>
      </c>
      <c r="B635" s="9" t="n">
        <v>4485931</v>
      </c>
      <c r="C635" s="7" t="n">
        <v>0.02270250561501364</v>
      </c>
      <c r="D635" s="7">
        <f>(Table4[[#This Row],[WALCL]]/1000)/19222</f>
        <v/>
      </c>
    </row>
    <row r="636">
      <c r="A636" s="10" t="n">
        <v>41976</v>
      </c>
      <c r="B636" s="9" t="n">
        <v>4486190</v>
      </c>
      <c r="C636" s="7" t="n">
        <v>0.02270250561501364</v>
      </c>
      <c r="D636" s="7">
        <f>(Table4[[#This Row],[WALCL]]/1000)/19222</f>
        <v/>
      </c>
    </row>
    <row r="637">
      <c r="A637" s="10" t="n">
        <v>41983</v>
      </c>
      <c r="B637" s="9" t="n">
        <v>4488865</v>
      </c>
      <c r="C637" s="7" t="n">
        <v>0.02270250561501364</v>
      </c>
      <c r="D637" s="7">
        <f>(Table4[[#This Row],[WALCL]]/1000)/19222</f>
        <v/>
      </c>
    </row>
    <row r="638">
      <c r="A638" s="10" t="n">
        <v>41990</v>
      </c>
      <c r="B638" s="9" t="n">
        <v>4502247</v>
      </c>
      <c r="C638" s="7" t="n">
        <v>0.02270250561501364</v>
      </c>
      <c r="D638" s="7">
        <f>(Table4[[#This Row],[WALCL]]/1000)/19222</f>
        <v/>
      </c>
    </row>
    <row r="639">
      <c r="A639" s="10" t="n">
        <v>41997</v>
      </c>
      <c r="B639" s="9" t="n">
        <v>4509462</v>
      </c>
      <c r="C639" s="7" t="n">
        <v>0.02270250561501364</v>
      </c>
      <c r="D639" s="7">
        <f>(Table4[[#This Row],[WALCL]]/1000)/19222</f>
        <v/>
      </c>
    </row>
    <row r="640">
      <c r="A640" s="10" t="n">
        <v>42004</v>
      </c>
      <c r="B640" s="9" t="n">
        <v>4497660</v>
      </c>
      <c r="C640" s="7" t="n">
        <v>0.02270250561501364</v>
      </c>
      <c r="D640" s="7">
        <f>(Table4[[#This Row],[WALCL]]/1000)/19222</f>
        <v/>
      </c>
    </row>
    <row r="641">
      <c r="A641" s="10" t="n">
        <v>42011</v>
      </c>
      <c r="B641" s="9" t="n">
        <v>4499524</v>
      </c>
      <c r="C641" s="7" t="n">
        <v>0.03851016504229987</v>
      </c>
      <c r="D641" s="7">
        <f>(Table4[[#This Row],[WALCL]]/1000)/19222</f>
        <v/>
      </c>
    </row>
    <row r="642">
      <c r="A642" s="10" t="n">
        <v>42018</v>
      </c>
      <c r="B642" s="9" t="n">
        <v>4516077</v>
      </c>
      <c r="C642" s="7" t="n">
        <v>0.03851016504229987</v>
      </c>
      <c r="D642" s="7">
        <f>(Table4[[#This Row],[WALCL]]/1000)/19222</f>
        <v/>
      </c>
    </row>
    <row r="643">
      <c r="A643" s="10" t="n">
        <v>42025</v>
      </c>
      <c r="B643" s="9" t="n">
        <v>4512936</v>
      </c>
      <c r="C643" s="7" t="n">
        <v>0.03851016504229987</v>
      </c>
      <c r="D643" s="7">
        <f>(Table4[[#This Row],[WALCL]]/1000)/19222</f>
        <v/>
      </c>
    </row>
    <row r="644">
      <c r="A644" s="10" t="n">
        <v>42032</v>
      </c>
      <c r="B644" s="9" t="n">
        <v>4500064</v>
      </c>
      <c r="C644" s="7" t="n">
        <v>0.03851016504229987</v>
      </c>
      <c r="D644" s="7">
        <f>(Table4[[#This Row],[WALCL]]/1000)/19222</f>
        <v/>
      </c>
    </row>
    <row r="645">
      <c r="A645" s="10" t="n">
        <v>42039</v>
      </c>
      <c r="B645" s="9" t="n">
        <v>4500348</v>
      </c>
      <c r="C645" s="7" t="n">
        <v>0.03851016504229987</v>
      </c>
      <c r="D645" s="7">
        <f>(Table4[[#This Row],[WALCL]]/1000)/19222</f>
        <v/>
      </c>
    </row>
    <row r="646">
      <c r="A646" s="10" t="n">
        <v>42046</v>
      </c>
      <c r="B646" s="9" t="n">
        <v>4501685</v>
      </c>
      <c r="C646" s="7" t="n">
        <v>0.03851016504229987</v>
      </c>
      <c r="D646" s="7">
        <f>(Table4[[#This Row],[WALCL]]/1000)/19222</f>
        <v/>
      </c>
    </row>
    <row r="647">
      <c r="A647" s="10" t="n">
        <v>42053</v>
      </c>
      <c r="B647" s="9" t="n">
        <v>4496851</v>
      </c>
      <c r="C647" s="7" t="n">
        <v>0.03851016504229987</v>
      </c>
      <c r="D647" s="7">
        <f>(Table4[[#This Row],[WALCL]]/1000)/19222</f>
        <v/>
      </c>
    </row>
    <row r="648">
      <c r="A648" s="10" t="n">
        <v>42060</v>
      </c>
      <c r="B648" s="9" t="n">
        <v>4486725</v>
      </c>
      <c r="C648" s="7" t="n">
        <v>0.03851016504229987</v>
      </c>
      <c r="D648" s="7">
        <f>(Table4[[#This Row],[WALCL]]/1000)/19222</f>
        <v/>
      </c>
    </row>
    <row r="649">
      <c r="A649" s="10" t="n">
        <v>42067</v>
      </c>
      <c r="B649" s="9" t="n">
        <v>4487583</v>
      </c>
      <c r="C649" s="7" t="n">
        <v>0.03851016504229987</v>
      </c>
      <c r="D649" s="7">
        <f>(Table4[[#This Row],[WALCL]]/1000)/19222</f>
        <v/>
      </c>
    </row>
    <row r="650">
      <c r="A650" s="10" t="n">
        <v>42074</v>
      </c>
      <c r="B650" s="9" t="n">
        <v>4489279</v>
      </c>
      <c r="C650" s="7" t="n">
        <v>0.03851016504229987</v>
      </c>
      <c r="D650" s="7">
        <f>(Table4[[#This Row],[WALCL]]/1000)/19222</f>
        <v/>
      </c>
    </row>
    <row r="651">
      <c r="A651" s="10" t="n">
        <v>42081</v>
      </c>
      <c r="B651" s="9" t="n">
        <v>4495888</v>
      </c>
      <c r="C651" s="7" t="n">
        <v>0.03851016504229987</v>
      </c>
      <c r="D651" s="7">
        <f>(Table4[[#This Row],[WALCL]]/1000)/19222</f>
        <v/>
      </c>
    </row>
    <row r="652">
      <c r="A652" s="10" t="n">
        <v>42088</v>
      </c>
      <c r="B652" s="9" t="n">
        <v>4480603</v>
      </c>
      <c r="C652" s="7" t="n">
        <v>0.03851016504229987</v>
      </c>
      <c r="D652" s="7">
        <f>(Table4[[#This Row],[WALCL]]/1000)/19222</f>
        <v/>
      </c>
    </row>
    <row r="653">
      <c r="A653" s="10" t="n">
        <v>42095</v>
      </c>
      <c r="B653" s="9" t="n">
        <v>4481799</v>
      </c>
      <c r="C653" s="7" t="n">
        <v>0.02734045181406919</v>
      </c>
      <c r="D653" s="7">
        <f>(Table4[[#This Row],[WALCL]]/1000)/19222</f>
        <v/>
      </c>
    </row>
    <row r="654">
      <c r="A654" s="10" t="n">
        <v>42102</v>
      </c>
      <c r="B654" s="9" t="n">
        <v>4483419</v>
      </c>
      <c r="C654" s="7" t="n">
        <v>0.02734045181406919</v>
      </c>
      <c r="D654" s="7">
        <f>(Table4[[#This Row],[WALCL]]/1000)/19222</f>
        <v/>
      </c>
    </row>
    <row r="655">
      <c r="A655" s="10" t="n">
        <v>42109</v>
      </c>
      <c r="B655" s="9" t="n">
        <v>4485366</v>
      </c>
      <c r="C655" s="7" t="n">
        <v>0.02734045181406919</v>
      </c>
      <c r="D655" s="7">
        <f>(Table4[[#This Row],[WALCL]]/1000)/19222</f>
        <v/>
      </c>
    </row>
    <row r="656">
      <c r="A656" s="10" t="n">
        <v>42116</v>
      </c>
      <c r="B656" s="9" t="n">
        <v>4489695</v>
      </c>
      <c r="C656" s="7" t="n">
        <v>0.02734045181406919</v>
      </c>
      <c r="D656" s="7">
        <f>(Table4[[#This Row],[WALCL]]/1000)/19222</f>
        <v/>
      </c>
    </row>
    <row r="657">
      <c r="A657" s="10" t="n">
        <v>42123</v>
      </c>
      <c r="B657" s="9" t="n">
        <v>4471499</v>
      </c>
      <c r="C657" s="7" t="n">
        <v>0.02734045181406919</v>
      </c>
      <c r="D657" s="7">
        <f>(Table4[[#This Row],[WALCL]]/1000)/19222</f>
        <v/>
      </c>
    </row>
    <row r="658">
      <c r="A658" s="10" t="n">
        <v>42130</v>
      </c>
      <c r="B658" s="9" t="n">
        <v>4472703</v>
      </c>
      <c r="C658" s="7" t="n">
        <v>0.02734045181406919</v>
      </c>
      <c r="D658" s="7">
        <f>(Table4[[#This Row],[WALCL]]/1000)/19222</f>
        <v/>
      </c>
    </row>
    <row r="659">
      <c r="A659" s="10" t="n">
        <v>42137</v>
      </c>
      <c r="B659" s="9" t="n">
        <v>4501188</v>
      </c>
      <c r="C659" s="7" t="n">
        <v>0.02734045181406919</v>
      </c>
      <c r="D659" s="7">
        <f>(Table4[[#This Row],[WALCL]]/1000)/19222</f>
        <v/>
      </c>
    </row>
    <row r="660">
      <c r="A660" s="10" t="n">
        <v>42144</v>
      </c>
      <c r="B660" s="9" t="n">
        <v>4480384</v>
      </c>
      <c r="C660" s="7" t="n">
        <v>0.02734045181406919</v>
      </c>
      <c r="D660" s="7">
        <f>(Table4[[#This Row],[WALCL]]/1000)/19222</f>
        <v/>
      </c>
    </row>
    <row r="661">
      <c r="A661" s="10" t="n">
        <v>42151</v>
      </c>
      <c r="B661" s="9" t="n">
        <v>4463981</v>
      </c>
      <c r="C661" s="7" t="n">
        <v>0.02734045181406919</v>
      </c>
      <c r="D661" s="7">
        <f>(Table4[[#This Row],[WALCL]]/1000)/19222</f>
        <v/>
      </c>
    </row>
    <row r="662">
      <c r="A662" s="10" t="n">
        <v>42158</v>
      </c>
      <c r="B662" s="9" t="n">
        <v>4465360</v>
      </c>
      <c r="C662" s="7" t="n">
        <v>0.02734045181406919</v>
      </c>
      <c r="D662" s="7">
        <f>(Table4[[#This Row],[WALCL]]/1000)/19222</f>
        <v/>
      </c>
    </row>
    <row r="663">
      <c r="A663" s="10" t="n">
        <v>42165</v>
      </c>
      <c r="B663" s="9" t="n">
        <v>4468005</v>
      </c>
      <c r="C663" s="7" t="n">
        <v>0.02734045181406919</v>
      </c>
      <c r="D663" s="7">
        <f>(Table4[[#This Row],[WALCL]]/1000)/19222</f>
        <v/>
      </c>
    </row>
    <row r="664">
      <c r="A664" s="10" t="n">
        <v>42172</v>
      </c>
      <c r="B664" s="9" t="n">
        <v>4487817</v>
      </c>
      <c r="C664" s="7" t="n">
        <v>0.02734045181406919</v>
      </c>
      <c r="D664" s="7">
        <f>(Table4[[#This Row],[WALCL]]/1000)/19222</f>
        <v/>
      </c>
    </row>
    <row r="665">
      <c r="A665" s="10" t="n">
        <v>42179</v>
      </c>
      <c r="B665" s="9" t="n">
        <v>4495055</v>
      </c>
      <c r="C665" s="7" t="n">
        <v>0.02734045181406919</v>
      </c>
      <c r="D665" s="7">
        <f>(Table4[[#This Row],[WALCL]]/1000)/19222</f>
        <v/>
      </c>
    </row>
    <row r="666">
      <c r="A666" s="10" t="n">
        <v>42186</v>
      </c>
      <c r="B666" s="9" t="n">
        <v>4479130</v>
      </c>
      <c r="C666" s="7" t="n">
        <v>0.01458325544947603</v>
      </c>
      <c r="D666" s="7">
        <f>(Table4[[#This Row],[WALCL]]/1000)/19222</f>
        <v/>
      </c>
    </row>
    <row r="667">
      <c r="A667" s="10" t="n">
        <v>42193</v>
      </c>
      <c r="B667" s="9" t="n">
        <v>4481289</v>
      </c>
      <c r="C667" s="7" t="n">
        <v>0.01458325544947603</v>
      </c>
      <c r="D667" s="7">
        <f>(Table4[[#This Row],[WALCL]]/1000)/19222</f>
        <v/>
      </c>
    </row>
    <row r="668">
      <c r="A668" s="10" t="n">
        <v>42200</v>
      </c>
      <c r="B668" s="9" t="n">
        <v>4493605</v>
      </c>
      <c r="C668" s="7" t="n">
        <v>0.01458325544947603</v>
      </c>
      <c r="D668" s="7">
        <f>(Table4[[#This Row],[WALCL]]/1000)/19222</f>
        <v/>
      </c>
    </row>
    <row r="669">
      <c r="A669" s="10" t="n">
        <v>42207</v>
      </c>
      <c r="B669" s="9" t="n">
        <v>4500503</v>
      </c>
      <c r="C669" s="7" t="n">
        <v>0.01458325544947603</v>
      </c>
      <c r="D669" s="7">
        <f>(Table4[[#This Row],[WALCL]]/1000)/19222</f>
        <v/>
      </c>
    </row>
    <row r="670">
      <c r="A670" s="10" t="n">
        <v>42214</v>
      </c>
      <c r="B670" s="9" t="n">
        <v>4485480</v>
      </c>
      <c r="C670" s="7" t="n">
        <v>0.01458325544947603</v>
      </c>
      <c r="D670" s="7">
        <f>(Table4[[#This Row],[WALCL]]/1000)/19222</f>
        <v/>
      </c>
    </row>
    <row r="671">
      <c r="A671" s="10" t="n">
        <v>42221</v>
      </c>
      <c r="B671" s="9" t="n">
        <v>4486329</v>
      </c>
      <c r="C671" s="7" t="n">
        <v>0.01458325544947603</v>
      </c>
      <c r="D671" s="7">
        <f>(Table4[[#This Row],[WALCL]]/1000)/19222</f>
        <v/>
      </c>
    </row>
    <row r="672">
      <c r="A672" s="10" t="n">
        <v>42228</v>
      </c>
      <c r="B672" s="9" t="n">
        <v>4489250</v>
      </c>
      <c r="C672" s="7" t="n">
        <v>0.01458325544947603</v>
      </c>
      <c r="D672" s="7">
        <f>(Table4[[#This Row],[WALCL]]/1000)/19222</f>
        <v/>
      </c>
    </row>
    <row r="673">
      <c r="A673" s="10" t="n">
        <v>42235</v>
      </c>
      <c r="B673" s="9" t="n">
        <v>4487208</v>
      </c>
      <c r="C673" s="7" t="n">
        <v>0.01458325544947603</v>
      </c>
      <c r="D673" s="7">
        <f>(Table4[[#This Row],[WALCL]]/1000)/19222</f>
        <v/>
      </c>
    </row>
    <row r="674">
      <c r="A674" s="10" t="n">
        <v>42242</v>
      </c>
      <c r="B674" s="9" t="n">
        <v>4475105</v>
      </c>
      <c r="C674" s="7" t="n">
        <v>0.01458325544947603</v>
      </c>
      <c r="D674" s="7">
        <f>(Table4[[#This Row],[WALCL]]/1000)/19222</f>
        <v/>
      </c>
    </row>
    <row r="675">
      <c r="A675" s="10" t="n">
        <v>42249</v>
      </c>
      <c r="B675" s="9" t="n">
        <v>4475886</v>
      </c>
      <c r="C675" s="7" t="n">
        <v>0.01458325544947603</v>
      </c>
      <c r="D675" s="7">
        <f>(Table4[[#This Row],[WALCL]]/1000)/19222</f>
        <v/>
      </c>
    </row>
    <row r="676">
      <c r="A676" s="10" t="n">
        <v>42256</v>
      </c>
      <c r="B676" s="9" t="n">
        <v>4478213</v>
      </c>
      <c r="C676" s="7" t="n">
        <v>0.01458325544947603</v>
      </c>
      <c r="D676" s="7">
        <f>(Table4[[#This Row],[WALCL]]/1000)/19222</f>
        <v/>
      </c>
    </row>
    <row r="677">
      <c r="A677" s="10" t="n">
        <v>42263</v>
      </c>
      <c r="B677" s="9" t="n">
        <v>4487809</v>
      </c>
      <c r="C677" s="7" t="n">
        <v>0.01458325544947603</v>
      </c>
      <c r="D677" s="7">
        <f>(Table4[[#This Row],[WALCL]]/1000)/19222</f>
        <v/>
      </c>
    </row>
    <row r="678">
      <c r="A678" s="10" t="n">
        <v>42270</v>
      </c>
      <c r="B678" s="9" t="n">
        <v>4497484</v>
      </c>
      <c r="C678" s="7" t="n">
        <v>0.01458325544947603</v>
      </c>
      <c r="D678" s="7">
        <f>(Table4[[#This Row],[WALCL]]/1000)/19222</f>
        <v/>
      </c>
    </row>
    <row r="679">
      <c r="A679" s="10" t="n">
        <v>42277</v>
      </c>
      <c r="B679" s="9" t="n">
        <v>4484111</v>
      </c>
      <c r="C679" s="7" t="n">
        <v>0.01458325544947603</v>
      </c>
      <c r="D679" s="7">
        <f>(Table4[[#This Row],[WALCL]]/1000)/19222</f>
        <v/>
      </c>
    </row>
    <row r="680">
      <c r="A680" s="10" t="n">
        <v>42284</v>
      </c>
      <c r="B680" s="9" t="n">
        <v>4486185</v>
      </c>
      <c r="C680" s="7" t="n">
        <v>0.006429941485993185</v>
      </c>
      <c r="D680" s="7">
        <f>(Table4[[#This Row],[WALCL]]/1000)/19222</f>
        <v/>
      </c>
    </row>
    <row r="681">
      <c r="A681" s="10" t="n">
        <v>42291</v>
      </c>
      <c r="B681" s="9" t="n">
        <v>4504704</v>
      </c>
      <c r="C681" s="7" t="n">
        <v>0.006429941485993185</v>
      </c>
      <c r="D681" s="7">
        <f>(Table4[[#This Row],[WALCL]]/1000)/19222</f>
        <v/>
      </c>
    </row>
    <row r="682">
      <c r="A682" s="10" t="n">
        <v>42298</v>
      </c>
      <c r="B682" s="9" t="n">
        <v>4501372</v>
      </c>
      <c r="C682" s="7" t="n">
        <v>0.006429941485993185</v>
      </c>
      <c r="D682" s="7">
        <f>(Table4[[#This Row],[WALCL]]/1000)/19222</f>
        <v/>
      </c>
    </row>
    <row r="683">
      <c r="A683" s="10" t="n">
        <v>42305</v>
      </c>
      <c r="B683" s="9" t="n">
        <v>4489339</v>
      </c>
      <c r="C683" s="7" t="n">
        <v>0.006429941485993185</v>
      </c>
      <c r="D683" s="7">
        <f>(Table4[[#This Row],[WALCL]]/1000)/19222</f>
        <v/>
      </c>
    </row>
    <row r="684">
      <c r="A684" s="10" t="n">
        <v>42312</v>
      </c>
      <c r="B684" s="9" t="n">
        <v>4489702</v>
      </c>
      <c r="C684" s="7" t="n">
        <v>0.006429941485993185</v>
      </c>
      <c r="D684" s="7">
        <f>(Table4[[#This Row],[WALCL]]/1000)/19222</f>
        <v/>
      </c>
    </row>
    <row r="685">
      <c r="A685" s="10" t="n">
        <v>42319</v>
      </c>
      <c r="B685" s="9" t="n">
        <v>4492012</v>
      </c>
      <c r="C685" s="7" t="n">
        <v>0.006429941485993185</v>
      </c>
      <c r="D685" s="7">
        <f>(Table4[[#This Row],[WALCL]]/1000)/19222</f>
        <v/>
      </c>
    </row>
    <row r="686">
      <c r="A686" s="10" t="n">
        <v>42326</v>
      </c>
      <c r="B686" s="9" t="n">
        <v>4486721</v>
      </c>
      <c r="C686" s="7" t="n">
        <v>0.006429941485993185</v>
      </c>
      <c r="D686" s="7">
        <f>(Table4[[#This Row],[WALCL]]/1000)/19222</f>
        <v/>
      </c>
    </row>
    <row r="687">
      <c r="A687" s="10" t="n">
        <v>42333</v>
      </c>
      <c r="B687" s="9" t="n">
        <v>4477088</v>
      </c>
      <c r="C687" s="7" t="n">
        <v>0.006429941485993185</v>
      </c>
      <c r="D687" s="7">
        <f>(Table4[[#This Row],[WALCL]]/1000)/19222</f>
        <v/>
      </c>
    </row>
    <row r="688">
      <c r="A688" s="10" t="n">
        <v>42340</v>
      </c>
      <c r="B688" s="9" t="n">
        <v>4478069</v>
      </c>
      <c r="C688" s="7" t="n">
        <v>0.006429941485993185</v>
      </c>
      <c r="D688" s="7">
        <f>(Table4[[#This Row],[WALCL]]/1000)/19222</f>
        <v/>
      </c>
    </row>
    <row r="689">
      <c r="A689" s="10" t="n">
        <v>42347</v>
      </c>
      <c r="B689" s="9" t="n">
        <v>4480436</v>
      </c>
      <c r="C689" s="7" t="n">
        <v>0.006429941485993185</v>
      </c>
      <c r="D689" s="7">
        <f>(Table4[[#This Row],[WALCL]]/1000)/19222</f>
        <v/>
      </c>
    </row>
    <row r="690">
      <c r="A690" s="10" t="n">
        <v>42354</v>
      </c>
      <c r="B690" s="9" t="n">
        <v>4489593</v>
      </c>
      <c r="C690" s="7" t="n">
        <v>0.006429941485993185</v>
      </c>
      <c r="D690" s="7">
        <f>(Table4[[#This Row],[WALCL]]/1000)/19222</f>
        <v/>
      </c>
    </row>
    <row r="691">
      <c r="A691" s="10" t="n">
        <v>42361</v>
      </c>
      <c r="B691" s="9" t="n">
        <v>4496523</v>
      </c>
      <c r="C691" s="7" t="n">
        <v>0.006429941485993185</v>
      </c>
      <c r="D691" s="7">
        <f>(Table4[[#This Row],[WALCL]]/1000)/19222</f>
        <v/>
      </c>
    </row>
    <row r="692">
      <c r="A692" s="10" t="n">
        <v>42368</v>
      </c>
      <c r="B692" s="9" t="n">
        <v>4486587</v>
      </c>
      <c r="C692" s="7" t="n">
        <v>0.006429941485993185</v>
      </c>
      <c r="D692" s="7">
        <f>(Table4[[#This Row],[WALCL]]/1000)/19222</f>
        <v/>
      </c>
    </row>
    <row r="693">
      <c r="A693" s="10" t="n">
        <v>42375</v>
      </c>
      <c r="B693" s="9" t="n">
        <v>4486606</v>
      </c>
      <c r="C693" s="7" t="n">
        <v>0.02284975977106174</v>
      </c>
      <c r="D693" s="7">
        <f>(Table4[[#This Row],[WALCL]]/1000)/19222</f>
        <v/>
      </c>
    </row>
    <row r="694">
      <c r="A694" s="10" t="n">
        <v>42382</v>
      </c>
      <c r="B694" s="9" t="n">
        <v>4501695</v>
      </c>
      <c r="C694" s="7" t="n">
        <v>0.02284975977106174</v>
      </c>
      <c r="D694" s="7">
        <f>(Table4[[#This Row],[WALCL]]/1000)/19222</f>
        <v/>
      </c>
    </row>
    <row r="695">
      <c r="A695" s="10" t="n">
        <v>42389</v>
      </c>
      <c r="B695" s="9" t="n">
        <v>4488840</v>
      </c>
      <c r="C695" s="7" t="n">
        <v>0.02284975977106174</v>
      </c>
      <c r="D695" s="7">
        <f>(Table4[[#This Row],[WALCL]]/1000)/19222</f>
        <v/>
      </c>
    </row>
    <row r="696">
      <c r="A696" s="10" t="n">
        <v>42396</v>
      </c>
      <c r="B696" s="9" t="n">
        <v>4482349</v>
      </c>
      <c r="C696" s="7" t="n">
        <v>0.02284975977106174</v>
      </c>
      <c r="D696" s="7">
        <f>(Table4[[#This Row],[WALCL]]/1000)/19222</f>
        <v/>
      </c>
    </row>
    <row r="697">
      <c r="A697" s="10" t="n">
        <v>42403</v>
      </c>
      <c r="B697" s="9" t="n">
        <v>4483495</v>
      </c>
      <c r="C697" s="7" t="n">
        <v>0.02284975977106174</v>
      </c>
      <c r="D697" s="7">
        <f>(Table4[[#This Row],[WALCL]]/1000)/19222</f>
        <v/>
      </c>
    </row>
    <row r="698">
      <c r="A698" s="10" t="n">
        <v>42410</v>
      </c>
      <c r="B698" s="9" t="n">
        <v>4486278</v>
      </c>
      <c r="C698" s="7" t="n">
        <v>0.02284975977106174</v>
      </c>
      <c r="D698" s="7">
        <f>(Table4[[#This Row],[WALCL]]/1000)/19222</f>
        <v/>
      </c>
    </row>
    <row r="699">
      <c r="A699" s="10" t="n">
        <v>42417</v>
      </c>
      <c r="B699" s="9" t="n">
        <v>4483629</v>
      </c>
      <c r="C699" s="7" t="n">
        <v>0.02284975977106174</v>
      </c>
      <c r="D699" s="7">
        <f>(Table4[[#This Row],[WALCL]]/1000)/19222</f>
        <v/>
      </c>
    </row>
    <row r="700">
      <c r="A700" s="10" t="n">
        <v>42424</v>
      </c>
      <c r="B700" s="9" t="n">
        <v>4489796</v>
      </c>
      <c r="C700" s="7" t="n">
        <v>0.02284975977106174</v>
      </c>
      <c r="D700" s="7">
        <f>(Table4[[#This Row],[WALCL]]/1000)/19222</f>
        <v/>
      </c>
    </row>
    <row r="701">
      <c r="A701" s="10" t="n">
        <v>42431</v>
      </c>
      <c r="B701" s="9" t="n">
        <v>4478485</v>
      </c>
      <c r="C701" s="7" t="n">
        <v>0.02284975977106174</v>
      </c>
      <c r="D701" s="7">
        <f>(Table4[[#This Row],[WALCL]]/1000)/19222</f>
        <v/>
      </c>
    </row>
    <row r="702">
      <c r="A702" s="10" t="n">
        <v>42438</v>
      </c>
      <c r="B702" s="9" t="n">
        <v>4481083</v>
      </c>
      <c r="C702" s="7" t="n">
        <v>0.02284975977106174</v>
      </c>
      <c r="D702" s="7">
        <f>(Table4[[#This Row],[WALCL]]/1000)/19222</f>
        <v/>
      </c>
    </row>
    <row r="703">
      <c r="A703" s="10" t="n">
        <v>42445</v>
      </c>
      <c r="B703" s="9" t="n">
        <v>4486333</v>
      </c>
      <c r="C703" s="7" t="n">
        <v>0.02284975977106174</v>
      </c>
      <c r="D703" s="7">
        <f>(Table4[[#This Row],[WALCL]]/1000)/19222</f>
        <v/>
      </c>
    </row>
    <row r="704">
      <c r="A704" s="10" t="n">
        <v>42452</v>
      </c>
      <c r="B704" s="9" t="n">
        <v>4492857</v>
      </c>
      <c r="C704" s="7" t="n">
        <v>0.02284975977106174</v>
      </c>
      <c r="D704" s="7">
        <f>(Table4[[#This Row],[WALCL]]/1000)/19222</f>
        <v/>
      </c>
    </row>
    <row r="705">
      <c r="A705" s="10" t="n">
        <v>42459</v>
      </c>
      <c r="B705" s="9" t="n">
        <v>4482840</v>
      </c>
      <c r="C705" s="7" t="n">
        <v>0.02284975977106174</v>
      </c>
      <c r="D705" s="7">
        <f>(Table4[[#This Row],[WALCL]]/1000)/19222</f>
        <v/>
      </c>
    </row>
    <row r="706">
      <c r="A706" s="10" t="n">
        <v>42466</v>
      </c>
      <c r="B706" s="9" t="n">
        <v>4484069</v>
      </c>
      <c r="C706" s="7" t="n">
        <v>0.0125352307572506</v>
      </c>
      <c r="D706" s="7">
        <f>(Table4[[#This Row],[WALCL]]/1000)/19222</f>
        <v/>
      </c>
    </row>
    <row r="707">
      <c r="A707" s="10" t="n">
        <v>42473</v>
      </c>
      <c r="B707" s="9" t="n">
        <v>4499729</v>
      </c>
      <c r="C707" s="7" t="n">
        <v>0.0125352307572506</v>
      </c>
      <c r="D707" s="7">
        <f>(Table4[[#This Row],[WALCL]]/1000)/19222</f>
        <v/>
      </c>
    </row>
    <row r="708">
      <c r="A708" s="10" t="n">
        <v>42480</v>
      </c>
      <c r="B708" s="9" t="n">
        <v>4490131</v>
      </c>
      <c r="C708" s="7" t="n">
        <v>0.0125352307572506</v>
      </c>
      <c r="D708" s="7">
        <f>(Table4[[#This Row],[WALCL]]/1000)/19222</f>
        <v/>
      </c>
    </row>
    <row r="709">
      <c r="A709" s="10" t="n">
        <v>42487</v>
      </c>
      <c r="B709" s="9" t="n">
        <v>4474665</v>
      </c>
      <c r="C709" s="7" t="n">
        <v>0.0125352307572506</v>
      </c>
      <c r="D709" s="7">
        <f>(Table4[[#This Row],[WALCL]]/1000)/19222</f>
        <v/>
      </c>
    </row>
    <row r="710">
      <c r="A710" s="10" t="n">
        <v>42494</v>
      </c>
      <c r="B710" s="9" t="n">
        <v>4477270</v>
      </c>
      <c r="C710" s="7" t="n">
        <v>0.0125352307572506</v>
      </c>
      <c r="D710" s="7">
        <f>(Table4[[#This Row],[WALCL]]/1000)/19222</f>
        <v/>
      </c>
    </row>
    <row r="711">
      <c r="A711" s="10" t="n">
        <v>42501</v>
      </c>
      <c r="B711" s="9" t="n">
        <v>4478411</v>
      </c>
      <c r="C711" s="7" t="n">
        <v>0.0125352307572506</v>
      </c>
      <c r="D711" s="7">
        <f>(Table4[[#This Row],[WALCL]]/1000)/19222</f>
        <v/>
      </c>
    </row>
    <row r="712">
      <c r="A712" s="10" t="n">
        <v>42508</v>
      </c>
      <c r="B712" s="9" t="n">
        <v>4473741</v>
      </c>
      <c r="C712" s="7" t="n">
        <v>0.0125352307572506</v>
      </c>
      <c r="D712" s="7">
        <f>(Table4[[#This Row],[WALCL]]/1000)/19222</f>
        <v/>
      </c>
    </row>
    <row r="713">
      <c r="A713" s="10" t="n">
        <v>42515</v>
      </c>
      <c r="B713" s="9" t="n">
        <v>4461111</v>
      </c>
      <c r="C713" s="7" t="n">
        <v>0.0125352307572506</v>
      </c>
      <c r="D713" s="7">
        <f>(Table4[[#This Row],[WALCL]]/1000)/19222</f>
        <v/>
      </c>
    </row>
    <row r="714">
      <c r="A714" s="10" t="n">
        <v>42522</v>
      </c>
      <c r="B714" s="9" t="n">
        <v>4461393</v>
      </c>
      <c r="C714" s="7" t="n">
        <v>0.0125352307572506</v>
      </c>
      <c r="D714" s="7">
        <f>(Table4[[#This Row],[WALCL]]/1000)/19222</f>
        <v/>
      </c>
    </row>
    <row r="715">
      <c r="A715" s="10" t="n">
        <v>42529</v>
      </c>
      <c r="B715" s="9" t="n">
        <v>4463542</v>
      </c>
      <c r="C715" s="7" t="n">
        <v>0.0125352307572506</v>
      </c>
      <c r="D715" s="7">
        <f>(Table4[[#This Row],[WALCL]]/1000)/19222</f>
        <v/>
      </c>
    </row>
    <row r="716">
      <c r="A716" s="10" t="n">
        <v>42536</v>
      </c>
      <c r="B716" s="9" t="n">
        <v>4472817</v>
      </c>
      <c r="C716" s="7" t="n">
        <v>0.0125352307572506</v>
      </c>
      <c r="D716" s="7">
        <f>(Table4[[#This Row],[WALCL]]/1000)/19222</f>
        <v/>
      </c>
    </row>
    <row r="717">
      <c r="A717" s="10" t="n">
        <v>42543</v>
      </c>
      <c r="B717" s="9" t="n">
        <v>4482009</v>
      </c>
      <c r="C717" s="7" t="n">
        <v>0.0125352307572506</v>
      </c>
      <c r="D717" s="7">
        <f>(Table4[[#This Row],[WALCL]]/1000)/19222</f>
        <v/>
      </c>
    </row>
    <row r="718">
      <c r="A718" s="10" t="n">
        <v>42550</v>
      </c>
      <c r="B718" s="9" t="n">
        <v>4466482</v>
      </c>
      <c r="C718" s="7" t="n">
        <v>0.0125352307572506</v>
      </c>
      <c r="D718" s="7">
        <f>(Table4[[#This Row],[WALCL]]/1000)/19222</f>
        <v/>
      </c>
    </row>
    <row r="719">
      <c r="A719" s="10" t="n">
        <v>42557</v>
      </c>
      <c r="B719" s="9" t="n">
        <v>4470605</v>
      </c>
      <c r="C719" s="7" t="n">
        <v>0.02195430865346371</v>
      </c>
      <c r="D719" s="7">
        <f>(Table4[[#This Row],[WALCL]]/1000)/19222</f>
        <v/>
      </c>
    </row>
    <row r="720">
      <c r="A720" s="10" t="n">
        <v>42564</v>
      </c>
      <c r="B720" s="9" t="n">
        <v>4472202</v>
      </c>
      <c r="C720" s="7" t="n">
        <v>0.02195430865346371</v>
      </c>
      <c r="D720" s="7">
        <f>(Table4[[#This Row],[WALCL]]/1000)/19222</f>
        <v/>
      </c>
    </row>
    <row r="721">
      <c r="A721" s="10" t="n">
        <v>42571</v>
      </c>
      <c r="B721" s="9" t="n">
        <v>4480973</v>
      </c>
      <c r="C721" s="7" t="n">
        <v>0.02195430865346371</v>
      </c>
      <c r="D721" s="7">
        <f>(Table4[[#This Row],[WALCL]]/1000)/19222</f>
        <v/>
      </c>
    </row>
    <row r="722">
      <c r="A722" s="10" t="n">
        <v>42578</v>
      </c>
      <c r="B722" s="9" t="n">
        <v>4464498</v>
      </c>
      <c r="C722" s="7" t="n">
        <v>0.02195430865346371</v>
      </c>
      <c r="D722" s="7">
        <f>(Table4[[#This Row],[WALCL]]/1000)/19222</f>
        <v/>
      </c>
    </row>
    <row r="723">
      <c r="A723" s="10" t="n">
        <v>42585</v>
      </c>
      <c r="B723" s="9" t="n">
        <v>4466793</v>
      </c>
      <c r="C723" s="7" t="n">
        <v>0.02195430865346371</v>
      </c>
      <c r="D723" s="7">
        <f>(Table4[[#This Row],[WALCL]]/1000)/19222</f>
        <v/>
      </c>
    </row>
    <row r="724">
      <c r="A724" s="10" t="n">
        <v>42592</v>
      </c>
      <c r="B724" s="9" t="n">
        <v>4468929</v>
      </c>
      <c r="C724" s="7" t="n">
        <v>0.02195430865346371</v>
      </c>
      <c r="D724" s="7">
        <f>(Table4[[#This Row],[WALCL]]/1000)/19222</f>
        <v/>
      </c>
    </row>
    <row r="725">
      <c r="A725" s="10" t="n">
        <v>42599</v>
      </c>
      <c r="B725" s="9" t="n">
        <v>4466476</v>
      </c>
      <c r="C725" s="7" t="n">
        <v>0.02195430865346371</v>
      </c>
      <c r="D725" s="7">
        <f>(Table4[[#This Row],[WALCL]]/1000)/19222</f>
        <v/>
      </c>
    </row>
    <row r="726">
      <c r="A726" s="10" t="n">
        <v>42606</v>
      </c>
      <c r="B726" s="9" t="n">
        <v>4473840</v>
      </c>
      <c r="C726" s="7" t="n">
        <v>0.02195430865346371</v>
      </c>
      <c r="D726" s="7">
        <f>(Table4[[#This Row],[WALCL]]/1000)/19222</f>
        <v/>
      </c>
    </row>
    <row r="727">
      <c r="A727" s="10" t="n">
        <v>42613</v>
      </c>
      <c r="B727" s="9" t="n">
        <v>4457907</v>
      </c>
      <c r="C727" s="7" t="n">
        <v>0.02195430865346371</v>
      </c>
      <c r="D727" s="7">
        <f>(Table4[[#This Row],[WALCL]]/1000)/19222</f>
        <v/>
      </c>
    </row>
    <row r="728">
      <c r="A728" s="10" t="n">
        <v>42620</v>
      </c>
      <c r="B728" s="9" t="n">
        <v>4459394</v>
      </c>
      <c r="C728" s="7" t="n">
        <v>0.02195430865346371</v>
      </c>
      <c r="D728" s="7">
        <f>(Table4[[#This Row],[WALCL]]/1000)/19222</f>
        <v/>
      </c>
    </row>
    <row r="729">
      <c r="A729" s="10" t="n">
        <v>42627</v>
      </c>
      <c r="B729" s="9" t="n">
        <v>4481635</v>
      </c>
      <c r="C729" s="7" t="n">
        <v>0.02195430865346371</v>
      </c>
      <c r="D729" s="7">
        <f>(Table4[[#This Row],[WALCL]]/1000)/19222</f>
        <v/>
      </c>
    </row>
    <row r="730">
      <c r="A730" s="10" t="n">
        <v>42634</v>
      </c>
      <c r="B730" s="9" t="n">
        <v>4473032</v>
      </c>
      <c r="C730" s="7" t="n">
        <v>0.02195430865346371</v>
      </c>
      <c r="D730" s="7">
        <f>(Table4[[#This Row],[WALCL]]/1000)/19222</f>
        <v/>
      </c>
    </row>
    <row r="731">
      <c r="A731" s="10" t="n">
        <v>42641</v>
      </c>
      <c r="B731" s="9" t="n">
        <v>4452002</v>
      </c>
      <c r="C731" s="7" t="n">
        <v>0.02195430865346371</v>
      </c>
      <c r="D731" s="7">
        <f>(Table4[[#This Row],[WALCL]]/1000)/19222</f>
        <v/>
      </c>
    </row>
    <row r="732">
      <c r="A732" s="10" t="n">
        <v>42648</v>
      </c>
      <c r="B732" s="9" t="n">
        <v>4459407</v>
      </c>
      <c r="C732" s="7" t="n">
        <v>0.02541054213502791</v>
      </c>
      <c r="D732" s="7">
        <f>(Table4[[#This Row],[WALCL]]/1000)/19222</f>
        <v/>
      </c>
    </row>
    <row r="733">
      <c r="A733" s="10" t="n">
        <v>42655</v>
      </c>
      <c r="B733" s="9" t="n">
        <v>4457698</v>
      </c>
      <c r="C733" s="7" t="n">
        <v>0.02541054213502791</v>
      </c>
      <c r="D733" s="7">
        <f>(Table4[[#This Row],[WALCL]]/1000)/19222</f>
        <v/>
      </c>
    </row>
    <row r="734">
      <c r="A734" s="10" t="n">
        <v>42662</v>
      </c>
      <c r="B734" s="9" t="n">
        <v>4467382</v>
      </c>
      <c r="C734" s="7" t="n">
        <v>0.02541054213502791</v>
      </c>
      <c r="D734" s="7">
        <f>(Table4[[#This Row],[WALCL]]/1000)/19222</f>
        <v/>
      </c>
    </row>
    <row r="735">
      <c r="A735" s="10" t="n">
        <v>42669</v>
      </c>
      <c r="B735" s="9" t="n">
        <v>4454326</v>
      </c>
      <c r="C735" s="7" t="n">
        <v>0.02541054213502791</v>
      </c>
      <c r="D735" s="7">
        <f>(Table4[[#This Row],[WALCL]]/1000)/19222</f>
        <v/>
      </c>
    </row>
    <row r="736">
      <c r="A736" s="10" t="n">
        <v>42676</v>
      </c>
      <c r="B736" s="9" t="n">
        <v>4453087</v>
      </c>
      <c r="C736" s="7" t="n">
        <v>0.02541054213502791</v>
      </c>
      <c r="D736" s="7">
        <f>(Table4[[#This Row],[WALCL]]/1000)/19222</f>
        <v/>
      </c>
    </row>
    <row r="737">
      <c r="A737" s="10" t="n">
        <v>42683</v>
      </c>
      <c r="B737" s="9" t="n">
        <v>4455087</v>
      </c>
      <c r="C737" s="7" t="n">
        <v>0.02541054213502791</v>
      </c>
      <c r="D737" s="7">
        <f>(Table4[[#This Row],[WALCL]]/1000)/19222</f>
        <v/>
      </c>
    </row>
    <row r="738">
      <c r="A738" s="10" t="n">
        <v>42690</v>
      </c>
      <c r="B738" s="9" t="n">
        <v>4453633</v>
      </c>
      <c r="C738" s="7" t="n">
        <v>0.02541054213502791</v>
      </c>
      <c r="D738" s="7">
        <f>(Table4[[#This Row],[WALCL]]/1000)/19222</f>
        <v/>
      </c>
    </row>
    <row r="739">
      <c r="A739" s="10" t="n">
        <v>42697</v>
      </c>
      <c r="B739" s="9" t="n">
        <v>4465782</v>
      </c>
      <c r="C739" s="7" t="n">
        <v>0.02541054213502791</v>
      </c>
      <c r="D739" s="7">
        <f>(Table4[[#This Row],[WALCL]]/1000)/19222</f>
        <v/>
      </c>
    </row>
    <row r="740">
      <c r="A740" s="10" t="n">
        <v>42704</v>
      </c>
      <c r="B740" s="9" t="n">
        <v>4446307</v>
      </c>
      <c r="C740" s="7" t="n">
        <v>0.02541054213502791</v>
      </c>
      <c r="D740" s="7">
        <f>(Table4[[#This Row],[WALCL]]/1000)/19222</f>
        <v/>
      </c>
    </row>
    <row r="741">
      <c r="A741" s="10" t="n">
        <v>42711</v>
      </c>
      <c r="B741" s="9" t="n">
        <v>4448618</v>
      </c>
      <c r="C741" s="7" t="n">
        <v>0.02541054213502791</v>
      </c>
      <c r="D741" s="7">
        <f>(Table4[[#This Row],[WALCL]]/1000)/19222</f>
        <v/>
      </c>
    </row>
    <row r="742">
      <c r="A742" s="10" t="n">
        <v>42718</v>
      </c>
      <c r="B742" s="9" t="n">
        <v>4470973</v>
      </c>
      <c r="C742" s="7" t="n">
        <v>0.02541054213502791</v>
      </c>
      <c r="D742" s="7">
        <f>(Table4[[#This Row],[WALCL]]/1000)/19222</f>
        <v/>
      </c>
    </row>
    <row r="743">
      <c r="A743" s="10" t="n">
        <v>42725</v>
      </c>
      <c r="B743" s="9" t="n">
        <v>4469089</v>
      </c>
      <c r="C743" s="7" t="n">
        <v>0.02541054213502791</v>
      </c>
      <c r="D743" s="7">
        <f>(Table4[[#This Row],[WALCL]]/1000)/19222</f>
        <v/>
      </c>
    </row>
    <row r="744">
      <c r="A744" s="10" t="n">
        <v>42732</v>
      </c>
      <c r="B744" s="9" t="n">
        <v>4451451</v>
      </c>
      <c r="C744" s="7" t="n">
        <v>0.02541054213502791</v>
      </c>
      <c r="D744" s="7">
        <f>(Table4[[#This Row],[WALCL]]/1000)/19222</f>
        <v/>
      </c>
    </row>
    <row r="745">
      <c r="A745" s="10" t="n">
        <v>42739</v>
      </c>
      <c r="B745" s="9" t="n">
        <v>4453101</v>
      </c>
      <c r="C745" s="7" t="n">
        <v>0.02281947320879318</v>
      </c>
      <c r="D745" s="7">
        <f>(Table4[[#This Row],[WALCL]]/1000)/19222</f>
        <v/>
      </c>
    </row>
    <row r="746">
      <c r="A746" s="10" t="n">
        <v>42746</v>
      </c>
      <c r="B746" s="9" t="n">
        <v>4452509</v>
      </c>
      <c r="C746" s="7" t="n">
        <v>0.02281947320879318</v>
      </c>
      <c r="D746" s="7">
        <f>(Table4[[#This Row],[WALCL]]/1000)/19222</f>
        <v/>
      </c>
    </row>
    <row r="747">
      <c r="A747" s="10" t="n">
        <v>42753</v>
      </c>
      <c r="B747" s="9" t="n">
        <v>4460758</v>
      </c>
      <c r="C747" s="7" t="n">
        <v>0.02281947320879318</v>
      </c>
      <c r="D747" s="7">
        <f>(Table4[[#This Row],[WALCL]]/1000)/19222</f>
        <v/>
      </c>
    </row>
    <row r="748">
      <c r="A748" s="10" t="n">
        <v>42760</v>
      </c>
      <c r="B748" s="9" t="n">
        <v>4452838</v>
      </c>
      <c r="C748" s="7" t="n">
        <v>0.02281947320879318</v>
      </c>
      <c r="D748" s="7">
        <f>(Table4[[#This Row],[WALCL]]/1000)/19222</f>
        <v/>
      </c>
    </row>
    <row r="749">
      <c r="A749" s="10" t="n">
        <v>42767</v>
      </c>
      <c r="B749" s="9" t="n">
        <v>4453881</v>
      </c>
      <c r="C749" s="7" t="n">
        <v>0.02281947320879318</v>
      </c>
      <c r="D749" s="7">
        <f>(Table4[[#This Row],[WALCL]]/1000)/19222</f>
        <v/>
      </c>
    </row>
    <row r="750">
      <c r="A750" s="10" t="n">
        <v>42774</v>
      </c>
      <c r="B750" s="9" t="n">
        <v>4456236</v>
      </c>
      <c r="C750" s="7" t="n">
        <v>0.02281947320879318</v>
      </c>
      <c r="D750" s="7">
        <f>(Table4[[#This Row],[WALCL]]/1000)/19222</f>
        <v/>
      </c>
    </row>
    <row r="751">
      <c r="A751" s="10" t="n">
        <v>42781</v>
      </c>
      <c r="B751" s="9" t="n">
        <v>4454676</v>
      </c>
      <c r="C751" s="7" t="n">
        <v>0.02281947320879318</v>
      </c>
      <c r="D751" s="7">
        <f>(Table4[[#This Row],[WALCL]]/1000)/19222</f>
        <v/>
      </c>
    </row>
    <row r="752">
      <c r="A752" s="10" t="n">
        <v>42788</v>
      </c>
      <c r="B752" s="9" t="n">
        <v>4468702</v>
      </c>
      <c r="C752" s="7" t="n">
        <v>0.02281947320879318</v>
      </c>
      <c r="D752" s="7">
        <f>(Table4[[#This Row],[WALCL]]/1000)/19222</f>
        <v/>
      </c>
    </row>
    <row r="753">
      <c r="A753" s="10" t="n">
        <v>42795</v>
      </c>
      <c r="B753" s="9" t="n">
        <v>4458018</v>
      </c>
      <c r="C753" s="7" t="n">
        <v>0.02281947320879318</v>
      </c>
      <c r="D753" s="7">
        <f>(Table4[[#This Row],[WALCL]]/1000)/19222</f>
        <v/>
      </c>
    </row>
    <row r="754">
      <c r="A754" s="10" t="n">
        <v>42802</v>
      </c>
      <c r="B754" s="9" t="n">
        <v>4459840</v>
      </c>
      <c r="C754" s="7" t="n">
        <v>0.02281947320879318</v>
      </c>
      <c r="D754" s="7">
        <f>(Table4[[#This Row],[WALCL]]/1000)/19222</f>
        <v/>
      </c>
    </row>
    <row r="755">
      <c r="A755" s="10" t="n">
        <v>42809</v>
      </c>
      <c r="B755" s="9" t="n">
        <v>4469577</v>
      </c>
      <c r="C755" s="7" t="n">
        <v>0.02281947320879318</v>
      </c>
      <c r="D755" s="7">
        <f>(Table4[[#This Row],[WALCL]]/1000)/19222</f>
        <v/>
      </c>
    </row>
    <row r="756">
      <c r="A756" s="10" t="n">
        <v>42816</v>
      </c>
      <c r="B756" s="9" t="n">
        <v>4478236</v>
      </c>
      <c r="C756" s="7" t="n">
        <v>0.02281947320879318</v>
      </c>
      <c r="D756" s="7">
        <f>(Table4[[#This Row],[WALCL]]/1000)/19222</f>
        <v/>
      </c>
    </row>
    <row r="757">
      <c r="A757" s="10" t="n">
        <v>42823</v>
      </c>
      <c r="B757" s="9" t="n">
        <v>4469618</v>
      </c>
      <c r="C757" s="7" t="n">
        <v>0.02281947320879318</v>
      </c>
      <c r="D757" s="7">
        <f>(Table4[[#This Row],[WALCL]]/1000)/19222</f>
        <v/>
      </c>
    </row>
    <row r="758">
      <c r="A758" s="10" t="n">
        <v>42830</v>
      </c>
      <c r="B758" s="9" t="n">
        <v>4474634</v>
      </c>
      <c r="C758" s="7" t="n">
        <v>0.01718744046079612</v>
      </c>
      <c r="D758" s="7">
        <f>(Table4[[#This Row],[WALCL]]/1000)/19222</f>
        <v/>
      </c>
    </row>
    <row r="759">
      <c r="A759" s="10" t="n">
        <v>42837</v>
      </c>
      <c r="B759" s="9" t="n">
        <v>4484492</v>
      </c>
      <c r="C759" s="7" t="n">
        <v>0.01718744046079612</v>
      </c>
      <c r="D759" s="7">
        <f>(Table4[[#This Row],[WALCL]]/1000)/19222</f>
        <v/>
      </c>
    </row>
    <row r="760">
      <c r="A760" s="10" t="n">
        <v>42844</v>
      </c>
      <c r="B760" s="9" t="n">
        <v>4479270</v>
      </c>
      <c r="C760" s="7" t="n">
        <v>0.01718744046079612</v>
      </c>
      <c r="D760" s="7">
        <f>(Table4[[#This Row],[WALCL]]/1000)/19222</f>
        <v/>
      </c>
    </row>
    <row r="761">
      <c r="A761" s="10" t="n">
        <v>42851</v>
      </c>
      <c r="B761" s="9" t="n">
        <v>4470142</v>
      </c>
      <c r="C761" s="7" t="n">
        <v>0.01718744046079612</v>
      </c>
      <c r="D761" s="7">
        <f>(Table4[[#This Row],[WALCL]]/1000)/19222</f>
        <v/>
      </c>
    </row>
    <row r="762">
      <c r="A762" s="10" t="n">
        <v>42858</v>
      </c>
      <c r="B762" s="9" t="n">
        <v>4471246</v>
      </c>
      <c r="C762" s="7" t="n">
        <v>0.01718744046079612</v>
      </c>
      <c r="D762" s="7">
        <f>(Table4[[#This Row],[WALCL]]/1000)/19222</f>
        <v/>
      </c>
    </row>
    <row r="763">
      <c r="A763" s="10" t="n">
        <v>42865</v>
      </c>
      <c r="B763" s="9" t="n">
        <v>4473459</v>
      </c>
      <c r="C763" s="7" t="n">
        <v>0.01718744046079612</v>
      </c>
      <c r="D763" s="7">
        <f>(Table4[[#This Row],[WALCL]]/1000)/19222</f>
        <v/>
      </c>
    </row>
    <row r="764">
      <c r="A764" s="10" t="n">
        <v>42872</v>
      </c>
      <c r="B764" s="9" t="n">
        <v>4467108</v>
      </c>
      <c r="C764" s="7" t="n">
        <v>0.01718744046079612</v>
      </c>
      <c r="D764" s="7">
        <f>(Table4[[#This Row],[WALCL]]/1000)/19222</f>
        <v/>
      </c>
    </row>
    <row r="765">
      <c r="A765" s="10" t="n">
        <v>42879</v>
      </c>
      <c r="B765" s="9" t="n">
        <v>4470852</v>
      </c>
      <c r="C765" s="7" t="n">
        <v>0.01718744046079612</v>
      </c>
      <c r="D765" s="7">
        <f>(Table4[[#This Row],[WALCL]]/1000)/19222</f>
        <v/>
      </c>
    </row>
    <row r="766">
      <c r="A766" s="10" t="n">
        <v>42886</v>
      </c>
      <c r="B766" s="9" t="n">
        <v>4459914</v>
      </c>
      <c r="C766" s="7" t="n">
        <v>0.01718744046079612</v>
      </c>
      <c r="D766" s="7">
        <f>(Table4[[#This Row],[WALCL]]/1000)/19222</f>
        <v/>
      </c>
    </row>
    <row r="767">
      <c r="A767" s="10" t="n">
        <v>42893</v>
      </c>
      <c r="B767" s="9" t="n">
        <v>4462443</v>
      </c>
      <c r="C767" s="7" t="n">
        <v>0.01718744046079612</v>
      </c>
      <c r="D767" s="7">
        <f>(Table4[[#This Row],[WALCL]]/1000)/19222</f>
        <v/>
      </c>
    </row>
    <row r="768">
      <c r="A768" s="10" t="n">
        <v>42900</v>
      </c>
      <c r="B768" s="9" t="n">
        <v>4476269</v>
      </c>
      <c r="C768" s="7" t="n">
        <v>0.01718744046079612</v>
      </c>
      <c r="D768" s="7">
        <f>(Table4[[#This Row],[WALCL]]/1000)/19222</f>
        <v/>
      </c>
    </row>
    <row r="769">
      <c r="A769" s="10" t="n">
        <v>42907</v>
      </c>
      <c r="B769" s="9" t="n">
        <v>4474257</v>
      </c>
      <c r="C769" s="7" t="n">
        <v>0.01718744046079612</v>
      </c>
      <c r="D769" s="7">
        <f>(Table4[[#This Row],[WALCL]]/1000)/19222</f>
        <v/>
      </c>
    </row>
    <row r="770">
      <c r="A770" s="10" t="n">
        <v>42914</v>
      </c>
      <c r="B770" s="9" t="n">
        <v>4463347</v>
      </c>
      <c r="C770" s="7" t="n">
        <v>0.01718744046079612</v>
      </c>
      <c r="D770" s="7">
        <f>(Table4[[#This Row],[WALCL]]/1000)/19222</f>
        <v/>
      </c>
    </row>
    <row r="771">
      <c r="A771" s="10" t="n">
        <v>42921</v>
      </c>
      <c r="B771" s="9" t="n">
        <v>4467272</v>
      </c>
      <c r="C771" s="7" t="n">
        <v>0.02947361514080904</v>
      </c>
      <c r="D771" s="7">
        <f>(Table4[[#This Row],[WALCL]]/1000)/19222</f>
        <v/>
      </c>
    </row>
    <row r="772">
      <c r="A772" s="10" t="n">
        <v>42928</v>
      </c>
      <c r="B772" s="9" t="n">
        <v>4466702</v>
      </c>
      <c r="C772" s="7" t="n">
        <v>0.02947361514080904</v>
      </c>
      <c r="D772" s="7">
        <f>(Table4[[#This Row],[WALCL]]/1000)/19222</f>
        <v/>
      </c>
    </row>
    <row r="773">
      <c r="A773" s="10" t="n">
        <v>42935</v>
      </c>
      <c r="B773" s="9" t="n">
        <v>4476903</v>
      </c>
      <c r="C773" s="7" t="n">
        <v>0.02947361514080904</v>
      </c>
      <c r="D773" s="7">
        <f>(Table4[[#This Row],[WALCL]]/1000)/19222</f>
        <v/>
      </c>
    </row>
    <row r="774">
      <c r="A774" s="10" t="n">
        <v>42942</v>
      </c>
      <c r="B774" s="9" t="n">
        <v>4465284</v>
      </c>
      <c r="C774" s="7" t="n">
        <v>0.02947361514080904</v>
      </c>
      <c r="D774" s="7">
        <f>(Table4[[#This Row],[WALCL]]/1000)/19222</f>
        <v/>
      </c>
    </row>
    <row r="775">
      <c r="A775" s="10" t="n">
        <v>42949</v>
      </c>
      <c r="B775" s="9" t="n">
        <v>4466846</v>
      </c>
      <c r="C775" s="7" t="n">
        <v>0.02947361514080904</v>
      </c>
      <c r="D775" s="7">
        <f>(Table4[[#This Row],[WALCL]]/1000)/19222</f>
        <v/>
      </c>
    </row>
    <row r="776">
      <c r="A776" s="10" t="n">
        <v>42956</v>
      </c>
      <c r="B776" s="9" t="n">
        <v>4469083</v>
      </c>
      <c r="C776" s="7" t="n">
        <v>0.02947361514080904</v>
      </c>
      <c r="D776" s="7">
        <f>(Table4[[#This Row],[WALCL]]/1000)/19222</f>
        <v/>
      </c>
    </row>
    <row r="777">
      <c r="A777" s="10" t="n">
        <v>42963</v>
      </c>
      <c r="B777" s="9" t="n">
        <v>4462871</v>
      </c>
      <c r="C777" s="7" t="n">
        <v>0.02947361514080904</v>
      </c>
      <c r="D777" s="7">
        <f>(Table4[[#This Row],[WALCL]]/1000)/19222</f>
        <v/>
      </c>
    </row>
    <row r="778">
      <c r="A778" s="10" t="n">
        <v>42970</v>
      </c>
      <c r="B778" s="9" t="n">
        <v>4463837</v>
      </c>
      <c r="C778" s="7" t="n">
        <v>0.02947361514080904</v>
      </c>
      <c r="D778" s="7">
        <f>(Table4[[#This Row],[WALCL]]/1000)/19222</f>
        <v/>
      </c>
    </row>
    <row r="779">
      <c r="A779" s="10" t="n">
        <v>42977</v>
      </c>
      <c r="B779" s="9" t="n">
        <v>4452360</v>
      </c>
      <c r="C779" s="7" t="n">
        <v>0.02947361514080904</v>
      </c>
      <c r="D779" s="7">
        <f>(Table4[[#This Row],[WALCL]]/1000)/19222</f>
        <v/>
      </c>
    </row>
    <row r="780">
      <c r="A780" s="10" t="n">
        <v>42984</v>
      </c>
      <c r="B780" s="9" t="n">
        <v>4453474</v>
      </c>
      <c r="C780" s="7" t="n">
        <v>0.02947361514080904</v>
      </c>
      <c r="D780" s="7">
        <f>(Table4[[#This Row],[WALCL]]/1000)/19222</f>
        <v/>
      </c>
    </row>
    <row r="781">
      <c r="A781" s="10" t="n">
        <v>42991</v>
      </c>
      <c r="B781" s="9" t="n">
        <v>4471174</v>
      </c>
      <c r="C781" s="7" t="n">
        <v>0.02947361514080904</v>
      </c>
      <c r="D781" s="7">
        <f>(Table4[[#This Row],[WALCL]]/1000)/19222</f>
        <v/>
      </c>
    </row>
    <row r="782">
      <c r="A782" s="10" t="n">
        <v>42998</v>
      </c>
      <c r="B782" s="9" t="n">
        <v>4458576</v>
      </c>
      <c r="C782" s="7" t="n">
        <v>0.02947361514080904</v>
      </c>
      <c r="D782" s="7">
        <f>(Table4[[#This Row],[WALCL]]/1000)/19222</f>
        <v/>
      </c>
    </row>
    <row r="783">
      <c r="A783" s="10" t="n">
        <v>43005</v>
      </c>
      <c r="B783" s="9" t="n">
        <v>4455661</v>
      </c>
      <c r="C783" s="7" t="n">
        <v>0.02947361514080904</v>
      </c>
      <c r="D783" s="7">
        <f>(Table4[[#This Row],[WALCL]]/1000)/19222</f>
        <v/>
      </c>
    </row>
    <row r="784">
      <c r="A784" s="10" t="n">
        <v>43012</v>
      </c>
      <c r="B784" s="9" t="n">
        <v>4460422</v>
      </c>
      <c r="C784" s="7" t="n">
        <v>0.03877858426200409</v>
      </c>
      <c r="D784" s="7">
        <f>(Table4[[#This Row],[WALCL]]/1000)/19222</f>
        <v/>
      </c>
    </row>
    <row r="785">
      <c r="A785" s="10" t="n">
        <v>43019</v>
      </c>
      <c r="B785" s="9" t="n">
        <v>4459415</v>
      </c>
      <c r="C785" s="7" t="n">
        <v>0.03877858426200409</v>
      </c>
      <c r="D785" s="7">
        <f>(Table4[[#This Row],[WALCL]]/1000)/19222</f>
        <v/>
      </c>
    </row>
    <row r="786">
      <c r="A786" s="10" t="n">
        <v>43026</v>
      </c>
      <c r="B786" s="9" t="n">
        <v>4469723</v>
      </c>
      <c r="C786" s="7" t="n">
        <v>0.03877858426200409</v>
      </c>
      <c r="D786" s="7">
        <f>(Table4[[#This Row],[WALCL]]/1000)/19222</f>
        <v/>
      </c>
    </row>
    <row r="787">
      <c r="A787" s="10" t="n">
        <v>43033</v>
      </c>
      <c r="B787" s="9" t="n">
        <v>4461117</v>
      </c>
      <c r="C787" s="7" t="n">
        <v>0.03877858426200409</v>
      </c>
      <c r="D787" s="7">
        <f>(Table4[[#This Row],[WALCL]]/1000)/19222</f>
        <v/>
      </c>
    </row>
    <row r="788">
      <c r="A788" s="10" t="n">
        <v>43040</v>
      </c>
      <c r="B788" s="9" t="n">
        <v>4455887</v>
      </c>
      <c r="C788" s="7" t="n">
        <v>0.03877858426200409</v>
      </c>
      <c r="D788" s="7">
        <f>(Table4[[#This Row],[WALCL]]/1000)/19222</f>
        <v/>
      </c>
    </row>
    <row r="789">
      <c r="A789" s="10" t="n">
        <v>43047</v>
      </c>
      <c r="B789" s="9" t="n">
        <v>4458552</v>
      </c>
      <c r="C789" s="7" t="n">
        <v>0.03877858426200409</v>
      </c>
      <c r="D789" s="7">
        <f>(Table4[[#This Row],[WALCL]]/1000)/19222</f>
        <v/>
      </c>
    </row>
    <row r="790">
      <c r="A790" s="10" t="n">
        <v>43054</v>
      </c>
      <c r="B790" s="9" t="n">
        <v>4448289</v>
      </c>
      <c r="C790" s="7" t="n">
        <v>0.03877858426200409</v>
      </c>
      <c r="D790" s="7">
        <f>(Table4[[#This Row],[WALCL]]/1000)/19222</f>
        <v/>
      </c>
    </row>
    <row r="791">
      <c r="A791" s="10" t="n">
        <v>43061</v>
      </c>
      <c r="B791" s="9" t="n">
        <v>4450615</v>
      </c>
      <c r="C791" s="7" t="n">
        <v>0.03877858426200409</v>
      </c>
      <c r="D791" s="7">
        <f>(Table4[[#This Row],[WALCL]]/1000)/19222</f>
        <v/>
      </c>
    </row>
    <row r="792">
      <c r="A792" s="10" t="n">
        <v>43068</v>
      </c>
      <c r="B792" s="9" t="n">
        <v>4438592</v>
      </c>
      <c r="C792" s="7" t="n">
        <v>0.03877858426200409</v>
      </c>
      <c r="D792" s="7">
        <f>(Table4[[#This Row],[WALCL]]/1000)/19222</f>
        <v/>
      </c>
    </row>
    <row r="793">
      <c r="A793" s="10" t="n">
        <v>43075</v>
      </c>
      <c r="B793" s="9" t="n">
        <v>4437148</v>
      </c>
      <c r="C793" s="7" t="n">
        <v>0.03877858426200409</v>
      </c>
      <c r="D793" s="7">
        <f>(Table4[[#This Row],[WALCL]]/1000)/19222</f>
        <v/>
      </c>
    </row>
    <row r="794">
      <c r="A794" s="10" t="n">
        <v>43082</v>
      </c>
      <c r="B794" s="9" t="n">
        <v>4452726</v>
      </c>
      <c r="C794" s="7" t="n">
        <v>0.03877858426200409</v>
      </c>
      <c r="D794" s="7">
        <f>(Table4[[#This Row],[WALCL]]/1000)/19222</f>
        <v/>
      </c>
    </row>
    <row r="795">
      <c r="A795" s="10" t="n">
        <v>43089</v>
      </c>
      <c r="B795" s="9" t="n">
        <v>4447470</v>
      </c>
      <c r="C795" s="7" t="n">
        <v>0.03877858426200409</v>
      </c>
      <c r="D795" s="7">
        <f>(Table4[[#This Row],[WALCL]]/1000)/19222</f>
        <v/>
      </c>
    </row>
    <row r="796">
      <c r="A796" s="10" t="n">
        <v>43096</v>
      </c>
      <c r="B796" s="9" t="n">
        <v>4448680</v>
      </c>
      <c r="C796" s="7" t="n">
        <v>0.03877858426200409</v>
      </c>
      <c r="D796" s="7">
        <f>(Table4[[#This Row],[WALCL]]/1000)/19222</f>
        <v/>
      </c>
    </row>
    <row r="797">
      <c r="A797" s="10" t="n">
        <v>43103</v>
      </c>
      <c r="B797" s="9" t="n">
        <v>4443718</v>
      </c>
      <c r="C797" s="7" t="n">
        <v>0.03779122404432211</v>
      </c>
      <c r="D797" s="7">
        <f>(Table4[[#This Row],[WALCL]]/1000)/19222</f>
        <v/>
      </c>
    </row>
    <row r="798">
      <c r="A798" s="10" t="n">
        <v>43110</v>
      </c>
      <c r="B798" s="9" t="n">
        <v>4446062</v>
      </c>
      <c r="C798" s="7" t="n">
        <v>0.03779122404432211</v>
      </c>
      <c r="D798" s="7">
        <f>(Table4[[#This Row],[WALCL]]/1000)/19222</f>
        <v/>
      </c>
    </row>
    <row r="799">
      <c r="A799" s="10" t="n">
        <v>43117</v>
      </c>
      <c r="B799" s="9" t="n">
        <v>4439145</v>
      </c>
      <c r="C799" s="7" t="n">
        <v>0.03779122404432211</v>
      </c>
      <c r="D799" s="7">
        <f>(Table4[[#This Row],[WALCL]]/1000)/19222</f>
        <v/>
      </c>
    </row>
    <row r="800">
      <c r="A800" s="10" t="n">
        <v>43124</v>
      </c>
      <c r="B800" s="9" t="n">
        <v>4441317</v>
      </c>
      <c r="C800" s="7" t="n">
        <v>0.03779122404432211</v>
      </c>
      <c r="D800" s="7">
        <f>(Table4[[#This Row],[WALCL]]/1000)/19222</f>
        <v/>
      </c>
    </row>
    <row r="801">
      <c r="A801" s="10" t="n">
        <v>43131</v>
      </c>
      <c r="B801" s="9" t="n">
        <v>4419225</v>
      </c>
      <c r="C801" s="7" t="n">
        <v>0.03779122404432211</v>
      </c>
      <c r="D801" s="7">
        <f>(Table4[[#This Row],[WALCL]]/1000)/19222</f>
        <v/>
      </c>
    </row>
    <row r="802">
      <c r="A802" s="10" t="n">
        <v>43138</v>
      </c>
      <c r="B802" s="9" t="n">
        <v>4420745</v>
      </c>
      <c r="C802" s="7" t="n">
        <v>0.03779122404432211</v>
      </c>
      <c r="D802" s="7">
        <f>(Table4[[#This Row],[WALCL]]/1000)/19222</f>
        <v/>
      </c>
    </row>
    <row r="803">
      <c r="A803" s="10" t="n">
        <v>43145</v>
      </c>
      <c r="B803" s="9" t="n">
        <v>4434863</v>
      </c>
      <c r="C803" s="7" t="n">
        <v>0.03779122404432211</v>
      </c>
      <c r="D803" s="7">
        <f>(Table4[[#This Row],[WALCL]]/1000)/19222</f>
        <v/>
      </c>
    </row>
    <row r="804">
      <c r="A804" s="10" t="n">
        <v>43152</v>
      </c>
      <c r="B804" s="9" t="n">
        <v>4411660</v>
      </c>
      <c r="C804" s="7" t="n">
        <v>0.03779122404432211</v>
      </c>
      <c r="D804" s="7">
        <f>(Table4[[#This Row],[WALCL]]/1000)/19222</f>
        <v/>
      </c>
    </row>
    <row r="805">
      <c r="A805" s="10" t="n">
        <v>43159</v>
      </c>
      <c r="B805" s="9" t="n">
        <v>4393401</v>
      </c>
      <c r="C805" s="7" t="n">
        <v>0.03779122404432211</v>
      </c>
      <c r="D805" s="7">
        <f>(Table4[[#This Row],[WALCL]]/1000)/19222</f>
        <v/>
      </c>
    </row>
    <row r="806">
      <c r="A806" s="10" t="n">
        <v>43166</v>
      </c>
      <c r="B806" s="9" t="n">
        <v>4396097</v>
      </c>
      <c r="C806" s="7" t="n">
        <v>0.03779122404432211</v>
      </c>
      <c r="D806" s="7">
        <f>(Table4[[#This Row],[WALCL]]/1000)/19222</f>
        <v/>
      </c>
    </row>
    <row r="807">
      <c r="A807" s="10" t="n">
        <v>43173</v>
      </c>
      <c r="B807" s="9" t="n">
        <v>4407258</v>
      </c>
      <c r="C807" s="7" t="n">
        <v>0.03779122404432211</v>
      </c>
      <c r="D807" s="7">
        <f>(Table4[[#This Row],[WALCL]]/1000)/19222</f>
        <v/>
      </c>
    </row>
    <row r="808">
      <c r="A808" s="10" t="n">
        <v>43180</v>
      </c>
      <c r="B808" s="9" t="n">
        <v>4401222</v>
      </c>
      <c r="C808" s="7" t="n">
        <v>0.03779122404432211</v>
      </c>
      <c r="D808" s="7">
        <f>(Table4[[#This Row],[WALCL]]/1000)/19222</f>
        <v/>
      </c>
    </row>
    <row r="809">
      <c r="A809" s="10" t="n">
        <v>43187</v>
      </c>
      <c r="B809" s="9" t="n">
        <v>4392198</v>
      </c>
      <c r="C809" s="7" t="n">
        <v>0.03779122404432211</v>
      </c>
      <c r="D809" s="7">
        <f>(Table4[[#This Row],[WALCL]]/1000)/19222</f>
        <v/>
      </c>
    </row>
    <row r="810">
      <c r="A810" s="10" t="n">
        <v>43194</v>
      </c>
      <c r="B810" s="9" t="n">
        <v>4386104</v>
      </c>
      <c r="C810" s="7" t="n">
        <v>0.0270145561848758</v>
      </c>
      <c r="D810" s="7">
        <f>(Table4[[#This Row],[WALCL]]/1000)/19222</f>
        <v/>
      </c>
    </row>
    <row r="811">
      <c r="A811" s="10" t="n">
        <v>43201</v>
      </c>
      <c r="B811" s="9" t="n">
        <v>4383684</v>
      </c>
      <c r="C811" s="7" t="n">
        <v>0.0270145561848758</v>
      </c>
      <c r="D811" s="7">
        <f>(Table4[[#This Row],[WALCL]]/1000)/19222</f>
        <v/>
      </c>
    </row>
    <row r="812">
      <c r="A812" s="10" t="n">
        <v>43208</v>
      </c>
      <c r="B812" s="9" t="n">
        <v>4385903</v>
      </c>
      <c r="C812" s="7" t="n">
        <v>0.0270145561848758</v>
      </c>
      <c r="D812" s="7">
        <f>(Table4[[#This Row],[WALCL]]/1000)/19222</f>
        <v/>
      </c>
    </row>
    <row r="813">
      <c r="A813" s="10" t="n">
        <v>43215</v>
      </c>
      <c r="B813" s="9" t="n">
        <v>4372886</v>
      </c>
      <c r="C813" s="7" t="n">
        <v>0.0270145561848758</v>
      </c>
      <c r="D813" s="7">
        <f>(Table4[[#This Row],[WALCL]]/1000)/19222</f>
        <v/>
      </c>
    </row>
    <row r="814">
      <c r="A814" s="10" t="n">
        <v>43222</v>
      </c>
      <c r="B814" s="9" t="n">
        <v>4356129</v>
      </c>
      <c r="C814" s="7" t="n">
        <v>0.0270145561848758</v>
      </c>
      <c r="D814" s="7">
        <f>(Table4[[#This Row],[WALCL]]/1000)/19222</f>
        <v/>
      </c>
    </row>
    <row r="815">
      <c r="A815" s="10" t="n">
        <v>43229</v>
      </c>
      <c r="B815" s="9" t="n">
        <v>4358207</v>
      </c>
      <c r="C815" s="7" t="n">
        <v>0.0270145561848758</v>
      </c>
      <c r="D815" s="7">
        <f>(Table4[[#This Row],[WALCL]]/1000)/19222</f>
        <v/>
      </c>
    </row>
    <row r="816">
      <c r="A816" s="10" t="n">
        <v>43236</v>
      </c>
      <c r="B816" s="9" t="n">
        <v>4337609</v>
      </c>
      <c r="C816" s="7" t="n">
        <v>0.0270145561848758</v>
      </c>
      <c r="D816" s="7">
        <f>(Table4[[#This Row],[WALCL]]/1000)/19222</f>
        <v/>
      </c>
    </row>
    <row r="817">
      <c r="A817" s="10" t="n">
        <v>43243</v>
      </c>
      <c r="B817" s="9" t="n">
        <v>4337301</v>
      </c>
      <c r="C817" s="7" t="n">
        <v>0.0270145561848758</v>
      </c>
      <c r="D817" s="7">
        <f>(Table4[[#This Row],[WALCL]]/1000)/19222</f>
        <v/>
      </c>
    </row>
    <row r="818">
      <c r="A818" s="10" t="n">
        <v>43250</v>
      </c>
      <c r="B818" s="9" t="n">
        <v>4327519</v>
      </c>
      <c r="C818" s="7" t="n">
        <v>0.0270145561848758</v>
      </c>
      <c r="D818" s="7">
        <f>(Table4[[#This Row],[WALCL]]/1000)/19222</f>
        <v/>
      </c>
    </row>
    <row r="819">
      <c r="A819" s="10" t="n">
        <v>43257</v>
      </c>
      <c r="B819" s="9" t="n">
        <v>4319191</v>
      </c>
      <c r="C819" s="7" t="n">
        <v>0.0270145561848758</v>
      </c>
      <c r="D819" s="7">
        <f>(Table4[[#This Row],[WALCL]]/1000)/19222</f>
        <v/>
      </c>
    </row>
    <row r="820">
      <c r="A820" s="10" t="n">
        <v>43264</v>
      </c>
      <c r="B820" s="9" t="n">
        <v>4324906</v>
      </c>
      <c r="C820" s="7" t="n">
        <v>0.0270145561848758</v>
      </c>
      <c r="D820" s="7">
        <f>(Table4[[#This Row],[WALCL]]/1000)/19222</f>
        <v/>
      </c>
    </row>
    <row r="821">
      <c r="A821" s="10" t="n">
        <v>43271</v>
      </c>
      <c r="B821" s="9" t="n">
        <v>4315896</v>
      </c>
      <c r="C821" s="7" t="n">
        <v>0.0270145561848758</v>
      </c>
      <c r="D821" s="7">
        <f>(Table4[[#This Row],[WALCL]]/1000)/19222</f>
        <v/>
      </c>
    </row>
    <row r="822">
      <c r="A822" s="10" t="n">
        <v>43278</v>
      </c>
      <c r="B822" s="9" t="n">
        <v>4305491</v>
      </c>
      <c r="C822" s="7" t="n">
        <v>0.0270145561848758</v>
      </c>
      <c r="D822" s="7">
        <f>(Table4[[#This Row],[WALCL]]/1000)/19222</f>
        <v/>
      </c>
    </row>
    <row r="823">
      <c r="A823" s="10" t="n">
        <v>43285</v>
      </c>
      <c r="B823" s="9" t="n">
        <v>4289764</v>
      </c>
      <c r="C823" s="7" t="n">
        <v>0.02117390274959496</v>
      </c>
      <c r="D823" s="7">
        <f>(Table4[[#This Row],[WALCL]]/1000)/19222</f>
        <v/>
      </c>
    </row>
    <row r="824">
      <c r="A824" s="10" t="n">
        <v>43292</v>
      </c>
      <c r="B824" s="9" t="n">
        <v>4291201</v>
      </c>
      <c r="C824" s="7" t="n">
        <v>0.02117390274959496</v>
      </c>
      <c r="D824" s="7">
        <f>(Table4[[#This Row],[WALCL]]/1000)/19222</f>
        <v/>
      </c>
    </row>
    <row r="825">
      <c r="A825" s="10" t="n">
        <v>43299</v>
      </c>
      <c r="B825" s="9" t="n">
        <v>4291615</v>
      </c>
      <c r="C825" s="7" t="n">
        <v>0.02117390274959496</v>
      </c>
      <c r="D825" s="7">
        <f>(Table4[[#This Row],[WALCL]]/1000)/19222</f>
        <v/>
      </c>
    </row>
    <row r="826">
      <c r="A826" s="10" t="n">
        <v>43306</v>
      </c>
      <c r="B826" s="9" t="n">
        <v>4277681</v>
      </c>
      <c r="C826" s="7" t="n">
        <v>0.02117390274959496</v>
      </c>
      <c r="D826" s="7">
        <f>(Table4[[#This Row],[WALCL]]/1000)/19222</f>
        <v/>
      </c>
    </row>
    <row r="827">
      <c r="A827" s="10" t="n">
        <v>43313</v>
      </c>
      <c r="B827" s="9" t="n">
        <v>4255653</v>
      </c>
      <c r="C827" s="7" t="n">
        <v>0.02117390274959496</v>
      </c>
      <c r="D827" s="7">
        <f>(Table4[[#This Row],[WALCL]]/1000)/19222</f>
        <v/>
      </c>
    </row>
    <row r="828">
      <c r="A828" s="10" t="n">
        <v>43320</v>
      </c>
      <c r="B828" s="9" t="n">
        <v>4258030</v>
      </c>
      <c r="C828" s="7" t="n">
        <v>0.02117390274959496</v>
      </c>
      <c r="D828" s="7">
        <f>(Table4[[#This Row],[WALCL]]/1000)/19222</f>
        <v/>
      </c>
    </row>
    <row r="829">
      <c r="A829" s="10" t="n">
        <v>43327</v>
      </c>
      <c r="B829" s="9" t="n">
        <v>4228924</v>
      </c>
      <c r="C829" s="7" t="n">
        <v>0.02117390274959496</v>
      </c>
      <c r="D829" s="7">
        <f>(Table4[[#This Row],[WALCL]]/1000)/19222</f>
        <v/>
      </c>
    </row>
    <row r="830">
      <c r="A830" s="10" t="n">
        <v>43334</v>
      </c>
      <c r="B830" s="9" t="n">
        <v>4228818</v>
      </c>
      <c r="C830" s="7" t="n">
        <v>0.02117390274959496</v>
      </c>
      <c r="D830" s="7">
        <f>(Table4[[#This Row],[WALCL]]/1000)/19222</f>
        <v/>
      </c>
    </row>
    <row r="831">
      <c r="A831" s="10" t="n">
        <v>43341</v>
      </c>
      <c r="B831" s="9" t="n">
        <v>4218914</v>
      </c>
      <c r="C831" s="7" t="n">
        <v>0.02117390274959496</v>
      </c>
      <c r="D831" s="7">
        <f>(Table4[[#This Row],[WALCL]]/1000)/19222</f>
        <v/>
      </c>
    </row>
    <row r="832">
      <c r="A832" s="10" t="n">
        <v>43348</v>
      </c>
      <c r="B832" s="9" t="n">
        <v>4208496</v>
      </c>
      <c r="C832" s="7" t="n">
        <v>0.02117390274959496</v>
      </c>
      <c r="D832" s="7">
        <f>(Table4[[#This Row],[WALCL]]/1000)/19222</f>
        <v/>
      </c>
    </row>
    <row r="833">
      <c r="A833" s="10" t="n">
        <v>43355</v>
      </c>
      <c r="B833" s="9" t="n">
        <v>4210812</v>
      </c>
      <c r="C833" s="7" t="n">
        <v>0.02117390274959496</v>
      </c>
      <c r="D833" s="7">
        <f>(Table4[[#This Row],[WALCL]]/1000)/19222</f>
        <v/>
      </c>
    </row>
    <row r="834">
      <c r="A834" s="10" t="n">
        <v>43362</v>
      </c>
      <c r="B834" s="9" t="n">
        <v>4208059</v>
      </c>
      <c r="C834" s="7" t="n">
        <v>0.02117390274959496</v>
      </c>
      <c r="D834" s="7">
        <f>(Table4[[#This Row],[WALCL]]/1000)/19222</f>
        <v/>
      </c>
    </row>
    <row r="835">
      <c r="A835" s="10" t="n">
        <v>43369</v>
      </c>
      <c r="B835" s="9" t="n">
        <v>4192909</v>
      </c>
      <c r="C835" s="7" t="n">
        <v>0.02117390274959496</v>
      </c>
      <c r="D835" s="7">
        <f>(Table4[[#This Row],[WALCL]]/1000)/19222</f>
        <v/>
      </c>
    </row>
    <row r="836">
      <c r="A836" s="10" t="n">
        <v>43376</v>
      </c>
      <c r="B836" s="9" t="n">
        <v>4174704</v>
      </c>
      <c r="C836" s="7" t="n">
        <v>0.01319767583822506</v>
      </c>
      <c r="D836" s="7">
        <f>(Table4[[#This Row],[WALCL]]/1000)/19222</f>
        <v/>
      </c>
    </row>
    <row r="837">
      <c r="A837" s="10" t="n">
        <v>43383</v>
      </c>
      <c r="B837" s="9" t="n">
        <v>4176906</v>
      </c>
      <c r="C837" s="7" t="n">
        <v>0.01319767583822506</v>
      </c>
      <c r="D837" s="7">
        <f>(Table4[[#This Row],[WALCL]]/1000)/19222</f>
        <v/>
      </c>
    </row>
    <row r="838">
      <c r="A838" s="10" t="n">
        <v>43390</v>
      </c>
      <c r="B838" s="9" t="n">
        <v>4175446</v>
      </c>
      <c r="C838" s="7" t="n">
        <v>0.01319767583822506</v>
      </c>
      <c r="D838" s="7">
        <f>(Table4[[#This Row],[WALCL]]/1000)/19222</f>
        <v/>
      </c>
    </row>
    <row r="839">
      <c r="A839" s="10" t="n">
        <v>43397</v>
      </c>
      <c r="B839" s="9" t="n">
        <v>4173070</v>
      </c>
      <c r="C839" s="7" t="n">
        <v>0.01319767583822506</v>
      </c>
      <c r="D839" s="7">
        <f>(Table4[[#This Row],[WALCL]]/1000)/19222</f>
        <v/>
      </c>
    </row>
    <row r="840">
      <c r="A840" s="10" t="n">
        <v>43404</v>
      </c>
      <c r="B840" s="9" t="n">
        <v>4139731</v>
      </c>
      <c r="C840" s="7" t="n">
        <v>0.01319767583822506</v>
      </c>
      <c r="D840" s="7">
        <f>(Table4[[#This Row],[WALCL]]/1000)/19222</f>
        <v/>
      </c>
    </row>
    <row r="841">
      <c r="A841" s="10" t="n">
        <v>43411</v>
      </c>
      <c r="B841" s="9" t="n">
        <v>4141936</v>
      </c>
      <c r="C841" s="7" t="n">
        <v>0.01319767583822506</v>
      </c>
      <c r="D841" s="7">
        <f>(Table4[[#This Row],[WALCL]]/1000)/19222</f>
        <v/>
      </c>
    </row>
    <row r="842">
      <c r="A842" s="10" t="n">
        <v>43418</v>
      </c>
      <c r="B842" s="9" t="n">
        <v>4145892</v>
      </c>
      <c r="C842" s="7" t="n">
        <v>0.01319767583822506</v>
      </c>
      <c r="D842" s="7">
        <f>(Table4[[#This Row],[WALCL]]/1000)/19222</f>
        <v/>
      </c>
    </row>
    <row r="843">
      <c r="A843" s="10" t="n">
        <v>43425</v>
      </c>
      <c r="B843" s="9" t="n">
        <v>4106198</v>
      </c>
      <c r="C843" s="7" t="n">
        <v>0.01319767583822506</v>
      </c>
      <c r="D843" s="7">
        <f>(Table4[[#This Row],[WALCL]]/1000)/19222</f>
        <v/>
      </c>
    </row>
    <row r="844">
      <c r="A844" s="10" t="n">
        <v>43432</v>
      </c>
      <c r="B844" s="9" t="n">
        <v>4097170</v>
      </c>
      <c r="C844" s="7" t="n">
        <v>0.01319767583822506</v>
      </c>
      <c r="D844" s="7">
        <f>(Table4[[#This Row],[WALCL]]/1000)/19222</f>
        <v/>
      </c>
    </row>
    <row r="845">
      <c r="A845" s="10" t="n">
        <v>43439</v>
      </c>
      <c r="B845" s="9" t="n">
        <v>4086044</v>
      </c>
      <c r="C845" s="7" t="n">
        <v>0.01319767583822506</v>
      </c>
      <c r="D845" s="7">
        <f>(Table4[[#This Row],[WALCL]]/1000)/19222</f>
        <v/>
      </c>
    </row>
    <row r="846">
      <c r="A846" s="10" t="n">
        <v>43446</v>
      </c>
      <c r="B846" s="9" t="n">
        <v>4088314</v>
      </c>
      <c r="C846" s="7" t="n">
        <v>0.01319767583822506</v>
      </c>
      <c r="D846" s="7">
        <f>(Table4[[#This Row],[WALCL]]/1000)/19222</f>
        <v/>
      </c>
    </row>
    <row r="847">
      <c r="A847" s="10" t="n">
        <v>43453</v>
      </c>
      <c r="B847" s="9" t="n">
        <v>4084274</v>
      </c>
      <c r="C847" s="7" t="n">
        <v>0.01319767583822506</v>
      </c>
      <c r="D847" s="7">
        <f>(Table4[[#This Row],[WALCL]]/1000)/19222</f>
        <v/>
      </c>
    </row>
    <row r="848">
      <c r="A848" s="10" t="n">
        <v>43460</v>
      </c>
      <c r="B848" s="9" t="n">
        <v>4075636</v>
      </c>
      <c r="C848" s="7" t="n">
        <v>0.01319767583822506</v>
      </c>
      <c r="D848" s="7">
        <f>(Table4[[#This Row],[WALCL]]/1000)/19222</f>
        <v/>
      </c>
    </row>
    <row r="849">
      <c r="A849" s="10" t="n">
        <v>43467</v>
      </c>
      <c r="B849" s="9" t="n">
        <v>4058378</v>
      </c>
      <c r="C849" s="7" t="n">
        <v>0.02932191186614697</v>
      </c>
      <c r="D849" s="7">
        <f>(Table4[[#This Row],[WALCL]]/1000)/19222</f>
        <v/>
      </c>
      <c r="E849" s="13" t="n"/>
    </row>
    <row r="850">
      <c r="A850" s="10" t="n">
        <v>43474</v>
      </c>
      <c r="B850" s="9" t="n">
        <v>4056563</v>
      </c>
      <c r="C850" s="7" t="n">
        <v>0.02932191186614697</v>
      </c>
      <c r="D850" s="7">
        <f>(Table4[[#This Row],[WALCL]]/1000)/19222</f>
        <v/>
      </c>
    </row>
    <row r="851">
      <c r="A851" s="10" t="n">
        <v>43481</v>
      </c>
      <c r="B851" s="9" t="n">
        <v>4050044</v>
      </c>
      <c r="C851" s="7" t="n">
        <v>0.02932191186614697</v>
      </c>
      <c r="D851" s="7">
        <f>(Table4[[#This Row],[WALCL]]/1000)/19222</f>
        <v/>
      </c>
    </row>
    <row r="852">
      <c r="A852" s="10" t="n">
        <v>43488</v>
      </c>
      <c r="B852" s="9" t="n">
        <v>4047052</v>
      </c>
      <c r="C852" s="7" t="n">
        <v>0.02932191186614697</v>
      </c>
      <c r="D852" s="7">
        <f>(Table4[[#This Row],[WALCL]]/1000)/19222</f>
        <v/>
      </c>
    </row>
    <row r="853">
      <c r="A853" s="10" t="n">
        <v>43495</v>
      </c>
      <c r="B853" s="9" t="n">
        <v>4039678</v>
      </c>
      <c r="C853" s="7" t="n">
        <v>0.02932191186614697</v>
      </c>
      <c r="D853" s="7">
        <f>(Table4[[#This Row],[WALCL]]/1000)/19222</f>
        <v/>
      </c>
    </row>
    <row r="854">
      <c r="A854" s="10" t="n">
        <v>43502</v>
      </c>
      <c r="B854" s="9" t="n">
        <v>4026350</v>
      </c>
      <c r="C854" s="7" t="n">
        <v>0.02932191186614697</v>
      </c>
      <c r="D854" s="7">
        <f>(Table4[[#This Row],[WALCL]]/1000)/19222</f>
        <v/>
      </c>
    </row>
    <row r="855">
      <c r="A855" s="10" t="n">
        <v>43509</v>
      </c>
      <c r="B855" s="9" t="n">
        <v>4028431</v>
      </c>
      <c r="C855" s="7" t="n">
        <v>0.02932191186614697</v>
      </c>
      <c r="D855" s="7">
        <f>(Table4[[#This Row],[WALCL]]/1000)/19222</f>
        <v/>
      </c>
    </row>
    <row r="856">
      <c r="A856" s="10" t="n">
        <v>43516</v>
      </c>
      <c r="B856" s="9" t="n">
        <v>3981420</v>
      </c>
      <c r="C856" s="7" t="n">
        <v>0.02932191186614697</v>
      </c>
      <c r="D856" s="7">
        <f>(Table4[[#This Row],[WALCL]]/1000)/19222</f>
        <v/>
      </c>
    </row>
    <row r="857">
      <c r="A857" s="10" t="n">
        <v>43523</v>
      </c>
      <c r="B857" s="9" t="n">
        <v>3974590</v>
      </c>
      <c r="C857" s="7" t="n">
        <v>0.02932191186614697</v>
      </c>
      <c r="D857" s="7">
        <f>(Table4[[#This Row],[WALCL]]/1000)/19222</f>
        <v/>
      </c>
    </row>
    <row r="858">
      <c r="A858" s="10" t="n">
        <v>43530</v>
      </c>
      <c r="B858" s="9" t="n">
        <v>3969134</v>
      </c>
      <c r="C858" s="7" t="n">
        <v>0.02932191186614697</v>
      </c>
      <c r="D858" s="7">
        <f>(Table4[[#This Row],[WALCL]]/1000)/19222</f>
        <v/>
      </c>
    </row>
    <row r="859">
      <c r="A859" s="10" t="n">
        <v>43537</v>
      </c>
      <c r="B859" s="9" t="n">
        <v>3971559</v>
      </c>
      <c r="C859" s="7" t="n">
        <v>0.02932191186614697</v>
      </c>
      <c r="D859" s="7">
        <f>(Table4[[#This Row],[WALCL]]/1000)/19222</f>
        <v/>
      </c>
    </row>
    <row r="860">
      <c r="A860" s="10" t="n">
        <v>43544</v>
      </c>
      <c r="B860" s="9" t="n">
        <v>3962748</v>
      </c>
      <c r="C860" s="7" t="n">
        <v>0.02932191186614697</v>
      </c>
      <c r="D860" s="7">
        <f>(Table4[[#This Row],[WALCL]]/1000)/19222</f>
        <v/>
      </c>
    </row>
    <row r="861">
      <c r="A861" s="10" t="n">
        <v>43551</v>
      </c>
      <c r="B861" s="9" t="n">
        <v>3955617</v>
      </c>
      <c r="C861" s="7" t="n">
        <v>0.02932191186614697</v>
      </c>
      <c r="D861" s="7">
        <f>(Table4[[#This Row],[WALCL]]/1000)/19222</f>
        <v/>
      </c>
    </row>
    <row r="862">
      <c r="A862" s="10" t="n">
        <v>43558</v>
      </c>
      <c r="B862" s="9" t="n">
        <v>3935509</v>
      </c>
      <c r="C862" s="7" t="n">
        <v>0.01491130893880976</v>
      </c>
      <c r="D862" s="7">
        <f>(Table4[[#This Row],[WALCL]]/1000)/19222</f>
        <v/>
      </c>
    </row>
    <row r="863">
      <c r="A863" s="10" t="n">
        <v>43565</v>
      </c>
      <c r="B863" s="9" t="n">
        <v>3936784</v>
      </c>
      <c r="C863" s="7" t="n">
        <v>0.01491130893880976</v>
      </c>
      <c r="D863" s="7">
        <f>(Table4[[#This Row],[WALCL]]/1000)/19222</f>
        <v/>
      </c>
    </row>
    <row r="864">
      <c r="A864" s="10" t="n">
        <v>43572</v>
      </c>
      <c r="B864" s="9" t="n">
        <v>3931827</v>
      </c>
      <c r="C864" s="7" t="n">
        <v>0.01491130893880976</v>
      </c>
      <c r="D864" s="7">
        <f>(Table4[[#This Row],[WALCL]]/1000)/19222</f>
        <v/>
      </c>
    </row>
    <row r="865">
      <c r="A865" s="10" t="n">
        <v>43579</v>
      </c>
      <c r="B865" s="9" t="n">
        <v>3928273</v>
      </c>
      <c r="C865" s="7" t="n">
        <v>0.01491130893880976</v>
      </c>
      <c r="D865" s="7">
        <f>(Table4[[#This Row],[WALCL]]/1000)/19222</f>
        <v/>
      </c>
    </row>
    <row r="866">
      <c r="A866" s="10" t="n">
        <v>43586</v>
      </c>
      <c r="B866" s="9" t="n">
        <v>3889691</v>
      </c>
      <c r="C866" s="7" t="n">
        <v>0.01491130893880976</v>
      </c>
      <c r="D866" s="7">
        <f>(Table4[[#This Row],[WALCL]]/1000)/19222</f>
        <v/>
      </c>
    </row>
    <row r="867">
      <c r="A867" s="10" t="n">
        <v>43593</v>
      </c>
      <c r="B867" s="9" t="n">
        <v>3892216</v>
      </c>
      <c r="C867" s="7" t="n">
        <v>0.01491130893880976</v>
      </c>
      <c r="D867" s="7">
        <f>(Table4[[#This Row],[WALCL]]/1000)/19222</f>
        <v/>
      </c>
    </row>
    <row r="868">
      <c r="A868" s="10" t="n">
        <v>43600</v>
      </c>
      <c r="B868" s="9" t="n">
        <v>3864749</v>
      </c>
      <c r="C868" s="7" t="n">
        <v>0.01491130893880976</v>
      </c>
      <c r="D868" s="7">
        <f>(Table4[[#This Row],[WALCL]]/1000)/19222</f>
        <v/>
      </c>
    </row>
    <row r="869">
      <c r="A869" s="10" t="n">
        <v>43607</v>
      </c>
      <c r="B869" s="9" t="n">
        <v>3860435</v>
      </c>
      <c r="C869" s="7" t="n">
        <v>0.01491130893880976</v>
      </c>
      <c r="D869" s="7">
        <f>(Table4[[#This Row],[WALCL]]/1000)/19222</f>
        <v/>
      </c>
    </row>
    <row r="870">
      <c r="A870" s="10" t="n">
        <v>43614</v>
      </c>
      <c r="B870" s="9" t="n">
        <v>3851444</v>
      </c>
      <c r="C870" s="7" t="n">
        <v>0.01491130893880976</v>
      </c>
      <c r="D870" s="7">
        <f>(Table4[[#This Row],[WALCL]]/1000)/19222</f>
        <v/>
      </c>
    </row>
    <row r="871">
      <c r="A871" s="10" t="n">
        <v>43621</v>
      </c>
      <c r="B871" s="9" t="n">
        <v>3847645</v>
      </c>
      <c r="C871" s="7" t="n">
        <v>0.01491130893880976</v>
      </c>
      <c r="D871" s="7">
        <f>(Table4[[#This Row],[WALCL]]/1000)/19222</f>
        <v/>
      </c>
    </row>
    <row r="872">
      <c r="A872" s="10" t="n">
        <v>43628</v>
      </c>
      <c r="B872" s="9" t="n">
        <v>3849955</v>
      </c>
      <c r="C872" s="7" t="n">
        <v>0.01491130893880976</v>
      </c>
      <c r="D872" s="7">
        <f>(Table4[[#This Row],[WALCL]]/1000)/19222</f>
        <v/>
      </c>
    </row>
    <row r="873">
      <c r="A873" s="10" t="n">
        <v>43635</v>
      </c>
      <c r="B873" s="9" t="n">
        <v>3844016</v>
      </c>
      <c r="C873" s="7" t="n">
        <v>0.01491130893880976</v>
      </c>
      <c r="D873" s="7">
        <f>(Table4[[#This Row],[WALCL]]/1000)/19222</f>
        <v/>
      </c>
    </row>
    <row r="874">
      <c r="A874" s="10" t="n">
        <v>43642</v>
      </c>
      <c r="B874" s="9" t="n">
        <v>3826817</v>
      </c>
      <c r="C874" s="7" t="n">
        <v>0.01491130893880976</v>
      </c>
      <c r="D874" s="7">
        <f>(Table4[[#This Row],[WALCL]]/1000)/19222</f>
        <v/>
      </c>
    </row>
    <row r="875">
      <c r="A875" s="10" t="n">
        <v>43649</v>
      </c>
      <c r="B875" s="9" t="n">
        <v>3813198</v>
      </c>
      <c r="C875" s="7" t="n">
        <v>0.02572102124719344</v>
      </c>
      <c r="D875" s="7">
        <f>(Table4[[#This Row],[WALCL]]/1000)/19222</f>
        <v/>
      </c>
    </row>
    <row r="876">
      <c r="A876" s="10" t="n">
        <v>43656</v>
      </c>
      <c r="B876" s="9" t="n">
        <v>3815038</v>
      </c>
      <c r="C876" s="7" t="n">
        <v>0.02572102124719344</v>
      </c>
      <c r="D876" s="7">
        <f>(Table4[[#This Row],[WALCL]]/1000)/19222</f>
        <v/>
      </c>
    </row>
    <row r="877">
      <c r="A877" s="10" t="n">
        <v>43663</v>
      </c>
      <c r="B877" s="9" t="n">
        <v>3808110</v>
      </c>
      <c r="C877" s="7" t="n">
        <v>0.02572102124719344</v>
      </c>
      <c r="D877" s="7">
        <f>(Table4[[#This Row],[WALCL]]/1000)/19222</f>
        <v/>
      </c>
    </row>
    <row r="878">
      <c r="A878" s="10" t="n">
        <v>43670</v>
      </c>
      <c r="B878" s="9" t="n">
        <v>3803436</v>
      </c>
      <c r="C878" s="7" t="n">
        <v>0.02572102124719344</v>
      </c>
      <c r="D878" s="7">
        <f>(Table4[[#This Row],[WALCL]]/1000)/19222</f>
        <v/>
      </c>
    </row>
    <row r="879">
      <c r="A879" s="10" t="n">
        <v>43677</v>
      </c>
      <c r="B879" s="9" t="n">
        <v>3779102</v>
      </c>
      <c r="C879" s="7" t="n">
        <v>0.02572102124719344</v>
      </c>
      <c r="D879" s="7">
        <f>(Table4[[#This Row],[WALCL]]/1000)/19222</f>
        <v/>
      </c>
      <c r="E879" s="13" t="n"/>
    </row>
    <row r="880">
      <c r="A880" s="10" t="n">
        <v>43684</v>
      </c>
      <c r="B880" s="9" t="n">
        <v>3781543</v>
      </c>
      <c r="C880" s="7" t="n">
        <v>0.02572102124719344</v>
      </c>
      <c r="D880" s="7">
        <f>(Table4[[#This Row],[WALCL]]/1000)/19222</f>
        <v/>
      </c>
    </row>
    <row r="881">
      <c r="A881" s="10" t="n">
        <v>43691</v>
      </c>
      <c r="B881" s="9" t="n">
        <v>3786018</v>
      </c>
      <c r="C881" s="7" t="n">
        <v>0.02572102124719344</v>
      </c>
      <c r="D881" s="7">
        <f>(Table4[[#This Row],[WALCL]]/1000)/19222</f>
        <v/>
      </c>
    </row>
    <row r="882">
      <c r="A882" s="10" t="n">
        <v>43698</v>
      </c>
      <c r="B882" s="9" t="n">
        <v>3764866</v>
      </c>
      <c r="C882" s="7" t="n">
        <v>0.02572102124719344</v>
      </c>
      <c r="D882" s="7">
        <f>(Table4[[#This Row],[WALCL]]/1000)/19222</f>
        <v/>
      </c>
    </row>
    <row r="883">
      <c r="A883" s="10" t="n">
        <v>43705</v>
      </c>
      <c r="B883" s="9" t="n">
        <v>3759946</v>
      </c>
      <c r="C883" s="7" t="n">
        <v>0.02572102124719344</v>
      </c>
      <c r="D883" s="7">
        <f>(Table4[[#This Row],[WALCL]]/1000)/19222</f>
        <v/>
      </c>
    </row>
    <row r="884">
      <c r="A884" s="10" t="n">
        <v>43712</v>
      </c>
      <c r="B884" s="9" t="n">
        <v>3761508</v>
      </c>
      <c r="C884" s="7" t="n">
        <v>0.02572102124719344</v>
      </c>
      <c r="D884" s="7">
        <f>(Table4[[#This Row],[WALCL]]/1000)/19222</f>
        <v/>
      </c>
    </row>
    <row r="885">
      <c r="A885" s="10" t="n">
        <v>43719</v>
      </c>
      <c r="B885" s="9" t="n">
        <v>3769673</v>
      </c>
      <c r="C885" s="7" t="n">
        <v>0.02572102124719344</v>
      </c>
      <c r="D885" s="7">
        <f>(Table4[[#This Row],[WALCL]]/1000)/19222</f>
        <v/>
      </c>
    </row>
    <row r="886">
      <c r="A886" s="10" t="n">
        <v>43726</v>
      </c>
      <c r="B886" s="9" t="n">
        <v>3844695</v>
      </c>
      <c r="C886" s="7" t="n">
        <v>0.02572102124719344</v>
      </c>
      <c r="D886" s="7">
        <f>(Table4[[#This Row],[WALCL]]/1000)/19222</f>
        <v/>
      </c>
    </row>
    <row r="887">
      <c r="A887" s="10" t="n">
        <v>43733</v>
      </c>
      <c r="B887" s="9" t="n">
        <v>3857715</v>
      </c>
      <c r="C887" s="7" t="n">
        <v>0.02572102124719344</v>
      </c>
      <c r="D887" s="7">
        <f>(Table4[[#This Row],[WALCL]]/1000)/19222</f>
        <v/>
      </c>
    </row>
    <row r="888">
      <c r="A888" s="10" t="n">
        <v>43740</v>
      </c>
      <c r="B888" s="9" t="n">
        <v>3945831</v>
      </c>
      <c r="C888" s="7" t="n">
        <v>0.02365628173188927</v>
      </c>
      <c r="D888" s="7">
        <f>(Table4[[#This Row],[WALCL]]/1000)/19222</f>
        <v/>
      </c>
    </row>
    <row r="889">
      <c r="A889" s="10" t="n">
        <v>43747</v>
      </c>
      <c r="B889" s="9" t="n">
        <v>3949955</v>
      </c>
      <c r="C889" s="7" t="n">
        <v>0.02365628173188927</v>
      </c>
      <c r="D889" s="7">
        <f>(Table4[[#This Row],[WALCL]]/1000)/19222</f>
        <v/>
      </c>
    </row>
    <row r="890">
      <c r="A890" s="10" t="n">
        <v>43754</v>
      </c>
      <c r="B890" s="9" t="n">
        <v>3966471</v>
      </c>
      <c r="C890" s="7" t="n">
        <v>0.02365628173188927</v>
      </c>
      <c r="D890" s="7">
        <f>(Table4[[#This Row],[WALCL]]/1000)/19222</f>
        <v/>
      </c>
    </row>
    <row r="891">
      <c r="A891" s="10" t="n">
        <v>43761</v>
      </c>
      <c r="B891" s="9" t="n">
        <v>3968700</v>
      </c>
      <c r="C891" s="7" t="n">
        <v>0.02365628173188927</v>
      </c>
      <c r="D891" s="7">
        <f>(Table4[[#This Row],[WALCL]]/1000)/19222</f>
        <v/>
      </c>
    </row>
    <row r="892">
      <c r="A892" s="10" t="n">
        <v>43768</v>
      </c>
      <c r="B892" s="9" t="n">
        <v>4019823</v>
      </c>
      <c r="C892" s="7" t="n">
        <v>0.02365628173188927</v>
      </c>
      <c r="D892" s="7">
        <f>(Table4[[#This Row],[WALCL]]/1000)/19222</f>
        <v/>
      </c>
    </row>
    <row r="893">
      <c r="A893" s="10" t="n">
        <v>43775</v>
      </c>
      <c r="B893" s="9" t="n">
        <v>4039443</v>
      </c>
      <c r="C893" s="7" t="n">
        <v>0.02365628173188927</v>
      </c>
      <c r="D893" s="7">
        <f>(Table4[[#This Row],[WALCL]]/1000)/19222</f>
        <v/>
      </c>
    </row>
    <row r="894">
      <c r="A894" s="10" t="n">
        <v>43782</v>
      </c>
      <c r="B894" s="9" t="n">
        <v>4047882</v>
      </c>
      <c r="C894" s="7" t="n">
        <v>0.02365628173188927</v>
      </c>
      <c r="D894" s="7">
        <f>(Table4[[#This Row],[WALCL]]/1000)/19222</f>
        <v/>
      </c>
    </row>
    <row r="895">
      <c r="A895" s="10" t="n">
        <v>43789</v>
      </c>
      <c r="B895" s="9" t="n">
        <v>4030249</v>
      </c>
      <c r="C895" s="7" t="n">
        <v>0.02365628173188927</v>
      </c>
      <c r="D895" s="7">
        <f>(Table4[[#This Row],[WALCL]]/1000)/19222</f>
        <v/>
      </c>
    </row>
    <row r="896">
      <c r="A896" s="10" t="n">
        <v>43796</v>
      </c>
      <c r="B896" s="9" t="n">
        <v>4052875</v>
      </c>
      <c r="C896" s="7" t="n">
        <v>0.02365628173188927</v>
      </c>
      <c r="D896" s="7">
        <f>(Table4[[#This Row],[WALCL]]/1000)/19222</f>
        <v/>
      </c>
    </row>
    <row r="897">
      <c r="A897" s="10" t="n">
        <v>43803</v>
      </c>
      <c r="B897" s="9" t="n">
        <v>4065696</v>
      </c>
      <c r="C897" s="7" t="n">
        <v>0.02365628173188927</v>
      </c>
      <c r="D897" s="7">
        <f>(Table4[[#This Row],[WALCL]]/1000)/19222</f>
        <v/>
      </c>
    </row>
    <row r="898">
      <c r="A898" s="10" t="n">
        <v>43810</v>
      </c>
      <c r="B898" s="9" t="n">
        <v>4095491</v>
      </c>
      <c r="C898" s="7" t="n">
        <v>0.02365628173188927</v>
      </c>
      <c r="D898" s="7">
        <f>(Table4[[#This Row],[WALCL]]/1000)/19222</f>
        <v/>
      </c>
    </row>
    <row r="899">
      <c r="A899" s="10" t="n">
        <v>43817</v>
      </c>
      <c r="B899" s="9" t="n">
        <v>4137052</v>
      </c>
      <c r="C899" s="7" t="n">
        <v>0.02365628173188927</v>
      </c>
      <c r="D899" s="7">
        <f>(Table4[[#This Row],[WALCL]]/1000)/19222</f>
        <v/>
      </c>
    </row>
    <row r="900">
      <c r="A900" s="10" t="n">
        <v>43824</v>
      </c>
      <c r="B900" s="9" t="n">
        <v>4165591</v>
      </c>
      <c r="C900" s="7" t="n">
        <v>0.02365628173188927</v>
      </c>
      <c r="D900" s="7">
        <f>(Table4[[#This Row],[WALCL]]/1000)/19222</f>
        <v/>
      </c>
    </row>
    <row r="901">
      <c r="A901" s="10" t="n">
        <v>43831</v>
      </c>
      <c r="B901" s="9" t="n">
        <v>4173626</v>
      </c>
      <c r="C901" s="7" t="n">
        <v>-0.0495576329836368</v>
      </c>
      <c r="D901" s="7">
        <f>(Table4[[#This Row],[WALCL]]/1000)/19222</f>
        <v/>
      </c>
    </row>
    <row r="902">
      <c r="A902" s="10" t="n">
        <v>43838</v>
      </c>
      <c r="B902" s="9" t="n">
        <v>4149544</v>
      </c>
      <c r="C902" s="7" t="n">
        <v>-0.0495576329836368</v>
      </c>
      <c r="D902" s="7">
        <f>(Table4[[#This Row],[WALCL]]/1000)/19222</f>
        <v/>
      </c>
    </row>
    <row r="903">
      <c r="A903" s="10" t="n">
        <v>43845</v>
      </c>
      <c r="B903" s="9" t="n">
        <v>4175850</v>
      </c>
      <c r="C903" s="7" t="n">
        <v>-0.0495576329836368</v>
      </c>
      <c r="D903" s="7">
        <f>(Table4[[#This Row],[WALCL]]/1000)/19222</f>
        <v/>
      </c>
    </row>
    <row r="904">
      <c r="A904" s="10" t="n">
        <v>43852</v>
      </c>
      <c r="B904" s="9" t="n">
        <v>4145912</v>
      </c>
      <c r="C904" s="7" t="n">
        <v>-0.0495576329836368</v>
      </c>
      <c r="D904" s="7">
        <f>(Table4[[#This Row],[WALCL]]/1000)/19222</f>
        <v/>
      </c>
    </row>
    <row r="905">
      <c r="A905" s="10" t="n">
        <v>43859</v>
      </c>
      <c r="B905" s="9" t="n">
        <v>4151630</v>
      </c>
      <c r="C905" s="7" t="n">
        <v>-0.0495576329836368</v>
      </c>
      <c r="D905" s="7">
        <f>(Table4[[#This Row],[WALCL]]/1000)/19222</f>
        <v/>
      </c>
    </row>
    <row r="906">
      <c r="A906" s="10" t="n">
        <v>43866</v>
      </c>
      <c r="B906" s="9" t="n">
        <v>4166707</v>
      </c>
      <c r="C906" s="7" t="n">
        <v>-0.0495576329836368</v>
      </c>
      <c r="D906" s="7">
        <f>(Table4[[#This Row],[WALCL]]/1000)/19222</f>
        <v/>
      </c>
    </row>
    <row r="907">
      <c r="A907" s="10" t="n">
        <v>43873</v>
      </c>
      <c r="B907" s="9" t="n">
        <v>4182689</v>
      </c>
      <c r="C907" s="7" t="n">
        <v>-0.0495576329836368</v>
      </c>
      <c r="D907" s="7">
        <f>(Table4[[#This Row],[WALCL]]/1000)/19222</f>
        <v/>
      </c>
    </row>
    <row r="908">
      <c r="A908" s="10" t="n">
        <v>43880</v>
      </c>
      <c r="B908" s="9" t="n">
        <v>4171570</v>
      </c>
      <c r="C908" s="7" t="n">
        <v>-0.0495576329836368</v>
      </c>
      <c r="D908" s="7">
        <f>(Table4[[#This Row],[WALCL]]/1000)/19222</f>
        <v/>
      </c>
    </row>
    <row r="909">
      <c r="A909" s="10" t="n">
        <v>43887</v>
      </c>
      <c r="B909" s="9" t="n">
        <v>4158637</v>
      </c>
      <c r="C909" s="7" t="n">
        <v>-0.0495576329836368</v>
      </c>
      <c r="D909" s="7">
        <f>(Table4[[#This Row],[WALCL]]/1000)/19222</f>
        <v/>
      </c>
    </row>
    <row r="910">
      <c r="A910" s="10" t="n">
        <v>43894</v>
      </c>
      <c r="B910" s="9" t="n">
        <v>4241507</v>
      </c>
      <c r="C910" s="7" t="n">
        <v>-0.0495576329836368</v>
      </c>
      <c r="D910" s="7">
        <f>(Table4[[#This Row],[WALCL]]/1000)/19222</f>
        <v/>
      </c>
    </row>
    <row r="911">
      <c r="A911" s="10" t="n">
        <v>43901</v>
      </c>
      <c r="B911" s="9" t="n">
        <v>4311911</v>
      </c>
      <c r="C911" s="7" t="n">
        <v>-0.0495576329836368</v>
      </c>
      <c r="D911" s="7">
        <f>(Table4[[#This Row],[WALCL]]/1000)/19222</f>
        <v/>
      </c>
    </row>
    <row r="912">
      <c r="A912" s="10" t="n">
        <v>43908</v>
      </c>
      <c r="B912" s="9" t="n">
        <v>4668212</v>
      </c>
      <c r="C912" s="7" t="n">
        <v>-0.0495576329836368</v>
      </c>
      <c r="D912" s="7">
        <f>(Table4[[#This Row],[WALCL]]/1000)/19222</f>
        <v/>
      </c>
    </row>
    <row r="913">
      <c r="A913" s="10" t="n">
        <v>43915</v>
      </c>
      <c r="B913" s="9" t="n">
        <v>5254278</v>
      </c>
      <c r="C913" s="7" t="n">
        <v>-0.0495576329836368</v>
      </c>
      <c r="D913" s="7">
        <f>(Table4[[#This Row],[WALCL]]/1000)/19222</f>
        <v/>
      </c>
    </row>
    <row r="914">
      <c r="A914" s="10" t="n">
        <v>43922</v>
      </c>
      <c r="B914" s="9" t="n">
        <v>5811607</v>
      </c>
      <c r="C914" s="7" t="n">
        <v>-0.3170499473924119</v>
      </c>
      <c r="D914" s="7">
        <f>(Table4[[#This Row],[WALCL]]/1000)/19222</f>
        <v/>
      </c>
    </row>
    <row r="915">
      <c r="A915" s="10" t="n">
        <v>43929</v>
      </c>
      <c r="B915" s="9" t="n">
        <v>6083141</v>
      </c>
      <c r="C915" s="7" t="n">
        <v>-0.3170499473924119</v>
      </c>
      <c r="D915" s="7">
        <f>(Table4[[#This Row],[WALCL]]/1000)/19222</f>
        <v/>
      </c>
    </row>
    <row r="916">
      <c r="A916" s="10" t="n">
        <v>43936</v>
      </c>
      <c r="B916" s="17" t="n">
        <v>6367887</v>
      </c>
      <c r="C916" s="7" t="n">
        <v>-0.3170499473924119</v>
      </c>
      <c r="D916" s="7">
        <f>(Table4[[#This Row],[WALCL]]/1000)/19222</f>
        <v/>
      </c>
    </row>
    <row r="917">
      <c r="A917" s="10" t="n">
        <v>43943</v>
      </c>
      <c r="B917" s="9" t="n">
        <v>6573136</v>
      </c>
      <c r="C917" s="7" t="n">
        <v>-0.3170499473924119</v>
      </c>
      <c r="D917" s="7">
        <f>(Table4[[#This Row],[WALCL]]/1000)/19222</f>
        <v/>
      </c>
    </row>
    <row r="918">
      <c r="A918" s="10" t="n">
        <v>43950</v>
      </c>
      <c r="B918" s="9" t="n">
        <v>6655929</v>
      </c>
      <c r="C918" s="7" t="n">
        <v>-0.3170499473924119</v>
      </c>
      <c r="D918" s="7">
        <f>(Table4[[#This Row],[WALCL]]/1000)/19222</f>
        <v/>
      </c>
    </row>
    <row r="919">
      <c r="A919" s="10" t="n">
        <v>43957</v>
      </c>
      <c r="B919" s="9" t="n">
        <v>6721420</v>
      </c>
      <c r="C919" s="7" t="n">
        <v>-0.3170499473924119</v>
      </c>
      <c r="D919" s="7">
        <f>(Table4[[#This Row],[WALCL]]/1000)/19222</f>
        <v/>
      </c>
    </row>
    <row r="920">
      <c r="A920" s="10" t="n">
        <v>43964</v>
      </c>
      <c r="B920" s="9" t="n">
        <v>6934227</v>
      </c>
      <c r="C920" s="7" t="n">
        <v>-0.3170499473924119</v>
      </c>
      <c r="D920" s="7">
        <f>(Table4[[#This Row],[WALCL]]/1000)/19222</f>
        <v/>
      </c>
    </row>
    <row r="921">
      <c r="A921" s="10" t="n">
        <v>43971</v>
      </c>
      <c r="B921" s="9" t="n">
        <v>7037258</v>
      </c>
      <c r="C921" s="7" t="n">
        <v>-0.3170499473924119</v>
      </c>
      <c r="D921" s="7">
        <f>(Table4[[#This Row],[WALCL]]/1000)/19222</f>
        <v/>
      </c>
    </row>
    <row r="922">
      <c r="A922" s="10" t="n">
        <v>43978</v>
      </c>
      <c r="B922" s="9" t="n">
        <v>7097316</v>
      </c>
      <c r="C922" s="7" t="n">
        <v>-0.3170499473924119</v>
      </c>
      <c r="D922" s="7">
        <f>(Table4[[#This Row],[WALCL]]/1000)/19222</f>
        <v/>
      </c>
    </row>
    <row r="923">
      <c r="A923" s="10" t="n">
        <v>43985</v>
      </c>
      <c r="B923" s="9" t="n">
        <v>7165217</v>
      </c>
      <c r="C923" s="7" t="n">
        <v>-0.3170499473924119</v>
      </c>
      <c r="D923" s="7">
        <f>(Table4[[#This Row],[WALCL]]/1000)/19222</f>
        <v/>
      </c>
    </row>
    <row r="924">
      <c r="A924" s="10" t="n">
        <v>43992</v>
      </c>
      <c r="B924" s="9" t="n">
        <v>7168936</v>
      </c>
      <c r="C924" s="7" t="n">
        <v>-0.3170499473924119</v>
      </c>
      <c r="D924" s="7">
        <f>(Table4[[#This Row],[WALCL]]/1000)/19222</f>
        <v/>
      </c>
    </row>
    <row r="925">
      <c r="A925" s="10" t="n">
        <v>43999</v>
      </c>
      <c r="B925" s="9" t="n">
        <v>7094690</v>
      </c>
      <c r="C925" s="7" t="n">
        <v>-0.3170499473924119</v>
      </c>
      <c r="D925" s="7">
        <f>(Table4[[#This Row],[WALCL]]/1000)/19222</f>
        <v/>
      </c>
    </row>
    <row r="926">
      <c r="A926" s="10" t="n">
        <v>44006</v>
      </c>
      <c r="B926" s="9" t="n">
        <v>7082302</v>
      </c>
      <c r="C926" s="7" t="n"/>
      <c r="D926" s="7">
        <f>(Table4[[#This Row],[WALCL]]/1000)/19222</f>
        <v/>
      </c>
    </row>
    <row r="927">
      <c r="A927" s="10" t="n">
        <v>44013</v>
      </c>
      <c r="B927" s="9" t="n">
        <v>7009040</v>
      </c>
      <c r="C927" s="16" t="n"/>
      <c r="D927" s="7">
        <f>(Table4[[#This Row],[WALCL]]/1000)/19222</f>
        <v/>
      </c>
    </row>
    <row r="928">
      <c r="A928" s="10" t="n">
        <v>44020</v>
      </c>
      <c r="B928" s="9" t="n">
        <v>6920716</v>
      </c>
      <c r="C928" s="16" t="n"/>
      <c r="D928" s="7">
        <f>(Table4[[#This Row],[WALCL]]/1000)/19222</f>
        <v/>
      </c>
    </row>
    <row r="929">
      <c r="A929" s="10" t="n">
        <v>44027</v>
      </c>
      <c r="B929" s="9" t="n">
        <v>6958604</v>
      </c>
      <c r="C929" s="16" t="n"/>
      <c r="D929" s="7">
        <f>(Table4[[#This Row],[WALCL]]/1000)/19222</f>
        <v/>
      </c>
    </row>
    <row r="930">
      <c r="A930" s="10" t="n">
        <v>44034</v>
      </c>
      <c r="B930" s="9" t="n">
        <v>6964755</v>
      </c>
      <c r="C930" s="16" t="n"/>
      <c r="D930" s="7">
        <f>(Table4[[#This Row],[WALCL]]/1000)/19222</f>
        <v/>
      </c>
    </row>
    <row r="931">
      <c r="A931" s="10" t="n">
        <v>44041</v>
      </c>
      <c r="B931" s="9" t="n">
        <v>6949032</v>
      </c>
      <c r="C931" s="16" t="n"/>
      <c r="D931" s="7">
        <f>(Table4[[#This Row],[WALCL]]/1000)/19222</f>
        <v/>
      </c>
    </row>
    <row r="932">
      <c r="A932" s="10" t="n">
        <v>44048</v>
      </c>
      <c r="B932" s="9" t="n">
        <v>6945237</v>
      </c>
      <c r="C932" s="16" t="n"/>
      <c r="D932" s="7">
        <f>(Table4[[#This Row],[WALCL]]/1000)/19222</f>
        <v/>
      </c>
    </row>
    <row r="933">
      <c r="A933" s="10" t="n">
        <v>44055</v>
      </c>
      <c r="B933" s="9" t="n">
        <v>6957277</v>
      </c>
      <c r="C933" s="16" t="n"/>
      <c r="D933" s="7">
        <f>(Table4[[#This Row],[WALCL]]/1000)/19222</f>
        <v/>
      </c>
    </row>
    <row r="934">
      <c r="A934" s="10" t="n">
        <v>44062</v>
      </c>
      <c r="B934" s="9" t="n">
        <v>7010637</v>
      </c>
      <c r="C934" s="16" t="n"/>
      <c r="D934" s="7">
        <f>(Table4[[#This Row],[WALCL]]/1000)/19222</f>
        <v/>
      </c>
    </row>
    <row r="935">
      <c r="A935" s="10" t="n">
        <v>44069</v>
      </c>
      <c r="B935" s="9" t="n">
        <v>6990418</v>
      </c>
      <c r="C935" s="16" t="n"/>
      <c r="D935" s="7">
        <f>(Table4[[#This Row],[WALCL]]/1000)/19222</f>
        <v/>
      </c>
    </row>
    <row r="936">
      <c r="A936" s="10" t="n">
        <v>44076</v>
      </c>
      <c r="B936" s="9" t="n">
        <v>7017492</v>
      </c>
      <c r="C936" s="16" t="n"/>
      <c r="D936" s="7">
        <f>(Table4[[#This Row],[WALCL]]/1000)/19222</f>
        <v/>
      </c>
    </row>
    <row r="937">
      <c r="A937" s="10" t="n">
        <v>44083</v>
      </c>
      <c r="B937" s="9" t="n">
        <v>7010614</v>
      </c>
      <c r="C937" s="16" t="n"/>
      <c r="D937" s="7">
        <f>(Table4[[#This Row],[WALCL]]/1000)/19222</f>
        <v/>
      </c>
    </row>
    <row r="938">
      <c r="A938" s="10" t="n">
        <v>44090</v>
      </c>
      <c r="B938" s="9" t="n">
        <v>7064475</v>
      </c>
      <c r="C938" s="16" t="n"/>
      <c r="D938" s="7">
        <f>(Table4[[#This Row],[WALCL]]/1000)/19222</f>
        <v/>
      </c>
    </row>
    <row r="939">
      <c r="A939" s="10" t="n">
        <v>44097</v>
      </c>
      <c r="B939" s="9" t="n">
        <v>7093161</v>
      </c>
      <c r="C939" s="16" t="n"/>
      <c r="D939" s="7">
        <f>(Table4[[#This Row],[WALCL]]/1000)/19222</f>
        <v/>
      </c>
    </row>
    <row r="940">
      <c r="A940" s="10" t="n">
        <v>44104</v>
      </c>
      <c r="B940" s="9" t="n">
        <v>7056129</v>
      </c>
      <c r="C940" s="16" t="n"/>
      <c r="D940" s="7">
        <f>(Table4[[#This Row],[WALCL]]/1000)/19222</f>
        <v/>
      </c>
    </row>
    <row r="941">
      <c r="A941" s="10" t="n">
        <v>44111</v>
      </c>
      <c r="B941" s="9" t="n">
        <v>7074649</v>
      </c>
      <c r="C941" s="16" t="n"/>
      <c r="D941" s="7">
        <f>(Table4[[#This Row],[WALCL]]/1000)/19222</f>
        <v/>
      </c>
    </row>
    <row r="942">
      <c r="A942" s="10" t="n">
        <v>44118</v>
      </c>
      <c r="B942" s="9" t="n">
        <v>7151426</v>
      </c>
      <c r="C942" s="16" t="n"/>
      <c r="D942" s="7">
        <f>(Table4[[#This Row],[WALCL]]/1000)/19222</f>
        <v/>
      </c>
    </row>
    <row r="943">
      <c r="A943" s="10" t="n">
        <v>44125</v>
      </c>
      <c r="B943" s="9" t="n">
        <v>7177265</v>
      </c>
      <c r="C943" s="16" t="n"/>
      <c r="D943" s="7">
        <f>(Table4[[#This Row],[WALCL]]/1000)/19222</f>
        <v/>
      </c>
    </row>
    <row r="944">
      <c r="A944" s="10" t="n">
        <v>44132</v>
      </c>
      <c r="B944" s="9" t="n">
        <v>7146306</v>
      </c>
      <c r="C944" s="16" t="n"/>
      <c r="D944" s="7">
        <f>(Table4[[#This Row],[WALCL]]/1000)/19222</f>
        <v/>
      </c>
    </row>
    <row r="945">
      <c r="A945" s="10" t="n">
        <v>44139</v>
      </c>
      <c r="B945" s="9" t="n">
        <v>7157479</v>
      </c>
      <c r="C945" s="16" t="n"/>
      <c r="D945" s="7">
        <f>(Table4[[#This Row],[WALCL]]/1000)/19222</f>
        <v/>
      </c>
    </row>
    <row r="946">
      <c r="A946" s="10" t="n">
        <v>44146</v>
      </c>
      <c r="B946" s="9" t="n">
        <v>7175417</v>
      </c>
      <c r="C946" s="16" t="n"/>
      <c r="D946" s="7">
        <f>(Table4[[#This Row],[WALCL]]/1000)/19222</f>
        <v/>
      </c>
    </row>
    <row r="947">
      <c r="A947" s="10" t="n">
        <v>44153</v>
      </c>
      <c r="B947" s="9" t="n">
        <v>7243080</v>
      </c>
      <c r="C947" s="16" t="n"/>
      <c r="D947" s="7">
        <f>(Table4[[#This Row],[WALCL]]/1000)/19222</f>
        <v/>
      </c>
    </row>
    <row r="948">
      <c r="A948" s="10" t="n">
        <v>44160</v>
      </c>
      <c r="B948" s="9" t="n">
        <v>7216480</v>
      </c>
      <c r="C948" s="16" t="n"/>
      <c r="D948" s="7">
        <f>(Table4[[#This Row],[WALCL]]/1000)/19222</f>
        <v/>
      </c>
    </row>
    <row r="949">
      <c r="A949" s="10" t="n">
        <v>44167</v>
      </c>
      <c r="B949" s="9" t="n">
        <v>7222414</v>
      </c>
      <c r="C949" s="16" t="n"/>
      <c r="D949" s="7">
        <f>(Table4[[#This Row],[WALCL]]/1000)/19222</f>
        <v/>
      </c>
    </row>
    <row r="950">
      <c r="A950" s="10" t="n">
        <v>44174</v>
      </c>
      <c r="B950" s="9" t="n">
        <v>7242658</v>
      </c>
      <c r="C950" s="16" t="n"/>
      <c r="D950" s="7">
        <f>(Table4[[#This Row],[WALCL]]/1000)/19222</f>
        <v/>
      </c>
    </row>
    <row r="951">
      <c r="A951" s="10" t="n">
        <v>44181</v>
      </c>
      <c r="B951" s="9" t="n">
        <v>7362592</v>
      </c>
      <c r="C951" s="16" t="n"/>
      <c r="D951" s="7">
        <f>(Table4[[#This Row],[WALCL]]/1000)/19222</f>
        <v/>
      </c>
    </row>
    <row r="952">
      <c r="A952" s="10" t="n">
        <v>44188</v>
      </c>
      <c r="B952" s="9" t="n">
        <v>7404039</v>
      </c>
      <c r="C952" s="16" t="n"/>
      <c r="D952" s="7">
        <f>(Table4[[#This Row],[WALCL]]/1000)/19222</f>
        <v/>
      </c>
    </row>
    <row r="953">
      <c r="A953" s="10" t="n">
        <v>44195</v>
      </c>
      <c r="B953" s="9" t="n">
        <v>7363351</v>
      </c>
      <c r="C953" s="16" t="n"/>
      <c r="D953" s="7">
        <f>(Table4[[#This Row],[WALCL]]/1000)/19222</f>
        <v/>
      </c>
    </row>
    <row r="954">
      <c r="A954" s="10" t="n">
        <v>44202</v>
      </c>
      <c r="B954" s="52" t="n">
        <v>7334809</v>
      </c>
      <c r="C954" s="16" t="n"/>
      <c r="D954" s="7">
        <f>(Table4[[#This Row],[WALCL]]/1000)/19222</f>
        <v/>
      </c>
    </row>
    <row r="955">
      <c r="A955" s="10" t="n">
        <v>44209</v>
      </c>
      <c r="B955" s="52" t="n">
        <v>7333968</v>
      </c>
      <c r="C955" s="16" t="n"/>
      <c r="D955" s="7">
        <f>(Table4[[#This Row],[WALCL]]/1000)/19222</f>
        <v/>
      </c>
    </row>
    <row r="956">
      <c r="A956" s="10" t="n">
        <v>44216</v>
      </c>
      <c r="B956" s="52" t="n">
        <v>7414942</v>
      </c>
      <c r="C956" s="16" t="n"/>
      <c r="D956" s="7">
        <f>(Table4[[#This Row],[WALCL]]/1000)/19222</f>
        <v/>
      </c>
    </row>
    <row r="957">
      <c r="A957" s="10" t="n">
        <v>44223</v>
      </c>
      <c r="B957" s="52" t="n">
        <v>7404926</v>
      </c>
      <c r="C957" s="16" t="n"/>
      <c r="D957" s="7">
        <f>(Table4[[#This Row],[WALCL]]/1000)/19222</f>
        <v/>
      </c>
    </row>
    <row r="958">
      <c r="A958" s="10" t="n">
        <v>44230</v>
      </c>
      <c r="B958" s="52" t="n">
        <v>7410598</v>
      </c>
      <c r="C958" s="16" t="n"/>
      <c r="D958" s="7">
        <f>(Table4[[#This Row],[WALCL]]/1000)/19222</f>
        <v/>
      </c>
    </row>
    <row r="959">
      <c r="A959" s="10" t="n">
        <v>44237</v>
      </c>
      <c r="B959" s="52" t="n">
        <v>7442225</v>
      </c>
      <c r="C959" s="16" t="n"/>
      <c r="D959" s="7">
        <f>(Table4[[#This Row],[WALCL]]/1000)/19222</f>
        <v/>
      </c>
    </row>
    <row r="960">
      <c r="A960" s="10" t="n">
        <v>44244</v>
      </c>
      <c r="B960" s="52" t="n">
        <v>7557402</v>
      </c>
      <c r="C960" s="16" t="n"/>
      <c r="D960" s="7">
        <f>(Table4[[#This Row],[WALCL]]/1000)/19222</f>
        <v/>
      </c>
    </row>
    <row r="961">
      <c r="A961" s="10" t="n">
        <v>44251</v>
      </c>
      <c r="B961" s="52" t="n">
        <v>7590111</v>
      </c>
      <c r="C961" s="16" t="n"/>
      <c r="D961" s="7">
        <f>(Table4[[#This Row],[WALCL]]/1000)/19222</f>
        <v/>
      </c>
    </row>
    <row r="962">
      <c r="A962" s="10" t="n">
        <v>44258</v>
      </c>
      <c r="B962" s="52" t="n">
        <v>7557524</v>
      </c>
      <c r="C962" s="16" t="n"/>
      <c r="D962" s="7">
        <f>(Table4[[#This Row],[WALCL]]/1000)/19222</f>
        <v/>
      </c>
    </row>
    <row r="963">
      <c r="A963" s="10" t="n">
        <v>44265</v>
      </c>
      <c r="B963" s="52" t="n">
        <v>7579901</v>
      </c>
      <c r="C963" s="16" t="n"/>
      <c r="D963" s="7">
        <f>(Table4[[#This Row],[WALCL]]/1000)/19222</f>
        <v/>
      </c>
    </row>
    <row r="964">
      <c r="A964" s="10" t="n">
        <v>44272</v>
      </c>
      <c r="B964" s="52" t="n">
        <v>7693506</v>
      </c>
      <c r="C964" s="16" t="n"/>
      <c r="D964" s="7">
        <f>(Table4[[#This Row],[WALCL]]/1000)/19222</f>
        <v/>
      </c>
    </row>
    <row r="965">
      <c r="A965" s="10" t="n">
        <v>44279</v>
      </c>
      <c r="B965" s="52" t="n">
        <v>7719622</v>
      </c>
      <c r="C965" s="16" t="n"/>
      <c r="D965" s="7">
        <f>(Table4[[#This Row],[WALCL]]/1000)/19222</f>
        <v/>
      </c>
    </row>
    <row r="966">
      <c r="A966" s="10" t="n">
        <v>44286</v>
      </c>
      <c r="B966" s="52" t="n">
        <v>7688988</v>
      </c>
      <c r="C966" s="16" t="n"/>
      <c r="D966" s="7">
        <f>(Table4[[#This Row],[WALCL]]/1000)/19222</f>
        <v/>
      </c>
    </row>
    <row r="967">
      <c r="A967" s="10" t="n">
        <v>44293</v>
      </c>
      <c r="B967" s="52" t="n">
        <v>7708882</v>
      </c>
      <c r="C967" s="16" t="n"/>
      <c r="D967" s="7">
        <f>(Table4[[#This Row],[WALCL]]/1000)/19222</f>
        <v/>
      </c>
    </row>
    <row r="968">
      <c r="A968" s="10" t="n">
        <v>44300</v>
      </c>
      <c r="B968" s="52" t="n">
        <v>7793104</v>
      </c>
      <c r="C968" s="16" t="n"/>
      <c r="D968" s="7">
        <f>(Table4[[#This Row],[WALCL]]/1000)/19222</f>
        <v/>
      </c>
    </row>
    <row r="969">
      <c r="A969" s="10" t="n">
        <v>44307</v>
      </c>
      <c r="B969" s="52" t="n">
        <v>7820948</v>
      </c>
      <c r="C969" s="16" t="n"/>
      <c r="D969" s="7">
        <f>(Table4[[#This Row],[WALCL]]/1000)/19222</f>
        <v/>
      </c>
    </row>
    <row r="970">
      <c r="A970" s="10" t="n">
        <v>44314</v>
      </c>
      <c r="B970" s="52" t="n">
        <v>7780962</v>
      </c>
      <c r="C970" s="16" t="n"/>
      <c r="D970" s="7">
        <f>(Table4[[#This Row],[WALCL]]/1000)/19222</f>
        <v/>
      </c>
    </row>
    <row r="971">
      <c r="A971" s="10" t="n">
        <v>44321</v>
      </c>
      <c r="B971" s="52" t="n">
        <v>7810486</v>
      </c>
      <c r="C971" s="16" t="n"/>
      <c r="D971" s="7">
        <f>(Table4[[#This Row],[WALCL]]/1000)/19222</f>
        <v/>
      </c>
    </row>
    <row r="972">
      <c r="A972" s="10" t="n">
        <v>44328</v>
      </c>
      <c r="B972" s="52" t="n">
        <v>7830663</v>
      </c>
      <c r="C972" s="16" t="n"/>
      <c r="D972" s="7">
        <f>(Table4[[#This Row],[WALCL]]/1000)/19222</f>
        <v/>
      </c>
    </row>
    <row r="973">
      <c r="A973" s="10" t="n">
        <v>44335</v>
      </c>
      <c r="B973" s="52" t="n">
        <v>7922883</v>
      </c>
      <c r="C973" s="16" t="n"/>
      <c r="D973" s="7">
        <f>(Table4[[#This Row],[WALCL]]/1000)/19222</f>
        <v/>
      </c>
    </row>
    <row r="974">
      <c r="A974" s="10" t="n">
        <v>44342</v>
      </c>
      <c r="B974" s="52" t="n">
        <v>7903541</v>
      </c>
      <c r="C974" s="16" t="n"/>
      <c r="D974" s="7">
        <f>(Table4[[#This Row],[WALCL]]/1000)/19222</f>
        <v/>
      </c>
    </row>
    <row r="975">
      <c r="A975" s="10" t="n">
        <v>44349</v>
      </c>
      <c r="B975" s="52" t="n">
        <v>7935703</v>
      </c>
      <c r="C975" s="16" t="n"/>
      <c r="D975" s="7">
        <f>(Table4[[#This Row],[WALCL]]/1000)/19222</f>
        <v/>
      </c>
    </row>
    <row r="976">
      <c r="A976" s="10" t="n">
        <v>44356</v>
      </c>
      <c r="B976" s="52" t="n">
        <v>7952327</v>
      </c>
      <c r="C976" s="16" t="n"/>
      <c r="D976" s="7">
        <f>(Table4[[#This Row],[WALCL]]/1000)/19222</f>
        <v/>
      </c>
    </row>
    <row r="977">
      <c r="A977" s="10" t="n">
        <v>44363</v>
      </c>
      <c r="B977" s="52" t="n">
        <v>8064257</v>
      </c>
      <c r="C977" s="16" t="n"/>
      <c r="D977" s="7">
        <f>(Table4[[#This Row],[WALCL]]/1000)/19222</f>
        <v/>
      </c>
    </row>
    <row r="978">
      <c r="A978" s="10" t="n">
        <v>44370</v>
      </c>
      <c r="B978" s="52" t="n">
        <v>8101945</v>
      </c>
      <c r="C978" s="16" t="n"/>
      <c r="D978" s="7">
        <f>(Table4[[#This Row],[WALCL]]/1000)/19222</f>
        <v/>
      </c>
    </row>
    <row r="979">
      <c r="A979" s="10" t="n">
        <v>44377</v>
      </c>
      <c r="B979" s="52" t="n">
        <v>8078544</v>
      </c>
      <c r="C979" s="16" t="n"/>
      <c r="D979" s="7">
        <f>(Table4[[#This Row],[WALCL]]/1000)/19222</f>
        <v/>
      </c>
    </row>
    <row r="980">
      <c r="A980" s="10" t="n">
        <v>44384</v>
      </c>
      <c r="B980" s="52" t="n">
        <v>8097773</v>
      </c>
      <c r="C980" s="16" t="n"/>
      <c r="D980" s="7">
        <f>(Table4[[#This Row],[WALCL]]/1000)/19222</f>
        <v/>
      </c>
    </row>
    <row r="981">
      <c r="A981" s="10" t="n">
        <v>44391</v>
      </c>
      <c r="B981" s="52" t="n">
        <v>8201651</v>
      </c>
      <c r="C981" s="16" t="n"/>
      <c r="D981" s="7">
        <f>(Table4[[#This Row],[WALCL]]/1000)/19222</f>
        <v/>
      </c>
    </row>
    <row r="982">
      <c r="A982" s="10" t="n">
        <v>44398</v>
      </c>
      <c r="B982" s="52" t="n">
        <v>8240530</v>
      </c>
      <c r="C982" s="16" t="n"/>
      <c r="D982" s="7">
        <f>(Table4[[#This Row],[WALCL]]/1000)/19222</f>
        <v/>
      </c>
    </row>
    <row r="983">
      <c r="A983" s="10" t="n">
        <v>44405</v>
      </c>
      <c r="B983" s="52" t="n">
        <v>8221473</v>
      </c>
      <c r="C983" s="16" t="n"/>
      <c r="D983" s="7">
        <f>(Table4[[#This Row],[WALCL]]/1000)/19222</f>
        <v/>
      </c>
    </row>
    <row r="984">
      <c r="A984" s="10" t="n">
        <v>44412</v>
      </c>
      <c r="B984" s="52" t="n">
        <v>8235073</v>
      </c>
      <c r="C984" s="16" t="n"/>
      <c r="D984" s="7">
        <f>(Table4[[#This Row],[WALCL]]/1000)/19222</f>
        <v/>
      </c>
    </row>
    <row r="985">
      <c r="A985" s="10" t="n">
        <v>44419</v>
      </c>
      <c r="B985" s="52" t="n">
        <v>8257159</v>
      </c>
      <c r="C985" s="16" t="n"/>
      <c r="D985" s="7">
        <f>(Table4[[#This Row],[WALCL]]/1000)/19222</f>
        <v/>
      </c>
    </row>
    <row r="986">
      <c r="A986" s="10" t="n">
        <v>44426</v>
      </c>
      <c r="B986" s="52" t="n">
        <v>8342598</v>
      </c>
      <c r="C986" s="16" t="n"/>
      <c r="D986" s="7">
        <f>(Table4[[#This Row],[WALCL]]/1000)/19222</f>
        <v/>
      </c>
    </row>
    <row r="987">
      <c r="A987" s="10" t="n">
        <v>44433</v>
      </c>
      <c r="B987" s="52" t="n">
        <v>8332743</v>
      </c>
      <c r="C987" s="16" t="n"/>
      <c r="D987" s="7">
        <f>(Table4[[#This Row],[WALCL]]/1000)/19222</f>
        <v/>
      </c>
    </row>
    <row r="988">
      <c r="A988" s="10" t="n">
        <v>44440</v>
      </c>
      <c r="B988" s="52" t="n">
        <v>8349173</v>
      </c>
      <c r="C988" s="16" t="n"/>
      <c r="D988" s="7">
        <f>(Table4[[#This Row],[WALCL]]/1000)/19222</f>
        <v/>
      </c>
    </row>
    <row r="989">
      <c r="A989" s="10" t="n">
        <v>44447</v>
      </c>
      <c r="B989" s="52" t="n">
        <v>8357314</v>
      </c>
      <c r="C989" s="16" t="n"/>
      <c r="D989" s="7">
        <f>(Table4[[#This Row],[WALCL]]/1000)/19222</f>
        <v/>
      </c>
    </row>
    <row r="990">
      <c r="A990" s="10" t="n">
        <v>44454</v>
      </c>
      <c r="B990" s="52" t="n">
        <v>8448770</v>
      </c>
      <c r="C990" s="16" t="n"/>
      <c r="D990" s="7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D286"/>
  <sheetViews>
    <sheetView zoomScale="160" zoomScaleNormal="160" workbookViewId="0">
      <selection activeCell="I5" sqref="I5"/>
    </sheetView>
  </sheetViews>
  <sheetFormatPr baseColWidth="10" defaultColWidth="9.1640625" defaultRowHeight="15"/>
  <cols>
    <col width="20.1640625" customWidth="1" style="72" min="1" max="1"/>
    <col width="14.1640625" customWidth="1" style="72" min="2" max="2"/>
    <col width="9.1640625" customWidth="1" style="72" min="3" max="3"/>
    <col width="10.1640625" bestFit="1" customWidth="1" style="72" min="4" max="4"/>
    <col width="9.1640625" customWidth="1" style="72" min="5" max="5"/>
    <col width="9.1640625" customWidth="1" style="72" min="6" max="16384"/>
  </cols>
  <sheetData>
    <row r="1">
      <c r="A1" s="19" t="inlineStr">
        <is>
          <t>FRED Graph Observations</t>
        </is>
      </c>
      <c r="B1" s="19" t="n"/>
    </row>
    <row r="2">
      <c r="A2" s="19" t="inlineStr">
        <is>
          <t>JPNASSETS</t>
        </is>
      </c>
      <c r="B2" s="19" t="inlineStr">
        <is>
          <t>Bank of Japan: Total Assets for Japan, 100 Million Yen, Monthly, Not Seasonally Adjusted</t>
        </is>
      </c>
    </row>
    <row r="3">
      <c r="B3" s="13" t="n"/>
    </row>
    <row r="4" ht="16" customHeight="1" s="54" thickBot="1">
      <c r="A4" s="19" t="inlineStr">
        <is>
          <t>Frequency: Monthly, End of Period</t>
        </is>
      </c>
      <c r="B4" s="19" t="n"/>
    </row>
    <row r="5" ht="86" customHeight="1" s="54" thickBot="1">
      <c r="A5" s="29" t="inlineStr">
        <is>
          <t>Month</t>
        </is>
      </c>
      <c r="B5" s="44" t="inlineStr">
        <is>
          <t>Bank of Japan: Total Assets for Japan, 100 Million Yen</t>
        </is>
      </c>
      <c r="C5" s="44" t="inlineStr">
        <is>
          <t>Nikkei 225</t>
        </is>
      </c>
      <c r="D5" s="30" t="inlineStr">
        <is>
          <t>BOJ Balance sheet as % of Japanese GDP</t>
        </is>
      </c>
    </row>
    <row r="6">
      <c r="A6" s="79" t="n">
        <v>35886</v>
      </c>
      <c r="B6" s="28" t="n">
        <v>800652</v>
      </c>
      <c r="C6" s="42" t="n">
        <v>15641.259766</v>
      </c>
      <c r="D6" s="89" t="n">
        <v>0.1784564895122944</v>
      </c>
    </row>
    <row r="7">
      <c r="A7" s="80" t="n">
        <v>35916</v>
      </c>
      <c r="B7" s="25" t="n">
        <v>771888</v>
      </c>
      <c r="C7" s="38" t="n">
        <v>15670.780273</v>
      </c>
      <c r="D7" s="90" t="n">
        <v>0.1720453115419257</v>
      </c>
    </row>
    <row r="8">
      <c r="A8" s="80" t="n">
        <v>35947</v>
      </c>
      <c r="B8" s="25" t="n">
        <v>753964</v>
      </c>
      <c r="C8" s="38" t="n">
        <v>15830.269531</v>
      </c>
      <c r="D8" s="90" t="n">
        <v>0.1680502498696657</v>
      </c>
    </row>
    <row r="9">
      <c r="A9" s="80" t="n">
        <v>35977</v>
      </c>
      <c r="B9" s="25" t="n">
        <v>724375</v>
      </c>
      <c r="C9" s="38" t="n">
        <v>16378.969727</v>
      </c>
      <c r="D9" s="90" t="n">
        <v>0.1611692068083213</v>
      </c>
    </row>
    <row r="10">
      <c r="A10" s="80" t="n">
        <v>36008</v>
      </c>
      <c r="B10" s="25" t="n">
        <v>763742</v>
      </c>
      <c r="C10" s="38" t="n">
        <v>14107.889648</v>
      </c>
      <c r="D10" s="90" t="n">
        <v>0.1699281343864723</v>
      </c>
    </row>
    <row r="11">
      <c r="A11" s="80" t="n">
        <v>36039</v>
      </c>
      <c r="B11" s="25" t="n">
        <v>783667</v>
      </c>
      <c r="C11" s="38" t="n">
        <v>13406.389648</v>
      </c>
      <c r="D11" s="90" t="n">
        <v>0.174361330515074</v>
      </c>
    </row>
    <row r="12">
      <c r="A12" s="80" t="n">
        <v>36069</v>
      </c>
      <c r="B12" s="25" t="n">
        <v>775368</v>
      </c>
      <c r="C12" s="38" t="n">
        <v>13564.509766</v>
      </c>
      <c r="D12" s="90" t="n">
        <v>0.1711849071999979</v>
      </c>
    </row>
    <row r="13">
      <c r="A13" s="80" t="n">
        <v>36100</v>
      </c>
      <c r="B13" s="25" t="n">
        <v>883012</v>
      </c>
      <c r="C13" s="38" t="n">
        <v>14883.700195</v>
      </c>
      <c r="D13" s="90" t="n">
        <v>0.1949504329253781</v>
      </c>
    </row>
    <row r="14">
      <c r="A14" s="80" t="n">
        <v>36130</v>
      </c>
      <c r="B14" s="25" t="n">
        <v>912382</v>
      </c>
      <c r="C14" s="38" t="n">
        <v>13842.169922</v>
      </c>
      <c r="D14" s="90" t="n">
        <v>0.2014347097132567</v>
      </c>
    </row>
    <row r="15">
      <c r="A15" s="80" t="n">
        <v>36161</v>
      </c>
      <c r="B15" s="25" t="n">
        <v>797188</v>
      </c>
      <c r="C15" s="38" t="n">
        <v>14499.25</v>
      </c>
      <c r="D15" s="90" t="n">
        <v>0.1782592848501924</v>
      </c>
    </row>
    <row r="16">
      <c r="A16" s="80" t="n">
        <v>36192</v>
      </c>
      <c r="B16" s="25" t="n">
        <v>755897</v>
      </c>
      <c r="C16" s="38" t="n">
        <v>14367.540039</v>
      </c>
      <c r="D16" s="90" t="n">
        <v>0.1690262003948954</v>
      </c>
    </row>
    <row r="17">
      <c r="A17" s="80" t="n">
        <v>36220</v>
      </c>
      <c r="B17" s="25" t="n">
        <v>797450</v>
      </c>
      <c r="C17" s="38" t="n">
        <v>15836.589844</v>
      </c>
      <c r="D17" s="90" t="n">
        <v>0.1783178706952261</v>
      </c>
    </row>
    <row r="18">
      <c r="A18" s="80" t="n">
        <v>36251</v>
      </c>
      <c r="B18" s="25" t="n">
        <v>791152</v>
      </c>
      <c r="C18" s="38" t="n">
        <v>16701.529297</v>
      </c>
      <c r="D18" s="90" t="n">
        <v>0.1763065852677462</v>
      </c>
    </row>
    <row r="19">
      <c r="A19" s="80" t="n">
        <v>36281</v>
      </c>
      <c r="B19" s="25" t="n">
        <v>744742</v>
      </c>
      <c r="C19" s="38" t="n">
        <v>16111.650391</v>
      </c>
      <c r="D19" s="90" t="n">
        <v>0.1659642128509715</v>
      </c>
    </row>
    <row r="20">
      <c r="A20" s="80" t="n">
        <v>36312</v>
      </c>
      <c r="B20" s="25" t="n">
        <v>734211</v>
      </c>
      <c r="C20" s="38" t="n">
        <v>17529.740234</v>
      </c>
      <c r="D20" s="90" t="n">
        <v>0.1636174013034375</v>
      </c>
    </row>
    <row r="21">
      <c r="A21" s="80" t="n">
        <v>36342</v>
      </c>
      <c r="B21" s="25" t="n">
        <v>686329</v>
      </c>
      <c r="C21" s="38" t="n">
        <v>17861.859375</v>
      </c>
      <c r="D21" s="90" t="n">
        <v>0.1520887329237031</v>
      </c>
    </row>
    <row r="22">
      <c r="A22" s="80" t="n">
        <v>36373</v>
      </c>
      <c r="B22" s="25" t="n">
        <v>680224</v>
      </c>
      <c r="C22" s="38" t="n">
        <v>17436.560547</v>
      </c>
      <c r="D22" s="90" t="n">
        <v>0.1507358806990423</v>
      </c>
    </row>
    <row r="23">
      <c r="A23" s="80" t="n">
        <v>36404</v>
      </c>
      <c r="B23" s="25" t="n">
        <v>688207</v>
      </c>
      <c r="C23" s="38" t="n">
        <v>17605.460938</v>
      </c>
      <c r="D23" s="90" t="n">
        <v>0.1525048928709452</v>
      </c>
    </row>
    <row r="24">
      <c r="A24" s="80" t="n">
        <v>36434</v>
      </c>
      <c r="B24" s="25" t="n">
        <v>680064</v>
      </c>
      <c r="C24" s="38" t="n">
        <v>17942.080078</v>
      </c>
      <c r="D24" s="90" t="n">
        <v>0.1506155832593245</v>
      </c>
    </row>
    <row r="25">
      <c r="A25" s="80" t="n">
        <v>36465</v>
      </c>
      <c r="B25" s="25" t="n">
        <v>841508</v>
      </c>
      <c r="C25" s="38" t="n">
        <v>18558.230469</v>
      </c>
      <c r="D25" s="90" t="n">
        <v>0.1863710154300003</v>
      </c>
    </row>
    <row r="26">
      <c r="A26" s="80" t="n">
        <v>36495</v>
      </c>
      <c r="B26" s="25" t="n">
        <v>1113478</v>
      </c>
      <c r="C26" s="38" t="n">
        <v>18934.339844</v>
      </c>
      <c r="D26" s="90" t="n">
        <v>0.246604934853817</v>
      </c>
    </row>
    <row r="27">
      <c r="A27" s="80" t="n">
        <v>36526</v>
      </c>
      <c r="B27" s="25" t="n">
        <v>905251</v>
      </c>
      <c r="C27" s="38" t="n">
        <v>19539.699219</v>
      </c>
      <c r="D27" s="90" t="n">
        <v>0.1969261927318489</v>
      </c>
    </row>
    <row r="28">
      <c r="A28" s="80" t="n">
        <v>36557</v>
      </c>
      <c r="B28" s="25" t="n">
        <v>941085</v>
      </c>
      <c r="C28" s="38" t="n">
        <v>19959.519531</v>
      </c>
      <c r="D28" s="90" t="n">
        <v>0.2047214375759343</v>
      </c>
    </row>
    <row r="29">
      <c r="A29" s="80" t="n">
        <v>36586</v>
      </c>
      <c r="B29" s="25" t="n">
        <v>1062017</v>
      </c>
      <c r="C29" s="38" t="n">
        <v>20337.320313</v>
      </c>
      <c r="D29" s="90" t="n">
        <v>0.2310287030077846</v>
      </c>
    </row>
    <row r="30">
      <c r="A30" s="80" t="n">
        <v>36617</v>
      </c>
      <c r="B30" s="25" t="n">
        <v>797289</v>
      </c>
      <c r="C30" s="38" t="n">
        <v>17973.699219</v>
      </c>
      <c r="D30" s="90" t="n">
        <v>0.1729600659135977</v>
      </c>
    </row>
    <row r="31">
      <c r="A31" s="80" t="n">
        <v>36647</v>
      </c>
      <c r="B31" s="25" t="n">
        <v>838507</v>
      </c>
      <c r="C31" s="38" t="n">
        <v>16332.450195</v>
      </c>
      <c r="D31" s="90" t="n">
        <v>0.1819017018785072</v>
      </c>
    </row>
    <row r="32">
      <c r="A32" s="80" t="n">
        <v>36678</v>
      </c>
      <c r="B32" s="25" t="n">
        <v>837194</v>
      </c>
      <c r="C32" s="38" t="n">
        <v>17411.050781</v>
      </c>
      <c r="D32" s="90" t="n">
        <v>0.1816168659325145</v>
      </c>
    </row>
    <row r="33">
      <c r="A33" s="80" t="n">
        <v>36708</v>
      </c>
      <c r="B33" s="25" t="n">
        <v>807840</v>
      </c>
      <c r="C33" s="38" t="n">
        <v>15727.490234</v>
      </c>
      <c r="D33" s="90" t="n">
        <v>0.1751119648787619</v>
      </c>
    </row>
    <row r="34">
      <c r="A34" s="80" t="n">
        <v>36739</v>
      </c>
      <c r="B34" s="25" t="n">
        <v>885391</v>
      </c>
      <c r="C34" s="38" t="n">
        <v>16861.259766</v>
      </c>
      <c r="D34" s="90" t="n">
        <v>0.1919223580114526</v>
      </c>
    </row>
    <row r="35">
      <c r="A35" s="80" t="n">
        <v>36770</v>
      </c>
      <c r="B35" s="25" t="n">
        <v>853390</v>
      </c>
      <c r="C35" s="38" t="n">
        <v>15747.259766</v>
      </c>
      <c r="D35" s="90" t="n">
        <v>0.1849856403593368</v>
      </c>
    </row>
    <row r="36">
      <c r="A36" s="80" t="n">
        <v>36800</v>
      </c>
      <c r="B36" s="25" t="n">
        <v>920988</v>
      </c>
      <c r="C36" s="38" t="n">
        <v>14539.599609</v>
      </c>
      <c r="D36" s="90" t="n">
        <v>0.1977137466942625</v>
      </c>
    </row>
    <row r="37">
      <c r="A37" s="80" t="n">
        <v>36831</v>
      </c>
      <c r="B37" s="25" t="n">
        <v>1054097</v>
      </c>
      <c r="C37" s="38" t="n">
        <v>14648.509766</v>
      </c>
      <c r="D37" s="90" t="n">
        <v>0.2262890148939856</v>
      </c>
    </row>
    <row r="38">
      <c r="A38" s="80" t="n">
        <v>36861</v>
      </c>
      <c r="B38" s="25" t="n">
        <v>1067962</v>
      </c>
      <c r="C38" s="38" t="n">
        <v>13785.69043</v>
      </c>
      <c r="D38" s="90" t="n">
        <v>0.2292654935211946</v>
      </c>
    </row>
    <row r="39">
      <c r="A39" s="80" t="n">
        <v>36892</v>
      </c>
      <c r="B39" s="25" t="n">
        <v>1078487</v>
      </c>
      <c r="C39" s="38" t="n">
        <v>13843.549805</v>
      </c>
      <c r="D39" s="90" t="n">
        <v>0.2302723502453706</v>
      </c>
    </row>
    <row r="40">
      <c r="A40" s="80" t="n">
        <v>36923</v>
      </c>
      <c r="B40" s="25" t="n">
        <v>1102160</v>
      </c>
      <c r="C40" s="38" t="n">
        <v>12883.540039</v>
      </c>
      <c r="D40" s="90" t="n">
        <v>0.2353268732459804</v>
      </c>
    </row>
    <row r="41">
      <c r="A41" s="80" t="n">
        <v>36951</v>
      </c>
      <c r="B41" s="25" t="n">
        <v>1150959</v>
      </c>
      <c r="C41" s="38" t="n">
        <v>12999.700195</v>
      </c>
      <c r="D41" s="90" t="n">
        <v>0.2457461554622925</v>
      </c>
    </row>
    <row r="42">
      <c r="A42" s="80" t="n">
        <v>36982</v>
      </c>
      <c r="B42" s="25" t="n">
        <v>1123259</v>
      </c>
      <c r="C42" s="38" t="n">
        <v>13934.320313</v>
      </c>
      <c r="D42" s="90" t="n">
        <v>0.2410174125504856</v>
      </c>
    </row>
    <row r="43">
      <c r="A43" s="80" t="n">
        <v>37012</v>
      </c>
      <c r="B43" s="25" t="n">
        <v>1138146</v>
      </c>
      <c r="C43" s="38" t="n">
        <v>13262.139648</v>
      </c>
      <c r="D43" s="90" t="n">
        <v>0.2442117125477606</v>
      </c>
    </row>
    <row r="44">
      <c r="A44" s="80" t="n">
        <v>37043</v>
      </c>
      <c r="B44" s="25" t="n">
        <v>1169329</v>
      </c>
      <c r="C44" s="38" t="n">
        <v>12969.049805</v>
      </c>
      <c r="D44" s="90" t="n">
        <v>0.2509026413322722</v>
      </c>
    </row>
    <row r="45">
      <c r="A45" s="80" t="n">
        <v>37073</v>
      </c>
      <c r="B45" s="25" t="n">
        <v>1163779</v>
      </c>
      <c r="C45" s="38" t="n">
        <v>11860.769531</v>
      </c>
      <c r="D45" s="90" t="n">
        <v>0.2522828454324557</v>
      </c>
    </row>
    <row r="46">
      <c r="A46" s="80" t="n">
        <v>37104</v>
      </c>
      <c r="B46" s="25" t="n">
        <v>1133882</v>
      </c>
      <c r="C46" s="38" t="n">
        <v>10713.509766</v>
      </c>
      <c r="D46" s="90" t="n">
        <v>0.2458018037313302</v>
      </c>
    </row>
    <row r="47">
      <c r="A47" s="80" t="n">
        <v>37135</v>
      </c>
      <c r="B47" s="25" t="n">
        <v>1156156</v>
      </c>
      <c r="C47" s="38" t="n">
        <v>9774.679688</v>
      </c>
      <c r="D47" s="90" t="n">
        <v>0.2506303391312322</v>
      </c>
    </row>
    <row r="48">
      <c r="A48" s="80" t="n">
        <v>37165</v>
      </c>
      <c r="B48" s="25" t="n">
        <v>1107271</v>
      </c>
      <c r="C48" s="38" t="n">
        <v>10366.339844</v>
      </c>
      <c r="D48" s="90" t="n">
        <v>0.2407710703579631</v>
      </c>
    </row>
    <row r="49">
      <c r="A49" s="80" t="n">
        <v>37196</v>
      </c>
      <c r="B49" s="25" t="n">
        <v>1133942</v>
      </c>
      <c r="C49" s="38" t="n">
        <v>10697.44043</v>
      </c>
      <c r="D49" s="90" t="n">
        <v>0.2465705586652674</v>
      </c>
    </row>
    <row r="50">
      <c r="A50" s="80" t="n">
        <v>37226</v>
      </c>
      <c r="B50" s="25" t="n">
        <v>1175079</v>
      </c>
      <c r="C50" s="38" t="n">
        <v>10542.620117</v>
      </c>
      <c r="D50" s="90" t="n">
        <v>0.2555156132375587</v>
      </c>
    </row>
    <row r="51">
      <c r="A51" s="80" t="n">
        <v>37257</v>
      </c>
      <c r="B51" s="25" t="n">
        <v>1224388</v>
      </c>
      <c r="C51" s="38" t="n">
        <v>9997.799805000001</v>
      </c>
      <c r="D51" s="90" t="n">
        <v>0.265764915127607</v>
      </c>
    </row>
    <row r="52">
      <c r="A52" s="80" t="n">
        <v>37288</v>
      </c>
      <c r="B52" s="25" t="n">
        <v>1313520</v>
      </c>
      <c r="C52" s="38" t="n">
        <v>10587.830078</v>
      </c>
      <c r="D52" s="90" t="n">
        <v>0.2851118528754075</v>
      </c>
    </row>
    <row r="53">
      <c r="A53" s="80" t="n">
        <v>37316</v>
      </c>
      <c r="B53" s="25" t="n">
        <v>1385648</v>
      </c>
      <c r="C53" s="38" t="n">
        <v>11024.94043</v>
      </c>
      <c r="D53" s="90" t="n">
        <v>0.3007679127178136</v>
      </c>
    </row>
    <row r="54">
      <c r="A54" s="80" t="n">
        <v>37347</v>
      </c>
      <c r="B54" s="25" t="n">
        <v>1328094</v>
      </c>
      <c r="C54" s="38" t="n">
        <v>11492.540039</v>
      </c>
      <c r="D54" s="90" t="n">
        <v>0.2861697978637902</v>
      </c>
    </row>
    <row r="55">
      <c r="A55" s="80" t="n">
        <v>37377</v>
      </c>
      <c r="B55" s="25" t="n">
        <v>1279453</v>
      </c>
      <c r="C55" s="38" t="n">
        <v>11763.700195</v>
      </c>
      <c r="D55" s="90" t="n">
        <v>0.2756889244181662</v>
      </c>
    </row>
    <row r="56">
      <c r="A56" s="80" t="n">
        <v>37408</v>
      </c>
      <c r="B56" s="25" t="n">
        <v>1241193</v>
      </c>
      <c r="C56" s="38" t="n">
        <v>10621.839844</v>
      </c>
      <c r="D56" s="90" t="n">
        <v>0.267444887123917</v>
      </c>
    </row>
    <row r="57">
      <c r="A57" s="80" t="n">
        <v>37438</v>
      </c>
      <c r="B57" s="25" t="n">
        <v>1265421</v>
      </c>
      <c r="C57" s="38" t="n">
        <v>9877.940430000001</v>
      </c>
      <c r="D57" s="90" t="n">
        <v>0.2718018916272918</v>
      </c>
    </row>
    <row r="58">
      <c r="A58" s="80" t="n">
        <v>37469</v>
      </c>
      <c r="B58" s="25" t="n">
        <v>1284793</v>
      </c>
      <c r="C58" s="38" t="n">
        <v>9619.299805000001</v>
      </c>
      <c r="D58" s="90" t="n">
        <v>0.275962835885846</v>
      </c>
    </row>
    <row r="59">
      <c r="A59" s="80" t="n">
        <v>37500</v>
      </c>
      <c r="B59" s="25" t="n">
        <v>1244691</v>
      </c>
      <c r="C59" s="38" t="n">
        <v>9383.290039</v>
      </c>
      <c r="D59" s="90" t="n">
        <v>0.2673492602789628</v>
      </c>
    </row>
    <row r="60">
      <c r="A60" s="80" t="n">
        <v>37530</v>
      </c>
      <c r="B60" s="25" t="n">
        <v>1246432</v>
      </c>
      <c r="C60" s="38" t="n">
        <v>8640.480469</v>
      </c>
      <c r="D60" s="90" t="n">
        <v>0.267028465523384</v>
      </c>
    </row>
    <row r="61">
      <c r="A61" s="80" t="n">
        <v>37561</v>
      </c>
      <c r="B61" s="25" t="n">
        <v>1250866</v>
      </c>
      <c r="C61" s="38" t="n">
        <v>9215.559569999999</v>
      </c>
      <c r="D61" s="90" t="n">
        <v>0.2679783803331214</v>
      </c>
    </row>
    <row r="62">
      <c r="A62" s="80" t="n">
        <v>37591</v>
      </c>
      <c r="B62" s="25" t="n">
        <v>1251263</v>
      </c>
      <c r="C62" s="38" t="n">
        <v>8578.950194999999</v>
      </c>
      <c r="D62" s="90" t="n">
        <v>0.2680634313433753</v>
      </c>
    </row>
    <row r="63">
      <c r="A63" s="80" t="n">
        <v>37622</v>
      </c>
      <c r="B63" s="25" t="n">
        <v>1245386</v>
      </c>
      <c r="C63" s="38" t="n">
        <v>8339.940430000001</v>
      </c>
      <c r="D63" s="90" t="n">
        <v>0.2665821003540697</v>
      </c>
    </row>
    <row r="64">
      <c r="A64" s="80" t="n">
        <v>37653</v>
      </c>
      <c r="B64" s="25" t="n">
        <v>1325273</v>
      </c>
      <c r="C64" s="38" t="n">
        <v>8363.040039</v>
      </c>
      <c r="D64" s="90" t="n">
        <v>0.2836823762934054</v>
      </c>
    </row>
    <row r="65">
      <c r="A65" s="80" t="n">
        <v>37681</v>
      </c>
      <c r="B65" s="25" t="n">
        <v>1411674</v>
      </c>
      <c r="C65" s="38" t="n">
        <v>7972.709961</v>
      </c>
      <c r="D65" s="90" t="n">
        <v>0.3021770117338969</v>
      </c>
    </row>
    <row r="66">
      <c r="A66" s="80" t="n">
        <v>37712</v>
      </c>
      <c r="B66" s="25" t="n">
        <v>1283101</v>
      </c>
      <c r="C66" s="38" t="n">
        <v>7831.419922</v>
      </c>
      <c r="D66" s="90" t="n">
        <v>0.2729451010849086</v>
      </c>
    </row>
    <row r="67">
      <c r="A67" s="80" t="n">
        <v>37742</v>
      </c>
      <c r="B67" s="25" t="n">
        <v>1306815</v>
      </c>
      <c r="C67" s="38" t="n">
        <v>8424.509765999999</v>
      </c>
      <c r="D67" s="90" t="n">
        <v>0.2779896144374253</v>
      </c>
    </row>
    <row r="68">
      <c r="A68" s="80" t="n">
        <v>37773</v>
      </c>
      <c r="B68" s="25" t="n">
        <v>1252605</v>
      </c>
      <c r="C68" s="38" t="n">
        <v>9083.110352</v>
      </c>
      <c r="D68" s="90" t="n">
        <v>0.2664579003090652</v>
      </c>
    </row>
    <row r="69">
      <c r="A69" s="80" t="n">
        <v>37803</v>
      </c>
      <c r="B69" s="25" t="n">
        <v>1263771</v>
      </c>
      <c r="C69" s="38" t="n">
        <v>9563.209961</v>
      </c>
      <c r="D69" s="90" t="n">
        <v>0.2677995538549463</v>
      </c>
    </row>
    <row r="70">
      <c r="A70" s="80" t="n">
        <v>37834</v>
      </c>
      <c r="B70" s="25" t="n">
        <v>1283228</v>
      </c>
      <c r="C70" s="38" t="n">
        <v>10343.549805</v>
      </c>
      <c r="D70" s="90" t="n">
        <v>0.2719225919048427</v>
      </c>
    </row>
    <row r="71">
      <c r="A71" s="80" t="n">
        <v>37865</v>
      </c>
      <c r="B71" s="25" t="n">
        <v>1339295</v>
      </c>
      <c r="C71" s="38" t="n">
        <v>10219.049805</v>
      </c>
      <c r="D71" s="90" t="n">
        <v>0.2838034766426515</v>
      </c>
    </row>
    <row r="72">
      <c r="A72" s="80" t="n">
        <v>37895</v>
      </c>
      <c r="B72" s="25" t="n">
        <v>1322521</v>
      </c>
      <c r="C72" s="38" t="n">
        <v>10559.589844</v>
      </c>
      <c r="D72" s="90" t="n">
        <v>0.2771792175685031</v>
      </c>
    </row>
    <row r="73">
      <c r="A73" s="80" t="n">
        <v>37926</v>
      </c>
      <c r="B73" s="25" t="n">
        <v>1347558</v>
      </c>
      <c r="C73" s="38" t="n">
        <v>10100.570313</v>
      </c>
      <c r="D73" s="90" t="n">
        <v>0.2824265717279172</v>
      </c>
    </row>
    <row r="74">
      <c r="A74" s="80" t="n">
        <v>37956</v>
      </c>
      <c r="B74" s="25" t="n">
        <v>1313685</v>
      </c>
      <c r="C74" s="38" t="n">
        <v>10676.639648</v>
      </c>
      <c r="D74" s="90" t="n">
        <v>0.2753273335028169</v>
      </c>
    </row>
    <row r="75">
      <c r="A75" s="80" t="n">
        <v>37987</v>
      </c>
      <c r="B75" s="25" t="n">
        <v>1354300</v>
      </c>
      <c r="C75" s="38" t="n">
        <v>10783.610352</v>
      </c>
      <c r="D75" s="90" t="n">
        <v>0.2818488351233222</v>
      </c>
    </row>
    <row r="76">
      <c r="A76" s="80" t="n">
        <v>38018</v>
      </c>
      <c r="B76" s="25" t="n">
        <v>1405509</v>
      </c>
      <c r="C76" s="38" t="n">
        <v>11041.919922</v>
      </c>
      <c r="D76" s="90" t="n">
        <v>0.2925061466479697</v>
      </c>
    </row>
    <row r="77">
      <c r="A77" s="80" t="n">
        <v>38047</v>
      </c>
      <c r="B77" s="25" t="n">
        <v>1493819</v>
      </c>
      <c r="C77" s="38" t="n">
        <v>11715.389648</v>
      </c>
      <c r="D77" s="90" t="n">
        <v>0.3108846969172901</v>
      </c>
    </row>
    <row r="78">
      <c r="A78" s="80" t="n">
        <v>38078</v>
      </c>
      <c r="B78" s="25" t="n">
        <v>1382514</v>
      </c>
      <c r="C78" s="38" t="n">
        <v>11761.790039</v>
      </c>
      <c r="D78" s="90" t="n">
        <v>0.2876797928476765</v>
      </c>
    </row>
    <row r="79">
      <c r="A79" s="80" t="n">
        <v>38108</v>
      </c>
      <c r="B79" s="25" t="n">
        <v>1390667</v>
      </c>
      <c r="C79" s="38" t="n">
        <v>11236.370117</v>
      </c>
      <c r="D79" s="90" t="n">
        <v>0.2893763061206612</v>
      </c>
    </row>
    <row r="80">
      <c r="A80" s="80" t="n">
        <v>38139</v>
      </c>
      <c r="B80" s="25" t="n">
        <v>1347362</v>
      </c>
      <c r="C80" s="38" t="n">
        <v>11858.870117</v>
      </c>
      <c r="D80" s="90" t="n">
        <v>0.2803652050184166</v>
      </c>
    </row>
    <row r="81">
      <c r="A81" s="80" t="n">
        <v>38169</v>
      </c>
      <c r="B81" s="25" t="n">
        <v>1314783</v>
      </c>
      <c r="C81" s="38" t="n">
        <v>11325.780273</v>
      </c>
      <c r="D81" s="90" t="n">
        <v>0.2719034750863255</v>
      </c>
    </row>
    <row r="82">
      <c r="A82" s="80" t="n">
        <v>38200</v>
      </c>
      <c r="B82" s="25" t="n">
        <v>1382251</v>
      </c>
      <c r="C82" s="38" t="n">
        <v>11081.790039</v>
      </c>
      <c r="D82" s="90" t="n">
        <v>0.2858561833713613</v>
      </c>
    </row>
    <row r="83">
      <c r="A83" s="80" t="n">
        <v>38231</v>
      </c>
      <c r="B83" s="25" t="n">
        <v>1394564</v>
      </c>
      <c r="C83" s="38" t="n">
        <v>10823.570313</v>
      </c>
      <c r="D83" s="90" t="n">
        <v>0.288402571245815</v>
      </c>
    </row>
    <row r="84">
      <c r="A84" s="80" t="n">
        <v>38261</v>
      </c>
      <c r="B84" s="25" t="n">
        <v>1384015</v>
      </c>
      <c r="C84" s="38" t="n">
        <v>10771.419922</v>
      </c>
      <c r="D84" s="90" t="n">
        <v>0.286800700333195</v>
      </c>
    </row>
    <row r="85">
      <c r="A85" s="80" t="n">
        <v>38292</v>
      </c>
      <c r="B85" s="25" t="n">
        <v>1478802</v>
      </c>
      <c r="C85" s="38" t="n">
        <v>10899.25</v>
      </c>
      <c r="D85" s="90" t="n">
        <v>0.306442812580882</v>
      </c>
    </row>
    <row r="86">
      <c r="A86" s="80" t="n">
        <v>38322</v>
      </c>
      <c r="B86" s="25" t="n">
        <v>1445467</v>
      </c>
      <c r="C86" s="38" t="n">
        <v>11488.759766</v>
      </c>
      <c r="D86" s="90" t="n">
        <v>0.2995350107538736</v>
      </c>
    </row>
    <row r="87">
      <c r="A87" s="80" t="n">
        <v>38353</v>
      </c>
      <c r="B87" s="25" t="n">
        <v>1473561</v>
      </c>
      <c r="C87" s="38" t="n">
        <v>11387.589844</v>
      </c>
      <c r="D87" s="90" t="n">
        <v>0.3038676721895363</v>
      </c>
    </row>
    <row r="88">
      <c r="A88" s="80" t="n">
        <v>38384</v>
      </c>
      <c r="B88" s="25" t="n">
        <v>1514085</v>
      </c>
      <c r="C88" s="38" t="n">
        <v>11740.599609</v>
      </c>
      <c r="D88" s="90" t="n">
        <v>0.312224254338364</v>
      </c>
    </row>
    <row r="89">
      <c r="A89" s="80" t="n">
        <v>38412</v>
      </c>
      <c r="B89" s="25" t="n">
        <v>1505173</v>
      </c>
      <c r="C89" s="38" t="n">
        <v>11668.950195</v>
      </c>
      <c r="D89" s="90" t="n">
        <v>0.310386482644791</v>
      </c>
    </row>
    <row r="90">
      <c r="A90" s="80" t="n">
        <v>38443</v>
      </c>
      <c r="B90" s="25" t="n">
        <v>1473513</v>
      </c>
      <c r="C90" s="38" t="n">
        <v>11008.900391</v>
      </c>
      <c r="D90" s="90" t="n">
        <v>0.3018557357410016</v>
      </c>
    </row>
    <row r="91">
      <c r="A91" s="80" t="n">
        <v>38473</v>
      </c>
      <c r="B91" s="25" t="n">
        <v>1477619</v>
      </c>
      <c r="C91" s="38" t="n">
        <v>11276.589844</v>
      </c>
      <c r="D91" s="90" t="n">
        <v>0.3026968682257185</v>
      </c>
    </row>
    <row r="92">
      <c r="A92" s="80" t="n">
        <v>38504</v>
      </c>
      <c r="B92" s="25" t="n">
        <v>1442122</v>
      </c>
      <c r="C92" s="38" t="n">
        <v>11584.009766</v>
      </c>
      <c r="D92" s="90" t="n">
        <v>0.2954251488370206</v>
      </c>
    </row>
    <row r="93">
      <c r="A93" s="80" t="n">
        <v>38534</v>
      </c>
      <c r="B93" s="25" t="n">
        <v>1476503</v>
      </c>
      <c r="C93" s="38" t="n">
        <v>11899.599609</v>
      </c>
      <c r="D93" s="90" t="n">
        <v>0.2995921375333096</v>
      </c>
    </row>
    <row r="94">
      <c r="A94" s="80" t="n">
        <v>38565</v>
      </c>
      <c r="B94" s="25" t="n">
        <v>1513847</v>
      </c>
      <c r="C94" s="38" t="n">
        <v>12413.599609</v>
      </c>
      <c r="D94" s="90" t="n">
        <v>0.3071694799322374</v>
      </c>
    </row>
    <row r="95">
      <c r="A95" s="80" t="n">
        <v>38596</v>
      </c>
      <c r="B95" s="25" t="n">
        <v>1481357</v>
      </c>
      <c r="C95" s="38" t="n">
        <v>13574.299805</v>
      </c>
      <c r="D95" s="90" t="n">
        <v>0.3005770459524505</v>
      </c>
    </row>
    <row r="96">
      <c r="A96" s="80" t="n">
        <v>38626</v>
      </c>
      <c r="B96" s="25" t="n">
        <v>1477546</v>
      </c>
      <c r="C96" s="38" t="n">
        <v>13606.5</v>
      </c>
      <c r="D96" s="90" t="n">
        <v>0.2992632782679039</v>
      </c>
    </row>
    <row r="97">
      <c r="A97" s="80" t="n">
        <v>38657</v>
      </c>
      <c r="B97" s="25" t="n">
        <v>1519701</v>
      </c>
      <c r="C97" s="38" t="n">
        <v>14872.150391</v>
      </c>
      <c r="D97" s="90" t="n">
        <v>0.3078013836774028</v>
      </c>
    </row>
    <row r="98">
      <c r="A98" s="80" t="n">
        <v>38687</v>
      </c>
      <c r="B98" s="25" t="n">
        <v>1556071</v>
      </c>
      <c r="C98" s="38" t="n">
        <v>16111.429688</v>
      </c>
      <c r="D98" s="90" t="n">
        <v>0.3151677908353551</v>
      </c>
    </row>
    <row r="99">
      <c r="A99" s="80" t="n">
        <v>38718</v>
      </c>
      <c r="B99" s="25" t="n">
        <v>1528656</v>
      </c>
      <c r="C99" s="38" t="n">
        <v>16649.820313</v>
      </c>
      <c r="D99" s="90" t="n">
        <v>0.3090448405897717</v>
      </c>
    </row>
    <row r="100">
      <c r="A100" s="80" t="n">
        <v>38749</v>
      </c>
      <c r="B100" s="25" t="n">
        <v>1523477</v>
      </c>
      <c r="C100" s="38" t="n">
        <v>16205.429688</v>
      </c>
      <c r="D100" s="90" t="n">
        <v>0.3079978141630187</v>
      </c>
    </row>
    <row r="101">
      <c r="A101" s="80" t="n">
        <v>38777</v>
      </c>
      <c r="B101" s="25" t="n">
        <v>1448629</v>
      </c>
      <c r="C101" s="38" t="n">
        <v>17059.660156</v>
      </c>
      <c r="D101" s="90" t="n">
        <v>0.2928659674764763</v>
      </c>
    </row>
    <row r="102">
      <c r="A102" s="80" t="n">
        <v>38808</v>
      </c>
      <c r="B102" s="25" t="n">
        <v>1299799</v>
      </c>
      <c r="C102" s="38" t="n">
        <v>16906.230469</v>
      </c>
      <c r="D102" s="90" t="n">
        <v>0.2621390140516138</v>
      </c>
    </row>
    <row r="103">
      <c r="A103" s="80" t="n">
        <v>38838</v>
      </c>
      <c r="B103" s="25" t="n">
        <v>1227935</v>
      </c>
      <c r="C103" s="38" t="n">
        <v>15467.330078</v>
      </c>
      <c r="D103" s="90" t="n">
        <v>0.2476457284699161</v>
      </c>
    </row>
    <row r="104">
      <c r="A104" s="80" t="n">
        <v>38869</v>
      </c>
      <c r="B104" s="25" t="n">
        <v>1138328</v>
      </c>
      <c r="C104" s="38" t="n">
        <v>15505.179688</v>
      </c>
      <c r="D104" s="90" t="n">
        <v>0.2295740953696268</v>
      </c>
    </row>
    <row r="105">
      <c r="A105" s="80" t="n">
        <v>38899</v>
      </c>
      <c r="B105" s="25" t="n">
        <v>1159675</v>
      </c>
      <c r="C105" s="38" t="n">
        <v>15456.80957</v>
      </c>
      <c r="D105" s="90" t="n">
        <v>0.2342979889376316</v>
      </c>
    </row>
    <row r="106">
      <c r="A106" s="80" t="n">
        <v>38930</v>
      </c>
      <c r="B106" s="25" t="n">
        <v>1132672</v>
      </c>
      <c r="C106" s="38" t="n">
        <v>16140.759766</v>
      </c>
      <c r="D106" s="90" t="n">
        <v>0.2288423668061871</v>
      </c>
    </row>
    <row r="107">
      <c r="A107" s="80" t="n">
        <v>38961</v>
      </c>
      <c r="B107" s="25" t="n">
        <v>1174523</v>
      </c>
      <c r="C107" s="38" t="n">
        <v>16127.580078</v>
      </c>
      <c r="D107" s="90" t="n">
        <v>0.2372978436725754</v>
      </c>
    </row>
    <row r="108">
      <c r="A108" s="80" t="n">
        <v>38991</v>
      </c>
      <c r="B108" s="25" t="n">
        <v>1151993</v>
      </c>
      <c r="C108" s="38" t="n">
        <v>16399.390625</v>
      </c>
      <c r="D108" s="90" t="n">
        <v>0.2297353998477196</v>
      </c>
    </row>
    <row r="109">
      <c r="A109" s="80" t="n">
        <v>39022</v>
      </c>
      <c r="B109" s="25" t="n">
        <v>1185414</v>
      </c>
      <c r="C109" s="38" t="n">
        <v>16274.330078</v>
      </c>
      <c r="D109" s="90" t="n">
        <v>0.2364003594423618</v>
      </c>
    </row>
    <row r="110">
      <c r="A110" s="80" t="n">
        <v>39052</v>
      </c>
      <c r="B110" s="25" t="n">
        <v>1155436</v>
      </c>
      <c r="C110" s="38" t="n">
        <v>17225.830078</v>
      </c>
      <c r="D110" s="90" t="n">
        <v>0.2304220177192481</v>
      </c>
    </row>
    <row r="111">
      <c r="A111" s="80" t="n">
        <v>39083</v>
      </c>
      <c r="B111" s="25" t="n">
        <v>1146223</v>
      </c>
      <c r="C111" s="38" t="n">
        <v>17383.419922</v>
      </c>
      <c r="D111" s="90" t="n">
        <v>0.2269250178525151</v>
      </c>
    </row>
    <row r="112">
      <c r="A112" s="80" t="n">
        <v>39114</v>
      </c>
      <c r="B112" s="25" t="n">
        <v>1176947</v>
      </c>
      <c r="C112" s="38" t="n">
        <v>17604.119141</v>
      </c>
      <c r="D112" s="90" t="n">
        <v>0.2330076424800969</v>
      </c>
    </row>
    <row r="113">
      <c r="A113" s="80" t="n">
        <v>39142</v>
      </c>
      <c r="B113" s="25" t="n">
        <v>1127409</v>
      </c>
      <c r="C113" s="38" t="n">
        <v>17287.650391</v>
      </c>
      <c r="D113" s="90" t="n">
        <v>0.2232002912627702</v>
      </c>
    </row>
    <row r="114">
      <c r="A114" s="80" t="n">
        <v>39173</v>
      </c>
      <c r="B114" s="25" t="n">
        <v>1060053</v>
      </c>
      <c r="C114" s="38" t="n">
        <v>17400.410156</v>
      </c>
      <c r="D114" s="90" t="n">
        <v>0.2096297510652515</v>
      </c>
    </row>
    <row r="115">
      <c r="A115" s="80" t="n">
        <v>39203</v>
      </c>
      <c r="B115" s="25" t="n">
        <v>1075105</v>
      </c>
      <c r="C115" s="38" t="n">
        <v>17875.75</v>
      </c>
      <c r="D115" s="90" t="n">
        <v>0.2126063447006963</v>
      </c>
    </row>
    <row r="116">
      <c r="A116" s="80" t="n">
        <v>39234</v>
      </c>
      <c r="B116" s="25" t="n">
        <v>1000712</v>
      </c>
      <c r="C116" s="38" t="n">
        <v>18138.359375</v>
      </c>
      <c r="D116" s="90" t="n">
        <v>0.1978948292660933</v>
      </c>
    </row>
    <row r="117">
      <c r="A117" s="80" t="n">
        <v>39264</v>
      </c>
      <c r="B117" s="25" t="n">
        <v>1077171</v>
      </c>
      <c r="C117" s="38" t="n">
        <v>17248.890625</v>
      </c>
      <c r="D117" s="90" t="n">
        <v>0.2140698046928099</v>
      </c>
    </row>
    <row r="118">
      <c r="A118" s="80" t="n">
        <v>39295</v>
      </c>
      <c r="B118" s="25" t="n">
        <v>1107917</v>
      </c>
      <c r="C118" s="38" t="n">
        <v>16569.089844</v>
      </c>
      <c r="D118" s="90" t="n">
        <v>0.2201800603672433</v>
      </c>
    </row>
    <row r="119">
      <c r="A119" s="80" t="n">
        <v>39326</v>
      </c>
      <c r="B119" s="25" t="n">
        <v>1110324</v>
      </c>
      <c r="C119" s="38" t="n">
        <v>16785.689453</v>
      </c>
      <c r="D119" s="90" t="n">
        <v>0.2206584115481567</v>
      </c>
    </row>
    <row r="120">
      <c r="A120" s="80" t="n">
        <v>39356</v>
      </c>
      <c r="B120" s="25" t="n">
        <v>1073472</v>
      </c>
      <c r="C120" s="38" t="n">
        <v>16737.630859</v>
      </c>
      <c r="D120" s="90" t="n">
        <v>0.2123297683023243</v>
      </c>
    </row>
    <row r="121">
      <c r="A121" s="80" t="n">
        <v>39387</v>
      </c>
      <c r="B121" s="25" t="n">
        <v>1114939</v>
      </c>
      <c r="C121" s="38" t="n">
        <v>15680.669922</v>
      </c>
      <c r="D121" s="90" t="n">
        <v>0.2205318252746464</v>
      </c>
    </row>
    <row r="122">
      <c r="A122" s="80" t="n">
        <v>39417</v>
      </c>
      <c r="B122" s="25" t="n">
        <v>1112844</v>
      </c>
      <c r="C122" s="38" t="n">
        <v>15307.780273</v>
      </c>
      <c r="D122" s="90" t="n">
        <v>0.2201174401163997</v>
      </c>
    </row>
    <row r="123">
      <c r="A123" s="80" t="n">
        <v>39448</v>
      </c>
      <c r="B123" s="25" t="n">
        <v>1130604</v>
      </c>
      <c r="C123" s="38" t="n">
        <v>13592.469727</v>
      </c>
      <c r="D123" s="90" t="n">
        <v>0.2230667045217114</v>
      </c>
    </row>
    <row r="124">
      <c r="A124" s="80" t="n">
        <v>39479</v>
      </c>
      <c r="B124" s="25" t="n">
        <v>1142477</v>
      </c>
      <c r="C124" s="38" t="n">
        <v>13603.019531</v>
      </c>
      <c r="D124" s="90" t="n">
        <v>0.2254092320404415</v>
      </c>
    </row>
    <row r="125">
      <c r="A125" s="80" t="n">
        <v>39508</v>
      </c>
      <c r="B125" s="25" t="n">
        <v>1134262</v>
      </c>
      <c r="C125" s="38" t="n">
        <v>12525.540039</v>
      </c>
      <c r="D125" s="90" t="n">
        <v>0.2237884231828345</v>
      </c>
    </row>
    <row r="126">
      <c r="A126" s="80" t="n">
        <v>39539</v>
      </c>
      <c r="B126" s="25" t="n">
        <v>1072225</v>
      </c>
      <c r="C126" s="38" t="n">
        <v>13849.990234</v>
      </c>
      <c r="D126" s="90" t="n">
        <v>0.2123606378672058</v>
      </c>
    </row>
    <row r="127">
      <c r="A127" s="80" t="n">
        <v>39569</v>
      </c>
      <c r="B127" s="25" t="n">
        <v>1101273</v>
      </c>
      <c r="C127" s="38" t="n">
        <v>14338.540039</v>
      </c>
      <c r="D127" s="90" t="n">
        <v>0.2181137697273719</v>
      </c>
    </row>
    <row r="128">
      <c r="A128" s="80" t="n">
        <v>39600</v>
      </c>
      <c r="B128" s="25" t="n">
        <v>1014199</v>
      </c>
      <c r="C128" s="38" t="n">
        <v>13481.379883</v>
      </c>
      <c r="D128" s="90" t="n">
        <v>0.2008682380696983</v>
      </c>
    </row>
    <row r="129">
      <c r="A129" s="80" t="n">
        <v>39630</v>
      </c>
      <c r="B129" s="25" t="n">
        <v>1083652</v>
      </c>
      <c r="C129" s="38" t="n">
        <v>13376.80957</v>
      </c>
      <c r="D129" s="90" t="n">
        <v>0.2173169384167869</v>
      </c>
    </row>
    <row r="130">
      <c r="A130" s="80" t="n">
        <v>39661</v>
      </c>
      <c r="B130" s="25" t="n">
        <v>1098870</v>
      </c>
      <c r="C130" s="38" t="n">
        <v>13072.870117</v>
      </c>
      <c r="D130" s="90" t="n">
        <v>0.2203687753246011</v>
      </c>
    </row>
    <row r="131">
      <c r="A131" s="80" t="n">
        <v>39692</v>
      </c>
      <c r="B131" s="25" t="n">
        <v>1125287</v>
      </c>
      <c r="C131" s="38" t="n">
        <v>11259.860352</v>
      </c>
      <c r="D131" s="90" t="n">
        <v>0.2256664738128208</v>
      </c>
    </row>
    <row r="132">
      <c r="A132" s="80" t="n">
        <v>39722</v>
      </c>
      <c r="B132" s="25" t="n">
        <v>1168028</v>
      </c>
      <c r="C132" s="38" t="n">
        <v>8576.980469</v>
      </c>
      <c r="D132" s="90" t="n">
        <v>0.2400640922876326</v>
      </c>
    </row>
    <row r="133">
      <c r="A133" s="80" t="n">
        <v>39753</v>
      </c>
      <c r="B133" s="25" t="n">
        <v>1215262</v>
      </c>
      <c r="C133" s="38" t="n">
        <v>8512.269531</v>
      </c>
      <c r="D133" s="90" t="n">
        <v>0.2497720678970478</v>
      </c>
    </row>
    <row r="134">
      <c r="A134" s="80" t="n">
        <v>39783</v>
      </c>
      <c r="B134" s="25" t="n">
        <v>1227708</v>
      </c>
      <c r="C134" s="38" t="n">
        <v>8859.559569999999</v>
      </c>
      <c r="D134" s="90" t="n">
        <v>0.2523300867909544</v>
      </c>
    </row>
    <row r="135">
      <c r="A135" s="80" t="n">
        <v>39814</v>
      </c>
      <c r="B135" s="25" t="n">
        <v>1195135</v>
      </c>
      <c r="C135" s="38" t="n">
        <v>7994.049805</v>
      </c>
      <c r="D135" s="90" t="n">
        <v>0.2579781246310196</v>
      </c>
    </row>
    <row r="136">
      <c r="A136" s="80" t="n">
        <v>39845</v>
      </c>
      <c r="B136" s="25" t="n">
        <v>1221730</v>
      </c>
      <c r="C136" s="38" t="n">
        <v>7568.419922</v>
      </c>
      <c r="D136" s="90" t="n">
        <v>0.26371883862949</v>
      </c>
    </row>
    <row r="137">
      <c r="A137" s="80" t="n">
        <v>39873</v>
      </c>
      <c r="B137" s="25" t="n">
        <v>1238886</v>
      </c>
      <c r="C137" s="38" t="n">
        <v>8109.529785</v>
      </c>
      <c r="D137" s="90" t="n">
        <v>0.2674220794400845</v>
      </c>
    </row>
    <row r="138">
      <c r="A138" s="80" t="n">
        <v>39904</v>
      </c>
      <c r="B138" s="25" t="n">
        <v>1147983</v>
      </c>
      <c r="C138" s="38" t="n">
        <v>8828.259765999999</v>
      </c>
      <c r="D138" s="90" t="n">
        <v>0.2427207025642088</v>
      </c>
    </row>
    <row r="139">
      <c r="A139" s="80" t="n">
        <v>39934</v>
      </c>
      <c r="B139" s="25" t="n">
        <v>1187973</v>
      </c>
      <c r="C139" s="38" t="n">
        <v>9522.5</v>
      </c>
      <c r="D139" s="90" t="n">
        <v>0.2511758808164501</v>
      </c>
    </row>
    <row r="140">
      <c r="A140" s="80" t="n">
        <v>39965</v>
      </c>
      <c r="B140" s="25" t="n">
        <v>1098429</v>
      </c>
      <c r="C140" s="38" t="n">
        <v>9958.440430000001</v>
      </c>
      <c r="D140" s="90" t="n">
        <v>0.2322433856571929</v>
      </c>
    </row>
    <row r="141">
      <c r="A141" s="80" t="n">
        <v>39995</v>
      </c>
      <c r="B141" s="25" t="n">
        <v>1147349</v>
      </c>
      <c r="C141" s="38" t="n">
        <v>10356.830078</v>
      </c>
      <c r="D141" s="90" t="n">
        <v>0.2424653614572406</v>
      </c>
    </row>
    <row r="142">
      <c r="A142" s="80" t="n">
        <v>40026</v>
      </c>
      <c r="B142" s="25" t="n">
        <v>1171842</v>
      </c>
      <c r="C142" s="38" t="n">
        <v>10492.530273</v>
      </c>
      <c r="D142" s="90" t="n">
        <v>0.2476413838341915</v>
      </c>
    </row>
    <row r="143">
      <c r="A143" s="80" t="n">
        <v>40057</v>
      </c>
      <c r="B143" s="25" t="n">
        <v>1163248</v>
      </c>
      <c r="C143" s="38" t="n">
        <v>10133.230469</v>
      </c>
      <c r="D143" s="90" t="n">
        <v>0.2458252430467209</v>
      </c>
    </row>
    <row r="144">
      <c r="A144" s="80" t="n">
        <v>40087</v>
      </c>
      <c r="B144" s="25" t="n">
        <v>1114000</v>
      </c>
      <c r="C144" s="38" t="n">
        <v>10034.740234</v>
      </c>
      <c r="D144" s="90" t="n">
        <v>0.2322234414763574</v>
      </c>
    </row>
    <row r="145">
      <c r="A145" s="80" t="n">
        <v>40118</v>
      </c>
      <c r="B145" s="25" t="n">
        <v>1172964</v>
      </c>
      <c r="C145" s="38" t="n">
        <v>9345.549805000001</v>
      </c>
      <c r="D145" s="90" t="n">
        <v>0.2445150240645189</v>
      </c>
    </row>
    <row r="146">
      <c r="A146" s="80" t="n">
        <v>40148</v>
      </c>
      <c r="B146" s="25" t="n">
        <v>1225336</v>
      </c>
      <c r="C146" s="38" t="n">
        <v>10546.44043</v>
      </c>
      <c r="D146" s="90" t="n">
        <v>0.255432444241359</v>
      </c>
    </row>
    <row r="147">
      <c r="A147" s="80" t="n">
        <v>40179</v>
      </c>
      <c r="B147" s="25" t="n">
        <v>1224342</v>
      </c>
      <c r="C147" s="38" t="n">
        <v>10198.040039</v>
      </c>
      <c r="D147" s="90" t="n">
        <v>0.2530506406345333</v>
      </c>
    </row>
    <row r="148">
      <c r="A148" s="80" t="n">
        <v>40210</v>
      </c>
      <c r="B148" s="25" t="n">
        <v>1267675</v>
      </c>
      <c r="C148" s="38" t="n">
        <v>10126.030273</v>
      </c>
      <c r="D148" s="90" t="n">
        <v>0.2620068337657141</v>
      </c>
    </row>
    <row r="149">
      <c r="A149" s="80" t="n">
        <v>40238</v>
      </c>
      <c r="B149" s="25" t="n">
        <v>1218241</v>
      </c>
      <c r="C149" s="38" t="n">
        <v>11089.94043</v>
      </c>
      <c r="D149" s="90" t="n">
        <v>0.2517896678356656</v>
      </c>
    </row>
    <row r="150">
      <c r="A150" s="80" t="n">
        <v>40269</v>
      </c>
      <c r="B150" s="25" t="n">
        <v>1142013</v>
      </c>
      <c r="C150" s="38" t="n">
        <v>11057.400391</v>
      </c>
      <c r="D150" s="90" t="n">
        <v>0.2328852688081264</v>
      </c>
    </row>
    <row r="151">
      <c r="A151" s="80" t="n">
        <v>40299</v>
      </c>
      <c r="B151" s="25" t="n">
        <v>1209586</v>
      </c>
      <c r="C151" s="38" t="n">
        <v>9768.700194999999</v>
      </c>
      <c r="D151" s="90" t="n">
        <v>0.2466651086778752</v>
      </c>
    </row>
    <row r="152">
      <c r="A152" s="80" t="n">
        <v>40330</v>
      </c>
      <c r="B152" s="25" t="n">
        <v>1132336</v>
      </c>
      <c r="C152" s="38" t="n">
        <v>9382.639648</v>
      </c>
      <c r="D152" s="90" t="n">
        <v>0.2309118843140302</v>
      </c>
    </row>
    <row r="153">
      <c r="A153" s="80" t="n">
        <v>40360</v>
      </c>
      <c r="B153" s="25" t="n">
        <v>1173742</v>
      </c>
      <c r="C153" s="38" t="n">
        <v>9537.299805000001</v>
      </c>
      <c r="D153" s="90" t="n">
        <v>0.2351080683229204</v>
      </c>
    </row>
    <row r="154">
      <c r="A154" s="80" t="n">
        <v>40391</v>
      </c>
      <c r="B154" s="25" t="n">
        <v>1230414</v>
      </c>
      <c r="C154" s="38" t="n">
        <v>8824.059569999999</v>
      </c>
      <c r="D154" s="90" t="n">
        <v>0.2464598342544425</v>
      </c>
    </row>
    <row r="155">
      <c r="A155" s="80" t="n">
        <v>40422</v>
      </c>
      <c r="B155" s="25" t="n">
        <v>1203317</v>
      </c>
      <c r="C155" s="38" t="n">
        <v>9369.349609000001</v>
      </c>
      <c r="D155" s="90" t="n">
        <v>0.2410321309539333</v>
      </c>
    </row>
    <row r="156">
      <c r="A156" s="80" t="n">
        <v>40452</v>
      </c>
      <c r="B156" s="25" t="n">
        <v>1214171</v>
      </c>
      <c r="C156" s="38" t="n">
        <v>9202.450194999999</v>
      </c>
      <c r="D156" s="90" t="n">
        <v>0.2452116743094346</v>
      </c>
    </row>
    <row r="157">
      <c r="A157" s="80" t="n">
        <v>40483</v>
      </c>
      <c r="B157" s="25" t="n">
        <v>1270457</v>
      </c>
      <c r="C157" s="38" t="n">
        <v>9937.040039</v>
      </c>
      <c r="D157" s="90" t="n">
        <v>0.2565790882076259</v>
      </c>
    </row>
    <row r="158">
      <c r="A158" s="80" t="n">
        <v>40513</v>
      </c>
      <c r="B158" s="25" t="n">
        <v>1287104</v>
      </c>
      <c r="C158" s="38" t="n">
        <v>10228.919922</v>
      </c>
      <c r="D158" s="90" t="n">
        <v>0.2599410847816085</v>
      </c>
    </row>
    <row r="159">
      <c r="A159" s="80" t="n">
        <v>40544</v>
      </c>
      <c r="B159" s="25" t="n">
        <v>1279996</v>
      </c>
      <c r="C159" s="38" t="n">
        <v>10237.919922</v>
      </c>
      <c r="D159" s="90" t="n">
        <v>0.2621749404625477</v>
      </c>
    </row>
    <row r="160">
      <c r="A160" s="80" t="n">
        <v>40575</v>
      </c>
      <c r="B160" s="25" t="n">
        <v>1301181</v>
      </c>
      <c r="C160" s="38" t="n">
        <v>10624.089844</v>
      </c>
      <c r="D160" s="90" t="n">
        <v>0.2665141541114178</v>
      </c>
    </row>
    <row r="161">
      <c r="A161" s="80" t="n">
        <v>40603</v>
      </c>
      <c r="B161" s="25" t="n">
        <v>1423631</v>
      </c>
      <c r="C161" s="38" t="n">
        <v>9755.099609000001</v>
      </c>
      <c r="D161" s="90" t="n">
        <v>0.2915949523792553</v>
      </c>
    </row>
    <row r="162">
      <c r="A162" s="80" t="n">
        <v>40634</v>
      </c>
      <c r="B162" s="25" t="n">
        <v>1346213</v>
      </c>
      <c r="C162" s="38" t="n">
        <v>9849.740234000001</v>
      </c>
      <c r="D162" s="90" t="n">
        <v>0.2775521219584657</v>
      </c>
    </row>
    <row r="163">
      <c r="A163" s="80" t="n">
        <v>40664</v>
      </c>
      <c r="B163" s="25" t="n">
        <v>1351200</v>
      </c>
      <c r="C163" s="38" t="n">
        <v>9693.730469</v>
      </c>
      <c r="D163" s="90" t="n">
        <v>0.278580304298264</v>
      </c>
    </row>
    <row r="164">
      <c r="A164" s="80" t="n">
        <v>40695</v>
      </c>
      <c r="B164" s="25" t="n">
        <v>1295844</v>
      </c>
      <c r="C164" s="38" t="n">
        <v>9816.089844</v>
      </c>
      <c r="D164" s="90" t="n">
        <v>0.2671674184747481</v>
      </c>
    </row>
    <row r="165">
      <c r="A165" s="80" t="n">
        <v>40725</v>
      </c>
      <c r="B165" s="25" t="n">
        <v>1344737</v>
      </c>
      <c r="C165" s="38" t="n">
        <v>9833.030273</v>
      </c>
      <c r="D165" s="90" t="n">
        <v>0.270513510920121</v>
      </c>
    </row>
    <row r="166">
      <c r="A166" s="80" t="n">
        <v>40756</v>
      </c>
      <c r="B166" s="25" t="n">
        <v>1414829</v>
      </c>
      <c r="C166" s="38" t="n">
        <v>8955.200194999999</v>
      </c>
      <c r="D166" s="90" t="n">
        <v>0.2846135416379588</v>
      </c>
    </row>
    <row r="167">
      <c r="A167" s="80" t="n">
        <v>40787</v>
      </c>
      <c r="B167" s="25" t="n">
        <v>1376890</v>
      </c>
      <c r="C167" s="38" t="n">
        <v>8700.290039</v>
      </c>
      <c r="D167" s="90" t="n">
        <v>0.2769815570262478</v>
      </c>
    </row>
    <row r="168">
      <c r="A168" s="80" t="n">
        <v>40817</v>
      </c>
      <c r="B168" s="25" t="n">
        <v>1329858</v>
      </c>
      <c r="C168" s="38" t="n">
        <v>8988.389648</v>
      </c>
      <c r="D168" s="90" t="n">
        <v>0.267939778436483</v>
      </c>
    </row>
    <row r="169">
      <c r="A169" s="80" t="n">
        <v>40848</v>
      </c>
      <c r="B169" s="25" t="n">
        <v>1432056</v>
      </c>
      <c r="C169" s="38" t="n">
        <v>8434.610352</v>
      </c>
      <c r="D169" s="90" t="n">
        <v>0.2885306306001363</v>
      </c>
    </row>
    <row r="170">
      <c r="A170" s="80" t="n">
        <v>40878</v>
      </c>
      <c r="B170" s="25" t="n">
        <v>1430219</v>
      </c>
      <c r="C170" s="38" t="n">
        <v>8455.349609000001</v>
      </c>
      <c r="D170" s="90" t="n">
        <v>0.2881605118558886</v>
      </c>
    </row>
    <row r="171">
      <c r="A171" s="80" t="n">
        <v>40909</v>
      </c>
      <c r="B171" s="25" t="n">
        <v>1369064</v>
      </c>
      <c r="C171" s="38" t="n">
        <v>8802.509765999999</v>
      </c>
      <c r="D171" s="90" t="n">
        <v>0.2725433475955693</v>
      </c>
    </row>
    <row r="172">
      <c r="A172" s="80" t="n">
        <v>40940</v>
      </c>
      <c r="B172" s="25" t="n">
        <v>1442443</v>
      </c>
      <c r="C172" s="38" t="n">
        <v>9723.240234000001</v>
      </c>
      <c r="D172" s="90" t="n">
        <v>0.287151107571155</v>
      </c>
    </row>
    <row r="173">
      <c r="A173" s="80" t="n">
        <v>40969</v>
      </c>
      <c r="B173" s="25" t="n">
        <v>1394569</v>
      </c>
      <c r="C173" s="38" t="n">
        <v>10083.55957</v>
      </c>
      <c r="D173" s="90" t="n">
        <v>0.2776206983114051</v>
      </c>
    </row>
    <row r="174">
      <c r="A174" s="80" t="n">
        <v>41000</v>
      </c>
      <c r="B174" s="25" t="n">
        <v>1412065</v>
      </c>
      <c r="C174" s="38" t="n">
        <v>9520.889648</v>
      </c>
      <c r="D174" s="90" t="n">
        <v>0.2831800781958169</v>
      </c>
    </row>
    <row r="175">
      <c r="A175" s="80" t="n">
        <v>41030</v>
      </c>
      <c r="B175" s="25" t="n">
        <v>1428007</v>
      </c>
      <c r="C175" s="38" t="n">
        <v>8542.730469</v>
      </c>
      <c r="D175" s="90" t="n">
        <v>0.2863771383924776</v>
      </c>
    </row>
    <row r="176">
      <c r="A176" s="80" t="n">
        <v>41061</v>
      </c>
      <c r="B176" s="25" t="n">
        <v>1436265</v>
      </c>
      <c r="C176" s="38" t="n">
        <v>9006.780273</v>
      </c>
      <c r="D176" s="90" t="n">
        <v>0.28803322439825</v>
      </c>
    </row>
    <row r="177">
      <c r="A177" s="80" t="n">
        <v>41091</v>
      </c>
      <c r="B177" s="25" t="n">
        <v>1454954</v>
      </c>
      <c r="C177" s="38" t="n">
        <v>8695.059569999999</v>
      </c>
      <c r="D177" s="90" t="n">
        <v>0.2929024571770115</v>
      </c>
    </row>
    <row r="178">
      <c r="A178" s="80" t="n">
        <v>41122</v>
      </c>
      <c r="B178" s="25" t="n">
        <v>1499672</v>
      </c>
      <c r="C178" s="38" t="n">
        <v>8839.910156</v>
      </c>
      <c r="D178" s="90" t="n">
        <v>0.3019048119456444</v>
      </c>
    </row>
    <row r="179">
      <c r="A179" s="80" t="n">
        <v>41153</v>
      </c>
      <c r="B179" s="25" t="n">
        <v>1499208</v>
      </c>
      <c r="C179" s="38" t="n">
        <v>8870.160156</v>
      </c>
      <c r="D179" s="90" t="n">
        <v>0.3018114022982397</v>
      </c>
    </row>
    <row r="180">
      <c r="A180" s="80" t="n">
        <v>41183</v>
      </c>
      <c r="B180" s="25" t="n">
        <v>1537316</v>
      </c>
      <c r="C180" s="38" t="n">
        <v>8928.290039</v>
      </c>
      <c r="D180" s="90" t="n">
        <v>0.3086612997009191</v>
      </c>
    </row>
    <row r="181">
      <c r="A181" s="80" t="n">
        <v>41214</v>
      </c>
      <c r="B181" s="25" t="n">
        <v>1563579</v>
      </c>
      <c r="C181" s="38" t="n">
        <v>9446.009765999999</v>
      </c>
      <c r="D181" s="90" t="n">
        <v>0.313934367641437</v>
      </c>
    </row>
    <row r="182">
      <c r="A182" s="80" t="n">
        <v>41244</v>
      </c>
      <c r="B182" s="25" t="n">
        <v>1583627</v>
      </c>
      <c r="C182" s="38" t="n">
        <v>10395.179688</v>
      </c>
      <c r="D182" s="90" t="n">
        <v>0.3179595919521214</v>
      </c>
    </row>
    <row r="183">
      <c r="A183" s="80" t="n">
        <v>41275</v>
      </c>
      <c r="B183" s="25" t="n">
        <v>1597903</v>
      </c>
      <c r="C183" s="38" t="n">
        <v>11138.660156</v>
      </c>
      <c r="D183" s="90" t="n">
        <v>0.3169518017562338</v>
      </c>
    </row>
    <row r="184">
      <c r="A184" s="80" t="n">
        <v>41306</v>
      </c>
      <c r="B184" s="25" t="n">
        <v>1635325</v>
      </c>
      <c r="C184" s="38" t="n">
        <v>11559.360352</v>
      </c>
      <c r="D184" s="90" t="n">
        <v>0.3243746367626902</v>
      </c>
    </row>
    <row r="185">
      <c r="A185" s="80" t="n">
        <v>41334</v>
      </c>
      <c r="B185" s="25" t="n">
        <v>1648127</v>
      </c>
      <c r="C185" s="38" t="n">
        <v>12397.910156</v>
      </c>
      <c r="D185" s="90" t="n">
        <v>0.3269139754873083</v>
      </c>
    </row>
    <row r="186">
      <c r="A186" s="80" t="n">
        <v>41365</v>
      </c>
      <c r="B186" s="25" t="n">
        <v>1746913</v>
      </c>
      <c r="C186" s="38" t="n">
        <v>13860.860352</v>
      </c>
      <c r="D186" s="90" t="n">
        <v>0.3438597313115132</v>
      </c>
    </row>
    <row r="187">
      <c r="A187" s="80" t="n">
        <v>41395</v>
      </c>
      <c r="B187" s="25" t="n">
        <v>1842861</v>
      </c>
      <c r="C187" s="38" t="n">
        <v>13774.540039</v>
      </c>
      <c r="D187" s="90" t="n">
        <v>0.3627459915316141</v>
      </c>
    </row>
    <row r="188">
      <c r="A188" s="80" t="n">
        <v>41426</v>
      </c>
      <c r="B188" s="25" t="n">
        <v>1870684</v>
      </c>
      <c r="C188" s="38" t="n">
        <v>13677.320313</v>
      </c>
      <c r="D188" s="90" t="n">
        <v>0.3682226290655269</v>
      </c>
    </row>
    <row r="189">
      <c r="A189" s="80" t="n">
        <v>41456</v>
      </c>
      <c r="B189" s="25" t="n">
        <v>1967581</v>
      </c>
      <c r="C189" s="38" t="n">
        <v>13668.320313</v>
      </c>
      <c r="D189" s="90" t="n">
        <v>0.3840890417416838</v>
      </c>
    </row>
    <row r="190">
      <c r="A190" s="80" t="n">
        <v>41487</v>
      </c>
      <c r="B190" s="25" t="n">
        <v>2056918</v>
      </c>
      <c r="C190" s="38" t="n">
        <v>13388.860352</v>
      </c>
      <c r="D190" s="90" t="n">
        <v>0.4015284064855377</v>
      </c>
    </row>
    <row r="191">
      <c r="A191" s="80" t="n">
        <v>41518</v>
      </c>
      <c r="B191" s="25" t="n">
        <v>2088625</v>
      </c>
      <c r="C191" s="38" t="n">
        <v>14455.799805</v>
      </c>
      <c r="D191" s="90" t="n">
        <v>0.4077178905507444</v>
      </c>
    </row>
    <row r="192">
      <c r="A192" s="80" t="n">
        <v>41548</v>
      </c>
      <c r="B192" s="25" t="n">
        <v>2155142</v>
      </c>
      <c r="C192" s="38" t="n">
        <v>14327.94043</v>
      </c>
      <c r="D192" s="90" t="n">
        <v>0.4208314026157782</v>
      </c>
    </row>
    <row r="193">
      <c r="A193" s="80" t="n">
        <v>41579</v>
      </c>
      <c r="B193" s="25" t="n">
        <v>2240888</v>
      </c>
      <c r="C193" s="38" t="n">
        <v>15661.870117</v>
      </c>
      <c r="D193" s="90" t="n">
        <v>0.4375748976841738</v>
      </c>
    </row>
    <row r="194">
      <c r="A194" s="80" t="n">
        <v>41609</v>
      </c>
      <c r="B194" s="25" t="n">
        <v>2241897</v>
      </c>
      <c r="C194" s="38" t="n">
        <v>16291.30957</v>
      </c>
      <c r="D194" s="90" t="n">
        <v>0.4377719236273551</v>
      </c>
    </row>
    <row r="195">
      <c r="A195" s="80" t="n">
        <v>41640</v>
      </c>
      <c r="B195" s="25" t="n">
        <v>2321780</v>
      </c>
      <c r="C195" s="38" t="n">
        <v>14914.530273</v>
      </c>
      <c r="D195" s="90" t="n">
        <v>0.4489139005188327</v>
      </c>
    </row>
    <row r="196">
      <c r="A196" s="80" t="n">
        <v>41671</v>
      </c>
      <c r="B196" s="25" t="n">
        <v>2404502</v>
      </c>
      <c r="C196" s="38" t="n">
        <v>14841.070313</v>
      </c>
      <c r="D196" s="90" t="n">
        <v>0.464908118609573</v>
      </c>
    </row>
    <row r="197">
      <c r="A197" s="80" t="n">
        <v>41699</v>
      </c>
      <c r="B197" s="25" t="n">
        <v>2415798</v>
      </c>
      <c r="C197" s="38" t="n">
        <v>14827.830078</v>
      </c>
      <c r="D197" s="90" t="n">
        <v>0.4670921892020756</v>
      </c>
    </row>
    <row r="198">
      <c r="A198" s="80" t="n">
        <v>41730</v>
      </c>
      <c r="B198" s="25" t="n">
        <v>2461764</v>
      </c>
      <c r="C198" s="38" t="n">
        <v>14304.110352</v>
      </c>
      <c r="D198" s="90" t="n">
        <v>0.4852973529636729</v>
      </c>
    </row>
    <row r="199">
      <c r="A199" s="80" t="n">
        <v>41760</v>
      </c>
      <c r="B199" s="25" t="n">
        <v>2539730</v>
      </c>
      <c r="C199" s="38" t="n">
        <v>14632.379883</v>
      </c>
      <c r="D199" s="90" t="n">
        <v>0.5006671014128199</v>
      </c>
    </row>
    <row r="200">
      <c r="A200" s="80" t="n">
        <v>41791</v>
      </c>
      <c r="B200" s="25" t="n">
        <v>2577613</v>
      </c>
      <c r="C200" s="38" t="n">
        <v>15162.099609</v>
      </c>
      <c r="D200" s="90" t="n">
        <v>0.5081351282514294</v>
      </c>
    </row>
    <row r="201">
      <c r="A201" s="80" t="n">
        <v>41821</v>
      </c>
      <c r="B201" s="25" t="n">
        <v>2689676</v>
      </c>
      <c r="C201" s="38" t="n">
        <v>15620.769531</v>
      </c>
      <c r="D201" s="90" t="n">
        <v>0.5297451284166275</v>
      </c>
    </row>
    <row r="202">
      <c r="A202" s="80" t="n">
        <v>41852</v>
      </c>
      <c r="B202" s="25" t="n">
        <v>2758955</v>
      </c>
      <c r="C202" s="38" t="n">
        <v>15424.589844</v>
      </c>
      <c r="D202" s="90" t="n">
        <v>0.5433899736513605</v>
      </c>
    </row>
    <row r="203">
      <c r="A203" s="80" t="n">
        <v>41883</v>
      </c>
      <c r="B203" s="25" t="n">
        <v>2770994</v>
      </c>
      <c r="C203" s="38" t="n">
        <v>16173.519531</v>
      </c>
      <c r="D203" s="90" t="n">
        <v>0.5457611148598213</v>
      </c>
    </row>
    <row r="204">
      <c r="A204" s="80" t="n">
        <v>41913</v>
      </c>
      <c r="B204" s="25" t="n">
        <v>2868380</v>
      </c>
      <c r="C204" s="38" t="n">
        <v>16413.759766</v>
      </c>
      <c r="D204" s="90" t="n">
        <v>0.5621354712032907</v>
      </c>
    </row>
    <row r="205">
      <c r="A205" s="80" t="n">
        <v>41944</v>
      </c>
      <c r="B205" s="25" t="n">
        <v>2973747</v>
      </c>
      <c r="C205" s="38" t="n">
        <v>17459.849609</v>
      </c>
      <c r="D205" s="90" t="n">
        <v>0.5827849417038091</v>
      </c>
    </row>
    <row r="206">
      <c r="A206" s="80" t="n">
        <v>41974</v>
      </c>
      <c r="B206" s="25" t="n">
        <v>3002117</v>
      </c>
      <c r="C206" s="38" t="n">
        <v>17450.769531</v>
      </c>
      <c r="D206" s="90" t="n">
        <v>0.5883447989465864</v>
      </c>
    </row>
    <row r="207">
      <c r="A207" s="80" t="n">
        <v>42005</v>
      </c>
      <c r="B207" s="25" t="n">
        <v>3111731</v>
      </c>
      <c r="C207" s="38" t="n">
        <v>17674.390625</v>
      </c>
      <c r="D207" s="90" t="n">
        <v>0.601577576383951</v>
      </c>
    </row>
    <row r="208">
      <c r="A208" s="80" t="n">
        <v>42036</v>
      </c>
      <c r="B208" s="25" t="n">
        <v>3204418</v>
      </c>
      <c r="C208" s="38" t="n">
        <v>18797.939453</v>
      </c>
      <c r="D208" s="90" t="n">
        <v>0.6194963556172136</v>
      </c>
    </row>
    <row r="209">
      <c r="A209" s="80" t="n">
        <v>42064</v>
      </c>
      <c r="B209" s="25" t="n">
        <v>3235937</v>
      </c>
      <c r="C209" s="38" t="n">
        <v>19206.990234</v>
      </c>
      <c r="D209" s="90" t="n">
        <v>0.6255897883818214</v>
      </c>
    </row>
    <row r="210">
      <c r="A210" s="80" t="n">
        <v>42095</v>
      </c>
      <c r="B210" s="25" t="n">
        <v>3328186</v>
      </c>
      <c r="C210" s="38" t="n">
        <v>19520.009766</v>
      </c>
      <c r="D210" s="90" t="n">
        <v>0.642716018627681</v>
      </c>
    </row>
    <row r="211">
      <c r="A211" s="80" t="n">
        <v>42125</v>
      </c>
      <c r="B211" s="25" t="n">
        <v>3431402</v>
      </c>
      <c r="C211" s="38" t="n">
        <v>20563.150391</v>
      </c>
      <c r="D211" s="90" t="n">
        <v>0.6626483711400331</v>
      </c>
    </row>
    <row r="212">
      <c r="A212" s="80" t="n">
        <v>42156</v>
      </c>
      <c r="B212" s="25" t="n">
        <v>3454395</v>
      </c>
      <c r="C212" s="38" t="n">
        <v>20235.730469</v>
      </c>
      <c r="D212" s="90" t="n">
        <v>0.6670886185950449</v>
      </c>
    </row>
    <row r="213">
      <c r="A213" s="80" t="n">
        <v>42186</v>
      </c>
      <c r="B213" s="25" t="n">
        <v>3542941</v>
      </c>
      <c r="C213" s="38" t="n">
        <v>20585.240234</v>
      </c>
      <c r="D213" s="90" t="n">
        <v>0.68461146348137</v>
      </c>
    </row>
    <row r="214">
      <c r="A214" s="80" t="n">
        <v>42217</v>
      </c>
      <c r="B214" s="25" t="n">
        <v>3614591</v>
      </c>
      <c r="C214" s="38" t="n">
        <v>18890.480469</v>
      </c>
      <c r="D214" s="90" t="n">
        <v>0.6984565744664076</v>
      </c>
    </row>
    <row r="215">
      <c r="A215" s="80" t="n">
        <v>42248</v>
      </c>
      <c r="B215" s="25" t="n">
        <v>3661278</v>
      </c>
      <c r="C215" s="38" t="n">
        <v>17388.150391</v>
      </c>
      <c r="D215" s="90" t="n">
        <v>0.7074780217317036</v>
      </c>
    </row>
    <row r="216">
      <c r="A216" s="80" t="n">
        <v>42278</v>
      </c>
      <c r="B216" s="25" t="n">
        <v>3735537</v>
      </c>
      <c r="C216" s="38" t="n">
        <v>19083.099609</v>
      </c>
      <c r="D216" s="90" t="n">
        <v>0.7245681147411249</v>
      </c>
    </row>
    <row r="217">
      <c r="A217" s="80" t="n">
        <v>42309</v>
      </c>
      <c r="B217" s="25" t="n">
        <v>3812542</v>
      </c>
      <c r="C217" s="38" t="n">
        <v>19747.470703</v>
      </c>
      <c r="D217" s="90" t="n">
        <v>0.7395044860514989</v>
      </c>
    </row>
    <row r="218">
      <c r="A218" s="80" t="n">
        <v>42339</v>
      </c>
      <c r="B218" s="25" t="n">
        <v>3831076</v>
      </c>
      <c r="C218" s="38" t="n">
        <v>19033.710938</v>
      </c>
      <c r="D218" s="90" t="n">
        <v>0.7430994565841457</v>
      </c>
    </row>
    <row r="219">
      <c r="A219" s="80" t="n">
        <v>42370</v>
      </c>
      <c r="B219" s="25" t="n">
        <v>3964498</v>
      </c>
      <c r="C219" s="38" t="n">
        <v>17518.300781</v>
      </c>
      <c r="D219" s="90" t="n">
        <v>0.7651338121187838</v>
      </c>
    </row>
    <row r="220">
      <c r="A220" s="80" t="n">
        <v>42401</v>
      </c>
      <c r="B220" s="25" t="n">
        <v>4037909</v>
      </c>
      <c r="C220" s="38" t="n">
        <v>16026.759766</v>
      </c>
      <c r="D220" s="90" t="n">
        <v>0.7793018702894405</v>
      </c>
    </row>
    <row r="221">
      <c r="A221" s="80" t="n">
        <v>42430</v>
      </c>
      <c r="B221" s="25" t="n">
        <v>4056481</v>
      </c>
      <c r="C221" s="38" t="n">
        <v>16758.669922</v>
      </c>
      <c r="D221" s="90" t="n">
        <v>0.7828861992911628</v>
      </c>
    </row>
    <row r="222">
      <c r="A222" s="80" t="n">
        <v>42461</v>
      </c>
      <c r="B222" s="25" t="n">
        <v>4144163</v>
      </c>
      <c r="C222" s="38" t="n">
        <v>16666.050781</v>
      </c>
      <c r="D222" s="90" t="n">
        <v>0.7986826494560922</v>
      </c>
    </row>
    <row r="223">
      <c r="A223" s="80" t="n">
        <v>42491</v>
      </c>
      <c r="B223" s="25" t="n">
        <v>4256697</v>
      </c>
      <c r="C223" s="38" t="n">
        <v>17234.980469</v>
      </c>
      <c r="D223" s="90" t="n">
        <v>0.8203707329783602</v>
      </c>
    </row>
    <row r="224">
      <c r="A224" s="80" t="n">
        <v>42522</v>
      </c>
      <c r="B224" s="25" t="n">
        <v>4327586</v>
      </c>
      <c r="C224" s="38" t="n">
        <v>15575.919922</v>
      </c>
      <c r="D224" s="90" t="n">
        <v>0.8340327955799742</v>
      </c>
    </row>
    <row r="225">
      <c r="A225" s="80" t="n">
        <v>42552</v>
      </c>
      <c r="B225" s="25" t="n">
        <v>4430848</v>
      </c>
      <c r="C225" s="38" t="n">
        <v>16569.269531</v>
      </c>
      <c r="D225" s="90" t="n">
        <v>0.8521177805253156</v>
      </c>
    </row>
    <row r="226">
      <c r="A226" s="80" t="n">
        <v>42583</v>
      </c>
      <c r="B226" s="25" t="n">
        <v>4529802</v>
      </c>
      <c r="C226" s="38" t="n">
        <v>16887.400391</v>
      </c>
      <c r="D226" s="90" t="n">
        <v>0.8711481022276404</v>
      </c>
    </row>
    <row r="227">
      <c r="A227" s="80" t="n">
        <v>42614</v>
      </c>
      <c r="B227" s="25" t="n">
        <v>4568058</v>
      </c>
      <c r="C227" s="38" t="n">
        <v>16449.839844</v>
      </c>
      <c r="D227" s="90" t="n">
        <v>0.8785052983697279</v>
      </c>
    </row>
    <row r="228">
      <c r="A228" s="80" t="n">
        <v>42644</v>
      </c>
      <c r="B228" s="25" t="n">
        <v>4633922</v>
      </c>
      <c r="C228" s="38" t="n">
        <v>17425.019531</v>
      </c>
      <c r="D228" s="90" t="n">
        <v>0.8885674686023983</v>
      </c>
    </row>
    <row r="229">
      <c r="A229" s="80" t="n">
        <v>42675</v>
      </c>
      <c r="B229" s="25" t="n">
        <v>4711310</v>
      </c>
      <c r="C229" s="38" t="n">
        <v>18308.480469</v>
      </c>
      <c r="D229" s="90" t="n">
        <v>0.9034068334557994</v>
      </c>
    </row>
    <row r="230">
      <c r="A230" s="80" t="n">
        <v>42705</v>
      </c>
      <c r="B230" s="25" t="n">
        <v>4764980</v>
      </c>
      <c r="C230" s="38" t="n">
        <v>19114.369141</v>
      </c>
      <c r="D230" s="90" t="n">
        <v>0.9136982056540994</v>
      </c>
    </row>
    <row r="231">
      <c r="A231" s="80" t="n">
        <v>42736</v>
      </c>
      <c r="B231" s="25" t="n">
        <v>4819817</v>
      </c>
      <c r="C231" s="38" t="n">
        <v>19041.339844</v>
      </c>
      <c r="D231" s="90" t="n">
        <v>0.9136387176119837</v>
      </c>
    </row>
    <row r="232">
      <c r="A232" s="80" t="n">
        <v>42767</v>
      </c>
      <c r="B232" s="25" t="n">
        <v>4879011</v>
      </c>
      <c r="C232" s="38" t="n">
        <v>19118.990234</v>
      </c>
      <c r="D232" s="90" t="n">
        <v>0.9248594611070839</v>
      </c>
    </row>
    <row r="233">
      <c r="A233" s="80" t="n">
        <v>42795</v>
      </c>
      <c r="B233" s="25" t="n">
        <v>4900893</v>
      </c>
      <c r="C233" s="38" t="n">
        <v>18909.259766</v>
      </c>
      <c r="D233" s="90" t="n">
        <v>0.9290073867272445</v>
      </c>
    </row>
    <row r="234">
      <c r="A234" s="80" t="n">
        <v>42826</v>
      </c>
      <c r="B234" s="25" t="n">
        <v>4977463</v>
      </c>
      <c r="C234" s="38" t="n">
        <v>19196.740234</v>
      </c>
      <c r="D234" s="90" t="n">
        <v>0.9402181171130414</v>
      </c>
    </row>
    <row r="235">
      <c r="A235" s="80" t="n">
        <v>42856</v>
      </c>
      <c r="B235" s="25" t="n">
        <v>5008008</v>
      </c>
      <c r="C235" s="38" t="n">
        <v>19650.570313</v>
      </c>
      <c r="D235" s="90" t="n">
        <v>0.9459879163837176</v>
      </c>
    </row>
    <row r="236">
      <c r="A236" s="80" t="n">
        <v>42887</v>
      </c>
      <c r="B236" s="25" t="n">
        <v>5021084</v>
      </c>
      <c r="C236" s="38" t="n">
        <v>20033.429688</v>
      </c>
      <c r="D236" s="90" t="n">
        <v>0.9484579080440012</v>
      </c>
    </row>
    <row r="237">
      <c r="A237" s="80" t="n">
        <v>42917</v>
      </c>
      <c r="B237" s="25" t="n">
        <v>5055602</v>
      </c>
      <c r="C237" s="38" t="n">
        <v>19925.179688</v>
      </c>
      <c r="D237" s="90" t="n">
        <v>0.9496884716476139</v>
      </c>
    </row>
    <row r="238">
      <c r="A238" s="80" t="n">
        <v>42948</v>
      </c>
      <c r="B238" s="25" t="n">
        <v>5115845</v>
      </c>
      <c r="C238" s="38" t="n">
        <v>19646.240234</v>
      </c>
      <c r="D238" s="90" t="n">
        <v>0.9610050433630035</v>
      </c>
    </row>
    <row r="239">
      <c r="A239" s="80" t="n">
        <v>42979</v>
      </c>
      <c r="B239" s="25" t="n">
        <v>5134438</v>
      </c>
      <c r="C239" s="38" t="n">
        <v>20356.279297</v>
      </c>
      <c r="D239" s="90" t="n">
        <v>0.9644977150079123</v>
      </c>
    </row>
    <row r="240">
      <c r="A240" s="80" t="n">
        <v>43009</v>
      </c>
      <c r="B240" s="25" t="n">
        <v>5180461</v>
      </c>
      <c r="C240" s="38" t="n">
        <v>22011.609375</v>
      </c>
      <c r="D240" s="90" t="n">
        <v>0.9686148114949762</v>
      </c>
    </row>
    <row r="241">
      <c r="A241" s="80" t="n">
        <v>43040</v>
      </c>
      <c r="B241" s="25" t="n">
        <v>5218600</v>
      </c>
      <c r="C241" s="38" t="n">
        <v>22724.960938</v>
      </c>
      <c r="D241" s="90" t="n">
        <v>0.9757458371499531</v>
      </c>
    </row>
    <row r="242">
      <c r="A242" s="80" t="n">
        <v>43070</v>
      </c>
      <c r="B242" s="25" t="n">
        <v>5214161</v>
      </c>
      <c r="C242" s="38" t="n">
        <v>22764.939453</v>
      </c>
      <c r="D242" s="90" t="n">
        <v>0.9749158567392857</v>
      </c>
    </row>
    <row r="243">
      <c r="A243" s="80" t="n">
        <v>43101</v>
      </c>
      <c r="B243" s="25" t="n">
        <v>5267036</v>
      </c>
      <c r="C243" s="38" t="n">
        <v>23098.289063</v>
      </c>
      <c r="D243" s="90" t="n">
        <v>0.9895464256050105</v>
      </c>
    </row>
    <row r="244">
      <c r="A244" s="80" t="n">
        <v>43132</v>
      </c>
      <c r="B244" s="25" t="n">
        <v>5331792</v>
      </c>
      <c r="C244" s="38" t="n">
        <v>22068.240234</v>
      </c>
      <c r="D244" s="90" t="n">
        <v>1.001712484150363</v>
      </c>
    </row>
    <row r="245">
      <c r="A245" s="80" t="n">
        <v>43160</v>
      </c>
      <c r="B245" s="25" t="n">
        <v>5282856</v>
      </c>
      <c r="C245" s="38" t="n">
        <v>21454.300781</v>
      </c>
      <c r="D245" s="90" t="n">
        <v>0.9925186142236323</v>
      </c>
    </row>
    <row r="246">
      <c r="A246" s="80" t="n">
        <v>43191</v>
      </c>
      <c r="B246" s="25" t="n">
        <v>5350510</v>
      </c>
      <c r="C246" s="38" t="n">
        <v>22467.869141</v>
      </c>
      <c r="D246" s="90" t="n">
        <v>1.000767805656324</v>
      </c>
    </row>
    <row r="247">
      <c r="A247" s="80" t="n">
        <v>43221</v>
      </c>
      <c r="B247" s="25" t="n">
        <v>5408036</v>
      </c>
      <c r="C247" s="38" t="n">
        <v>22201.820313</v>
      </c>
      <c r="D247" s="90" t="n">
        <v>1.01152755917294</v>
      </c>
    </row>
    <row r="248">
      <c r="A248" s="80" t="n">
        <v>43252</v>
      </c>
      <c r="B248" s="25" t="n">
        <v>5370168</v>
      </c>
      <c r="C248" s="38" t="n">
        <v>22304.509766</v>
      </c>
      <c r="D248" s="90" t="n">
        <v>1.004444668894332</v>
      </c>
    </row>
    <row r="249">
      <c r="A249" s="80" t="n">
        <v>43282</v>
      </c>
      <c r="B249" s="25" t="n">
        <v>5463108</v>
      </c>
      <c r="C249" s="38" t="n">
        <v>22553.720703</v>
      </c>
      <c r="D249" s="90" t="n">
        <v>1.030500553437462</v>
      </c>
    </row>
    <row r="250">
      <c r="A250" s="80" t="n">
        <v>43313</v>
      </c>
      <c r="B250" s="25" t="n">
        <v>5509363</v>
      </c>
      <c r="C250" s="38" t="n">
        <v>22865.150391</v>
      </c>
      <c r="D250" s="90" t="n">
        <v>1.039225587447269</v>
      </c>
    </row>
    <row r="251">
      <c r="A251" s="80" t="n">
        <v>43344</v>
      </c>
      <c r="B251" s="25" t="n">
        <v>5456615</v>
      </c>
      <c r="C251" s="38" t="n">
        <v>24120.039063</v>
      </c>
      <c r="D251" s="90" t="n">
        <v>1.029275785394533</v>
      </c>
    </row>
    <row r="252">
      <c r="A252" s="80" t="n">
        <v>43374</v>
      </c>
      <c r="B252" s="25" t="n">
        <v>5518054</v>
      </c>
      <c r="C252" s="38" t="n">
        <v>21920.460938</v>
      </c>
      <c r="D252" s="90" t="n">
        <v>1.035024682414844</v>
      </c>
    </row>
    <row r="253">
      <c r="A253" s="80" t="n">
        <v>43405</v>
      </c>
      <c r="B253" s="25" t="n">
        <v>5555010</v>
      </c>
      <c r="C253" s="38" t="n">
        <v>22351.060547</v>
      </c>
      <c r="D253" s="90" t="n">
        <v>1.041956541393267</v>
      </c>
    </row>
    <row r="254">
      <c r="A254" s="80" t="n">
        <v>43435</v>
      </c>
      <c r="B254" s="25" t="n">
        <v>5520843</v>
      </c>
      <c r="C254" s="38" t="n">
        <v>20014.769531</v>
      </c>
      <c r="D254" s="90" t="n">
        <v>1.035547816809552</v>
      </c>
    </row>
    <row r="255">
      <c r="A255" s="80" t="n">
        <v>43466</v>
      </c>
      <c r="B255" s="25" t="n">
        <v>5569180</v>
      </c>
      <c r="C255" s="38" t="n">
        <v>20773.490234</v>
      </c>
      <c r="D255" s="90" t="n">
        <v>1.037955630834468</v>
      </c>
    </row>
    <row r="256">
      <c r="A256" s="80" t="n">
        <v>43497</v>
      </c>
      <c r="B256" s="25" t="n">
        <v>5619262</v>
      </c>
      <c r="C256" s="38" t="n">
        <v>21385.160156</v>
      </c>
      <c r="D256" s="90" t="n">
        <v>1.047289660961605</v>
      </c>
    </row>
    <row r="257">
      <c r="A257" s="80" t="n">
        <v>43525</v>
      </c>
      <c r="B257" s="25" t="n">
        <v>5570243</v>
      </c>
      <c r="C257" s="38" t="n">
        <v>21205.810547</v>
      </c>
      <c r="D257" s="90" t="n">
        <v>1.038153747403797</v>
      </c>
    </row>
    <row r="258">
      <c r="A258" s="80" t="n">
        <v>43556</v>
      </c>
      <c r="B258" s="25" t="n">
        <v>5620357</v>
      </c>
      <c r="C258" s="38" t="n">
        <v>22258.730469</v>
      </c>
      <c r="D258" s="90" t="n">
        <v>1.041941217113965</v>
      </c>
    </row>
    <row r="259">
      <c r="A259" s="80" t="n">
        <v>43586</v>
      </c>
      <c r="B259" s="25" t="n">
        <v>5671565</v>
      </c>
      <c r="C259" s="38" t="n">
        <v>20601.189453</v>
      </c>
      <c r="D259" s="90" t="n">
        <v>1.051434515466005</v>
      </c>
    </row>
    <row r="260">
      <c r="A260" s="80" t="n">
        <v>43617</v>
      </c>
      <c r="B260" s="25" t="n">
        <v>5648665</v>
      </c>
      <c r="C260" s="38" t="n">
        <v>21275.919922</v>
      </c>
      <c r="D260" s="90" t="n">
        <v>1.047189152783188</v>
      </c>
    </row>
    <row r="261">
      <c r="A261" s="80" t="n">
        <v>43647</v>
      </c>
      <c r="B261" s="25" t="n">
        <v>5683142</v>
      </c>
      <c r="C261" s="38" t="n">
        <v>21521.529297</v>
      </c>
      <c r="D261" s="90" t="n">
        <v>1.053540115925447</v>
      </c>
    </row>
    <row r="262">
      <c r="A262" s="80" t="n">
        <v>43678</v>
      </c>
      <c r="B262" s="25" t="n">
        <v>5727192</v>
      </c>
      <c r="C262" s="38" t="n">
        <v>20704.369141</v>
      </c>
      <c r="D262" s="90" t="n">
        <v>1.061706099127435</v>
      </c>
    </row>
    <row r="263">
      <c r="A263" s="80" t="n">
        <v>43709</v>
      </c>
      <c r="B263" s="25" t="n">
        <v>5698026</v>
      </c>
      <c r="C263" s="38" t="n">
        <v>21755.839844</v>
      </c>
      <c r="D263" s="90" t="n">
        <v>1.056299309886364</v>
      </c>
    </row>
    <row r="264">
      <c r="A264" s="80" t="n">
        <v>43739</v>
      </c>
      <c r="B264" s="25" t="n">
        <v>5756702</v>
      </c>
      <c r="C264" s="38" t="n">
        <v>22927.039063</v>
      </c>
      <c r="D264" s="90" t="n">
        <v>1.087364443098731</v>
      </c>
    </row>
    <row r="265">
      <c r="A265" s="80" t="n">
        <v>43770</v>
      </c>
      <c r="B265" s="25" t="n">
        <v>5785322</v>
      </c>
      <c r="C265" s="38" t="n">
        <v>23293.910156</v>
      </c>
      <c r="D265" s="90" t="n">
        <v>1.092770380449924</v>
      </c>
    </row>
    <row r="266">
      <c r="A266" s="80" t="n">
        <v>43800</v>
      </c>
      <c r="B266" s="25" t="n">
        <v>5730531</v>
      </c>
      <c r="C266" s="38" t="n">
        <v>23656.619141</v>
      </c>
      <c r="D266" s="90" t="n">
        <v>1.082421089275599</v>
      </c>
    </row>
    <row r="267">
      <c r="A267" s="80" t="n">
        <v>43831</v>
      </c>
      <c r="B267" s="25" t="n">
        <v>5783352</v>
      </c>
      <c r="C267" s="38" t="n">
        <v>23205.179688</v>
      </c>
      <c r="D267" s="90" t="n">
        <v>1.09860724911279</v>
      </c>
    </row>
    <row r="268">
      <c r="A268" s="81" t="n">
        <v>43862</v>
      </c>
      <c r="B268" s="26" t="n">
        <v>5849208</v>
      </c>
      <c r="C268" s="27" t="n">
        <v>21142.960938</v>
      </c>
      <c r="D268" s="91" t="n">
        <v>1.111117274267333</v>
      </c>
    </row>
    <row r="269">
      <c r="A269" s="80" t="n">
        <v>43891</v>
      </c>
      <c r="B269" s="25" t="n">
        <v>6044846</v>
      </c>
      <c r="C269" s="38" t="n"/>
      <c r="D269" s="90" t="n"/>
    </row>
    <row r="270">
      <c r="A270" s="81" t="n">
        <v>43922</v>
      </c>
      <c r="B270" s="26" t="n">
        <v>6190306</v>
      </c>
      <c r="C270" s="27" t="n"/>
      <c r="D270" s="91" t="n"/>
    </row>
    <row r="271">
      <c r="A271" s="80" t="n">
        <v>43952</v>
      </c>
      <c r="B271" s="25" t="n">
        <v>6385922</v>
      </c>
      <c r="C271" s="38" t="n"/>
      <c r="D271" s="90" t="n"/>
    </row>
    <row r="272">
      <c r="A272" s="81" t="n">
        <v>43983</v>
      </c>
      <c r="B272" s="26" t="n">
        <v>6489462</v>
      </c>
      <c r="C272" s="27" t="n"/>
      <c r="D272" s="91" t="n"/>
    </row>
    <row r="273">
      <c r="A273" s="80" t="n">
        <v>44013</v>
      </c>
      <c r="B273" s="25" t="n">
        <v>6658852</v>
      </c>
      <c r="C273" s="38" t="n"/>
      <c r="D273" s="90" t="n"/>
    </row>
    <row r="274">
      <c r="A274" s="81" t="n">
        <v>44044</v>
      </c>
      <c r="B274" s="26" t="n">
        <v>6828990</v>
      </c>
      <c r="C274" s="27" t="n"/>
      <c r="D274" s="91" t="n"/>
    </row>
    <row r="275">
      <c r="A275" s="80" t="n">
        <v>44075</v>
      </c>
      <c r="B275" s="25" t="n">
        <v>6900269</v>
      </c>
      <c r="C275" s="38" t="n"/>
      <c r="D275" s="90" t="n"/>
    </row>
    <row r="276">
      <c r="A276" s="81" t="n">
        <v>44105</v>
      </c>
      <c r="B276" s="26" t="n">
        <v>6982309</v>
      </c>
      <c r="C276" s="27" t="n"/>
      <c r="D276" s="91" t="n"/>
    </row>
    <row r="277">
      <c r="A277" s="80" t="n">
        <v>44136</v>
      </c>
      <c r="B277" s="25" t="n">
        <v>7053047</v>
      </c>
      <c r="C277" s="38" t="n"/>
      <c r="D277" s="90" t="n"/>
    </row>
    <row r="278">
      <c r="A278" s="81" t="n">
        <v>44166</v>
      </c>
      <c r="B278" s="26" t="n">
        <v>7025822</v>
      </c>
      <c r="C278" s="27" t="n"/>
      <c r="D278" s="91" t="n"/>
    </row>
    <row r="279">
      <c r="A279" s="80" t="n">
        <v>44197</v>
      </c>
      <c r="B279" s="25" t="n">
        <v>7094935</v>
      </c>
      <c r="C279" s="38" t="n"/>
      <c r="D279" s="90" t="n"/>
    </row>
    <row r="280">
      <c r="A280" s="80" t="n">
        <v>44228</v>
      </c>
      <c r="B280" s="25" t="n">
        <v>7126021</v>
      </c>
      <c r="C280" s="38" t="n"/>
      <c r="D280" s="90" t="n"/>
    </row>
    <row r="281">
      <c r="A281" s="81" t="n">
        <v>44256</v>
      </c>
      <c r="B281" s="26" t="n">
        <v>7145566</v>
      </c>
      <c r="C281" s="27" t="n"/>
      <c r="D281" s="91" t="n"/>
    </row>
    <row r="282">
      <c r="A282" s="80" t="n">
        <v>44287</v>
      </c>
      <c r="B282" s="25" t="n">
        <v>7202316</v>
      </c>
      <c r="C282" s="38" t="n"/>
      <c r="D282" s="90" t="n"/>
    </row>
    <row r="283">
      <c r="A283" s="81" t="n">
        <v>44317</v>
      </c>
      <c r="B283" s="26" t="n">
        <v>7246409</v>
      </c>
      <c r="C283" s="27" t="n"/>
      <c r="D283" s="91" t="n"/>
    </row>
    <row r="284">
      <c r="A284" s="80" t="n">
        <v>44348</v>
      </c>
      <c r="B284" s="25" t="n">
        <v>7169006</v>
      </c>
      <c r="C284" s="38" t="n"/>
      <c r="D284" s="90" t="n"/>
    </row>
    <row r="285">
      <c r="A285" s="81" t="n">
        <v>44378</v>
      </c>
      <c r="B285" s="26" t="n">
        <v>7229429</v>
      </c>
      <c r="C285" s="27" t="n"/>
      <c r="D285" s="91" t="n"/>
    </row>
    <row r="286">
      <c r="A286" s="80" t="n">
        <v>44409</v>
      </c>
      <c r="B286" s="25" t="n">
        <v>7267102</v>
      </c>
      <c r="C286" s="38" t="n"/>
      <c r="D286" s="90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5"/>
  <sheetViews>
    <sheetView zoomScale="180" zoomScaleNormal="180" workbookViewId="0">
      <pane ySplit="6" topLeftCell="A7" activePane="bottomLeft" state="frozen"/>
      <selection pane="bottomLeft" activeCell="P352" sqref="P352"/>
    </sheetView>
  </sheetViews>
  <sheetFormatPr baseColWidth="10" defaultColWidth="9.1640625" defaultRowHeight="15"/>
  <cols>
    <col width="20.1640625" customWidth="1" style="72" min="1" max="1"/>
    <col width="22.83203125" customWidth="1" style="72" min="2" max="2"/>
    <col width="9.1640625" customWidth="1" style="72" min="3" max="3"/>
    <col width="9.1640625" customWidth="1" style="72" min="4" max="16384"/>
  </cols>
  <sheetData>
    <row r="1">
      <c r="A1" s="19" t="n"/>
      <c r="B1" s="19" t="n"/>
    </row>
    <row r="3">
      <c r="A3" s="19" t="inlineStr">
        <is>
          <t>ECBASSETSW</t>
        </is>
      </c>
      <c r="B3" s="19" t="inlineStr">
        <is>
          <t>Central Bank Assets for Euro Area (11-19 Countries), Millions of Euros, Weekly, Not Seasonally Adjusted</t>
        </is>
      </c>
    </row>
    <row r="5">
      <c r="A5" s="19" t="inlineStr">
        <is>
          <t>Frequency: Monthly, End of Period</t>
        </is>
      </c>
      <c r="B5" s="19" t="n"/>
    </row>
    <row r="6" ht="57" customHeight="1" s="54">
      <c r="A6" s="23" t="inlineStr">
        <is>
          <t>Month</t>
        </is>
      </c>
      <c r="B6" s="24" t="inlineStr">
        <is>
          <t>Central Bank Assets for Euro Area (11-19 Countries), Millions of Euros. Source: FRED</t>
        </is>
      </c>
    </row>
    <row r="7">
      <c r="A7" s="92" t="n">
        <v>36130</v>
      </c>
      <c r="B7" s="20" t="n">
        <v>697160</v>
      </c>
    </row>
    <row r="8">
      <c r="A8" s="92" t="n">
        <v>36161</v>
      </c>
      <c r="B8" s="20" t="n">
        <v>694638</v>
      </c>
    </row>
    <row r="9">
      <c r="A9" s="92" t="n">
        <v>36192</v>
      </c>
      <c r="B9" s="20" t="n">
        <v>692641</v>
      </c>
    </row>
    <row r="10">
      <c r="A10" s="92" t="n">
        <v>36220</v>
      </c>
      <c r="B10" s="20" t="n">
        <v>699396</v>
      </c>
    </row>
    <row r="11">
      <c r="A11" s="92" t="n">
        <v>36251</v>
      </c>
      <c r="B11" s="20" t="n">
        <v>698296</v>
      </c>
    </row>
    <row r="12">
      <c r="A12" s="92" t="n">
        <v>36281</v>
      </c>
      <c r="B12" s="20" t="n">
        <v>705060</v>
      </c>
    </row>
    <row r="13">
      <c r="A13" s="92" t="n">
        <v>36312</v>
      </c>
      <c r="B13" s="20" t="n">
        <v>695644</v>
      </c>
    </row>
    <row r="14">
      <c r="A14" s="92" t="n">
        <v>36342</v>
      </c>
      <c r="B14" s="20" t="n">
        <v>739725</v>
      </c>
    </row>
    <row r="15">
      <c r="A15" s="92" t="n">
        <v>36373</v>
      </c>
      <c r="B15" s="20" t="n">
        <v>733966</v>
      </c>
    </row>
    <row r="16">
      <c r="A16" s="92" t="n">
        <v>36404</v>
      </c>
      <c r="B16" s="20" t="n">
        <v>728600</v>
      </c>
    </row>
    <row r="17">
      <c r="A17" s="92" t="n">
        <v>36434</v>
      </c>
      <c r="B17" s="20" t="n">
        <v>742624</v>
      </c>
    </row>
    <row r="18">
      <c r="A18" s="92" t="n">
        <v>36465</v>
      </c>
      <c r="B18" s="20" t="n">
        <v>743495</v>
      </c>
    </row>
    <row r="19">
      <c r="A19" s="92" t="n">
        <v>36495</v>
      </c>
      <c r="B19" s="20" t="n">
        <v>806304</v>
      </c>
    </row>
    <row r="20">
      <c r="A20" s="92" t="n">
        <v>36526</v>
      </c>
      <c r="B20" s="20" t="n">
        <v>772749</v>
      </c>
    </row>
    <row r="21">
      <c r="A21" s="92" t="n">
        <v>36557</v>
      </c>
      <c r="B21" s="20" t="n">
        <v>752207</v>
      </c>
    </row>
    <row r="22">
      <c r="A22" s="92" t="n">
        <v>36586</v>
      </c>
      <c r="B22" s="20" t="n">
        <v>774421</v>
      </c>
    </row>
    <row r="23">
      <c r="A23" s="92" t="n">
        <v>36617</v>
      </c>
      <c r="B23" s="20" t="n">
        <v>782962</v>
      </c>
    </row>
    <row r="24">
      <c r="A24" s="92" t="n">
        <v>36647</v>
      </c>
      <c r="B24" s="20" t="n">
        <v>779222</v>
      </c>
    </row>
    <row r="25">
      <c r="A25" s="92" t="n">
        <v>36678</v>
      </c>
      <c r="B25" s="20" t="n">
        <v>812468</v>
      </c>
    </row>
    <row r="26">
      <c r="A26" s="92" t="n">
        <v>36708</v>
      </c>
      <c r="B26" s="20" t="n">
        <v>800725</v>
      </c>
    </row>
    <row r="27">
      <c r="A27" s="92" t="n">
        <v>36739</v>
      </c>
      <c r="B27" s="20" t="n">
        <v>796968</v>
      </c>
    </row>
    <row r="28">
      <c r="A28" s="92" t="n">
        <v>36770</v>
      </c>
      <c r="B28" s="20" t="n">
        <v>826310</v>
      </c>
    </row>
    <row r="29">
      <c r="A29" s="92" t="n">
        <v>36800</v>
      </c>
      <c r="B29" s="20" t="n">
        <v>822086</v>
      </c>
    </row>
    <row r="30">
      <c r="A30" s="92" t="n">
        <v>36831</v>
      </c>
      <c r="B30" s="20" t="n">
        <v>833103</v>
      </c>
    </row>
    <row r="31">
      <c r="A31" s="92" t="n">
        <v>36861</v>
      </c>
      <c r="B31" s="20" t="n">
        <v>836078</v>
      </c>
    </row>
    <row r="32">
      <c r="A32" s="92" t="n">
        <v>36892</v>
      </c>
      <c r="B32" s="20" t="n">
        <v>853462</v>
      </c>
    </row>
    <row r="33">
      <c r="A33" s="92" t="n">
        <v>36923</v>
      </c>
      <c r="B33" s="20" t="n">
        <v>871589</v>
      </c>
    </row>
    <row r="34">
      <c r="A34" s="92" t="n">
        <v>36951</v>
      </c>
      <c r="B34" s="20" t="n">
        <v>847959</v>
      </c>
    </row>
    <row r="35">
      <c r="A35" s="92" t="n">
        <v>36982</v>
      </c>
      <c r="B35" s="20" t="n">
        <v>839272</v>
      </c>
    </row>
    <row r="36">
      <c r="A36" s="92" t="n">
        <v>37012</v>
      </c>
      <c r="B36" s="20" t="n">
        <v>825427</v>
      </c>
    </row>
    <row r="37">
      <c r="A37" s="92" t="n">
        <v>37043</v>
      </c>
      <c r="B37" s="20" t="n">
        <v>862767</v>
      </c>
    </row>
    <row r="38">
      <c r="A38" s="92" t="n">
        <v>37073</v>
      </c>
      <c r="B38" s="20" t="n">
        <v>862061</v>
      </c>
    </row>
    <row r="39">
      <c r="A39" s="92" t="n">
        <v>37104</v>
      </c>
      <c r="B39" s="20" t="n">
        <v>833389</v>
      </c>
    </row>
    <row r="40">
      <c r="A40" s="92" t="n">
        <v>37135</v>
      </c>
      <c r="B40" s="20" t="n">
        <v>817364</v>
      </c>
    </row>
    <row r="41">
      <c r="A41" s="92" t="n">
        <v>37165</v>
      </c>
      <c r="B41" s="20" t="n">
        <v>809996</v>
      </c>
    </row>
    <row r="42">
      <c r="A42" s="92" t="n">
        <v>37196</v>
      </c>
      <c r="B42" s="20" t="n">
        <v>810690</v>
      </c>
    </row>
    <row r="43">
      <c r="A43" s="92" t="n">
        <v>37226</v>
      </c>
      <c r="B43" s="20" t="n">
        <v>813762</v>
      </c>
    </row>
    <row r="44">
      <c r="A44" s="92" t="n">
        <v>37257</v>
      </c>
      <c r="B44" s="20" t="n">
        <v>839687</v>
      </c>
    </row>
    <row r="45">
      <c r="A45" s="92" t="n">
        <v>37288</v>
      </c>
      <c r="B45" s="20" t="n">
        <v>777402</v>
      </c>
    </row>
    <row r="46">
      <c r="A46" s="92" t="n">
        <v>37316</v>
      </c>
      <c r="B46" s="20" t="n">
        <v>814901</v>
      </c>
    </row>
    <row r="47">
      <c r="A47" s="92" t="n">
        <v>37347</v>
      </c>
      <c r="B47" s="20" t="n">
        <v>788835</v>
      </c>
    </row>
    <row r="48">
      <c r="A48" s="92" t="n">
        <v>37377</v>
      </c>
      <c r="B48" s="20" t="n">
        <v>793333</v>
      </c>
    </row>
    <row r="49">
      <c r="A49" s="92" t="n">
        <v>37408</v>
      </c>
      <c r="B49" s="20" t="n">
        <v>780845</v>
      </c>
    </row>
    <row r="50">
      <c r="A50" s="92" t="n">
        <v>37438</v>
      </c>
      <c r="B50" s="20" t="n">
        <v>783540</v>
      </c>
    </row>
    <row r="51">
      <c r="A51" s="92" t="n">
        <v>37469</v>
      </c>
      <c r="B51" s="20" t="n">
        <v>770838</v>
      </c>
    </row>
    <row r="52">
      <c r="A52" s="92" t="n">
        <v>37500</v>
      </c>
      <c r="B52" s="20" t="n">
        <v>772822</v>
      </c>
    </row>
    <row r="53">
      <c r="A53" s="92" t="n">
        <v>37530</v>
      </c>
      <c r="B53" s="20" t="n">
        <v>798028</v>
      </c>
    </row>
    <row r="54">
      <c r="A54" s="92" t="n">
        <v>37561</v>
      </c>
      <c r="B54" s="20" t="n">
        <v>796464</v>
      </c>
    </row>
    <row r="55">
      <c r="A55" s="92" t="n">
        <v>37591</v>
      </c>
      <c r="B55" s="20" t="n">
        <v>795161</v>
      </c>
    </row>
    <row r="56">
      <c r="A56" s="92" t="n">
        <v>37622</v>
      </c>
      <c r="B56" s="20" t="n">
        <v>786730</v>
      </c>
    </row>
    <row r="57">
      <c r="A57" s="92" t="n">
        <v>37653</v>
      </c>
      <c r="B57" s="20" t="n">
        <v>790649</v>
      </c>
    </row>
    <row r="58">
      <c r="A58" s="92" t="n">
        <v>37681</v>
      </c>
      <c r="B58" s="20" t="n">
        <v>798674</v>
      </c>
    </row>
    <row r="59">
      <c r="A59" s="92" t="n">
        <v>37712</v>
      </c>
      <c r="B59" s="20" t="n">
        <v>800643</v>
      </c>
    </row>
    <row r="60">
      <c r="A60" s="92" t="n">
        <v>37742</v>
      </c>
      <c r="B60" s="20" t="n">
        <v>801435</v>
      </c>
    </row>
    <row r="61">
      <c r="A61" s="92" t="n">
        <v>37773</v>
      </c>
      <c r="B61" s="20" t="n">
        <v>813568</v>
      </c>
    </row>
    <row r="62">
      <c r="A62" s="92" t="n">
        <v>37803</v>
      </c>
      <c r="B62" s="20" t="n">
        <v>828475</v>
      </c>
    </row>
    <row r="63">
      <c r="A63" s="92" t="n">
        <v>37834</v>
      </c>
      <c r="B63" s="20" t="n">
        <v>814810</v>
      </c>
    </row>
    <row r="64">
      <c r="A64" s="92" t="n">
        <v>37865</v>
      </c>
      <c r="B64" s="20" t="n">
        <v>829239</v>
      </c>
    </row>
    <row r="65">
      <c r="A65" s="92" t="n">
        <v>37895</v>
      </c>
      <c r="B65" s="20" t="n">
        <v>818606</v>
      </c>
    </row>
    <row r="66">
      <c r="A66" s="92" t="n">
        <v>37926</v>
      </c>
      <c r="B66" s="20" t="n">
        <v>833339</v>
      </c>
    </row>
    <row r="67">
      <c r="A67" s="92" t="n">
        <v>37956</v>
      </c>
      <c r="B67" s="20" t="n">
        <v>834796</v>
      </c>
    </row>
    <row r="68">
      <c r="A68" s="92" t="n">
        <v>37987</v>
      </c>
      <c r="B68" s="20" t="n">
        <v>824392</v>
      </c>
    </row>
    <row r="69">
      <c r="A69" s="92" t="n">
        <v>38018</v>
      </c>
      <c r="B69" s="20" t="n">
        <v>824024</v>
      </c>
    </row>
    <row r="70">
      <c r="A70" s="92" t="n">
        <v>38047</v>
      </c>
      <c r="B70" s="20" t="n">
        <v>830349</v>
      </c>
    </row>
    <row r="71">
      <c r="A71" s="92" t="n">
        <v>38078</v>
      </c>
      <c r="B71" s="20" t="n">
        <v>853538</v>
      </c>
    </row>
    <row r="72">
      <c r="A72" s="92" t="n">
        <v>38108</v>
      </c>
      <c r="B72" s="20" t="n">
        <v>867250</v>
      </c>
    </row>
    <row r="73">
      <c r="A73" s="92" t="n">
        <v>38139</v>
      </c>
      <c r="B73" s="20" t="n">
        <v>895838</v>
      </c>
    </row>
    <row r="74">
      <c r="A74" s="92" t="n">
        <v>38169</v>
      </c>
      <c r="B74" s="20" t="n">
        <v>883749</v>
      </c>
    </row>
    <row r="75">
      <c r="A75" s="92" t="n">
        <v>38200</v>
      </c>
      <c r="B75" s="20" t="n">
        <v>881876</v>
      </c>
    </row>
    <row r="76">
      <c r="A76" s="92" t="n">
        <v>38231</v>
      </c>
      <c r="B76" s="20" t="n">
        <v>885811</v>
      </c>
    </row>
    <row r="77">
      <c r="A77" s="92" t="n">
        <v>38261</v>
      </c>
      <c r="B77" s="20" t="n">
        <v>893778</v>
      </c>
    </row>
    <row r="78">
      <c r="A78" s="92" t="n">
        <v>38292</v>
      </c>
      <c r="B78" s="20" t="n">
        <v>899065</v>
      </c>
    </row>
    <row r="79">
      <c r="A79" s="92" t="n">
        <v>38322</v>
      </c>
      <c r="B79" s="20" t="n">
        <v>884324</v>
      </c>
    </row>
    <row r="80">
      <c r="A80" s="92" t="n">
        <v>38353</v>
      </c>
      <c r="B80" s="20" t="n">
        <v>894782</v>
      </c>
    </row>
    <row r="81">
      <c r="A81" s="92" t="n">
        <v>38384</v>
      </c>
      <c r="B81" s="20" t="n">
        <v>913849</v>
      </c>
    </row>
    <row r="82">
      <c r="A82" s="92" t="n">
        <v>38412</v>
      </c>
      <c r="B82" s="20" t="n">
        <v>926434</v>
      </c>
    </row>
    <row r="83">
      <c r="A83" s="92" t="n">
        <v>38443</v>
      </c>
      <c r="B83" s="20" t="n">
        <v>934479</v>
      </c>
    </row>
    <row r="84">
      <c r="A84" s="92" t="n">
        <v>38473</v>
      </c>
      <c r="B84" s="20" t="n">
        <v>927781</v>
      </c>
    </row>
    <row r="85">
      <c r="A85" s="92" t="n">
        <v>38504</v>
      </c>
      <c r="B85" s="20" t="n">
        <v>967868</v>
      </c>
    </row>
    <row r="86">
      <c r="A86" s="92" t="n">
        <v>38534</v>
      </c>
      <c r="B86" s="20" t="n">
        <v>996796</v>
      </c>
    </row>
    <row r="87">
      <c r="A87" s="92" t="n">
        <v>38565</v>
      </c>
      <c r="B87" s="20" t="n">
        <v>992270</v>
      </c>
    </row>
    <row r="88">
      <c r="A88" s="92" t="n">
        <v>38596</v>
      </c>
      <c r="B88" s="20" t="n">
        <v>996044</v>
      </c>
    </row>
    <row r="89">
      <c r="A89" s="92" t="n">
        <v>38626</v>
      </c>
      <c r="B89" s="20" t="n">
        <v>1003504</v>
      </c>
    </row>
    <row r="90">
      <c r="A90" s="92" t="n">
        <v>38657</v>
      </c>
      <c r="B90" s="20" t="n">
        <v>1017239</v>
      </c>
    </row>
    <row r="91">
      <c r="A91" s="92" t="n">
        <v>38687</v>
      </c>
      <c r="B91" s="20" t="n">
        <v>1038616</v>
      </c>
    </row>
    <row r="92">
      <c r="A92" s="92" t="n">
        <v>38718</v>
      </c>
      <c r="B92" s="20" t="n">
        <v>1055186</v>
      </c>
    </row>
    <row r="93">
      <c r="A93" s="92" t="n">
        <v>38749</v>
      </c>
      <c r="B93" s="20" t="n">
        <v>1062732</v>
      </c>
    </row>
    <row r="94">
      <c r="A94" s="92" t="n">
        <v>38777</v>
      </c>
      <c r="B94" s="20" t="n">
        <v>1067477</v>
      </c>
    </row>
    <row r="95">
      <c r="A95" s="92" t="n">
        <v>38808</v>
      </c>
      <c r="B95" s="20" t="n">
        <v>1080389</v>
      </c>
    </row>
    <row r="96">
      <c r="A96" s="92" t="n">
        <v>38838</v>
      </c>
      <c r="B96" s="20" t="n">
        <v>1084094</v>
      </c>
    </row>
    <row r="97">
      <c r="A97" s="92" t="n">
        <v>38869</v>
      </c>
      <c r="B97" s="20" t="n">
        <v>1112770</v>
      </c>
    </row>
    <row r="98">
      <c r="A98" s="92" t="n">
        <v>38899</v>
      </c>
      <c r="B98" s="20" t="n">
        <v>1128285</v>
      </c>
    </row>
    <row r="99">
      <c r="A99" s="92" t="n">
        <v>38930</v>
      </c>
      <c r="B99" s="20" t="n">
        <v>1113025</v>
      </c>
    </row>
    <row r="100">
      <c r="A100" s="92" t="n">
        <v>38961</v>
      </c>
      <c r="B100" s="20" t="n">
        <v>1118315</v>
      </c>
    </row>
    <row r="101">
      <c r="A101" s="92" t="n">
        <v>38991</v>
      </c>
      <c r="B101" s="20" t="n">
        <v>1118736</v>
      </c>
    </row>
    <row r="102">
      <c r="A102" s="92" t="n">
        <v>39022</v>
      </c>
      <c r="B102" s="20" t="n">
        <v>1133314</v>
      </c>
    </row>
    <row r="103">
      <c r="A103" s="92" t="n">
        <v>39052</v>
      </c>
      <c r="B103" s="20" t="n">
        <v>1150030</v>
      </c>
    </row>
    <row r="104">
      <c r="A104" s="92" t="n">
        <v>39083</v>
      </c>
      <c r="B104" s="20" t="n">
        <v>1148148</v>
      </c>
    </row>
    <row r="105">
      <c r="A105" s="92" t="n">
        <v>39114</v>
      </c>
      <c r="B105" s="20" t="n">
        <v>1150396</v>
      </c>
    </row>
    <row r="106">
      <c r="A106" s="92" t="n">
        <v>39142</v>
      </c>
      <c r="B106" s="20" t="n">
        <v>1162604</v>
      </c>
    </row>
    <row r="107">
      <c r="A107" s="92" t="n">
        <v>39173</v>
      </c>
      <c r="B107" s="20" t="n">
        <v>1176308</v>
      </c>
    </row>
    <row r="108">
      <c r="A108" s="92" t="n">
        <v>39203</v>
      </c>
      <c r="B108" s="20" t="n">
        <v>1187052</v>
      </c>
    </row>
    <row r="109">
      <c r="A109" s="92" t="n">
        <v>39234</v>
      </c>
      <c r="B109" s="20" t="n">
        <v>1208453</v>
      </c>
    </row>
    <row r="110">
      <c r="A110" s="92" t="n">
        <v>39264</v>
      </c>
      <c r="B110" s="20" t="n">
        <v>1212584</v>
      </c>
    </row>
    <row r="111">
      <c r="A111" s="92" t="n">
        <v>39295</v>
      </c>
      <c r="B111" s="20" t="n">
        <v>1157534</v>
      </c>
    </row>
    <row r="112">
      <c r="A112" s="92" t="n">
        <v>39326</v>
      </c>
      <c r="B112" s="20" t="n">
        <v>1250396</v>
      </c>
    </row>
    <row r="113">
      <c r="A113" s="92" t="n">
        <v>39356</v>
      </c>
      <c r="B113" s="20" t="n">
        <v>1263504</v>
      </c>
    </row>
    <row r="114">
      <c r="A114" s="92" t="n">
        <v>39387</v>
      </c>
      <c r="B114" s="20" t="n">
        <v>1297266</v>
      </c>
    </row>
    <row r="115">
      <c r="A115" s="92" t="n">
        <v>39417</v>
      </c>
      <c r="B115" s="20" t="n">
        <v>1507981</v>
      </c>
    </row>
    <row r="116">
      <c r="A116" s="92" t="n">
        <v>39448</v>
      </c>
      <c r="B116" s="20" t="n">
        <v>1337542</v>
      </c>
    </row>
    <row r="117">
      <c r="A117" s="92" t="n">
        <v>39479</v>
      </c>
      <c r="B117" s="20" t="n">
        <v>1336758</v>
      </c>
    </row>
    <row r="118">
      <c r="A118" s="92" t="n">
        <v>39508</v>
      </c>
      <c r="B118" s="20" t="n">
        <v>1390804</v>
      </c>
    </row>
    <row r="119">
      <c r="A119" s="92" t="n">
        <v>39539</v>
      </c>
      <c r="B119" s="20" t="n">
        <v>1405859</v>
      </c>
    </row>
    <row r="120">
      <c r="A120" s="92" t="n">
        <v>39569</v>
      </c>
      <c r="B120" s="20" t="n">
        <v>1423245</v>
      </c>
    </row>
    <row r="121">
      <c r="A121" s="92" t="n">
        <v>39600</v>
      </c>
      <c r="B121" s="20" t="n">
        <v>1462710</v>
      </c>
    </row>
    <row r="122">
      <c r="A122" s="92" t="n">
        <v>39630</v>
      </c>
      <c r="B122" s="20" t="n">
        <v>1450899</v>
      </c>
    </row>
    <row r="123">
      <c r="A123" s="92" t="n">
        <v>39661</v>
      </c>
      <c r="B123" s="20" t="n">
        <v>1449139</v>
      </c>
    </row>
    <row r="124">
      <c r="A124" s="92" t="n">
        <v>39692</v>
      </c>
      <c r="B124" s="20" t="n">
        <v>1518548</v>
      </c>
    </row>
    <row r="125">
      <c r="A125" s="92" t="n">
        <v>39722</v>
      </c>
      <c r="B125" s="20" t="n">
        <v>2031447</v>
      </c>
    </row>
    <row r="126">
      <c r="A126" s="92" t="n">
        <v>39753</v>
      </c>
      <c r="B126" s="20" t="n">
        <v>1979051</v>
      </c>
    </row>
    <row r="127">
      <c r="A127" s="92" t="n">
        <v>39783</v>
      </c>
      <c r="B127" s="20" t="n">
        <v>2075107</v>
      </c>
    </row>
    <row r="128">
      <c r="A128" s="92" t="n">
        <v>39814</v>
      </c>
      <c r="B128" s="20" t="n">
        <v>1906979</v>
      </c>
    </row>
    <row r="129">
      <c r="A129" s="92" t="n">
        <v>39845</v>
      </c>
      <c r="B129" s="20" t="n">
        <v>1820268</v>
      </c>
    </row>
    <row r="130">
      <c r="A130" s="92" t="n">
        <v>39873</v>
      </c>
      <c r="B130" s="20" t="n">
        <v>1803083</v>
      </c>
    </row>
    <row r="131">
      <c r="A131" s="92" t="n">
        <v>39904</v>
      </c>
      <c r="B131" s="20" t="n">
        <v>1823963</v>
      </c>
    </row>
    <row r="132">
      <c r="A132" s="92" t="n">
        <v>39934</v>
      </c>
      <c r="B132" s="20" t="n">
        <v>1799610</v>
      </c>
    </row>
    <row r="133">
      <c r="A133" s="92" t="n">
        <v>39965</v>
      </c>
      <c r="B133" s="20" t="n">
        <v>1997319</v>
      </c>
    </row>
    <row r="134">
      <c r="A134" s="92" t="n">
        <v>39995</v>
      </c>
      <c r="B134" s="20" t="n">
        <v>1854093</v>
      </c>
    </row>
    <row r="135">
      <c r="A135" s="92" t="n">
        <v>40026</v>
      </c>
      <c r="B135" s="20" t="n">
        <v>1821371</v>
      </c>
    </row>
    <row r="136">
      <c r="A136" s="92" t="n">
        <v>40057</v>
      </c>
      <c r="B136" s="20" t="n">
        <v>1790242</v>
      </c>
    </row>
    <row r="137">
      <c r="A137" s="92" t="n">
        <v>40087</v>
      </c>
      <c r="B137" s="20" t="n">
        <v>1779000</v>
      </c>
    </row>
    <row r="138">
      <c r="A138" s="92" t="n">
        <v>40118</v>
      </c>
      <c r="B138" s="20" t="n">
        <v>1759186</v>
      </c>
    </row>
    <row r="139">
      <c r="A139" s="92" t="n">
        <v>40148</v>
      </c>
      <c r="B139" s="20" t="n">
        <v>1903024</v>
      </c>
    </row>
    <row r="140">
      <c r="A140" s="92" t="n">
        <v>40179</v>
      </c>
      <c r="B140" s="20" t="n">
        <v>1877655</v>
      </c>
    </row>
    <row r="141">
      <c r="A141" s="92" t="n">
        <v>40210</v>
      </c>
      <c r="B141" s="20" t="n">
        <v>1889017</v>
      </c>
    </row>
    <row r="142">
      <c r="A142" s="92" t="n">
        <v>40238</v>
      </c>
      <c r="B142" s="20" t="n">
        <v>1894898</v>
      </c>
    </row>
    <row r="143">
      <c r="A143" s="92" t="n">
        <v>40269</v>
      </c>
      <c r="B143" s="20" t="n">
        <v>1956819</v>
      </c>
    </row>
    <row r="144">
      <c r="A144" s="92" t="n">
        <v>40299</v>
      </c>
      <c r="B144" s="20" t="n">
        <v>2088450</v>
      </c>
    </row>
    <row r="145">
      <c r="A145" s="92" t="n">
        <v>40330</v>
      </c>
      <c r="B145" s="20" t="n">
        <v>2154245</v>
      </c>
    </row>
    <row r="146">
      <c r="A146" s="92" t="n">
        <v>40360</v>
      </c>
      <c r="B146" s="20" t="n">
        <v>2001660</v>
      </c>
    </row>
    <row r="147">
      <c r="A147" s="92" t="n">
        <v>40391</v>
      </c>
      <c r="B147" s="20" t="n">
        <v>1957926</v>
      </c>
    </row>
    <row r="148">
      <c r="A148" s="92" t="n">
        <v>40422</v>
      </c>
      <c r="B148" s="20" t="n">
        <v>1971356</v>
      </c>
    </row>
    <row r="149">
      <c r="A149" s="92" t="n">
        <v>40452</v>
      </c>
      <c r="B149" s="20" t="n">
        <v>1895679</v>
      </c>
    </row>
    <row r="150">
      <c r="A150" s="92" t="n">
        <v>40483</v>
      </c>
      <c r="B150" s="20" t="n">
        <v>1915961</v>
      </c>
    </row>
    <row r="151">
      <c r="A151" s="92" t="n">
        <v>40513</v>
      </c>
      <c r="B151" s="20" t="n">
        <v>2004432</v>
      </c>
    </row>
    <row r="152">
      <c r="A152" s="92" t="n">
        <v>40544</v>
      </c>
      <c r="B152" s="20" t="n">
        <v>1965568</v>
      </c>
    </row>
    <row r="153">
      <c r="A153" s="92" t="n">
        <v>40575</v>
      </c>
      <c r="B153" s="20" t="n">
        <v>1952278</v>
      </c>
    </row>
    <row r="154">
      <c r="A154" s="92" t="n">
        <v>40603</v>
      </c>
      <c r="B154" s="20" t="n">
        <v>1928055</v>
      </c>
    </row>
    <row r="155">
      <c r="A155" s="92" t="n">
        <v>40634</v>
      </c>
      <c r="B155" s="20" t="n">
        <v>1894101</v>
      </c>
    </row>
    <row r="156">
      <c r="A156" s="92" t="n">
        <v>40664</v>
      </c>
      <c r="B156" s="20" t="n">
        <v>1900610</v>
      </c>
    </row>
    <row r="157">
      <c r="A157" s="92" t="n">
        <v>40695</v>
      </c>
      <c r="B157" s="20" t="n">
        <v>1972174</v>
      </c>
    </row>
    <row r="158">
      <c r="A158" s="92" t="n">
        <v>40725</v>
      </c>
      <c r="B158" s="20" t="n">
        <v>2000471</v>
      </c>
    </row>
    <row r="159">
      <c r="A159" s="92" t="n">
        <v>40756</v>
      </c>
      <c r="B159" s="20" t="n">
        <v>2071633</v>
      </c>
    </row>
    <row r="160">
      <c r="A160" s="92" t="n">
        <v>40787</v>
      </c>
      <c r="B160" s="20" t="n">
        <v>2288571</v>
      </c>
    </row>
    <row r="161">
      <c r="A161" s="92" t="n">
        <v>40817</v>
      </c>
      <c r="B161" s="20" t="n">
        <v>2333373</v>
      </c>
    </row>
    <row r="162">
      <c r="A162" s="92" t="n">
        <v>40848</v>
      </c>
      <c r="B162" s="20" t="n">
        <v>2419548</v>
      </c>
    </row>
    <row r="163">
      <c r="A163" s="92" t="n">
        <v>40878</v>
      </c>
      <c r="B163" s="20" t="n">
        <v>2733270</v>
      </c>
    </row>
    <row r="164">
      <c r="A164" s="92" t="n">
        <v>40909</v>
      </c>
      <c r="B164" s="20" t="n">
        <v>2682576</v>
      </c>
    </row>
    <row r="165">
      <c r="A165" s="92" t="n">
        <v>40940</v>
      </c>
      <c r="B165" s="20" t="n">
        <v>2692598</v>
      </c>
    </row>
    <row r="166">
      <c r="A166" s="92" t="n">
        <v>40969</v>
      </c>
      <c r="B166" s="20" t="n">
        <v>2964427</v>
      </c>
    </row>
    <row r="167">
      <c r="A167" s="92" t="n">
        <v>41000</v>
      </c>
      <c r="B167" s="20" t="n">
        <v>2962103</v>
      </c>
    </row>
    <row r="168">
      <c r="A168" s="92" t="n">
        <v>41030</v>
      </c>
      <c r="B168" s="20" t="n">
        <v>2980310</v>
      </c>
    </row>
    <row r="169">
      <c r="A169" s="92" t="n">
        <v>41061</v>
      </c>
      <c r="B169" s="20" t="n">
        <v>3102227</v>
      </c>
    </row>
    <row r="170">
      <c r="A170" s="92" t="n">
        <v>41091</v>
      </c>
      <c r="B170" s="20" t="n">
        <v>3094144</v>
      </c>
    </row>
    <row r="171">
      <c r="A171" s="92" t="n">
        <v>41122</v>
      </c>
      <c r="B171" s="20" t="n">
        <v>3084769</v>
      </c>
    </row>
    <row r="172">
      <c r="A172" s="92" t="n">
        <v>41153</v>
      </c>
      <c r="B172" s="20" t="n">
        <v>3082432</v>
      </c>
    </row>
    <row r="173">
      <c r="A173" s="92" t="n">
        <v>41183</v>
      </c>
      <c r="B173" s="20" t="n">
        <v>3046543</v>
      </c>
    </row>
    <row r="174">
      <c r="A174" s="92" t="n">
        <v>41214</v>
      </c>
      <c r="B174" s="20" t="n">
        <v>3033294</v>
      </c>
    </row>
    <row r="175">
      <c r="A175" s="92" t="n">
        <v>41244</v>
      </c>
      <c r="B175" s="20" t="n">
        <v>2962613</v>
      </c>
    </row>
    <row r="176">
      <c r="A176" s="92" t="n">
        <v>41275</v>
      </c>
      <c r="B176" s="20" t="n">
        <v>2928781</v>
      </c>
    </row>
    <row r="177">
      <c r="A177" s="92" t="n">
        <v>41306</v>
      </c>
      <c r="B177" s="20" t="n">
        <v>2748823</v>
      </c>
    </row>
    <row r="178">
      <c r="A178" s="92" t="n">
        <v>41334</v>
      </c>
      <c r="B178" s="20" t="n">
        <v>2648126</v>
      </c>
    </row>
    <row r="179">
      <c r="A179" s="92" t="n">
        <v>41365</v>
      </c>
      <c r="B179" s="20" t="n">
        <v>2611252</v>
      </c>
    </row>
    <row r="180">
      <c r="A180" s="92" t="n">
        <v>41395</v>
      </c>
      <c r="B180" s="20" t="n">
        <v>2549449</v>
      </c>
    </row>
    <row r="181">
      <c r="A181" s="92" t="n">
        <v>41426</v>
      </c>
      <c r="B181" s="20" t="n">
        <v>2430423</v>
      </c>
    </row>
    <row r="182">
      <c r="A182" s="92" t="n">
        <v>41456</v>
      </c>
      <c r="B182" s="20" t="n">
        <v>2396181</v>
      </c>
    </row>
    <row r="183">
      <c r="A183" s="92" t="n">
        <v>41487</v>
      </c>
      <c r="B183" s="20" t="n">
        <v>2360639</v>
      </c>
    </row>
    <row r="184">
      <c r="A184" s="92" t="n">
        <v>41518</v>
      </c>
      <c r="B184" s="20" t="n">
        <v>2338044</v>
      </c>
    </row>
    <row r="185">
      <c r="A185" s="92" t="n">
        <v>41548</v>
      </c>
      <c r="B185" s="20" t="n">
        <v>2318744</v>
      </c>
    </row>
    <row r="186">
      <c r="A186" s="92" t="n">
        <v>41579</v>
      </c>
      <c r="B186" s="20" t="n">
        <v>2290956</v>
      </c>
    </row>
    <row r="187">
      <c r="A187" s="92" t="n">
        <v>41609</v>
      </c>
      <c r="B187" s="20" t="n">
        <v>2273267</v>
      </c>
    </row>
    <row r="188">
      <c r="A188" s="92" t="n">
        <v>41640</v>
      </c>
      <c r="B188" s="20" t="n">
        <v>2217061</v>
      </c>
    </row>
    <row r="189">
      <c r="A189" s="92" t="n">
        <v>41671</v>
      </c>
      <c r="B189" s="20" t="n">
        <v>2181079</v>
      </c>
    </row>
    <row r="190">
      <c r="A190" s="92" t="n">
        <v>41699</v>
      </c>
      <c r="B190" s="20" t="n">
        <v>2152103</v>
      </c>
    </row>
    <row r="191">
      <c r="A191" s="92" t="n">
        <v>41730</v>
      </c>
      <c r="B191" s="20" t="n">
        <v>2169061</v>
      </c>
    </row>
    <row r="192">
      <c r="A192" s="92" t="n">
        <v>41760</v>
      </c>
      <c r="B192" s="20" t="n">
        <v>2197095</v>
      </c>
    </row>
    <row r="193">
      <c r="A193" s="92" t="n">
        <v>41791</v>
      </c>
      <c r="B193" s="20" t="n">
        <v>2088099</v>
      </c>
    </row>
    <row r="194">
      <c r="A194" s="92" t="n">
        <v>41821</v>
      </c>
      <c r="B194" s="20" t="n">
        <v>2044312</v>
      </c>
    </row>
    <row r="195">
      <c r="A195" s="92" t="n">
        <v>41852</v>
      </c>
      <c r="B195" s="20" t="n">
        <v>2038716</v>
      </c>
    </row>
    <row r="196">
      <c r="A196" s="92" t="n">
        <v>41883</v>
      </c>
      <c r="B196" s="20" t="n">
        <v>2038235</v>
      </c>
    </row>
    <row r="197">
      <c r="A197" s="92" t="n">
        <v>41913</v>
      </c>
      <c r="B197" s="20" t="n">
        <v>2052070</v>
      </c>
    </row>
    <row r="198">
      <c r="A198" s="92" t="n">
        <v>41944</v>
      </c>
      <c r="B198" s="20" t="n">
        <v>2053892</v>
      </c>
    </row>
    <row r="199">
      <c r="A199" s="92" t="n">
        <v>41974</v>
      </c>
      <c r="B199" s="20" t="n">
        <v>2150247</v>
      </c>
    </row>
    <row r="200">
      <c r="A200" s="92" t="n">
        <v>42005</v>
      </c>
      <c r="B200" s="20" t="n">
        <v>2181954</v>
      </c>
    </row>
    <row r="201">
      <c r="A201" s="92" t="n">
        <v>42036</v>
      </c>
      <c r="B201" s="20" t="n">
        <v>2155836</v>
      </c>
    </row>
    <row r="202">
      <c r="A202" s="92" t="n">
        <v>42064</v>
      </c>
      <c r="B202" s="20" t="n">
        <v>2250801</v>
      </c>
    </row>
    <row r="203">
      <c r="A203" s="92" t="n">
        <v>42095</v>
      </c>
      <c r="B203" s="20" t="n">
        <v>2360790</v>
      </c>
    </row>
    <row r="204">
      <c r="A204" s="92" t="n">
        <v>42125</v>
      </c>
      <c r="B204" s="20" t="n">
        <v>2416664</v>
      </c>
    </row>
    <row r="205">
      <c r="A205" s="92" t="n">
        <v>42156</v>
      </c>
      <c r="B205" s="20" t="n">
        <v>2539544</v>
      </c>
    </row>
    <row r="206">
      <c r="A206" s="92" t="n">
        <v>42186</v>
      </c>
      <c r="B206" s="20" t="n">
        <v>2536592</v>
      </c>
    </row>
    <row r="207">
      <c r="A207" s="92" t="n">
        <v>42217</v>
      </c>
      <c r="B207" s="20" t="n">
        <v>2558780</v>
      </c>
    </row>
    <row r="208">
      <c r="A208" s="92" t="n">
        <v>42248</v>
      </c>
      <c r="B208" s="20" t="n">
        <v>2620631</v>
      </c>
    </row>
    <row r="209">
      <c r="A209" s="92" t="n">
        <v>42278</v>
      </c>
      <c r="B209" s="20" t="n">
        <v>2664996</v>
      </c>
    </row>
    <row r="210">
      <c r="A210" s="92" t="n">
        <v>42309</v>
      </c>
      <c r="B210" s="20" t="n">
        <v>2706740</v>
      </c>
    </row>
    <row r="211">
      <c r="A211" s="92" t="n">
        <v>42339</v>
      </c>
      <c r="B211" s="20" t="n">
        <v>2767815</v>
      </c>
    </row>
    <row r="212">
      <c r="A212" s="92" t="n">
        <v>42370</v>
      </c>
      <c r="B212" s="20" t="n">
        <v>2808331</v>
      </c>
    </row>
    <row r="213">
      <c r="A213" s="92" t="n">
        <v>42401</v>
      </c>
      <c r="B213" s="20" t="n">
        <v>2850299</v>
      </c>
    </row>
    <row r="214">
      <c r="A214" s="92" t="n">
        <v>42430</v>
      </c>
      <c r="B214" s="20" t="n">
        <v>2897696</v>
      </c>
    </row>
    <row r="215">
      <c r="A215" s="92" t="n">
        <v>42461</v>
      </c>
      <c r="B215" s="20" t="n">
        <v>3000759</v>
      </c>
    </row>
    <row r="216">
      <c r="A216" s="92" t="n">
        <v>42491</v>
      </c>
      <c r="B216" s="20" t="n">
        <v>3067481</v>
      </c>
    </row>
    <row r="217">
      <c r="A217" s="92" t="n">
        <v>42522</v>
      </c>
      <c r="B217" s="20" t="n">
        <v>3131095</v>
      </c>
    </row>
    <row r="218">
      <c r="A218" s="92" t="n">
        <v>42552</v>
      </c>
      <c r="B218" s="20" t="n">
        <v>3284309</v>
      </c>
    </row>
    <row r="219">
      <c r="A219" s="92" t="n">
        <v>42583</v>
      </c>
      <c r="B219" s="20" t="n">
        <v>3330487</v>
      </c>
    </row>
    <row r="220">
      <c r="A220" s="92" t="n">
        <v>42614</v>
      </c>
      <c r="B220" s="20" t="n">
        <v>3438145</v>
      </c>
    </row>
    <row r="221">
      <c r="A221" s="92" t="n">
        <v>42644</v>
      </c>
      <c r="B221" s="20" t="n">
        <v>3507401</v>
      </c>
    </row>
    <row r="222">
      <c r="A222" s="92" t="n">
        <v>42675</v>
      </c>
      <c r="B222" s="20" t="n">
        <v>3566230</v>
      </c>
    </row>
    <row r="223">
      <c r="A223" s="92" t="n">
        <v>42705</v>
      </c>
      <c r="B223" s="20" t="n">
        <v>3662901</v>
      </c>
    </row>
    <row r="224">
      <c r="A224" s="92" t="n">
        <v>42736</v>
      </c>
      <c r="B224" s="20" t="n">
        <v>3740766</v>
      </c>
    </row>
    <row r="225">
      <c r="A225" s="92" t="n">
        <v>42767</v>
      </c>
      <c r="B225" s="20" t="n">
        <v>3808242</v>
      </c>
    </row>
    <row r="226">
      <c r="A226" s="92" t="n">
        <v>42795</v>
      </c>
      <c r="B226" s="20" t="n">
        <v>4100730</v>
      </c>
    </row>
    <row r="227">
      <c r="A227" s="92" t="n">
        <v>42826</v>
      </c>
      <c r="B227" s="20" t="n">
        <v>4148032</v>
      </c>
    </row>
    <row r="228">
      <c r="A228" s="92" t="n">
        <v>42856</v>
      </c>
      <c r="B228" s="20" t="n">
        <v>4195685</v>
      </c>
    </row>
    <row r="229">
      <c r="A229" s="92" t="n">
        <v>42887</v>
      </c>
      <c r="B229" s="20" t="n">
        <v>4209510</v>
      </c>
    </row>
    <row r="230">
      <c r="A230" s="92" t="n">
        <v>42917</v>
      </c>
      <c r="B230" s="20" t="n">
        <v>4248280</v>
      </c>
    </row>
    <row r="231">
      <c r="A231" s="92" t="n">
        <v>42948</v>
      </c>
      <c r="B231" s="20" t="n">
        <v>4278881</v>
      </c>
    </row>
    <row r="232">
      <c r="A232" s="92" t="n">
        <v>42979</v>
      </c>
      <c r="B232" s="20" t="n">
        <v>4318624</v>
      </c>
    </row>
    <row r="233">
      <c r="A233" s="92" t="n">
        <v>43009</v>
      </c>
      <c r="B233" s="20" t="n">
        <v>4371222</v>
      </c>
    </row>
    <row r="234">
      <c r="A234" s="92" t="n">
        <v>43040</v>
      </c>
      <c r="B234" s="20" t="n">
        <v>4440791</v>
      </c>
    </row>
    <row r="235">
      <c r="A235" s="92" t="n">
        <v>43070</v>
      </c>
      <c r="B235" s="20" t="n">
        <v>4471689</v>
      </c>
    </row>
    <row r="236">
      <c r="A236" s="92" t="n">
        <v>43101</v>
      </c>
      <c r="B236" s="20" t="n">
        <v>4491151</v>
      </c>
    </row>
    <row r="237">
      <c r="A237" s="92" t="n">
        <v>43132</v>
      </c>
      <c r="B237" s="20" t="n">
        <v>4519360</v>
      </c>
    </row>
    <row r="238">
      <c r="A238" s="92" t="n">
        <v>43160</v>
      </c>
      <c r="B238" s="20" t="n">
        <v>4529579</v>
      </c>
    </row>
    <row r="239">
      <c r="A239" s="92" t="n">
        <v>43191</v>
      </c>
      <c r="B239" s="20" t="n">
        <v>4554344</v>
      </c>
    </row>
    <row r="240">
      <c r="A240" s="92" t="n">
        <v>43221</v>
      </c>
      <c r="B240" s="20" t="n">
        <v>4567744</v>
      </c>
    </row>
    <row r="241">
      <c r="A241" s="92" t="n">
        <v>43252</v>
      </c>
      <c r="B241" s="20" t="n">
        <v>4592518</v>
      </c>
    </row>
    <row r="242">
      <c r="A242" s="92" t="n">
        <v>43282</v>
      </c>
      <c r="B242" s="20" t="n">
        <v>4602258</v>
      </c>
    </row>
    <row r="243">
      <c r="A243" s="92" t="n">
        <v>43313</v>
      </c>
      <c r="B243" s="20" t="n">
        <v>4621355</v>
      </c>
    </row>
    <row r="244">
      <c r="A244" s="92" t="n">
        <v>43344</v>
      </c>
      <c r="B244" s="20" t="n">
        <v>4619792</v>
      </c>
    </row>
    <row r="245">
      <c r="A245" s="92" t="n">
        <v>43374</v>
      </c>
      <c r="B245" s="20" t="n">
        <v>4622163</v>
      </c>
    </row>
    <row r="246">
      <c r="A246" s="92" t="n">
        <v>43405</v>
      </c>
      <c r="B246" s="20" t="n">
        <v>4660299</v>
      </c>
    </row>
    <row r="247">
      <c r="A247" s="92" t="n">
        <v>43435</v>
      </c>
      <c r="B247" s="20" t="n">
        <v>4669003</v>
      </c>
    </row>
    <row r="248">
      <c r="A248" s="92" t="n">
        <v>43466</v>
      </c>
      <c r="B248" s="20" t="n">
        <v>4695505</v>
      </c>
    </row>
    <row r="249">
      <c r="A249" s="92" t="n">
        <v>43497</v>
      </c>
      <c r="B249" s="20" t="n">
        <v>4686299</v>
      </c>
    </row>
    <row r="250">
      <c r="A250" s="92" t="n">
        <v>43525</v>
      </c>
      <c r="B250" s="20" t="n">
        <v>4695785</v>
      </c>
    </row>
    <row r="251">
      <c r="A251" s="92" t="n">
        <v>43556</v>
      </c>
      <c r="B251" s="20" t="n">
        <v>4683918</v>
      </c>
    </row>
    <row r="252">
      <c r="A252" s="92" t="n">
        <v>43586</v>
      </c>
      <c r="B252" s="20" t="n">
        <v>4685961</v>
      </c>
    </row>
    <row r="253">
      <c r="A253" s="92" t="n">
        <v>43617</v>
      </c>
      <c r="B253" s="20" t="n">
        <v>4692614</v>
      </c>
    </row>
    <row r="254">
      <c r="A254" s="92" t="n">
        <v>43647</v>
      </c>
      <c r="B254" s="20" t="n">
        <v>4679180</v>
      </c>
    </row>
    <row r="255">
      <c r="A255" s="92" t="n">
        <v>43678</v>
      </c>
      <c r="B255" s="20" t="n">
        <v>4683714</v>
      </c>
    </row>
    <row r="256">
      <c r="A256" s="92" t="n">
        <v>43709</v>
      </c>
      <c r="B256" s="20" t="n">
        <v>4638104</v>
      </c>
    </row>
    <row r="257">
      <c r="A257" s="92" t="n">
        <v>43739</v>
      </c>
      <c r="B257" s="20" t="n">
        <v>4676258</v>
      </c>
    </row>
    <row r="258">
      <c r="A258" s="92" t="n">
        <v>43770</v>
      </c>
      <c r="B258" s="20" t="n">
        <v>4698291</v>
      </c>
    </row>
    <row r="259">
      <c r="A259" s="92" t="n">
        <v>43800</v>
      </c>
      <c r="B259" s="20" t="n">
        <v>4691998</v>
      </c>
    </row>
    <row r="260">
      <c r="A260" s="92" t="n">
        <v>43831</v>
      </c>
      <c r="B260" s="20" t="n">
        <v>4671365</v>
      </c>
    </row>
    <row r="261">
      <c r="A261" s="80" t="n">
        <v>43868</v>
      </c>
      <c r="B261" s="21" t="n">
        <v>4668900</v>
      </c>
    </row>
    <row r="262">
      <c r="A262" s="80" t="n">
        <v>43875</v>
      </c>
      <c r="B262" s="21" t="n">
        <v>4679726</v>
      </c>
    </row>
    <row r="263">
      <c r="A263" s="80" t="n">
        <v>43882</v>
      </c>
      <c r="B263" s="21" t="n">
        <v>4688301</v>
      </c>
    </row>
    <row r="264">
      <c r="A264" s="80" t="n">
        <v>43889</v>
      </c>
      <c r="B264" s="21" t="n">
        <v>4691852</v>
      </c>
    </row>
    <row r="265">
      <c r="A265" s="80" t="n">
        <v>43896</v>
      </c>
      <c r="B265" s="21" t="n">
        <v>4702214</v>
      </c>
    </row>
    <row r="266">
      <c r="A266" s="80" t="n">
        <v>43903</v>
      </c>
      <c r="B266" s="21" t="n">
        <v>4704239</v>
      </c>
    </row>
    <row r="267">
      <c r="A267" s="92" t="n">
        <v>43910</v>
      </c>
      <c r="B267" s="20" t="n">
        <v>4927267</v>
      </c>
    </row>
    <row r="268">
      <c r="A268" s="92" t="n">
        <v>43917</v>
      </c>
      <c r="B268" s="20" t="n">
        <v>5062687</v>
      </c>
    </row>
    <row r="269">
      <c r="A269" s="92" t="n">
        <v>43924</v>
      </c>
      <c r="B269" s="20" t="n">
        <v>5199822</v>
      </c>
    </row>
    <row r="270">
      <c r="A270" s="92" t="n">
        <v>43931</v>
      </c>
      <c r="B270" s="20" t="n">
        <v>5257490</v>
      </c>
    </row>
    <row r="271">
      <c r="A271" s="92" t="n">
        <v>43938</v>
      </c>
      <c r="B271" s="20" t="n">
        <v>5282926</v>
      </c>
    </row>
    <row r="272">
      <c r="A272" s="93" t="n">
        <v>43945</v>
      </c>
      <c r="B272" s="22" t="n">
        <v>5347042</v>
      </c>
    </row>
    <row r="273">
      <c r="A273" s="92" t="n">
        <v>43952</v>
      </c>
      <c r="B273" s="20" t="n">
        <v>5395184</v>
      </c>
    </row>
    <row r="274">
      <c r="A274" s="93" t="n">
        <v>43959</v>
      </c>
      <c r="B274" s="22" t="n">
        <v>5451001</v>
      </c>
    </row>
    <row r="275">
      <c r="A275" s="92" t="n">
        <v>43966</v>
      </c>
      <c r="B275" s="20" t="n">
        <v>5505521</v>
      </c>
    </row>
    <row r="276">
      <c r="A276" s="93" t="n">
        <v>43973</v>
      </c>
      <c r="B276" s="22" t="n">
        <v>5555276</v>
      </c>
    </row>
    <row r="277">
      <c r="A277" s="92" t="n">
        <v>43980</v>
      </c>
      <c r="B277" s="20" t="n">
        <v>5596070</v>
      </c>
    </row>
    <row r="278">
      <c r="A278" s="93" t="n">
        <v>43987</v>
      </c>
      <c r="B278" s="22" t="n">
        <v>5655414</v>
      </c>
    </row>
    <row r="279">
      <c r="A279" s="92" t="n">
        <v>43994</v>
      </c>
      <c r="B279" s="20" t="n">
        <v>5630275</v>
      </c>
    </row>
    <row r="280">
      <c r="A280" s="93" t="n">
        <v>44001</v>
      </c>
      <c r="B280" s="22" t="n">
        <v>5636378</v>
      </c>
    </row>
    <row r="281">
      <c r="A281" s="92" t="n">
        <v>44008</v>
      </c>
      <c r="B281" s="20" t="n">
        <v>6236143</v>
      </c>
    </row>
    <row r="282">
      <c r="A282" s="93" t="n">
        <v>44015</v>
      </c>
      <c r="B282" s="22" t="n">
        <v>6288974</v>
      </c>
    </row>
    <row r="283">
      <c r="A283" s="92" t="n">
        <v>44022</v>
      </c>
      <c r="B283" s="20" t="n">
        <v>6309160</v>
      </c>
    </row>
    <row r="284">
      <c r="A284" s="92" t="n">
        <v>44029</v>
      </c>
      <c r="B284" s="20" t="n">
        <v>6322604</v>
      </c>
    </row>
    <row r="285">
      <c r="A285" s="93" t="n">
        <v>44036</v>
      </c>
      <c r="B285" s="22" t="n">
        <v>6351419</v>
      </c>
    </row>
    <row r="286">
      <c r="A286" s="92" t="n">
        <v>44043</v>
      </c>
      <c r="B286" s="20" t="n">
        <v>6360822</v>
      </c>
    </row>
    <row r="287">
      <c r="A287" s="93" t="n">
        <v>44050</v>
      </c>
      <c r="B287" s="22" t="n">
        <v>6385307</v>
      </c>
    </row>
    <row r="288">
      <c r="A288" s="92" t="n">
        <v>44057</v>
      </c>
      <c r="B288" s="20" t="n">
        <v>6404662</v>
      </c>
    </row>
    <row r="289">
      <c r="A289" s="93" t="n">
        <v>44064</v>
      </c>
      <c r="B289" s="22" t="n">
        <v>6424042</v>
      </c>
    </row>
    <row r="290">
      <c r="A290" s="92" t="n">
        <v>44071</v>
      </c>
      <c r="B290" s="53" t="n">
        <v>6440237</v>
      </c>
    </row>
    <row r="291">
      <c r="A291" s="93" t="n">
        <v>44078</v>
      </c>
      <c r="B291" s="53" t="n">
        <v>6458857</v>
      </c>
    </row>
    <row r="292">
      <c r="A292" s="92" t="n">
        <v>44085</v>
      </c>
      <c r="B292" s="53" t="n">
        <v>6474612</v>
      </c>
    </row>
    <row r="293">
      <c r="A293" s="93" t="n">
        <v>44092</v>
      </c>
      <c r="B293" s="53" t="n">
        <v>6502422</v>
      </c>
    </row>
    <row r="294">
      <c r="A294" s="92" t="n">
        <v>44099</v>
      </c>
      <c r="B294" s="53" t="n">
        <v>6534815</v>
      </c>
    </row>
    <row r="295">
      <c r="A295" s="93" t="n">
        <v>44106</v>
      </c>
      <c r="B295" s="53" t="n">
        <v>6705112</v>
      </c>
    </row>
    <row r="296">
      <c r="A296" s="92" t="n">
        <v>44113</v>
      </c>
      <c r="B296" s="53" t="n">
        <v>6725697</v>
      </c>
    </row>
    <row r="297">
      <c r="A297" s="93" t="n">
        <v>44120</v>
      </c>
      <c r="B297" s="53" t="n">
        <v>6743525</v>
      </c>
    </row>
    <row r="298">
      <c r="A298" s="92" t="n">
        <v>44127</v>
      </c>
      <c r="B298" s="53" t="n">
        <v>6781825</v>
      </c>
    </row>
    <row r="299">
      <c r="A299" s="93" t="n">
        <v>44134</v>
      </c>
      <c r="B299" s="53" t="n">
        <v>6775763</v>
      </c>
    </row>
    <row r="300">
      <c r="A300" s="92" t="n">
        <v>44141</v>
      </c>
      <c r="B300" s="53" t="n">
        <v>6796905</v>
      </c>
    </row>
    <row r="301">
      <c r="A301" s="93" t="n">
        <v>44148</v>
      </c>
      <c r="B301" s="53" t="n">
        <v>6833483</v>
      </c>
    </row>
    <row r="302">
      <c r="A302" s="92" t="n">
        <v>44155</v>
      </c>
      <c r="B302" s="53" t="n">
        <v>6867814</v>
      </c>
    </row>
    <row r="303">
      <c r="A303" s="93" t="n">
        <v>44162</v>
      </c>
      <c r="B303" s="53" t="n">
        <v>6883402</v>
      </c>
    </row>
    <row r="304">
      <c r="A304" s="92" t="n">
        <v>44169</v>
      </c>
      <c r="B304" s="53" t="n">
        <v>6923120</v>
      </c>
    </row>
    <row r="305">
      <c r="A305" s="93" t="n">
        <v>44176</v>
      </c>
      <c r="B305" s="53" t="n">
        <v>6949632</v>
      </c>
    </row>
    <row r="306">
      <c r="A306" s="92" t="n">
        <v>44183</v>
      </c>
      <c r="B306" s="53" t="n">
        <v>7008896</v>
      </c>
    </row>
    <row r="307">
      <c r="A307" s="93" t="n">
        <v>44190</v>
      </c>
      <c r="B307" s="53" t="n">
        <v>7014661</v>
      </c>
    </row>
    <row r="308">
      <c r="A308" s="92" t="n">
        <v>44197</v>
      </c>
      <c r="B308" s="53" t="n">
        <v>6979324</v>
      </c>
    </row>
    <row r="309">
      <c r="A309" s="93" t="n">
        <v>44204</v>
      </c>
      <c r="B309" s="53" t="n">
        <v>6984713</v>
      </c>
    </row>
    <row r="310">
      <c r="A310" s="92" t="n">
        <v>44211</v>
      </c>
      <c r="B310" s="53" t="n">
        <v>7015645</v>
      </c>
    </row>
    <row r="311">
      <c r="A311" s="93" t="n">
        <v>44218</v>
      </c>
      <c r="B311" s="53" t="n">
        <v>7024240</v>
      </c>
    </row>
    <row r="312">
      <c r="A312" s="92" t="n">
        <v>44225</v>
      </c>
      <c r="B312" s="53" t="n">
        <v>7033256</v>
      </c>
    </row>
    <row r="313">
      <c r="A313" s="93" t="n">
        <v>44232</v>
      </c>
      <c r="B313" s="53" t="n">
        <v>7054472</v>
      </c>
    </row>
    <row r="314">
      <c r="A314" s="92" t="n">
        <v>44239</v>
      </c>
      <c r="B314" s="53" t="n">
        <v>7079135</v>
      </c>
    </row>
    <row r="315">
      <c r="A315" s="93" t="n">
        <v>44246</v>
      </c>
      <c r="B315" s="53" t="n">
        <v>7101159</v>
      </c>
    </row>
    <row r="316">
      <c r="A316" s="92" t="n">
        <v>44253</v>
      </c>
      <c r="B316" s="53" t="n">
        <v>7110487</v>
      </c>
    </row>
    <row r="317">
      <c r="A317" s="93" t="n">
        <v>44260</v>
      </c>
      <c r="B317" s="53" t="n">
        <v>7120334</v>
      </c>
    </row>
    <row r="318">
      <c r="A318" s="92" t="n">
        <v>44267</v>
      </c>
      <c r="B318" s="53" t="n">
        <v>7137484</v>
      </c>
    </row>
    <row r="319">
      <c r="A319" s="93" t="n">
        <v>44274</v>
      </c>
      <c r="B319" s="53" t="n">
        <v>7162230</v>
      </c>
    </row>
    <row r="320">
      <c r="A320" s="92" t="n">
        <v>44281</v>
      </c>
      <c r="B320" s="53" t="n">
        <v>7505021</v>
      </c>
    </row>
    <row r="321">
      <c r="A321" s="93" t="n">
        <v>44288</v>
      </c>
      <c r="B321" s="53" t="n">
        <v>7494111</v>
      </c>
    </row>
    <row r="322">
      <c r="A322" s="92" t="n">
        <v>44295</v>
      </c>
      <c r="B322" s="53" t="n">
        <v>7514267</v>
      </c>
    </row>
    <row r="323">
      <c r="A323" s="93" t="n">
        <v>44302</v>
      </c>
      <c r="B323" s="53" t="n">
        <v>7522199</v>
      </c>
    </row>
    <row r="324">
      <c r="A324" s="92" t="n">
        <v>44309</v>
      </c>
      <c r="B324" s="53" t="n">
        <v>7558280</v>
      </c>
    </row>
    <row r="325">
      <c r="A325" s="93" t="n">
        <v>44316</v>
      </c>
      <c r="B325" s="53" t="n">
        <v>7567945</v>
      </c>
    </row>
    <row r="326">
      <c r="A326" s="92" t="n">
        <v>44323</v>
      </c>
      <c r="B326" s="53" t="n">
        <v>7588768</v>
      </c>
    </row>
    <row r="327">
      <c r="A327" s="93" t="n">
        <v>44330</v>
      </c>
      <c r="B327" s="53" t="n">
        <v>7615694</v>
      </c>
    </row>
    <row r="328">
      <c r="A328" s="93" t="n">
        <v>44337</v>
      </c>
      <c r="B328" s="53" t="n">
        <v>7643170</v>
      </c>
    </row>
    <row r="329">
      <c r="A329" s="92" t="n">
        <v>44344</v>
      </c>
      <c r="B329" s="53" t="n">
        <v>7657629</v>
      </c>
    </row>
    <row r="330">
      <c r="A330" s="93" t="n">
        <v>44351</v>
      </c>
      <c r="B330" s="53" t="n">
        <v>7680137</v>
      </c>
    </row>
    <row r="331">
      <c r="A331" s="92" t="n">
        <v>44358</v>
      </c>
      <c r="B331" s="53" t="n">
        <v>7700937</v>
      </c>
    </row>
    <row r="332">
      <c r="A332" s="93" t="n">
        <v>44365</v>
      </c>
      <c r="B332" s="53" t="n">
        <v>7736536</v>
      </c>
    </row>
    <row r="333">
      <c r="A333" s="92" t="n">
        <v>44372</v>
      </c>
      <c r="B333" s="53" t="n">
        <v>7877127</v>
      </c>
    </row>
    <row r="334">
      <c r="A334" s="93" t="n">
        <v>44379</v>
      </c>
      <c r="B334" s="53" t="n">
        <v>7907807</v>
      </c>
    </row>
    <row r="335">
      <c r="A335" s="92" t="n">
        <v>44386</v>
      </c>
      <c r="B335" s="53" t="n">
        <v>7926550</v>
      </c>
    </row>
    <row r="336">
      <c r="A336" s="93" t="n">
        <v>44393</v>
      </c>
      <c r="B336" s="53" t="n">
        <v>7950657</v>
      </c>
    </row>
    <row r="337">
      <c r="A337" s="92" t="n">
        <v>44400</v>
      </c>
      <c r="B337" s="53" t="n">
        <v>7988045</v>
      </c>
    </row>
    <row r="338">
      <c r="A338" s="93" t="n">
        <v>44407</v>
      </c>
      <c r="B338" s="53" t="n">
        <v>7987364</v>
      </c>
    </row>
    <row r="339">
      <c r="A339" s="92" t="n">
        <v>44414</v>
      </c>
      <c r="B339" s="53" t="n">
        <v>8009676</v>
      </c>
    </row>
    <row r="340">
      <c r="A340" s="93" t="n">
        <v>44421</v>
      </c>
      <c r="B340" s="53" t="n">
        <v>8036014</v>
      </c>
    </row>
    <row r="341">
      <c r="A341" s="92" t="n">
        <v>44428</v>
      </c>
      <c r="B341" s="53" t="n">
        <v>8052776</v>
      </c>
    </row>
    <row r="342">
      <c r="A342" s="93" t="n">
        <v>44435</v>
      </c>
      <c r="B342" s="53" t="n">
        <v>8191312</v>
      </c>
    </row>
    <row r="343">
      <c r="A343" s="92" t="n">
        <v>44442</v>
      </c>
      <c r="B343" s="53" t="n">
        <v>8207534</v>
      </c>
    </row>
    <row r="344">
      <c r="A344" s="93" t="n">
        <v>44449</v>
      </c>
      <c r="B344" s="53" t="n">
        <v>8222733</v>
      </c>
    </row>
    <row r="345">
      <c r="A345" s="92" t="n">
        <v>44456</v>
      </c>
      <c r="B345" s="53" t="n">
        <v>8244572</v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2021-12-24T15:44:52Z</dcterms:modified>
  <cp:lastModifiedBy>Mark Mukherjee</cp:lastModifiedBy>
</cp:coreProperties>
</file>