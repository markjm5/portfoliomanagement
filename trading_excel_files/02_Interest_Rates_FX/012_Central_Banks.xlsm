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5720" yWindow="-640" windowWidth="58600" windowHeight="283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Rate'!$A$8:$A$817</f>
              <numCache>
                <formatCode>yyyy\-mm\-dd</formatCode>
                <ptCount val="810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</numCache>
            </numRef>
          </cat>
          <val>
            <numRef>
              <f>'Fed Funds Rate'!$B$8:$B$817</f>
              <numCache>
                <formatCode>0.00</formatCode>
                <ptCount val="810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new'!$A$7:$A$762</f>
              <numCache>
                <formatCode>m/d/yy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'M2 new'!$B$7:$B$762</f>
              <numCache>
                <formatCode>0.0</formatCode>
                <ptCount val="75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new'!$A$692:$A$762</f>
              <numCache>
                <formatCode>m/d/yy</formatCode>
                <ptCount val="71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</numCache>
            </numRef>
          </cat>
          <val>
            <numRef>
              <f>'M2 new'!$D$692:$D$762</f>
              <numCache>
                <formatCode>0.00%</formatCode>
                <ptCount val="71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Change'!$A$12:$A$1010</f>
              <numCache>
                <formatCode>m/d/yy</formatCode>
                <ptCount val="99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</numCache>
            </numRef>
          </cat>
          <val>
            <numRef>
              <f>'Fed Weekly Change'!$C$12:$C$1010</f>
              <numCache>
                <formatCode>0</formatCode>
                <ptCount val="999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Sheet'!$A$12:$A$1010</f>
              <numCache>
                <formatCode>m/d/yy</formatCode>
                <ptCount val="999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</numCache>
            </numRef>
          </cat>
          <val>
            <numRef>
              <f>'Fed Balance Sheet'!$B$12:$B$1010</f>
              <numCache>
                <formatCode>0</formatCode>
                <ptCount val="999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Sheet'!$B$6:$B$291</f>
              <numCache>
                <formatCode>0</formatCode>
                <ptCount val="286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Sheet'!$C$6:$C$291</f>
              <numCache>
                <formatCode>General</formatCode>
                <ptCount val="286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Sheet'!$B$6:$B$291</f>
              <numCache>
                <formatCode>0</formatCode>
                <ptCount val="286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Sheet'!$D$6:$D$291</f>
              <numCache>
                <formatCode>0.0%</formatCode>
                <ptCount val="286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Sheet'!$A$6:$A$291</f>
              <numCache>
                <formatCode>yyyy\-mm\-dd</formatCode>
                <ptCount val="286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Sheet'!$B$6:$B$291</f>
              <numCache>
                <formatCode>0</formatCode>
                <ptCount val="286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Sheet'!$A$7:$A$364</f>
              <numCache>
                <formatCode>yyyy\-mm\-dd</formatCode>
                <ptCount val="358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</numCache>
            </numRef>
          </cat>
          <val>
            <numRef>
              <f>'ECB Balance Sheet'!$B$7:$B$364</f>
              <numCache>
                <formatCode>0</formatCode>
                <ptCount val="358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167123</colOff>
      <row>963</row>
      <rowOff>146538</rowOff>
    </from>
    <to>
      <col>13</col>
      <colOff>29308</colOff>
      <row>986</row>
      <rowOff>156344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194339</colOff>
      <row>987</row>
      <rowOff>144097</rowOff>
    </from>
    <to>
      <col>13</col>
      <colOff>48846</colOff>
      <row>1008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222250</colOff>
      <row>338</row>
      <rowOff>25400</rowOff>
    </from>
    <to>
      <col>12</col>
      <colOff>231775</colOff>
      <row>359</row>
      <rowOff>101600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7" headerRowCount="1" totalsRowShown="0" headerRowDxfId="40" dataDxfId="38" headerRowBorderDxfId="39" tableBorderDxfId="37" totalsRowBorderDxfId="36" headerRowCellStyle="Normal 2" dataCellStyle="Normal 2">
  <autoFilter ref="A7:B817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2" headerRowCount="1" totalsRowShown="0" headerRowDxfId="33" dataDxfId="31" headerRowBorderDxfId="32" dataCellStyle="Normal 2">
  <autoFilter ref="A6:E76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0" headerRowCount="1" totalsRowShown="0" headerRowDxfId="25" dataDxfId="23" headerRowBorderDxfId="24">
  <autoFilter ref="A11:C1010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0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1" headerRowCount="1" totalsRowShown="0" headerRowDxfId="15" dataDxfId="13" headerRowBorderDxfId="14" tableBorderDxfId="12" totalsRowBorderDxfId="11" headerRowCellStyle="Normal 2" dataCellStyle="Normal 2">
  <autoFilter ref="A5:D29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0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64" headerRowCount="1" totalsRowShown="0" headerRowDxfId="7" dataDxfId="5" headerRowBorderDxfId="6" tableBorderDxfId="4" totalsRowBorderDxfId="3" headerRowCellStyle="Normal 2" dataCellStyle="Normal 2">
  <autoFilter ref="A6:B364"/>
  <tableColumns count="2">
    <tableColumn id="1" name="Month" dataDxfId="2" dataCellStyle="Normal 2"/>
    <tableColumn id="2" name="Central Bank Assets for Euro Area (11-19 Countries), Millions of Euros. Source: FRED" dataDxfId="1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0" sqref="A1200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2"/>
    <col width="9.1640625" customWidth="1" style="55" min="23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0"/>
  <sheetViews>
    <sheetView zoomScale="180" zoomScaleNormal="180" workbookViewId="0">
      <pane ySplit="1" topLeftCell="A851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0"/>
  <sheetViews>
    <sheetView zoomScale="190" zoomScaleNormal="190" workbookViewId="0">
      <pane ySplit="1" topLeftCell="A982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39"/>
  <sheetViews>
    <sheetView zoomScale="170" zoomScaleNormal="170" workbookViewId="0">
      <pane ySplit="1" topLeftCell="A314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D333" t="n">
        <v>28089.5390625</v>
      </c>
    </row>
    <row r="334">
      <c r="A334" s="62" t="n">
        <v>44440</v>
      </c>
      <c r="B334" t="n">
        <v>7240579</v>
      </c>
      <c r="D334" t="n">
        <v>29452.66015625</v>
      </c>
    </row>
    <row r="335">
      <c r="A335" s="62" t="n">
        <v>44470</v>
      </c>
      <c r="B335" t="n">
        <v>7251886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D339" t="n">
        <v>27439.990234375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6"/>
  <sheetViews>
    <sheetView zoomScale="200" zoomScaleNormal="200" workbookViewId="0">
      <pane ySplit="1" topLeftCell="A1172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40" activePane="bottomLeft" state="frozen"/>
      <selection activeCell="B1" sqref="B1"/>
      <selection pane="bottomLeft" activeCell="C873" sqref="C873"/>
    </sheetView>
  </sheetViews>
  <sheetFormatPr baseColWidth="10" defaultColWidth="9.1640625" defaultRowHeight="15"/>
  <cols>
    <col width="13.83203125" customWidth="1" style="4" min="1" max="2"/>
    <col width="9.1640625" customWidth="1" style="55" min="3" max="14"/>
    <col width="9.1640625" customWidth="1" style="55" min="15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7"/>
  <sheetViews>
    <sheetView zoomScale="170" zoomScaleNormal="170" workbookViewId="0">
      <pane ySplit="7" topLeftCell="A784" activePane="bottomLeft" state="frozen"/>
      <selection pane="bottomLeft" activeCell="R802" sqref="R802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4"/>
    <col width="9.1640625" customWidth="1" style="55" min="15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2"/>
  <sheetViews>
    <sheetView zoomScale="140" zoomScaleNormal="140" workbookViewId="0">
      <pane ySplit="6" topLeftCell="A717" activePane="bottomLeft" state="frozen"/>
      <selection pane="bottomLeft" activeCell="T741" sqref="T741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17"/>
    <col width="9.1640625" customWidth="1" style="55" min="18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0"/>
  <sheetViews>
    <sheetView zoomScale="150" zoomScaleNormal="150" workbookViewId="0">
      <pane ySplit="11" topLeftCell="A976" activePane="bottomLeft" state="frozen"/>
      <selection pane="bottomLeft" activeCell="A1011" sqref="A1011:XFD1011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5"/>
    <col width="9.1640625" customWidth="1" style="55" min="16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0"/>
  <sheetViews>
    <sheetView showGridLines="0" zoomScale="130" zoomScaleNormal="130" workbookViewId="0">
      <pane ySplit="11" topLeftCell="A970" activePane="bottomLeft" state="frozen"/>
      <selection activeCell="G33" sqref="G33"/>
      <selection pane="bottomLeft" activeCell="D1015" sqref="D1015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1"/>
    <col width="9.1640625" customWidth="1" style="55" min="32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1"/>
  <sheetViews>
    <sheetView zoomScale="110" zoomScaleNormal="110" workbookViewId="0">
      <pane ySplit="5" topLeftCell="A231" activePane="bottomLeft" state="frozen"/>
      <selection pane="bottomLeft" activeCell="AH254" sqref="AH25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4"/>
    <col width="9.1640625" customWidth="1" style="55" min="15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64"/>
  <sheetViews>
    <sheetView zoomScale="200" zoomScaleNormal="200" workbookViewId="0">
      <pane ySplit="6" topLeftCell="A341" activePane="bottomLeft" state="frozen"/>
      <selection activeCell="J40" sqref="J40"/>
      <selection pane="bottomLeft" activeCell="E369" sqref="E369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4"/>
    <col width="9.1640625" customWidth="1" style="55" min="15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2022-02-07T06:38:52Z</dcterms:modified>
  <cp:lastModifiedBy>Mark Mukherjee</cp:lastModifiedBy>
</cp:coreProperties>
</file>