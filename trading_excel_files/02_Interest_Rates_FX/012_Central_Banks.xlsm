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2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Rate'!$A$8:$A$831</f>
              <numCache>
                <formatCode>yyyy\-mm\-dd</formatCode>
                <ptCount val="824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</numCache>
            </numRef>
          </cat>
          <val>
            <numRef>
              <f>'Fed Funds Rate'!$B$8:$B$831</f>
              <numCache>
                <formatCode>0.00</formatCode>
                <ptCount val="824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19372.5</v>
                </pt>
                <pt idx="745">
                  <v>19615.5</v>
                </pt>
                <pt idx="746">
                  <v>19853.8</v>
                </pt>
                <pt idx="747">
                  <v>20110.6</v>
                </pt>
                <pt idx="748">
                  <v>20418.8</v>
                </pt>
                <pt idx="749">
                  <v>20460.3</v>
                </pt>
                <pt idx="750">
                  <v>20620.9</v>
                </pt>
                <pt idx="751">
                  <v>20853.5</v>
                </pt>
                <pt idx="752">
                  <v>20992.5</v>
                </pt>
                <pt idx="753">
                  <v>21143.9</v>
                </pt>
                <pt idx="754">
                  <v>21349.4</v>
                </pt>
                <pt idx="755">
                  <v>21490.1</v>
                </pt>
                <pt idx="756">
                  <v>21649.6</v>
                </pt>
                <pt idx="757">
                  <v>21708.5</v>
                </pt>
                <pt idx="758">
                  <v>21739.8</v>
                </pt>
                <pt idx="759">
                  <v>21655.5</v>
                </pt>
                <pt idx="760">
                  <v>21684.4</v>
                </pt>
                <pt idx="761">
                  <v>21667.3</v>
                </pt>
                <pt idx="762">
                  <v>21709.2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0.1670580512756403</v>
                </pt>
                <pt idx="60">
                  <v>0.161353835921286</v>
                </pt>
                <pt idx="61">
                  <v>0.1559288900601288</v>
                </pt>
                <pt idx="62">
                  <v>0.166746814889692</v>
                </pt>
                <pt idx="63">
                  <v>0.2002238369890095</v>
                </pt>
                <pt idx="64">
                  <v>0.02466377761803717</v>
                </pt>
                <pt idx="65">
                  <v>0.09836687432592894</v>
                </pt>
                <pt idx="66">
                  <v>0.144079179486257</v>
                </pt>
                <pt idx="67">
                  <v>0.08298506175946452</v>
                </pt>
                <pt idx="68">
                  <v>0.09006202783618966</v>
                </pt>
                <pt idx="69">
                  <v>0.1230702854530041</v>
                </pt>
                <pt idx="70">
                  <v>0.08201466379778077</v>
                </pt>
                <pt idx="71">
                  <v>0.09279143777492238</v>
                </pt>
                <pt idx="72">
                  <v>0.03314022332222244</v>
                </pt>
                <pt idx="73">
                  <v>0.01743984601880877</v>
                </pt>
                <pt idx="74">
                  <v>-0.04555248015366953</v>
                </pt>
                <pt idx="75">
                  <v>0.01613247662766404</v>
                </pt>
                <pt idx="76">
                  <v>-0.009422088593637579</v>
                </pt>
                <pt idx="77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Change'!$A$12:$A$1045</f>
              <numCache>
                <formatCode>m/d/yy</formatCode>
                <ptCount val="103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Weekly Change'!$C$12:$C$1045</f>
              <numCache>
                <formatCode>0</formatCode>
                <ptCount val="103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69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Sheet'!$A$12:$A$1040</f>
              <numCache>
                <formatCode>m/d/yy</formatCode>
                <ptCount val="102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Sheet'!$B$12:$B$1040</f>
              <numCache>
                <formatCode>0</formatCode>
                <ptCount val="102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0.149686643157581</v>
                </pt>
                <pt idx="1">
                  <v>0.14458982325825</v>
                </pt>
                <pt idx="2">
                  <v>0.1412323050793421</v>
                </pt>
                <pt idx="3">
                  <v>0.1356897026805635</v>
                </pt>
                <pt idx="4">
                  <v>0.1416273660130816</v>
                </pt>
                <pt idx="5">
                  <v>0.14532223321668</v>
                </pt>
                <pt idx="6">
                  <v>0.1437832769846768</v>
                </pt>
                <pt idx="7">
                  <v>0.1668937562737875</v>
                </pt>
                <pt idx="8">
                  <v>0.1724448355589627</v>
                </pt>
                <pt idx="9">
                  <v>0.1506725840378025</v>
                </pt>
                <pt idx="10">
                  <v>0.1428588977879179</v>
                </pt>
                <pt idx="11">
                  <v>0.1507121050103058</v>
                </pt>
                <pt idx="12">
                  <v>0.1495218299618953</v>
                </pt>
                <pt idx="13">
                  <v>0.1409066863234946</v>
                </pt>
                <pt idx="14">
                  <v>0.1389141999138752</v>
                </pt>
                <pt idx="15">
                  <v>0.1298548290786846</v>
                </pt>
                <pt idx="16">
                  <v>0.1288726259722416</v>
                </pt>
                <pt idx="17">
                  <v>0.1303850544856966</v>
                </pt>
                <pt idx="18">
                  <v>0.1288423129868786</v>
                </pt>
                <pt idx="19">
                  <v>0.1572608797704816</v>
                </pt>
                <pt idx="20">
                  <v>0.2080865896522391</v>
                </pt>
                <pt idx="21">
                  <v>0.1691731613640135</v>
                </pt>
                <pt idx="22">
                  <v>0.1757836140387055</v>
                </pt>
                <pt idx="23">
                  <v>0.1983722898893765</v>
                </pt>
                <pt idx="24">
                  <v>0.1489242117909705</v>
                </pt>
                <pt idx="25">
                  <v>0.1568908075290494</v>
                </pt>
                <pt idx="26">
                  <v>0.1566451356022966</v>
                </pt>
                <pt idx="27">
                  <v>0.151152786982419</v>
                </pt>
                <pt idx="28">
                  <v>0.1646304581343687</v>
                </pt>
                <pt idx="29">
                  <v>0.1586801612703189</v>
                </pt>
                <pt idx="30">
                  <v>0.1712493987134001</v>
                </pt>
                <pt idx="31">
                  <v>0.1942544310905277</v>
                </pt>
                <pt idx="32">
                  <v>0.1968095447917053</v>
                </pt>
                <pt idx="33">
                  <v>0.198749146068654</v>
                </pt>
                <pt idx="34">
                  <v>0.2063209663554705</v>
                </pt>
                <pt idx="35">
                  <v>0.2154559892533988</v>
                </pt>
                <pt idx="36">
                  <v>0.2102706343429987</v>
                </pt>
                <pt idx="37">
                  <v>0.215964442164058</v>
                </pt>
                <pt idx="38">
                  <v>0.2218814503510585</v>
                </pt>
                <pt idx="39">
                  <v>0.2208283318108971</v>
                </pt>
                <pt idx="40">
                  <v>0.216403983927183</v>
                </pt>
                <pt idx="41">
                  <v>0.2206550279846723</v>
                </pt>
                <pt idx="42">
                  <v>0.2113252134587513</v>
                </pt>
                <pt idx="43">
                  <v>0.2157696071631562</v>
                </pt>
                <pt idx="44">
                  <v>0.2235972688335686</v>
                </pt>
                <pt idx="45">
                  <v>0.2329799211734661</v>
                </pt>
                <pt idx="46">
                  <v>0.2505982022833756</v>
                </pt>
                <pt idx="47">
                  <v>0.2643590488135353</v>
                </pt>
                <pt idx="48">
                  <v>0.2533786838901101</v>
                </pt>
                <pt idx="49">
                  <v>0.2440784246395681</v>
                </pt>
                <pt idx="50">
                  <v>0.2367796488918776</v>
                </pt>
                <pt idx="51">
                  <v>0.2414015709727727</v>
                </pt>
                <pt idx="52">
                  <v>0.2449757577930096</v>
                </pt>
                <pt idx="53">
                  <v>0.2373293759719573</v>
                </pt>
                <pt idx="54">
                  <v>0.2376613382369429</v>
                </pt>
                <pt idx="55">
                  <v>0.2399070955665176</v>
                </pt>
                <pt idx="56">
                  <v>0.2399832373090703</v>
                </pt>
                <pt idx="57">
                  <v>0.2388560710093671</v>
                </pt>
                <pt idx="58">
                  <v>0.2526562042154963</v>
                </pt>
                <pt idx="59">
                  <v>0.2691280924230001</v>
                </pt>
                <pt idx="60">
                  <v>0.2446163381319227</v>
                </pt>
                <pt idx="61">
                  <v>0.2492322198558444</v>
                </pt>
                <pt idx="62">
                  <v>0.2388934353772569</v>
                </pt>
                <pt idx="63">
                  <v>0.2410229846760562</v>
                </pt>
                <pt idx="64">
                  <v>0.2437691758399471</v>
                </pt>
                <pt idx="65">
                  <v>0.2544199770863494</v>
                </pt>
                <pt idx="66">
                  <v>0.2512334941265486</v>
                </pt>
                <pt idx="67">
                  <v>0.2545832938958749</v>
                </pt>
                <pt idx="68">
                  <v>0.2481839404623789</v>
                </pt>
                <pt idx="69">
                  <v>0.2558570057267913</v>
                </pt>
                <pt idx="70">
                  <v>0.2663496516536503</v>
                </pt>
                <pt idx="71">
                  <v>0.2830847545505608</v>
                </pt>
                <pt idx="72">
                  <v>0.2619920059610395</v>
                </pt>
                <pt idx="73">
                  <v>0.2621628581425301</v>
                </pt>
                <pt idx="74">
                  <v>0.2539991765624953</v>
                </pt>
                <pt idx="75">
                  <v>0.247857516657266</v>
                </pt>
                <pt idx="76">
                  <v>0.2608509973379913</v>
                </pt>
                <pt idx="77">
                  <v>0.2631746406778932</v>
                </pt>
                <pt idx="78">
                  <v>0.2611838899597396</v>
                </pt>
                <pt idx="79">
                  <v>0.2790942847841165</v>
                </pt>
                <pt idx="80">
                  <v>0.2728029706100225</v>
                </pt>
                <pt idx="81">
                  <v>0.2781051509132172</v>
                </pt>
                <pt idx="82">
                  <v>0.284899713968466</v>
                </pt>
                <pt idx="83">
                  <v>0.283222776246418</v>
                </pt>
                <pt idx="84">
                  <v>0.2772654324088913</v>
                </pt>
                <pt idx="85">
                  <v>0.2763994459362266</v>
                </pt>
                <pt idx="86">
                  <v>0.2697594723487197</v>
                </pt>
                <pt idx="87">
                  <v>0.2761906899702672</v>
                </pt>
                <pt idx="88">
                  <v>0.2831114436645729</v>
                </pt>
                <pt idx="89">
                  <v>0.2770353403300471</v>
                </pt>
                <pt idx="90">
                  <v>0.2763226278090289</v>
                </pt>
                <pt idx="91">
                  <v>0.2843615650148496</v>
                </pt>
                <pt idx="92">
                  <v>0.2911670024789232</v>
                </pt>
                <pt idx="93">
                  <v>0.2860371958229546</v>
                </pt>
                <pt idx="94">
                  <v>0.2852196336664971</v>
                </pt>
                <pt idx="95">
                  <v>0.2712068726332357</v>
                </pt>
                <pt idx="96">
                  <v>0.2433434798294161</v>
                </pt>
                <pt idx="97">
                  <v>0.230642777972599</v>
                </pt>
                <pt idx="98">
                  <v>0.2138119136306015</v>
                </pt>
                <pt idx="99">
                  <v>0.2178215162409849</v>
                </pt>
                <pt idx="100">
                  <v>0.2098650304929736</v>
                </pt>
                <pt idx="101">
                  <v>0.2176193153973073</v>
                </pt>
                <pt idx="102">
                  <v>0.2134448861388753</v>
                </pt>
                <pt idx="103">
                  <v>0.2187804582302025</v>
                </pt>
                <pt idx="104">
                  <v>0.2132477071602599</v>
                </pt>
                <pt idx="105">
                  <v>0.2115473523798415</v>
                </pt>
                <pt idx="106">
                  <v>0.2170304072002019</v>
                </pt>
                <pt idx="107">
                  <v>0.2078955418988047</v>
                </pt>
                <pt idx="108">
                  <v>0.1954750164992949</v>
                </pt>
                <pt idx="109">
                  <v>0.2003176448075937</v>
                </pt>
                <pt idx="110">
                  <v>0.1864564586442224</v>
                </pt>
                <pt idx="111">
                  <v>0.2007025897703391</v>
                </pt>
                <pt idx="112">
                  <v>0.2065410561861723</v>
                </pt>
                <pt idx="113">
                  <v>0.206989776011069</v>
                </pt>
                <pt idx="114">
                  <v>0.2001197207609259</v>
                </pt>
                <pt idx="115">
                  <v>0.2074429389072238</v>
                </pt>
                <pt idx="116">
                  <v>0.2070531481141754</v>
                </pt>
                <pt idx="117">
                  <v>0.2103575321163426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0.2103972369712142</v>
                </pt>
                <pt idx="122">
                  <v>0.1937618259404966</v>
                </pt>
                <pt idx="123">
                  <v>0.2070307604366313</v>
                </pt>
                <pt idx="124">
                  <v>0.2127585423754213</v>
                </pt>
                <pt idx="125">
                  <v>0.2178732897194488</v>
                </pt>
                <pt idx="126">
                  <v>0.2261486206136109</v>
                </pt>
                <pt idx="127">
                  <v>0.2468500397515538</v>
                </pt>
                <pt idx="128">
                  <v>0.2493781329485334</v>
                </pt>
                <pt idx="129">
                  <v>0.2427617437708685</v>
                </pt>
                <pt idx="130">
                  <v>0.2452837196602612</v>
                </pt>
                <pt idx="131">
                  <v>0.24872808747843</v>
                </pt>
                <pt idx="132">
                  <v>0.230477716309451</v>
                </pt>
                <pt idx="133">
                  <v>0.2406303442975895</v>
                </pt>
                <pt idx="134">
                  <v>0.2224927237037012</v>
                </pt>
                <pt idx="135">
                  <v>0.2324017337931881</v>
                </pt>
                <pt idx="136">
                  <v>0.2361949903382821</v>
                </pt>
                <pt idx="137">
                  <v>0.2344627945755707</v>
                </pt>
                <pt idx="138">
                  <v>0.2245364300279784</v>
                </pt>
                <pt idx="139">
                  <v>0.23386477894315</v>
                </pt>
                <pt idx="140">
                  <v>0.2443066733259364</v>
                </pt>
                <pt idx="141">
                  <v>0.2441084902697901</v>
                </pt>
                <pt idx="142">
                  <v>0.2509179260314915</v>
                </pt>
                <pt idx="143">
                  <v>0.2411331809229734</v>
                </pt>
                <pt idx="144">
                  <v>0.2260449511594074</v>
                </pt>
                <pt idx="145">
                  <v>0.2367112566742153</v>
                </pt>
                <pt idx="146">
                  <v>0.2215937333413699</v>
                </pt>
                <pt idx="147">
                  <v>0.2296967258477751</v>
                </pt>
                <pt idx="148">
                  <v>0.2436387621216529</v>
                </pt>
                <pt idx="149">
                  <v>0.2382731863583647</v>
                </pt>
                <pt idx="150">
                  <v>0.2404224264710978</v>
                </pt>
                <pt idx="151">
                  <v>0.2547696477562567</v>
                </pt>
                <pt idx="152">
                  <v>0.258107934944409</v>
                </pt>
                <pt idx="153">
                  <v>0.2566825402586767</v>
                </pt>
                <pt idx="154">
                  <v>0.2650547900614003</v>
                </pt>
                <pt idx="155">
                  <v>0.2899982522261709</v>
                </pt>
                <pt idx="156">
                  <v>0.2742279545220287</v>
                </pt>
                <pt idx="157">
                  <v>0.2696397280374431</v>
                </pt>
                <pt idx="158">
                  <v>0.2585931199962643</v>
                </pt>
                <pt idx="159">
                  <v>0.2683499992317104</v>
                </pt>
                <pt idx="160">
                  <v>0.2829326402945575</v>
                </pt>
                <pt idx="161">
                  <v>0.2753457294805049</v>
                </pt>
                <pt idx="162">
                  <v>0.2659404317813952</v>
                </pt>
                <pt idx="163">
                  <v>0.2822777504446883</v>
                </pt>
                <pt idx="164">
                  <v>0.2819156527141758</v>
                </pt>
                <pt idx="165">
                  <v>0.269861168931108</v>
                </pt>
                <pt idx="166">
                  <v>0.2882557470075673</v>
                </pt>
                <pt idx="167">
                  <v>0.2786886752881023</v>
                </pt>
                <pt idx="168">
                  <v>0.2821850509158702</v>
                </pt>
                <pt idx="169">
                  <v>0.2870027194781239</v>
                </pt>
                <pt idx="170">
                  <v>0.2886624231472588</v>
                </pt>
                <pt idx="171">
                  <v>0.2924185628750939</v>
                </pt>
                <pt idx="172">
                  <v>0.3016677223993622</v>
                </pt>
                <pt idx="173">
                  <v>0.3015743861076976</v>
                </pt>
                <pt idx="174">
                  <v>0.3092400313722588</v>
                </pt>
                <pt idx="175">
                  <v>0.3108557634537978</v>
                </pt>
                <pt idx="176">
                  <v>0.3148415143149451</v>
                </pt>
                <pt idx="177">
                  <v>0.3176797315582481</v>
                </pt>
                <pt idx="178">
                  <v>0.3221446908498359</v>
                </pt>
                <pt idx="179">
                  <v>0.324666572636184</v>
                </pt>
                <pt idx="180">
                  <v>0.344126548745087</v>
                </pt>
                <pt idx="181">
                  <v>0.3593442399188831</v>
                </pt>
                <pt idx="182">
                  <v>0.3647695187582872</v>
                </pt>
                <pt idx="183">
                  <v>0.3836637157788004</v>
                </pt>
                <pt idx="184">
                  <v>0.4014095364032662</v>
                </pt>
                <pt idx="185">
                  <v>0.4075971881087491</v>
                </pt>
                <pt idx="186">
                  <v>0.4205780449698082</v>
                </pt>
                <pt idx="187">
                  <v>0.4336493074423436</v>
                </pt>
                <pt idx="188">
                  <v>0.4338445658181345</v>
                </pt>
                <pt idx="189">
                  <v>0.4493032623823612</v>
                </pt>
                <pt idx="190">
                  <v>0.4642772322650879</v>
                </pt>
                <pt idx="191">
                  <v>0.46645833904548</v>
                </pt>
                <pt idx="192">
                  <v>0.4753337599261019</v>
                </pt>
                <pt idx="193">
                  <v>0.4901015023208001</v>
                </pt>
                <pt idx="194">
                  <v>0.4974119310720528</v>
                </pt>
                <pt idx="195">
                  <v>0.5190371607833117</v>
                </pt>
                <pt idx="196">
                  <v>0.5284318801123841</v>
                </pt>
                <pt idx="197">
                  <v>0.5307377500539645</v>
                </pt>
                <pt idx="198">
                  <v>0.5493904163992382</v>
                </pt>
                <pt idx="199">
                  <v>0.5560160955486695</v>
                </pt>
                <pt idx="200">
                  <v>0.5613205739157652</v>
                </pt>
                <pt idx="201">
                  <v>0.5818156423588681</v>
                </pt>
                <pt idx="202">
                  <v>0.5955016130710792</v>
                </pt>
                <pt idx="203">
                  <v>0.6013590309679914</v>
                </pt>
                <pt idx="204">
                  <v>0.6185023712888215</v>
                </pt>
                <pt idx="205">
                  <v>0.6355182524795457</v>
                </pt>
                <pt idx="206">
                  <v>0.639776707530648</v>
                </pt>
                <pt idx="207">
                  <v>0.6561760099685593</v>
                </pt>
                <pt idx="208">
                  <v>0.6701688108005984</v>
                </pt>
                <pt idx="209">
                  <v>0.6788248859332614</v>
                </pt>
                <pt idx="210">
                  <v>0.6925929901866172</v>
                </pt>
                <pt idx="211">
                  <v>0.6993245653825956</v>
                </pt>
                <pt idx="212">
                  <v>0.7027242083228703</v>
                </pt>
                <pt idx="213">
                  <v>0.727197455348733</v>
                </pt>
                <pt idx="214">
                  <v>0.7431816880911377</v>
                </pt>
                <pt idx="215">
                  <v>0.7465998855570114</v>
                </pt>
                <pt idx="216">
                  <v>0.7627378561688323</v>
                </pt>
                <pt idx="217">
                  <v>0.7829351397731589</v>
                </pt>
                <pt idx="218">
                  <v>0.795973767874567</v>
                </pt>
                <pt idx="219">
                  <v>0.8149667684107235</v>
                </pt>
                <pt idx="220">
                  <v>0.831751223168424</v>
                </pt>
                <pt idx="221">
                  <v>0.8387756968194867</v>
                </pt>
                <pt idx="222">
                  <v>0.8508694842659943</v>
                </pt>
                <pt idx="223">
                  <v>0.8605701418066364</v>
                </pt>
                <pt idx="224">
                  <v>0.8703735297201386</v>
                </pt>
                <pt idx="225">
                  <v>0.880390082412755</v>
                </pt>
                <pt idx="226">
                  <v>0.8859968504417445</v>
                </pt>
                <pt idx="227">
                  <v>0.8899704801550954</v>
                </pt>
                <pt idx="228">
                  <v>0.903875097061744</v>
                </pt>
                <pt idx="229">
                  <v>0.8987071773353877</v>
                </pt>
                <pt idx="230">
                  <v>0.9010537181258252</v>
                </pt>
                <pt idx="231">
                  <v>0.9072481120539625</v>
                </pt>
                <pt idx="232">
                  <v>0.9187854208258113</v>
                </pt>
                <pt idx="233">
                  <v>0.9221246496979554</v>
                </pt>
                <pt idx="234">
                  <v>0.9303901975053394</v>
                </pt>
                <pt idx="235">
                  <v>0.9351377852577014</v>
                </pt>
                <pt idx="236">
                  <v>0.9343423465138315</v>
                </pt>
                <pt idx="237">
                  <v>0.9438171885012422</v>
                </pt>
                <pt idx="238">
                  <v>0.953305517372579</v>
                </pt>
                <pt idx="239">
                  <v>0.9445559339683229</v>
                </pt>
                <pt idx="240">
                  <v>0.9566522294487777</v>
                </pt>
                <pt idx="241">
                  <v>0.9737154396787481</v>
                </pt>
                <pt idx="242">
                  <v>0.9668973163767296</v>
                </pt>
                <pt idx="243">
                  <v>0.9836311385931021</v>
                </pt>
                <pt idx="244">
                  <v>0.9955608393241041</v>
                </pt>
                <pt idx="245">
                  <v>0.9860290943378566</v>
                </pt>
                <pt idx="246">
                  <v>0.9971313329101259</v>
                </pt>
                <pt idx="247">
                  <v>0.9943523394804067</v>
                </pt>
                <pt idx="248">
                  <v>0.9882364123474173</v>
                </pt>
                <pt idx="249">
                  <v>0.9968887836363015</v>
                </pt>
                <pt idx="250">
                  <v>1.000405377618064</v>
                </pt>
                <pt idx="251">
                  <v>0.9916784538324386</v>
                </pt>
                <pt idx="252">
                  <v>1.000600322058898</v>
                </pt>
                <pt idx="253">
                  <v>1.009428162785267</v>
                </pt>
                <pt idx="254">
                  <v>1.00535240857496</v>
                </pt>
                <pt idx="255">
                  <v>1.011488643418138</v>
                </pt>
                <pt idx="256">
                  <v>1.041524084005094</v>
                </pt>
                <pt idx="257">
                  <v>1.036220072644188</v>
                </pt>
                <pt idx="258">
                  <v>1.046890653821331</v>
                </pt>
                <pt idx="259">
                  <v>1.046844071980503</v>
                </pt>
                <pt idx="260">
                  <v>1.036929734706296</v>
                </pt>
                <pt idx="261">
                  <v>1.046487603866575</v>
                </pt>
                <pt idx="262">
                  <v>1.145395874019159</v>
                </pt>
                <pt idx="263">
                  <v>1.183705839744666</v>
                </pt>
                <pt idx="264">
                  <v>1.212189915509252</v>
                </pt>
                <pt idx="265">
                  <v>1.185698951703809</v>
                </pt>
                <pt idx="266">
                  <v>1.204923625832214</v>
                </pt>
                <pt idx="267">
                  <v>1.236374925335889</v>
                </pt>
                <pt idx="268">
                  <v>1.250374664358411</v>
                </pt>
                <pt idx="269">
                  <v>1.263425709344683</v>
                </pt>
                <pt idx="270">
                  <v>1.278447072308161</v>
                </pt>
                <pt idx="271">
                  <v>1.299261398856591</v>
                </pt>
                <pt idx="272">
                  <v>1.29424620590752</v>
                </pt>
                <pt idx="273">
                  <v>1.306977703806112</v>
                </pt>
                <pt idx="274">
                  <v>1.314935546020486</v>
                </pt>
                <pt idx="275">
                  <v>1.318542105031044</v>
                </pt>
                <pt idx="276">
                  <v>1.329013950712759</v>
                </pt>
                <pt idx="277">
                  <v>1.343665898141559</v>
                </pt>
                <pt idx="278">
                  <v>1.32931344142626</v>
                </pt>
                <pt idx="279">
                  <v>1.340517380448113</v>
                </pt>
                <pt idx="280">
                  <v>1.341127524175298</v>
                </pt>
                <pt idx="281">
                  <v>1.336232763468251</v>
                </pt>
                <pt idx="282">
                  <v>1.338319445190325</v>
                </pt>
                <pt idx="283">
                  <v>1.3389492256651</v>
                </pt>
                <pt idx="284">
                  <v>1.330762207073266</v>
                </pt>
                <pt idx="285">
                  <v>1.333296805211215</v>
                </pt>
                <pt idx="286">
                  <v>1.33950227826498</v>
                </pt>
                <pt idx="287">
                  <v>1.349950155218319</v>
                </pt>
                <pt idx="288">
                  <v>1.354420325449662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Sheet'!$A$7:$A$394</f>
              <numCache>
                <formatCode>yyyy\-mm\-dd</formatCode>
                <ptCount val="38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</numCache>
            </numRef>
          </cat>
          <val>
            <numRef>
              <f>'ECB Balance Sheet'!$B$7:$B$394</f>
              <numCache>
                <formatCode>0</formatCode>
                <ptCount val="38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64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5" headerRowCount="1" totalsRowShown="0" headerRowDxfId="40" dataDxfId="38" headerRowBorderDxfId="39" tableBorderDxfId="37" totalsRowBorderDxfId="36" headerRowCellStyle="Normal 2" dataCellStyle="Normal 2">
  <autoFilter ref="A7:B825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9" headerRowCount="1" totalsRowShown="0" headerRowDxfId="33" dataDxfId="31" headerRowBorderDxfId="32" dataCellStyle="Normal 2">
  <autoFilter ref="A6:E769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40" headerRowCount="1" totalsRowShown="0" headerRowDxfId="25" dataDxfId="23" headerRowBorderDxfId="24">
  <autoFilter ref="A11:C104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4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7" headerRowCount="1" totalsRowShown="0" headerRowDxfId="15" dataDxfId="13" headerRowBorderDxfId="14" tableBorderDxfId="12" totalsRowBorderDxfId="11" headerRowCellStyle="Normal 2" dataCellStyle="Normal 2">
  <autoFilter ref="A5:D297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94" headerRowCount="1" totalsRowShown="0" headerRowDxfId="6" dataDxfId="4" headerRowBorderDxfId="5" tableBorderDxfId="3" totalsRowBorderDxfId="2" headerRowCellStyle="Normal 2" dataCellStyle="Normal 2">
  <autoFilter ref="A6:B394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30"/>
    <col width="9.1640625" customWidth="1" style="56" min="31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7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</row>
    <row r="674">
      <c r="A674" s="63" t="n">
        <v>37987</v>
      </c>
      <c r="B674" t="n">
        <v>2</v>
      </c>
      <c r="C674" t="n">
        <v>1</v>
      </c>
      <c r="D674" t="n">
        <v>6075.5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</row>
    <row r="677">
      <c r="A677" s="63" t="n">
        <v>38078</v>
      </c>
      <c r="B677" t="n">
        <v>2</v>
      </c>
      <c r="C677" t="n">
        <v>1</v>
      </c>
      <c r="D677" t="n">
        <v>6191.2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</row>
    <row r="818">
      <c r="A818" s="63" t="n">
        <v>42370</v>
      </c>
      <c r="B818" t="n">
        <v>1</v>
      </c>
      <c r="C818" t="n">
        <v>0.34</v>
      </c>
      <c r="D818" t="n">
        <v>12470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</row>
    <row r="824">
      <c r="A824" s="63" t="n">
        <v>42552</v>
      </c>
      <c r="B824" t="n">
        <v>1</v>
      </c>
      <c r="C824" t="n">
        <v>0.39</v>
      </c>
      <c r="D824" t="n">
        <v>12892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</row>
    <row r="857">
      <c r="A857" s="63" t="n">
        <v>43556</v>
      </c>
      <c r="B857" t="n">
        <v>3</v>
      </c>
      <c r="C857" t="n">
        <v>2.42</v>
      </c>
      <c r="D857" t="n">
        <v>14541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19124.7</v>
      </c>
    </row>
    <row r="878">
      <c r="A878" s="63" t="n">
        <v>44197</v>
      </c>
      <c r="B878" t="n">
        <v>0.25</v>
      </c>
      <c r="C878" t="n">
        <v>0.09</v>
      </c>
      <c r="D878" t="n">
        <v>19372.5</v>
      </c>
    </row>
    <row r="879">
      <c r="A879" s="63" t="n">
        <v>44228</v>
      </c>
      <c r="B879" t="n">
        <v>0.25</v>
      </c>
      <c r="C879" t="n">
        <v>0.08</v>
      </c>
      <c r="D879" t="n">
        <v>19615.5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</row>
    <row r="881">
      <c r="A881" s="63" t="n">
        <v>44287</v>
      </c>
      <c r="B881" t="n">
        <v>0.25</v>
      </c>
      <c r="C881" t="n">
        <v>0.07000000000000001</v>
      </c>
      <c r="D881" t="n">
        <v>20110.6</v>
      </c>
    </row>
    <row r="882">
      <c r="A882" s="63" t="n">
        <v>44317</v>
      </c>
      <c r="B882" t="n">
        <v>0.25</v>
      </c>
      <c r="C882" t="n">
        <v>0.06</v>
      </c>
      <c r="D882" t="n">
        <v>20418.8</v>
      </c>
    </row>
    <row r="883">
      <c r="A883" s="63" t="n">
        <v>44348</v>
      </c>
      <c r="B883" t="n">
        <v>0.25</v>
      </c>
      <c r="C883" t="n">
        <v>0.08</v>
      </c>
      <c r="D883" t="n">
        <v>20460.3</v>
      </c>
    </row>
    <row r="884">
      <c r="A884" s="63" t="n">
        <v>44378</v>
      </c>
      <c r="B884" t="n">
        <v>0.25</v>
      </c>
      <c r="C884" t="n">
        <v>0.1</v>
      </c>
      <c r="D884" t="n">
        <v>20620.9</v>
      </c>
    </row>
    <row r="885">
      <c r="A885" s="63" t="n">
        <v>44409</v>
      </c>
      <c r="B885" t="n">
        <v>0.25</v>
      </c>
      <c r="C885" t="n">
        <v>0.09</v>
      </c>
      <c r="D885" t="n">
        <v>20853.5</v>
      </c>
    </row>
    <row r="886">
      <c r="A886" s="63" t="n">
        <v>44440</v>
      </c>
      <c r="C886" t="n">
        <v>0.08</v>
      </c>
      <c r="D886" t="n">
        <v>20992.5</v>
      </c>
    </row>
    <row r="887">
      <c r="A887" s="63" t="n">
        <v>44470</v>
      </c>
      <c r="C887" t="n">
        <v>0.08</v>
      </c>
      <c r="D887" t="n">
        <v>21143.9</v>
      </c>
    </row>
    <row r="888">
      <c r="A888" s="63" t="n">
        <v>44501</v>
      </c>
      <c r="C888" t="n">
        <v>0.08</v>
      </c>
      <c r="D888" t="n">
        <v>21349.4</v>
      </c>
    </row>
    <row r="889">
      <c r="A889" s="63" t="n">
        <v>44531</v>
      </c>
      <c r="C889" t="n">
        <v>0.08</v>
      </c>
      <c r="D889" t="n">
        <v>21490.1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21708.5</v>
      </c>
    </row>
    <row r="892">
      <c r="A892" s="63" t="n">
        <v>44621</v>
      </c>
      <c r="C892" t="n">
        <v>0.2</v>
      </c>
      <c r="D892" t="n">
        <v>21739.8</v>
      </c>
    </row>
    <row r="893">
      <c r="A893" s="63" t="n">
        <v>44652</v>
      </c>
      <c r="C893" t="n">
        <v>0.33</v>
      </c>
      <c r="D893" t="n">
        <v>21655.5</v>
      </c>
    </row>
    <row r="894">
      <c r="A894" s="63" t="n">
        <v>44682</v>
      </c>
      <c r="C894" t="n">
        <v>0.77</v>
      </c>
      <c r="D894" t="n">
        <v>21684.4</v>
      </c>
    </row>
    <row r="895">
      <c r="A895" s="63" t="n">
        <v>44713</v>
      </c>
      <c r="C895" t="n">
        <v>1.21</v>
      </c>
      <c r="D895" t="n">
        <v>21667.3</v>
      </c>
    </row>
    <row r="896">
      <c r="A896" s="63" t="n">
        <v>44743</v>
      </c>
      <c r="C896" t="n">
        <v>1.68</v>
      </c>
      <c r="D896" t="n">
        <v>21709.2</v>
      </c>
    </row>
    <row r="897">
      <c r="A897" s="63" t="n">
        <v>44774</v>
      </c>
      <c r="C897" t="n">
        <v>2.33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33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9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5101940</v>
      </c>
    </row>
    <row r="3">
      <c r="A3" s="63" t="n">
        <v>34366</v>
      </c>
      <c r="C3" t="n">
        <v>5090261</v>
      </c>
    </row>
    <row r="4">
      <c r="A4" s="63" t="n">
        <v>34394</v>
      </c>
      <c r="C4" t="n">
        <v>5090261</v>
      </c>
    </row>
    <row r="5">
      <c r="A5" s="63" t="n">
        <v>34425</v>
      </c>
      <c r="C5" t="n">
        <v>5090261</v>
      </c>
    </row>
    <row r="6">
      <c r="A6" s="63" t="n">
        <v>34455</v>
      </c>
      <c r="C6" t="n">
        <v>5129833</v>
      </c>
    </row>
    <row r="7">
      <c r="A7" s="63" t="n">
        <v>34486</v>
      </c>
      <c r="C7" t="n">
        <v>5129833</v>
      </c>
    </row>
    <row r="8">
      <c r="A8" s="63" t="n">
        <v>34516</v>
      </c>
      <c r="C8" t="n">
        <v>5129833</v>
      </c>
    </row>
    <row r="9">
      <c r="A9" s="63" t="n">
        <v>34547</v>
      </c>
      <c r="C9" t="n">
        <v>5115210</v>
      </c>
    </row>
    <row r="10">
      <c r="A10" s="63" t="n">
        <v>34578</v>
      </c>
      <c r="C10" t="n">
        <v>5115210</v>
      </c>
    </row>
    <row r="11">
      <c r="A11" s="63" t="n">
        <v>34608</v>
      </c>
      <c r="C11" t="n">
        <v>5115210</v>
      </c>
    </row>
    <row r="12">
      <c r="A12" s="63" t="n">
        <v>34639</v>
      </c>
      <c r="C12" t="n">
        <v>5149853</v>
      </c>
    </row>
    <row r="13">
      <c r="A13" s="63" t="n">
        <v>34669</v>
      </c>
      <c r="C13" t="n">
        <v>5149853</v>
      </c>
    </row>
    <row r="14">
      <c r="A14" s="63" t="n">
        <v>34700</v>
      </c>
      <c r="C14" t="n">
        <v>5149853</v>
      </c>
    </row>
    <row r="15">
      <c r="A15" s="63" t="n">
        <v>34731</v>
      </c>
      <c r="C15" t="n">
        <v>5187782</v>
      </c>
    </row>
    <row r="16">
      <c r="A16" s="63" t="n">
        <v>34759</v>
      </c>
      <c r="C16" t="n">
        <v>5187782</v>
      </c>
    </row>
    <row r="17">
      <c r="A17" s="63" t="n">
        <v>34790</v>
      </c>
      <c r="C17" t="n">
        <v>5187782</v>
      </c>
    </row>
    <row r="18">
      <c r="A18" s="63" t="n">
        <v>34820</v>
      </c>
      <c r="C18" t="n">
        <v>5253650</v>
      </c>
    </row>
    <row r="19">
      <c r="A19" s="63" t="n">
        <v>34851</v>
      </c>
      <c r="C19" t="n">
        <v>5253650</v>
      </c>
    </row>
    <row r="20">
      <c r="A20" s="63" t="n">
        <v>34881</v>
      </c>
      <c r="C20" t="n">
        <v>5253650</v>
      </c>
    </row>
    <row r="21">
      <c r="A21" s="63" t="n">
        <v>34912</v>
      </c>
      <c r="C21" t="n">
        <v>5269821</v>
      </c>
    </row>
    <row r="22">
      <c r="A22" s="63" t="n">
        <v>34943</v>
      </c>
      <c r="C22" t="n">
        <v>5269821</v>
      </c>
    </row>
    <row r="23">
      <c r="A23" s="63" t="n">
        <v>34973</v>
      </c>
      <c r="C23" t="n">
        <v>5269821</v>
      </c>
    </row>
    <row r="24">
      <c r="A24" s="63" t="n">
        <v>35004</v>
      </c>
      <c r="C24" t="n">
        <v>5290506</v>
      </c>
    </row>
    <row r="25">
      <c r="A25" s="63" t="n">
        <v>35034</v>
      </c>
      <c r="C25" t="n">
        <v>5290506</v>
      </c>
    </row>
    <row r="26">
      <c r="A26" s="63" t="n">
        <v>35065</v>
      </c>
      <c r="C26" t="n">
        <v>5290506</v>
      </c>
    </row>
    <row r="27">
      <c r="A27" s="63" t="n">
        <v>35096</v>
      </c>
      <c r="C27" t="n">
        <v>5360154</v>
      </c>
    </row>
    <row r="28">
      <c r="A28" s="63" t="n">
        <v>35125</v>
      </c>
      <c r="C28" t="n">
        <v>5360154</v>
      </c>
    </row>
    <row r="29">
      <c r="A29" s="63" t="n">
        <v>35156</v>
      </c>
      <c r="C29" t="n">
        <v>5360154</v>
      </c>
    </row>
    <row r="30">
      <c r="A30" s="63" t="n">
        <v>35186</v>
      </c>
      <c r="C30" t="n">
        <v>5360994</v>
      </c>
    </row>
    <row r="31">
      <c r="A31" s="63" t="n">
        <v>35217</v>
      </c>
      <c r="C31" t="n">
        <v>5360994</v>
      </c>
    </row>
    <row r="32">
      <c r="A32" s="63" t="n">
        <v>35247</v>
      </c>
      <c r="C32" t="n">
        <v>5360994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5422505</v>
      </c>
    </row>
    <row r="37">
      <c r="A37" s="63" t="n">
        <v>35400</v>
      </c>
      <c r="C37" t="n">
        <v>5422505</v>
      </c>
    </row>
    <row r="38">
      <c r="A38" s="63" t="n">
        <v>35431</v>
      </c>
      <c r="C38" t="n">
        <v>5422505</v>
      </c>
    </row>
    <row r="39">
      <c r="A39" s="63" t="n">
        <v>35462</v>
      </c>
      <c r="C39" t="n">
        <v>5440845</v>
      </c>
    </row>
    <row r="40">
      <c r="A40" s="63" t="n">
        <v>35490</v>
      </c>
      <c r="C40" t="n">
        <v>5440845</v>
      </c>
    </row>
    <row r="41">
      <c r="A41" s="63" t="n">
        <v>35521</v>
      </c>
      <c r="C41" t="n">
        <v>5440845</v>
      </c>
    </row>
    <row r="42">
      <c r="A42" s="63" t="n">
        <v>35551</v>
      </c>
      <c r="C42" t="n">
        <v>5439597</v>
      </c>
    </row>
    <row r="43">
      <c r="A43" s="63" t="n">
        <v>35582</v>
      </c>
      <c r="C43" t="n">
        <v>5439597</v>
      </c>
    </row>
    <row r="44">
      <c r="A44" s="63" t="n">
        <v>35612</v>
      </c>
      <c r="C44" t="n">
        <v>5439597</v>
      </c>
    </row>
    <row r="45">
      <c r="A45" s="63" t="n">
        <v>35643</v>
      </c>
      <c r="C45" t="n">
        <v>5449570</v>
      </c>
    </row>
    <row r="46">
      <c r="A46" s="63" t="n">
        <v>35674</v>
      </c>
      <c r="C46" t="n">
        <v>5449570</v>
      </c>
    </row>
    <row r="47">
      <c r="A47" s="63" t="n">
        <v>35704</v>
      </c>
      <c r="C47" t="n">
        <v>5449570</v>
      </c>
    </row>
    <row r="48">
      <c r="A48" s="63" t="n">
        <v>35735</v>
      </c>
      <c r="C48" t="n">
        <v>5380149</v>
      </c>
    </row>
    <row r="49">
      <c r="A49" s="63" t="n">
        <v>35765</v>
      </c>
      <c r="C49" t="n">
        <v>5380149</v>
      </c>
    </row>
    <row r="50">
      <c r="A50" s="63" t="n">
        <v>35796</v>
      </c>
      <c r="C50" t="n">
        <v>5380149</v>
      </c>
    </row>
    <row r="51">
      <c r="A51" s="63" t="n">
        <v>35827</v>
      </c>
      <c r="C51" t="n">
        <v>5348857</v>
      </c>
    </row>
    <row r="52">
      <c r="A52" s="63" t="n">
        <v>35855</v>
      </c>
      <c r="C52" t="n">
        <v>5348857</v>
      </c>
    </row>
    <row r="53">
      <c r="A53" s="63" t="n">
        <v>35886</v>
      </c>
      <c r="B53" t="n">
        <v>800652</v>
      </c>
      <c r="C53" t="n">
        <v>5348857</v>
      </c>
      <c r="D53" t="n">
        <v>15641.259765625</v>
      </c>
    </row>
    <row r="54">
      <c r="A54" s="63" t="n">
        <v>35916</v>
      </c>
      <c r="B54" t="n">
        <v>771888</v>
      </c>
      <c r="C54" t="n">
        <v>5338466</v>
      </c>
      <c r="D54" t="n">
        <v>15670.7802734375</v>
      </c>
    </row>
    <row r="55">
      <c r="A55" s="63" t="n">
        <v>35947</v>
      </c>
      <c r="B55" t="n">
        <v>753964</v>
      </c>
      <c r="C55" t="n">
        <v>5338466</v>
      </c>
      <c r="D55" t="n">
        <v>15830.26953125</v>
      </c>
    </row>
    <row r="56">
      <c r="A56" s="63" t="n">
        <v>35977</v>
      </c>
      <c r="B56" t="n">
        <v>724375</v>
      </c>
      <c r="C56" t="n">
        <v>5338466</v>
      </c>
      <c r="D56" t="n">
        <v>16378.9697265625</v>
      </c>
    </row>
    <row r="57">
      <c r="A57" s="63" t="n">
        <v>36008</v>
      </c>
      <c r="B57" t="n">
        <v>763742</v>
      </c>
      <c r="C57" t="n">
        <v>5392617</v>
      </c>
      <c r="D57" t="n">
        <v>14107.8896484375</v>
      </c>
    </row>
    <row r="58">
      <c r="A58" s="63" t="n">
        <v>36039</v>
      </c>
      <c r="B58" t="n">
        <v>783667</v>
      </c>
      <c r="C58" t="n">
        <v>5392617</v>
      </c>
      <c r="D58" t="n">
        <v>13406.3896484375</v>
      </c>
    </row>
    <row r="59">
      <c r="A59" s="63" t="n">
        <v>36069</v>
      </c>
      <c r="B59" t="n">
        <v>775368</v>
      </c>
      <c r="C59" t="n">
        <v>5392617</v>
      </c>
      <c r="D59" t="n">
        <v>13564.509765625</v>
      </c>
    </row>
    <row r="60">
      <c r="A60" s="63" t="n">
        <v>36100</v>
      </c>
      <c r="B60" t="n">
        <v>883012</v>
      </c>
      <c r="C60" t="n">
        <v>5290856</v>
      </c>
      <c r="D60" t="n">
        <v>14883.7001953125</v>
      </c>
    </row>
    <row r="61">
      <c r="A61" s="63" t="n">
        <v>36130</v>
      </c>
      <c r="B61" t="n">
        <v>912382</v>
      </c>
      <c r="C61" t="n">
        <v>5290856</v>
      </c>
      <c r="D61" t="n">
        <v>13842.169921875</v>
      </c>
    </row>
    <row r="62">
      <c r="A62" s="63" t="n">
        <v>36161</v>
      </c>
      <c r="B62" t="n">
        <v>797188</v>
      </c>
      <c r="C62" t="n">
        <v>5290856</v>
      </c>
      <c r="D62" t="n">
        <v>14499.25</v>
      </c>
    </row>
    <row r="63">
      <c r="A63" s="63" t="n">
        <v>36192</v>
      </c>
      <c r="B63" t="n">
        <v>755897</v>
      </c>
      <c r="C63" t="n">
        <v>5291216</v>
      </c>
      <c r="D63" t="n">
        <v>14367.5400390625</v>
      </c>
    </row>
    <row r="64">
      <c r="A64" s="63" t="n">
        <v>36220</v>
      </c>
      <c r="B64" t="n">
        <v>797450</v>
      </c>
      <c r="C64" t="n">
        <v>5291216</v>
      </c>
      <c r="D64" t="n">
        <v>15836.58984375</v>
      </c>
    </row>
    <row r="65">
      <c r="A65" s="63" t="n">
        <v>36251</v>
      </c>
      <c r="B65" t="n">
        <v>791152</v>
      </c>
      <c r="C65" t="n">
        <v>5291216</v>
      </c>
      <c r="D65" t="n">
        <v>16701.529296875</v>
      </c>
    </row>
    <row r="66">
      <c r="A66" s="63" t="n">
        <v>36281</v>
      </c>
      <c r="B66" t="n">
        <v>744742</v>
      </c>
      <c r="C66" t="n">
        <v>5285355</v>
      </c>
      <c r="D66" t="n">
        <v>16111.650390625</v>
      </c>
    </row>
    <row r="67">
      <c r="A67" s="63" t="n">
        <v>36312</v>
      </c>
      <c r="B67" t="n">
        <v>734211</v>
      </c>
      <c r="C67" t="n">
        <v>5285355</v>
      </c>
      <c r="D67" t="n">
        <v>17529.740234375</v>
      </c>
    </row>
    <row r="68">
      <c r="A68" s="63" t="n">
        <v>36342</v>
      </c>
      <c r="B68" t="n">
        <v>686329</v>
      </c>
      <c r="C68" t="n">
        <v>5285355</v>
      </c>
      <c r="D68" t="n">
        <v>17861.859375</v>
      </c>
    </row>
    <row r="69">
      <c r="A69" s="63" t="n">
        <v>36373</v>
      </c>
      <c r="B69" t="n">
        <v>680224</v>
      </c>
      <c r="C69" t="n">
        <v>5278267</v>
      </c>
      <c r="D69" t="n">
        <v>17436.560546875</v>
      </c>
    </row>
    <row r="70">
      <c r="A70" s="63" t="n">
        <v>36404</v>
      </c>
      <c r="B70" t="n">
        <v>688207</v>
      </c>
      <c r="C70" t="n">
        <v>5278267</v>
      </c>
      <c r="D70" t="n">
        <v>17605.4609375</v>
      </c>
    </row>
    <row r="71">
      <c r="A71" s="63" t="n">
        <v>36434</v>
      </c>
      <c r="B71" t="n">
        <v>680064</v>
      </c>
      <c r="C71" t="n">
        <v>5278267</v>
      </c>
      <c r="D71" t="n">
        <v>17942.080078125</v>
      </c>
    </row>
    <row r="72">
      <c r="A72" s="63" t="n">
        <v>36465</v>
      </c>
      <c r="B72" t="n">
        <v>841508</v>
      </c>
      <c r="C72" t="n">
        <v>5351046</v>
      </c>
      <c r="D72" t="n">
        <v>18558.23046875</v>
      </c>
    </row>
    <row r="73">
      <c r="A73" s="63" t="n">
        <v>36495</v>
      </c>
      <c r="B73" t="n">
        <v>1113478</v>
      </c>
      <c r="C73" t="n">
        <v>5351046</v>
      </c>
      <c r="D73" t="n">
        <v>18934.33984375</v>
      </c>
    </row>
    <row r="74">
      <c r="A74" s="63" t="n">
        <v>36526</v>
      </c>
      <c r="B74" t="n">
        <v>905251</v>
      </c>
      <c r="C74" t="n">
        <v>5351046</v>
      </c>
      <c r="D74" t="n">
        <v>19539.69921875</v>
      </c>
    </row>
    <row r="75">
      <c r="A75" s="63" t="n">
        <v>36557</v>
      </c>
      <c r="B75" t="n">
        <v>941085</v>
      </c>
      <c r="C75" t="n">
        <v>5353657</v>
      </c>
      <c r="D75" t="n">
        <v>19959.51953125</v>
      </c>
    </row>
    <row r="76">
      <c r="A76" s="63" t="n">
        <v>36586</v>
      </c>
      <c r="B76" t="n">
        <v>1062017</v>
      </c>
      <c r="C76" t="n">
        <v>5353657</v>
      </c>
      <c r="D76" t="n">
        <v>20337.3203125</v>
      </c>
    </row>
    <row r="77">
      <c r="A77" s="63" t="n">
        <v>36617</v>
      </c>
      <c r="B77" t="n">
        <v>797289</v>
      </c>
      <c r="C77" t="n">
        <v>5353657</v>
      </c>
      <c r="D77" t="n">
        <v>17973.69921875</v>
      </c>
    </row>
    <row r="78">
      <c r="A78" s="63" t="n">
        <v>36647</v>
      </c>
      <c r="B78" t="n">
        <v>838507</v>
      </c>
      <c r="C78" t="n">
        <v>5344527</v>
      </c>
      <c r="D78" t="n">
        <v>16332.4501953125</v>
      </c>
    </row>
    <row r="79">
      <c r="A79" s="63" t="n">
        <v>36678</v>
      </c>
      <c r="B79" t="n">
        <v>837194</v>
      </c>
      <c r="C79" t="n">
        <v>5344527</v>
      </c>
      <c r="D79" t="n">
        <v>17411.05078125</v>
      </c>
    </row>
    <row r="80">
      <c r="A80" s="63" t="n">
        <v>36708</v>
      </c>
      <c r="B80" t="n">
        <v>807840</v>
      </c>
      <c r="C80" t="n">
        <v>5344527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5426367</v>
      </c>
      <c r="D84" t="n">
        <v>14648.509765625</v>
      </c>
    </row>
    <row r="85">
      <c r="A85" s="63" t="n">
        <v>36861</v>
      </c>
      <c r="B85" t="n">
        <v>1067962</v>
      </c>
      <c r="C85" t="n">
        <v>5426367</v>
      </c>
      <c r="D85" t="n">
        <v>13785.6904296875</v>
      </c>
    </row>
    <row r="86">
      <c r="A86" s="63" t="n">
        <v>36892</v>
      </c>
      <c r="B86" t="n">
        <v>1078487</v>
      </c>
      <c r="C86" t="n">
        <v>5426367</v>
      </c>
      <c r="D86" t="n">
        <v>13843.5498046875</v>
      </c>
    </row>
    <row r="87">
      <c r="A87" s="63" t="n">
        <v>36923</v>
      </c>
      <c r="B87" t="n">
        <v>1102160</v>
      </c>
      <c r="C87" t="n">
        <v>5341966</v>
      </c>
      <c r="D87" t="n">
        <v>12883.5400390625</v>
      </c>
    </row>
    <row r="88">
      <c r="A88" s="63" t="n">
        <v>36951</v>
      </c>
      <c r="B88" t="n">
        <v>1150959</v>
      </c>
      <c r="C88" t="n">
        <v>5341966</v>
      </c>
      <c r="D88" t="n">
        <v>12999.7001953125</v>
      </c>
    </row>
    <row r="89">
      <c r="A89" s="63" t="n">
        <v>36982</v>
      </c>
      <c r="B89" t="n">
        <v>1123259</v>
      </c>
      <c r="C89" t="n">
        <v>5341966</v>
      </c>
      <c r="D89" t="n">
        <v>13934.3203125</v>
      </c>
    </row>
    <row r="90">
      <c r="A90" s="63" t="n">
        <v>37012</v>
      </c>
      <c r="B90" t="n">
        <v>1138146</v>
      </c>
      <c r="C90" t="n">
        <v>5270063</v>
      </c>
      <c r="D90" t="n">
        <v>13262.1396484375</v>
      </c>
    </row>
    <row r="91">
      <c r="A91" s="63" t="n">
        <v>37043</v>
      </c>
      <c r="B91" t="n">
        <v>1169329</v>
      </c>
      <c r="C91" t="n">
        <v>5270063</v>
      </c>
      <c r="D91" t="n">
        <v>12969.0498046875</v>
      </c>
    </row>
    <row r="92">
      <c r="A92" s="63" t="n">
        <v>37073</v>
      </c>
      <c r="B92" t="n">
        <v>1163779</v>
      </c>
      <c r="C92" t="n">
        <v>5270063</v>
      </c>
      <c r="D92" t="n">
        <v>11860.76953125</v>
      </c>
    </row>
    <row r="93">
      <c r="A93" s="63" t="n">
        <v>37104</v>
      </c>
      <c r="B93" t="n">
        <v>1133882</v>
      </c>
      <c r="C93" t="n">
        <v>5239655</v>
      </c>
      <c r="D93" t="n">
        <v>10713.509765625</v>
      </c>
    </row>
    <row r="94">
      <c r="A94" s="63" t="n">
        <v>37135</v>
      </c>
      <c r="B94" t="n">
        <v>1156156</v>
      </c>
      <c r="C94" t="n">
        <v>5239655</v>
      </c>
      <c r="D94" t="n">
        <v>9774.6796875</v>
      </c>
    </row>
    <row r="95">
      <c r="A95" s="63" t="n">
        <v>37165</v>
      </c>
      <c r="B95" t="n">
        <v>1107271</v>
      </c>
      <c r="C95" t="n">
        <v>5239655</v>
      </c>
      <c r="D95" t="n">
        <v>10366.33984375</v>
      </c>
    </row>
    <row r="96">
      <c r="A96" s="63" t="n">
        <v>37196</v>
      </c>
      <c r="B96" t="n">
        <v>1133942</v>
      </c>
      <c r="C96" t="n">
        <v>5255332</v>
      </c>
      <c r="D96" t="n">
        <v>10697.4404296875</v>
      </c>
    </row>
    <row r="97">
      <c r="A97" s="63" t="n">
        <v>37226</v>
      </c>
      <c r="B97" t="n">
        <v>1175079</v>
      </c>
      <c r="C97" t="n">
        <v>5255332</v>
      </c>
      <c r="D97" t="n">
        <v>10542.6201171875</v>
      </c>
    </row>
    <row r="98">
      <c r="A98" s="63" t="n">
        <v>37257</v>
      </c>
      <c r="B98" t="n">
        <v>1224388</v>
      </c>
      <c r="C98" t="n">
        <v>5255332</v>
      </c>
      <c r="D98" t="n">
        <v>9997.7998046875</v>
      </c>
    </row>
    <row r="99">
      <c r="A99" s="63" t="n">
        <v>37288</v>
      </c>
      <c r="B99" t="n">
        <v>1313520</v>
      </c>
      <c r="C99" t="n">
        <v>5241535</v>
      </c>
      <c r="D99" t="n">
        <v>10587.830078125</v>
      </c>
    </row>
    <row r="100">
      <c r="A100" s="63" t="n">
        <v>37316</v>
      </c>
      <c r="B100" t="n">
        <v>1385648</v>
      </c>
      <c r="C100" t="n">
        <v>5241535</v>
      </c>
      <c r="D100" t="n">
        <v>11024.9404296875</v>
      </c>
    </row>
    <row r="101">
      <c r="A101" s="63" t="n">
        <v>37347</v>
      </c>
      <c r="B101" t="n">
        <v>1328094</v>
      </c>
      <c r="C101" t="n">
        <v>5241535</v>
      </c>
      <c r="D101" t="n">
        <v>11492.5400390625</v>
      </c>
    </row>
    <row r="102">
      <c r="A102" s="63" t="n">
        <v>37377</v>
      </c>
      <c r="B102" t="n">
        <v>1279453</v>
      </c>
      <c r="C102" t="n">
        <v>5241977</v>
      </c>
      <c r="D102" t="n">
        <v>11763.7001953125</v>
      </c>
    </row>
    <row r="103">
      <c r="A103" s="63" t="n">
        <v>37408</v>
      </c>
      <c r="B103" t="n">
        <v>1241193</v>
      </c>
      <c r="C103" t="n">
        <v>5241977</v>
      </c>
      <c r="D103" t="n">
        <v>10621.83984375</v>
      </c>
    </row>
    <row r="104">
      <c r="A104" s="63" t="n">
        <v>37438</v>
      </c>
      <c r="B104" t="n">
        <v>1265421</v>
      </c>
      <c r="C104" t="n">
        <v>5241977</v>
      </c>
      <c r="D104" t="n">
        <v>9877.9404296875</v>
      </c>
    </row>
    <row r="105">
      <c r="A105" s="63" t="n">
        <v>37469</v>
      </c>
      <c r="B105" t="n">
        <v>1284793</v>
      </c>
      <c r="C105" t="n">
        <v>5244573</v>
      </c>
      <c r="D105" t="n">
        <v>9619.2998046875</v>
      </c>
    </row>
    <row r="106">
      <c r="A106" s="63" t="n">
        <v>37500</v>
      </c>
      <c r="B106" t="n">
        <v>1244691</v>
      </c>
      <c r="C106" t="n">
        <v>5244573</v>
      </c>
      <c r="D106" t="n">
        <v>9383.2900390625</v>
      </c>
    </row>
    <row r="107">
      <c r="A107" s="63" t="n">
        <v>37530</v>
      </c>
      <c r="B107" t="n">
        <v>1246432</v>
      </c>
      <c r="C107" t="n">
        <v>5244573</v>
      </c>
      <c r="D107" t="n">
        <v>8640.48046875</v>
      </c>
    </row>
    <row r="108">
      <c r="A108" s="63" t="n">
        <v>37561</v>
      </c>
      <c r="B108" t="n">
        <v>1250866</v>
      </c>
      <c r="C108" t="n">
        <v>5213954</v>
      </c>
      <c r="D108" t="n">
        <v>9215.5595703125</v>
      </c>
    </row>
    <row r="109">
      <c r="A109" s="63" t="n">
        <v>37591</v>
      </c>
      <c r="B109" t="n">
        <v>1251263</v>
      </c>
      <c r="C109" t="n">
        <v>5213954</v>
      </c>
      <c r="D109" t="n">
        <v>8578.9501953125</v>
      </c>
    </row>
    <row r="110">
      <c r="A110" s="63" t="n">
        <v>37622</v>
      </c>
      <c r="B110" t="n">
        <v>1245386</v>
      </c>
      <c r="C110" t="n">
        <v>5213954</v>
      </c>
      <c r="D110" t="n">
        <v>8339.9404296875</v>
      </c>
    </row>
    <row r="111">
      <c r="A111" s="63" t="n">
        <v>37653</v>
      </c>
      <c r="B111" t="n">
        <v>1325273</v>
      </c>
      <c r="C111" t="n">
        <v>5245357</v>
      </c>
      <c r="D111" t="n">
        <v>8363.0400390625</v>
      </c>
    </row>
    <row r="112">
      <c r="A112" s="63" t="n">
        <v>37681</v>
      </c>
      <c r="B112" t="n">
        <v>1411674</v>
      </c>
      <c r="C112" t="n">
        <v>5245357</v>
      </c>
      <c r="D112" t="n">
        <v>7972.7099609375</v>
      </c>
    </row>
    <row r="113">
      <c r="A113" s="63" t="n">
        <v>37712</v>
      </c>
      <c r="B113" t="n">
        <v>1283101</v>
      </c>
      <c r="C113" t="n">
        <v>5245357</v>
      </c>
      <c r="D113" t="n">
        <v>7831.419921875</v>
      </c>
    </row>
    <row r="114">
      <c r="A114" s="63" t="n">
        <v>37742</v>
      </c>
      <c r="B114" t="n">
        <v>1306815</v>
      </c>
      <c r="C114" t="n">
        <v>5243366</v>
      </c>
      <c r="D114" t="n">
        <v>8424.509765625</v>
      </c>
    </row>
    <row r="115">
      <c r="A115" s="63" t="n">
        <v>37773</v>
      </c>
      <c r="B115" t="n">
        <v>1252605</v>
      </c>
      <c r="C115" t="n">
        <v>5243366</v>
      </c>
      <c r="D115" t="n">
        <v>9083.1103515625</v>
      </c>
    </row>
    <row r="116">
      <c r="A116" s="63" t="n">
        <v>37803</v>
      </c>
      <c r="B116" t="n">
        <v>1263771</v>
      </c>
      <c r="C116" t="n">
        <v>5243366</v>
      </c>
      <c r="D116" t="n">
        <v>9563.2099609375</v>
      </c>
    </row>
    <row r="117">
      <c r="A117" s="63" t="n">
        <v>37834</v>
      </c>
      <c r="B117" t="n">
        <v>1283228</v>
      </c>
      <c r="C117" t="n">
        <v>5264112</v>
      </c>
      <c r="D117" t="n">
        <v>10343.5498046875</v>
      </c>
    </row>
    <row r="118">
      <c r="A118" s="63" t="n">
        <v>37865</v>
      </c>
      <c r="B118" t="n">
        <v>1339295</v>
      </c>
      <c r="C118" t="n">
        <v>5264112</v>
      </c>
      <c r="D118" t="n">
        <v>10219.0498046875</v>
      </c>
    </row>
    <row r="119">
      <c r="A119" s="63" t="n">
        <v>37895</v>
      </c>
      <c r="B119" t="n">
        <v>1322521</v>
      </c>
      <c r="C119" t="n">
        <v>5264112</v>
      </c>
      <c r="D119" t="n">
        <v>10559.58984375</v>
      </c>
    </row>
    <row r="120">
      <c r="A120" s="63" t="n">
        <v>37926</v>
      </c>
      <c r="B120" t="n">
        <v>1347558</v>
      </c>
      <c r="C120" t="n">
        <v>5293205</v>
      </c>
      <c r="D120" t="n">
        <v>10100.5703125</v>
      </c>
    </row>
    <row r="121">
      <c r="A121" s="63" t="n">
        <v>37956</v>
      </c>
      <c r="B121" t="n">
        <v>1313685</v>
      </c>
      <c r="C121" t="n">
        <v>5293205</v>
      </c>
      <c r="D121" t="n">
        <v>10676.6396484375</v>
      </c>
    </row>
    <row r="122">
      <c r="A122" s="63" t="n">
        <v>37987</v>
      </c>
      <c r="B122" t="n">
        <v>1354300</v>
      </c>
      <c r="C122" t="n">
        <v>5293205</v>
      </c>
      <c r="D122" t="n">
        <v>10783.6103515625</v>
      </c>
    </row>
    <row r="123">
      <c r="A123" s="63" t="n">
        <v>38018</v>
      </c>
      <c r="B123" t="n">
        <v>1405509</v>
      </c>
      <c r="C123" t="n">
        <v>5276927</v>
      </c>
      <c r="D123" t="n">
        <v>11041.919921875</v>
      </c>
    </row>
    <row r="124">
      <c r="A124" s="63" t="n">
        <v>38047</v>
      </c>
      <c r="B124" t="n">
        <v>1493819</v>
      </c>
      <c r="C124" t="n">
        <v>5276927</v>
      </c>
      <c r="D124" t="n">
        <v>11715.3896484375</v>
      </c>
    </row>
    <row r="125">
      <c r="A125" s="63" t="n">
        <v>38078</v>
      </c>
      <c r="B125" t="n">
        <v>1382514</v>
      </c>
      <c r="C125" t="n">
        <v>5276927</v>
      </c>
      <c r="D125" t="n">
        <v>11761.7900390625</v>
      </c>
    </row>
    <row r="126">
      <c r="A126" s="63" t="n">
        <v>38108</v>
      </c>
      <c r="B126" t="n">
        <v>1390667</v>
      </c>
      <c r="C126" t="n">
        <v>5304595</v>
      </c>
      <c r="D126" t="n">
        <v>11236.3701171875</v>
      </c>
    </row>
    <row r="127">
      <c r="A127" s="63" t="n">
        <v>38139</v>
      </c>
      <c r="B127" t="n">
        <v>1347362</v>
      </c>
      <c r="C127" t="n">
        <v>5304595</v>
      </c>
      <c r="D127" t="n">
        <v>11858.8701171875</v>
      </c>
    </row>
    <row r="128">
      <c r="A128" s="63" t="n">
        <v>38169</v>
      </c>
      <c r="B128" t="n">
        <v>1314783</v>
      </c>
      <c r="C128" t="n">
        <v>5304595</v>
      </c>
      <c r="D128" t="n">
        <v>11325.7802734375</v>
      </c>
    </row>
    <row r="129">
      <c r="A129" s="63" t="n">
        <v>38200</v>
      </c>
      <c r="B129" t="n">
        <v>1382251</v>
      </c>
      <c r="C129" t="n">
        <v>5299008</v>
      </c>
      <c r="D129" t="n">
        <v>11081.7900390625</v>
      </c>
    </row>
    <row r="130">
      <c r="A130" s="63" t="n">
        <v>38231</v>
      </c>
      <c r="B130" t="n">
        <v>1394564</v>
      </c>
      <c r="C130" t="n">
        <v>5299008</v>
      </c>
      <c r="D130" t="n">
        <v>10823.5703125</v>
      </c>
    </row>
    <row r="131">
      <c r="A131" s="63" t="n">
        <v>38261</v>
      </c>
      <c r="B131" t="n">
        <v>1384015</v>
      </c>
      <c r="C131" t="n">
        <v>5299008</v>
      </c>
      <c r="D131" t="n">
        <v>10771.419921875</v>
      </c>
    </row>
    <row r="132">
      <c r="A132" s="63" t="n">
        <v>38292</v>
      </c>
      <c r="B132" t="n">
        <v>1478802</v>
      </c>
      <c r="C132" t="n">
        <v>5298569</v>
      </c>
      <c r="D132" t="n">
        <v>10899.25</v>
      </c>
    </row>
    <row r="133">
      <c r="A133" s="63" t="n">
        <v>38322</v>
      </c>
      <c r="B133" t="n">
        <v>1445467</v>
      </c>
      <c r="C133" t="n">
        <v>5298569</v>
      </c>
      <c r="D133" t="n">
        <v>11488.759765625</v>
      </c>
    </row>
    <row r="134">
      <c r="A134" s="63" t="n">
        <v>38353</v>
      </c>
      <c r="B134" t="n">
        <v>1473561</v>
      </c>
      <c r="C134" t="n">
        <v>5298569</v>
      </c>
      <c r="D134" t="n">
        <v>11387.58984375</v>
      </c>
    </row>
    <row r="135">
      <c r="A135" s="63" t="n">
        <v>38384</v>
      </c>
      <c r="B135" t="n">
        <v>1514085</v>
      </c>
      <c r="C135" t="n">
        <v>5314446</v>
      </c>
      <c r="D135" t="n">
        <v>11740.599609375</v>
      </c>
    </row>
    <row r="136">
      <c r="A136" s="63" t="n">
        <v>38412</v>
      </c>
      <c r="B136" t="n">
        <v>1505173</v>
      </c>
      <c r="C136" t="n">
        <v>5314446</v>
      </c>
      <c r="D136" t="n">
        <v>11668.9501953125</v>
      </c>
    </row>
    <row r="137">
      <c r="A137" s="63" t="n">
        <v>38443</v>
      </c>
      <c r="B137" t="n">
        <v>1473513</v>
      </c>
      <c r="C137" t="n">
        <v>5314446</v>
      </c>
      <c r="D137" t="n">
        <v>11008.900390625</v>
      </c>
    </row>
    <row r="138">
      <c r="A138" s="63" t="n">
        <v>38473</v>
      </c>
      <c r="B138" t="n">
        <v>1477619</v>
      </c>
      <c r="C138" t="n">
        <v>5345956</v>
      </c>
      <c r="D138" t="n">
        <v>11276.58984375</v>
      </c>
    </row>
    <row r="139">
      <c r="A139" s="63" t="n">
        <v>38504</v>
      </c>
      <c r="B139" t="n">
        <v>1442122</v>
      </c>
      <c r="C139" t="n">
        <v>5345956</v>
      </c>
      <c r="D139" t="n">
        <v>11584.009765625</v>
      </c>
    </row>
    <row r="140">
      <c r="A140" s="63" t="n">
        <v>38534</v>
      </c>
      <c r="B140" t="n">
        <v>1476503</v>
      </c>
      <c r="C140" t="n">
        <v>5345956</v>
      </c>
      <c r="D140" t="n">
        <v>11899.599609375</v>
      </c>
    </row>
    <row r="141">
      <c r="A141" s="63" t="n">
        <v>38565</v>
      </c>
      <c r="B141" t="n">
        <v>1513847</v>
      </c>
      <c r="C141" t="n">
        <v>5347180</v>
      </c>
      <c r="D141" t="n">
        <v>12413.599609375</v>
      </c>
    </row>
    <row r="142">
      <c r="A142" s="63" t="n">
        <v>38596</v>
      </c>
      <c r="B142" t="n">
        <v>1481357</v>
      </c>
      <c r="C142" t="n">
        <v>5347180</v>
      </c>
      <c r="D142" t="n">
        <v>13574.2998046875</v>
      </c>
    </row>
    <row r="143">
      <c r="A143" s="63" t="n">
        <v>38626</v>
      </c>
      <c r="B143" t="n">
        <v>1477546</v>
      </c>
      <c r="C143" t="n">
        <v>5347180</v>
      </c>
      <c r="D143" t="n">
        <v>13606.5</v>
      </c>
    </row>
    <row r="144">
      <c r="A144" s="63" t="n">
        <v>38657</v>
      </c>
      <c r="B144" t="n">
        <v>1519701</v>
      </c>
      <c r="C144" t="n">
        <v>5344248</v>
      </c>
      <c r="D144" t="n">
        <v>14872.150390625</v>
      </c>
    </row>
    <row r="145">
      <c r="A145" s="63" t="n">
        <v>38687</v>
      </c>
      <c r="B145" t="n">
        <v>1556071</v>
      </c>
      <c r="C145" t="n">
        <v>5344248</v>
      </c>
      <c r="D145" t="n">
        <v>16111.4296875</v>
      </c>
    </row>
    <row r="146">
      <c r="A146" s="63" t="n">
        <v>38718</v>
      </c>
      <c r="B146" t="n">
        <v>1528656</v>
      </c>
      <c r="C146" t="n">
        <v>5344248</v>
      </c>
      <c r="D146" t="n">
        <v>16649.8203125</v>
      </c>
    </row>
    <row r="147">
      <c r="A147" s="63" t="n">
        <v>38749</v>
      </c>
      <c r="B147" t="n">
        <v>1523477</v>
      </c>
      <c r="C147" t="n">
        <v>5341415</v>
      </c>
      <c r="D147" t="n">
        <v>16205.4296875</v>
      </c>
    </row>
    <row r="148">
      <c r="A148" s="63" t="n">
        <v>38777</v>
      </c>
      <c r="B148" t="n">
        <v>1448629</v>
      </c>
      <c r="C148" t="n">
        <v>5341415</v>
      </c>
      <c r="D148" t="n">
        <v>17059.66015625</v>
      </c>
    </row>
    <row r="149">
      <c r="A149" s="63" t="n">
        <v>38808</v>
      </c>
      <c r="B149" t="n">
        <v>1299799</v>
      </c>
      <c r="C149" t="n">
        <v>5341415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5397149</v>
      </c>
      <c r="D153" t="n">
        <v>16140.759765625</v>
      </c>
    </row>
    <row r="154">
      <c r="A154" s="63" t="n">
        <v>38961</v>
      </c>
      <c r="B154" t="n">
        <v>1174523</v>
      </c>
      <c r="C154" t="n">
        <v>5397149</v>
      </c>
      <c r="D154" t="n">
        <v>16127.580078125</v>
      </c>
    </row>
    <row r="155">
      <c r="A155" s="63" t="n">
        <v>38991</v>
      </c>
      <c r="B155" t="n">
        <v>1151993</v>
      </c>
      <c r="C155" t="n">
        <v>5397149</v>
      </c>
      <c r="D155" t="n">
        <v>16399.390625</v>
      </c>
    </row>
    <row r="156">
      <c r="A156" s="63" t="n">
        <v>39022</v>
      </c>
      <c r="B156" t="n">
        <v>1185414</v>
      </c>
      <c r="C156" t="n">
        <v>5418275</v>
      </c>
      <c r="D156" t="n">
        <v>16274.330078125</v>
      </c>
    </row>
    <row r="157">
      <c r="A157" s="63" t="n">
        <v>39052</v>
      </c>
      <c r="B157" t="n">
        <v>1155436</v>
      </c>
      <c r="C157" t="n">
        <v>5418275</v>
      </c>
      <c r="D157" t="n">
        <v>17225.830078125</v>
      </c>
    </row>
    <row r="158">
      <c r="A158" s="63" t="n">
        <v>39083</v>
      </c>
      <c r="B158" t="n">
        <v>1146223</v>
      </c>
      <c r="C158" t="n">
        <v>5418275</v>
      </c>
      <c r="D158" t="n">
        <v>17383.419921875</v>
      </c>
    </row>
    <row r="159">
      <c r="A159" s="63" t="n">
        <v>39114</v>
      </c>
      <c r="B159" t="n">
        <v>1176947</v>
      </c>
      <c r="C159" t="n">
        <v>5422957</v>
      </c>
      <c r="D159" t="n">
        <v>17604.119140625</v>
      </c>
    </row>
    <row r="160">
      <c r="A160" s="63" t="n">
        <v>39142</v>
      </c>
      <c r="B160" t="n">
        <v>1127409</v>
      </c>
      <c r="C160" t="n">
        <v>5422957</v>
      </c>
      <c r="D160" t="n">
        <v>17287.650390625</v>
      </c>
    </row>
    <row r="161">
      <c r="A161" s="63" t="n">
        <v>39173</v>
      </c>
      <c r="B161" t="n">
        <v>1060053</v>
      </c>
      <c r="C161" t="n">
        <v>5422957</v>
      </c>
      <c r="D161" t="n">
        <v>17400.41015625</v>
      </c>
    </row>
    <row r="162">
      <c r="A162" s="63" t="n">
        <v>39203</v>
      </c>
      <c r="B162" t="n">
        <v>1075105</v>
      </c>
      <c r="C162" t="n">
        <v>5366998</v>
      </c>
      <c r="D162" t="n">
        <v>17875.75</v>
      </c>
    </row>
    <row r="163">
      <c r="A163" s="63" t="n">
        <v>39234</v>
      </c>
      <c r="B163" t="n">
        <v>1000712</v>
      </c>
      <c r="C163" t="n">
        <v>5366998</v>
      </c>
      <c r="D163" t="n">
        <v>18138.359375</v>
      </c>
    </row>
    <row r="164">
      <c r="A164" s="63" t="n">
        <v>39264</v>
      </c>
      <c r="B164" t="n">
        <v>1077171</v>
      </c>
      <c r="C164" t="n">
        <v>5366998</v>
      </c>
      <c r="D164" t="n">
        <v>17248.890625</v>
      </c>
    </row>
    <row r="165">
      <c r="A165" s="63" t="n">
        <v>39295</v>
      </c>
      <c r="B165" t="n">
        <v>1107917</v>
      </c>
      <c r="C165" t="n">
        <v>5364155</v>
      </c>
      <c r="D165" t="n">
        <v>16569.08984375</v>
      </c>
    </row>
    <row r="166">
      <c r="A166" s="63" t="n">
        <v>39326</v>
      </c>
      <c r="B166" t="n">
        <v>1110324</v>
      </c>
      <c r="C166" t="n">
        <v>5364155</v>
      </c>
      <c r="D166" t="n">
        <v>16785.689453125</v>
      </c>
    </row>
    <row r="167">
      <c r="A167" s="63" t="n">
        <v>39356</v>
      </c>
      <c r="B167" t="n">
        <v>1073472</v>
      </c>
      <c r="C167" t="n">
        <v>5364155</v>
      </c>
      <c r="D167" t="n">
        <v>16737.630859375</v>
      </c>
    </row>
    <row r="168">
      <c r="A168" s="63" t="n">
        <v>39387</v>
      </c>
      <c r="B168" t="n">
        <v>1114939</v>
      </c>
      <c r="C168" t="n">
        <v>5374694</v>
      </c>
      <c r="D168" t="n">
        <v>15680.669921875</v>
      </c>
    </row>
    <row r="169">
      <c r="A169" s="63" t="n">
        <v>39417</v>
      </c>
      <c r="B169" t="n">
        <v>1112844</v>
      </c>
      <c r="C169" t="n">
        <v>5374694</v>
      </c>
      <c r="D169" t="n">
        <v>15307.7802734375</v>
      </c>
    </row>
    <row r="170">
      <c r="A170" s="63" t="n">
        <v>39448</v>
      </c>
      <c r="B170" t="n">
        <v>1130604</v>
      </c>
      <c r="C170" t="n">
        <v>5374694</v>
      </c>
      <c r="D170" t="n">
        <v>13592.4697265625</v>
      </c>
    </row>
    <row r="171">
      <c r="A171" s="63" t="n">
        <v>39479</v>
      </c>
      <c r="B171" t="n">
        <v>1142477</v>
      </c>
      <c r="C171" t="n">
        <v>5339332</v>
      </c>
      <c r="D171" t="n">
        <v>13603.01953125</v>
      </c>
    </row>
    <row r="172">
      <c r="A172" s="63" t="n">
        <v>39508</v>
      </c>
      <c r="B172" t="n">
        <v>1134262</v>
      </c>
      <c r="C172" t="n">
        <v>5339332</v>
      </c>
      <c r="D172" t="n">
        <v>12525.5400390625</v>
      </c>
    </row>
    <row r="173">
      <c r="A173" s="63" t="n">
        <v>39539</v>
      </c>
      <c r="B173" t="n">
        <v>1072225</v>
      </c>
      <c r="C173" t="n">
        <v>5339332</v>
      </c>
      <c r="D173" t="n">
        <v>13849.990234375</v>
      </c>
    </row>
    <row r="174">
      <c r="A174" s="63" t="n">
        <v>39569</v>
      </c>
      <c r="B174" t="n">
        <v>1101273</v>
      </c>
      <c r="C174" t="n">
        <v>5234252</v>
      </c>
      <c r="D174" t="n">
        <v>14338.5400390625</v>
      </c>
    </row>
    <row r="175">
      <c r="A175" s="63" t="n">
        <v>39600</v>
      </c>
      <c r="B175" t="n">
        <v>1014199</v>
      </c>
      <c r="C175" t="n">
        <v>5234252</v>
      </c>
      <c r="D175" t="n">
        <v>13481.3798828125</v>
      </c>
    </row>
    <row r="176">
      <c r="A176" s="63" t="n">
        <v>39630</v>
      </c>
      <c r="B176" t="n">
        <v>1083652</v>
      </c>
      <c r="C176" t="n">
        <v>5234252</v>
      </c>
      <c r="D176" t="n">
        <v>13376.8095703125</v>
      </c>
    </row>
    <row r="177">
      <c r="A177" s="63" t="n">
        <v>39661</v>
      </c>
      <c r="B177" t="n">
        <v>1098870</v>
      </c>
      <c r="C177" t="n">
        <v>5164874</v>
      </c>
      <c r="D177" t="n">
        <v>13072.8701171875</v>
      </c>
    </row>
    <row r="178">
      <c r="A178" s="63" t="n">
        <v>39692</v>
      </c>
      <c r="B178" t="n">
        <v>1125287</v>
      </c>
      <c r="C178" t="n">
        <v>5164874</v>
      </c>
      <c r="D178" t="n">
        <v>11259.8603515625</v>
      </c>
    </row>
    <row r="179">
      <c r="A179" s="63" t="n">
        <v>39722</v>
      </c>
      <c r="B179" t="n">
        <v>1168028</v>
      </c>
      <c r="C179" t="n">
        <v>5164874</v>
      </c>
      <c r="D179" t="n">
        <v>8576.98046875</v>
      </c>
    </row>
    <row r="180">
      <c r="A180" s="63" t="n">
        <v>39753</v>
      </c>
      <c r="B180" t="n">
        <v>1215262</v>
      </c>
      <c r="C180" t="n">
        <v>4923076</v>
      </c>
      <c r="D180" t="n">
        <v>8512.26953125</v>
      </c>
    </row>
    <row r="181">
      <c r="A181" s="63" t="n">
        <v>39783</v>
      </c>
      <c r="B181" t="n">
        <v>1227708</v>
      </c>
      <c r="C181" t="n">
        <v>4923076</v>
      </c>
      <c r="D181" t="n">
        <v>8859.5595703125</v>
      </c>
    </row>
    <row r="182">
      <c r="A182" s="63" t="n">
        <v>39814</v>
      </c>
      <c r="B182" t="n">
        <v>1195135</v>
      </c>
      <c r="C182" t="n">
        <v>4923076</v>
      </c>
      <c r="D182" t="n">
        <v>7994.0498046875</v>
      </c>
    </row>
    <row r="183">
      <c r="A183" s="63" t="n">
        <v>39845</v>
      </c>
      <c r="B183" t="n">
        <v>1221730</v>
      </c>
      <c r="C183" t="n">
        <v>4980880</v>
      </c>
      <c r="D183" t="n">
        <v>7568.419921875</v>
      </c>
    </row>
    <row r="184">
      <c r="A184" s="63" t="n">
        <v>39873</v>
      </c>
      <c r="B184" t="n">
        <v>1238886</v>
      </c>
      <c r="C184" t="n">
        <v>4980880</v>
      </c>
      <c r="D184" t="n">
        <v>8109.52978515625</v>
      </c>
    </row>
    <row r="185">
      <c r="A185" s="63" t="n">
        <v>39904</v>
      </c>
      <c r="B185" t="n">
        <v>1147983</v>
      </c>
      <c r="C185" t="n">
        <v>4980880</v>
      </c>
      <c r="D185" t="n">
        <v>8828.259765625</v>
      </c>
    </row>
    <row r="186">
      <c r="A186" s="63" t="n">
        <v>39934</v>
      </c>
      <c r="B186" t="n">
        <v>1187973</v>
      </c>
      <c r="C186" t="n">
        <v>4936917</v>
      </c>
      <c r="D186" t="n">
        <v>9522.5</v>
      </c>
    </row>
    <row r="187">
      <c r="A187" s="63" t="n">
        <v>39965</v>
      </c>
      <c r="B187" t="n">
        <v>1098429</v>
      </c>
      <c r="C187" t="n">
        <v>4936917</v>
      </c>
      <c r="D187" t="n">
        <v>9958.4404296875</v>
      </c>
    </row>
    <row r="188">
      <c r="A188" s="63" t="n">
        <v>39995</v>
      </c>
      <c r="B188" t="n">
        <v>1147349</v>
      </c>
      <c r="C188" t="n">
        <v>4936917</v>
      </c>
      <c r="D188" t="n">
        <v>10356.830078125</v>
      </c>
    </row>
    <row r="189">
      <c r="A189" s="63" t="n">
        <v>40026</v>
      </c>
      <c r="B189" t="n">
        <v>1171842</v>
      </c>
      <c r="C189" t="n">
        <v>4961340</v>
      </c>
      <c r="D189" t="n">
        <v>10492.5302734375</v>
      </c>
    </row>
    <row r="190">
      <c r="A190" s="63" t="n">
        <v>40057</v>
      </c>
      <c r="B190" t="n">
        <v>1163248</v>
      </c>
      <c r="C190" t="n">
        <v>4961340</v>
      </c>
      <c r="D190" t="n">
        <v>10133.23046875</v>
      </c>
    </row>
    <row r="191">
      <c r="A191" s="63" t="n">
        <v>40087</v>
      </c>
      <c r="B191" t="n">
        <v>1114000</v>
      </c>
      <c r="C191" t="n">
        <v>4961340</v>
      </c>
      <c r="D191" t="n">
        <v>10034.740234375</v>
      </c>
    </row>
    <row r="192">
      <c r="A192" s="63" t="n">
        <v>40118</v>
      </c>
      <c r="B192" t="n">
        <v>1172964</v>
      </c>
      <c r="C192" t="n">
        <v>5015563</v>
      </c>
      <c r="D192" t="n">
        <v>9345.5498046875</v>
      </c>
    </row>
    <row r="193">
      <c r="A193" s="63" t="n">
        <v>40148</v>
      </c>
      <c r="B193" t="n">
        <v>1225336</v>
      </c>
      <c r="C193" t="n">
        <v>5015563</v>
      </c>
      <c r="D193" t="n">
        <v>10546.4404296875</v>
      </c>
    </row>
    <row r="194">
      <c r="A194" s="63" t="n">
        <v>40179</v>
      </c>
      <c r="B194" t="n">
        <v>1224342</v>
      </c>
      <c r="C194" t="n">
        <v>5015563</v>
      </c>
      <c r="D194" t="n">
        <v>10198.0400390625</v>
      </c>
    </row>
    <row r="195">
      <c r="A195" s="63" t="n">
        <v>40210</v>
      </c>
      <c r="B195" t="n">
        <v>1267675</v>
      </c>
      <c r="C195" t="n">
        <v>5052143</v>
      </c>
      <c r="D195" t="n">
        <v>10126.0302734375</v>
      </c>
    </row>
    <row r="196">
      <c r="A196" s="63" t="n">
        <v>40238</v>
      </c>
      <c r="B196" t="n">
        <v>1218241</v>
      </c>
      <c r="C196" t="n">
        <v>5052143</v>
      </c>
      <c r="D196" t="n">
        <v>11089.9404296875</v>
      </c>
    </row>
    <row r="197">
      <c r="A197" s="63" t="n">
        <v>40269</v>
      </c>
      <c r="B197" t="n">
        <v>1142013</v>
      </c>
      <c r="C197" t="n">
        <v>5052143</v>
      </c>
      <c r="D197" t="n">
        <v>11057.400390625</v>
      </c>
    </row>
    <row r="198">
      <c r="A198" s="63" t="n">
        <v>40299</v>
      </c>
      <c r="B198" t="n">
        <v>1209586</v>
      </c>
      <c r="C198" t="n">
        <v>5109960</v>
      </c>
      <c r="D198" t="n">
        <v>9768.7001953125</v>
      </c>
    </row>
    <row r="199">
      <c r="A199" s="63" t="n">
        <v>40330</v>
      </c>
      <c r="B199" t="n">
        <v>1132336</v>
      </c>
      <c r="C199" t="n">
        <v>5109960</v>
      </c>
      <c r="D199" t="n">
        <v>9382.6396484375</v>
      </c>
    </row>
    <row r="200">
      <c r="A200" s="63" t="n">
        <v>40360</v>
      </c>
      <c r="B200" t="n">
        <v>1173742</v>
      </c>
      <c r="C200" t="n">
        <v>5109960</v>
      </c>
      <c r="D200" t="n">
        <v>9537.2998046875</v>
      </c>
    </row>
    <row r="201">
      <c r="A201" s="63" t="n">
        <v>40391</v>
      </c>
      <c r="B201" t="n">
        <v>1230414</v>
      </c>
      <c r="C201" t="n">
        <v>5050163</v>
      </c>
      <c r="D201" t="n">
        <v>8824.0595703125</v>
      </c>
    </row>
    <row r="202">
      <c r="A202" s="63" t="n">
        <v>40422</v>
      </c>
      <c r="B202" t="n">
        <v>1203317</v>
      </c>
      <c r="C202" t="n">
        <v>5050163</v>
      </c>
      <c r="D202" t="n">
        <v>9369.349609375</v>
      </c>
    </row>
    <row r="203">
      <c r="A203" s="63" t="n">
        <v>40452</v>
      </c>
      <c r="B203" t="n">
        <v>1214171</v>
      </c>
      <c r="C203" t="n">
        <v>5050163</v>
      </c>
      <c r="D203" t="n">
        <v>9202.4501953125</v>
      </c>
    </row>
    <row r="204">
      <c r="A204" s="63" t="n">
        <v>40483</v>
      </c>
      <c r="B204" t="n">
        <v>1270457</v>
      </c>
      <c r="C204" t="n">
        <v>4986690</v>
      </c>
      <c r="D204" t="n">
        <v>9937.0400390625</v>
      </c>
    </row>
    <row r="205">
      <c r="A205" s="63" t="n">
        <v>40513</v>
      </c>
      <c r="B205" t="n">
        <v>1287104</v>
      </c>
      <c r="C205" t="n">
        <v>4986690</v>
      </c>
      <c r="D205" t="n">
        <v>10228.919921875</v>
      </c>
    </row>
    <row r="206">
      <c r="A206" s="63" t="n">
        <v>40544</v>
      </c>
      <c r="B206" t="n">
        <v>1279996</v>
      </c>
      <c r="C206" t="n">
        <v>4986690</v>
      </c>
      <c r="D206" t="n">
        <v>10237.919921875</v>
      </c>
    </row>
    <row r="207">
      <c r="A207" s="63" t="n">
        <v>40575</v>
      </c>
      <c r="B207" t="n">
        <v>1301181</v>
      </c>
      <c r="C207" t="n">
        <v>4909092</v>
      </c>
      <c r="D207" t="n">
        <v>10624.08984375</v>
      </c>
    </row>
    <row r="208">
      <c r="A208" s="63" t="n">
        <v>40603</v>
      </c>
      <c r="B208" t="n">
        <v>1423631</v>
      </c>
      <c r="C208" t="n">
        <v>4909092</v>
      </c>
      <c r="D208" t="n">
        <v>9755.099609375</v>
      </c>
    </row>
    <row r="209">
      <c r="A209" s="63" t="n">
        <v>40634</v>
      </c>
      <c r="B209" t="n">
        <v>1346213</v>
      </c>
      <c r="C209" t="n">
        <v>4909092</v>
      </c>
      <c r="D209" t="n">
        <v>9849.740234375</v>
      </c>
    </row>
    <row r="210">
      <c r="A210" s="63" t="n">
        <v>40664</v>
      </c>
      <c r="B210" t="n">
        <v>1351200</v>
      </c>
      <c r="C210" t="n">
        <v>5011127</v>
      </c>
      <c r="D210" t="n">
        <v>9693.73046875</v>
      </c>
    </row>
    <row r="211">
      <c r="A211" s="63" t="n">
        <v>40695</v>
      </c>
      <c r="B211" t="n">
        <v>1295844</v>
      </c>
      <c r="C211" t="n">
        <v>5011127</v>
      </c>
      <c r="D211" t="n">
        <v>9816.08984375</v>
      </c>
    </row>
    <row r="212">
      <c r="A212" s="63" t="n">
        <v>40725</v>
      </c>
      <c r="B212" t="n">
        <v>1344737</v>
      </c>
      <c r="C212" t="n">
        <v>5011127</v>
      </c>
      <c r="D212" t="n">
        <v>9833.0302734375</v>
      </c>
    </row>
    <row r="213">
      <c r="A213" s="63" t="n">
        <v>40756</v>
      </c>
      <c r="B213" t="n">
        <v>1414829</v>
      </c>
      <c r="C213" t="n">
        <v>5000590</v>
      </c>
      <c r="D213" t="n">
        <v>8955.2001953125</v>
      </c>
    </row>
    <row r="214">
      <c r="A214" s="63" t="n">
        <v>40787</v>
      </c>
      <c r="B214" t="n">
        <v>1376890</v>
      </c>
      <c r="C214" t="n">
        <v>5000590</v>
      </c>
      <c r="D214" t="n">
        <v>8700.2900390625</v>
      </c>
    </row>
    <row r="215">
      <c r="A215" s="63" t="n">
        <v>40817</v>
      </c>
      <c r="B215" t="n">
        <v>1329858</v>
      </c>
      <c r="C215" t="n">
        <v>5000590</v>
      </c>
      <c r="D215" t="n">
        <v>8988.3896484375</v>
      </c>
    </row>
    <row r="216">
      <c r="A216" s="63" t="n">
        <v>40848</v>
      </c>
      <c r="B216" t="n">
        <v>1432056</v>
      </c>
      <c r="C216" t="n">
        <v>5073249</v>
      </c>
      <c r="D216" t="n">
        <v>8434.6103515625</v>
      </c>
    </row>
    <row r="217">
      <c r="A217" s="63" t="n">
        <v>40878</v>
      </c>
      <c r="B217" t="n">
        <v>1430219</v>
      </c>
      <c r="C217" t="n">
        <v>5073249</v>
      </c>
      <c r="D217" t="n">
        <v>8455.349609375</v>
      </c>
    </row>
    <row r="218">
      <c r="A218" s="63" t="n">
        <v>40909</v>
      </c>
      <c r="B218" t="n">
        <v>1369064</v>
      </c>
      <c r="C218" t="n">
        <v>5073249</v>
      </c>
      <c r="D218" t="n">
        <v>8802.509765625</v>
      </c>
    </row>
    <row r="219">
      <c r="A219" s="63" t="n">
        <v>40940</v>
      </c>
      <c r="B219" t="n">
        <v>1442443</v>
      </c>
      <c r="C219" t="n">
        <v>5004020</v>
      </c>
      <c r="D219" t="n">
        <v>9723.240234375</v>
      </c>
    </row>
    <row r="220">
      <c r="A220" s="63" t="n">
        <v>40969</v>
      </c>
      <c r="B220" t="n">
        <v>1394569</v>
      </c>
      <c r="C220" t="n">
        <v>5004020</v>
      </c>
      <c r="D220" t="n">
        <v>10083.5595703125</v>
      </c>
    </row>
    <row r="221">
      <c r="A221" s="63" t="n">
        <v>41000</v>
      </c>
      <c r="B221" t="n">
        <v>1412065</v>
      </c>
      <c r="C221" t="n">
        <v>5004020</v>
      </c>
      <c r="D221" t="n">
        <v>9520.8896484375</v>
      </c>
    </row>
    <row r="222">
      <c r="A222" s="63" t="n">
        <v>41030</v>
      </c>
      <c r="B222" t="n">
        <v>1428007</v>
      </c>
      <c r="C222" t="n">
        <v>4975560</v>
      </c>
      <c r="D222" t="n">
        <v>8542.73046875</v>
      </c>
    </row>
    <row r="223">
      <c r="A223" s="63" t="n">
        <v>41061</v>
      </c>
      <c r="B223" t="n">
        <v>1436265</v>
      </c>
      <c r="C223" t="n">
        <v>4975560</v>
      </c>
      <c r="D223" t="n">
        <v>9006.7802734375</v>
      </c>
    </row>
    <row r="224">
      <c r="A224" s="63" t="n">
        <v>41091</v>
      </c>
      <c r="B224" t="n">
        <v>1454954</v>
      </c>
      <c r="C224" t="n">
        <v>4975560</v>
      </c>
      <c r="D224" t="n">
        <v>8695.0595703125</v>
      </c>
    </row>
    <row r="225">
      <c r="A225" s="63" t="n">
        <v>41122</v>
      </c>
      <c r="B225" t="n">
        <v>1499672</v>
      </c>
      <c r="C225" t="n">
        <v>4971312</v>
      </c>
      <c r="D225" t="n">
        <v>8839.91015625</v>
      </c>
    </row>
    <row r="226">
      <c r="A226" s="63" t="n">
        <v>41153</v>
      </c>
      <c r="B226" t="n">
        <v>1499208</v>
      </c>
      <c r="C226" t="n">
        <v>4971312</v>
      </c>
      <c r="D226" t="n">
        <v>8870.16015625</v>
      </c>
    </row>
    <row r="227">
      <c r="A227" s="63" t="n">
        <v>41183</v>
      </c>
      <c r="B227" t="n">
        <v>1537316</v>
      </c>
      <c r="C227" t="n">
        <v>4971312</v>
      </c>
      <c r="D227" t="n">
        <v>8928.2900390625</v>
      </c>
    </row>
    <row r="228">
      <c r="A228" s="63" t="n">
        <v>41214</v>
      </c>
      <c r="B228" t="n">
        <v>1563579</v>
      </c>
      <c r="C228" t="n">
        <v>5029924</v>
      </c>
      <c r="D228" t="n">
        <v>9446.009765625</v>
      </c>
    </row>
    <row r="229">
      <c r="A229" s="63" t="n">
        <v>41244</v>
      </c>
      <c r="B229" t="n">
        <v>1583627</v>
      </c>
      <c r="C229" t="n">
        <v>5029924</v>
      </c>
      <c r="D229" t="n">
        <v>10395.1796875</v>
      </c>
    </row>
    <row r="230">
      <c r="A230" s="63" t="n">
        <v>41275</v>
      </c>
      <c r="B230" t="n">
        <v>1597903</v>
      </c>
      <c r="C230" t="n">
        <v>5029924</v>
      </c>
      <c r="D230" t="n">
        <v>11138.66015625</v>
      </c>
    </row>
    <row r="231">
      <c r="A231" s="63" t="n">
        <v>41306</v>
      </c>
      <c r="B231" t="n">
        <v>1635325</v>
      </c>
      <c r="C231" t="n">
        <v>5076335</v>
      </c>
      <c r="D231" t="n">
        <v>11559.3603515625</v>
      </c>
    </row>
    <row r="232">
      <c r="A232" s="63" t="n">
        <v>41334</v>
      </c>
      <c r="B232" t="n">
        <v>1648127</v>
      </c>
      <c r="C232" t="n">
        <v>5076335</v>
      </c>
      <c r="D232" t="n">
        <v>12397.91015625</v>
      </c>
    </row>
    <row r="233">
      <c r="A233" s="63" t="n">
        <v>41365</v>
      </c>
      <c r="B233" t="n">
        <v>1746913</v>
      </c>
      <c r="C233" t="n">
        <v>5076335</v>
      </c>
      <c r="D233" t="n">
        <v>13860.8603515625</v>
      </c>
    </row>
    <row r="234">
      <c r="A234" s="63" t="n">
        <v>41395</v>
      </c>
      <c r="B234" t="n">
        <v>1842861</v>
      </c>
      <c r="C234" t="n">
        <v>5128358</v>
      </c>
      <c r="D234" t="n">
        <v>13774.5400390625</v>
      </c>
    </row>
    <row r="235">
      <c r="A235" s="63" t="n">
        <v>41426</v>
      </c>
      <c r="B235" t="n">
        <v>1870684</v>
      </c>
      <c r="C235" t="n">
        <v>5128358</v>
      </c>
      <c r="D235" t="n">
        <v>13677.3203125</v>
      </c>
    </row>
    <row r="236">
      <c r="A236" s="63" t="n">
        <v>41456</v>
      </c>
      <c r="B236" t="n">
        <v>1967581</v>
      </c>
      <c r="C236" t="n">
        <v>5128358</v>
      </c>
      <c r="D236" t="n">
        <v>13668.3203125</v>
      </c>
    </row>
    <row r="237">
      <c r="A237" s="63" t="n">
        <v>41487</v>
      </c>
      <c r="B237" t="n">
        <v>2056918</v>
      </c>
      <c r="C237" t="n">
        <v>5124318</v>
      </c>
      <c r="D237" t="n">
        <v>13388.8603515625</v>
      </c>
    </row>
    <row r="238">
      <c r="A238" s="63" t="n">
        <v>41518</v>
      </c>
      <c r="B238" t="n">
        <v>2088625</v>
      </c>
      <c r="C238" t="n">
        <v>5124318</v>
      </c>
      <c r="D238" t="n">
        <v>14455.7998046875</v>
      </c>
    </row>
    <row r="239">
      <c r="A239" s="63" t="n">
        <v>41548</v>
      </c>
      <c r="B239" t="n">
        <v>2155142</v>
      </c>
      <c r="C239" t="n">
        <v>5124318</v>
      </c>
      <c r="D239" t="n">
        <v>14327.9404296875</v>
      </c>
    </row>
    <row r="240">
      <c r="A240" s="63" t="n">
        <v>41579</v>
      </c>
      <c r="B240" t="n">
        <v>2240888</v>
      </c>
      <c r="C240" t="n">
        <v>5167508</v>
      </c>
      <c r="D240" t="n">
        <v>15661.8701171875</v>
      </c>
    </row>
    <row r="241">
      <c r="A241" s="63" t="n">
        <v>41609</v>
      </c>
      <c r="B241" t="n">
        <v>2241897</v>
      </c>
      <c r="C241" t="n">
        <v>5167508</v>
      </c>
      <c r="D241" t="n">
        <v>16291.3095703125</v>
      </c>
    </row>
    <row r="242">
      <c r="A242" s="63" t="n">
        <v>41640</v>
      </c>
      <c r="B242" t="n">
        <v>2321780</v>
      </c>
      <c r="C242" t="n">
        <v>5167508</v>
      </c>
      <c r="D242" t="n">
        <v>14914.5302734375</v>
      </c>
    </row>
    <row r="243">
      <c r="A243" s="63" t="n">
        <v>41671</v>
      </c>
      <c r="B243" t="n">
        <v>2404502</v>
      </c>
      <c r="C243" t="n">
        <v>5178961</v>
      </c>
      <c r="D243" t="n">
        <v>14841.0703125</v>
      </c>
    </row>
    <row r="244">
      <c r="A244" s="63" t="n">
        <v>41699</v>
      </c>
      <c r="B244" t="n">
        <v>2415798</v>
      </c>
      <c r="C244" t="n">
        <v>5178961</v>
      </c>
      <c r="D244" t="n">
        <v>14827.830078125</v>
      </c>
    </row>
    <row r="245">
      <c r="A245" s="63" t="n">
        <v>41730</v>
      </c>
      <c r="B245" t="n">
        <v>2461764</v>
      </c>
      <c r="C245" t="n">
        <v>5178961</v>
      </c>
      <c r="D245" t="n">
        <v>14304.1103515625</v>
      </c>
    </row>
    <row r="246">
      <c r="A246" s="63" t="n">
        <v>41760</v>
      </c>
      <c r="B246" t="n">
        <v>2539730</v>
      </c>
      <c r="C246" t="n">
        <v>5182010</v>
      </c>
      <c r="D246" t="n">
        <v>14632.3798828125</v>
      </c>
    </row>
    <row r="247">
      <c r="A247" s="63" t="n">
        <v>41791</v>
      </c>
      <c r="B247" t="n">
        <v>2577613</v>
      </c>
      <c r="C247" t="n">
        <v>5182010</v>
      </c>
      <c r="D247" t="n">
        <v>15162.099609375</v>
      </c>
    </row>
    <row r="248">
      <c r="A248" s="63" t="n">
        <v>41821</v>
      </c>
      <c r="B248" t="n">
        <v>2689676</v>
      </c>
      <c r="C248" t="n">
        <v>5182010</v>
      </c>
      <c r="D248" t="n">
        <v>15620.76953125</v>
      </c>
    </row>
    <row r="249">
      <c r="A249" s="63" t="n">
        <v>41852</v>
      </c>
      <c r="B249" t="n">
        <v>2758955</v>
      </c>
      <c r="C249" t="n">
        <v>5221179</v>
      </c>
      <c r="D249" t="n">
        <v>15424.58984375</v>
      </c>
    </row>
    <row r="250">
      <c r="A250" s="63" t="n">
        <v>41883</v>
      </c>
      <c r="B250" t="n">
        <v>2770994</v>
      </c>
      <c r="C250" t="n">
        <v>5221179</v>
      </c>
      <c r="D250" t="n">
        <v>16173.51953125</v>
      </c>
    </row>
    <row r="251">
      <c r="A251" s="63" t="n">
        <v>41913</v>
      </c>
      <c r="B251" t="n">
        <v>2868380</v>
      </c>
      <c r="C251" t="n">
        <v>5221179</v>
      </c>
      <c r="D251" t="n">
        <v>16413.759765625</v>
      </c>
    </row>
    <row r="252">
      <c r="A252" s="63" t="n">
        <v>41944</v>
      </c>
      <c r="B252" t="n">
        <v>2973747</v>
      </c>
      <c r="C252" t="n">
        <v>5348210</v>
      </c>
      <c r="D252" t="n">
        <v>17459.849609375</v>
      </c>
    </row>
    <row r="253">
      <c r="A253" s="63" t="n">
        <v>41974</v>
      </c>
      <c r="B253" t="n">
        <v>3002117</v>
      </c>
      <c r="C253" t="n">
        <v>5348210</v>
      </c>
      <c r="D253" t="n">
        <v>17450.76953125</v>
      </c>
    </row>
    <row r="254">
      <c r="A254" s="63" t="n">
        <v>42005</v>
      </c>
      <c r="B254" t="n">
        <v>3111731</v>
      </c>
      <c r="C254" t="n">
        <v>5348210</v>
      </c>
      <c r="D254" t="n">
        <v>17674.390625</v>
      </c>
    </row>
    <row r="255">
      <c r="A255" s="63" t="n">
        <v>42036</v>
      </c>
      <c r="B255" t="n">
        <v>3204418</v>
      </c>
      <c r="C255" t="n">
        <v>5380983</v>
      </c>
      <c r="D255" t="n">
        <v>18797.939453125</v>
      </c>
    </row>
    <row r="256">
      <c r="A256" s="63" t="n">
        <v>42064</v>
      </c>
      <c r="B256" t="n">
        <v>3235937</v>
      </c>
      <c r="C256" t="n">
        <v>5380983</v>
      </c>
      <c r="D256" t="n">
        <v>19206.990234375</v>
      </c>
    </row>
    <row r="257">
      <c r="A257" s="63" t="n">
        <v>42095</v>
      </c>
      <c r="B257" t="n">
        <v>3328186</v>
      </c>
      <c r="C257" t="n">
        <v>5380983</v>
      </c>
      <c r="D257" t="n">
        <v>19520.009765625</v>
      </c>
    </row>
    <row r="258">
      <c r="A258" s="63" t="n">
        <v>42125</v>
      </c>
      <c r="B258" t="n">
        <v>3431402</v>
      </c>
      <c r="C258" t="n">
        <v>5399393</v>
      </c>
      <c r="D258" t="n">
        <v>20563.150390625</v>
      </c>
    </row>
    <row r="259">
      <c r="A259" s="63" t="n">
        <v>42156</v>
      </c>
      <c r="B259" t="n">
        <v>3454395</v>
      </c>
      <c r="C259" t="n">
        <v>5399393</v>
      </c>
      <c r="D259" t="n">
        <v>20235.73046875</v>
      </c>
    </row>
    <row r="260">
      <c r="A260" s="63" t="n">
        <v>42186</v>
      </c>
      <c r="B260" t="n">
        <v>3542941</v>
      </c>
      <c r="C260" t="n">
        <v>5399393</v>
      </c>
      <c r="D260" t="n">
        <v>20585.240234375</v>
      </c>
    </row>
    <row r="261">
      <c r="A261" s="63" t="n">
        <v>42217</v>
      </c>
      <c r="B261" t="n">
        <v>3614591</v>
      </c>
      <c r="C261" t="n">
        <v>5393755</v>
      </c>
      <c r="D261" t="n">
        <v>18890.48046875</v>
      </c>
    </row>
    <row r="262">
      <c r="A262" s="63" t="n">
        <v>42248</v>
      </c>
      <c r="B262" t="n">
        <v>3661278</v>
      </c>
      <c r="C262" t="n">
        <v>5393755</v>
      </c>
      <c r="D262" t="n">
        <v>17388.150390625</v>
      </c>
    </row>
    <row r="263">
      <c r="A263" s="63" t="n">
        <v>42278</v>
      </c>
      <c r="B263" t="n">
        <v>3735537</v>
      </c>
      <c r="C263" t="n">
        <v>5393755</v>
      </c>
      <c r="D263" t="n">
        <v>19083.099609375</v>
      </c>
    </row>
    <row r="264">
      <c r="A264" s="63" t="n">
        <v>42309</v>
      </c>
      <c r="B264" t="n">
        <v>3812542</v>
      </c>
      <c r="C264" t="n">
        <v>5451568</v>
      </c>
      <c r="D264" t="n">
        <v>19747.470703125</v>
      </c>
    </row>
    <row r="265">
      <c r="A265" s="63" t="n">
        <v>42339</v>
      </c>
      <c r="B265" t="n">
        <v>3831076</v>
      </c>
      <c r="C265" t="n">
        <v>5451568</v>
      </c>
      <c r="D265" t="n">
        <v>19033.7109375</v>
      </c>
    </row>
    <row r="266">
      <c r="A266" s="63" t="n">
        <v>42370</v>
      </c>
      <c r="B266" t="n">
        <v>3964498</v>
      </c>
      <c r="C266" t="n">
        <v>5451568</v>
      </c>
      <c r="D266" t="n">
        <v>17518.30078125</v>
      </c>
    </row>
    <row r="267">
      <c r="A267" s="63" t="n">
        <v>42401</v>
      </c>
      <c r="B267" t="n">
        <v>4037909</v>
      </c>
      <c r="C267" t="n">
        <v>5433174</v>
      </c>
      <c r="D267" t="n">
        <v>16026.759765625</v>
      </c>
    </row>
    <row r="268">
      <c r="A268" s="63" t="n">
        <v>42430</v>
      </c>
      <c r="B268" t="n">
        <v>4056481</v>
      </c>
      <c r="C268" t="n">
        <v>5433174</v>
      </c>
      <c r="D268" t="n">
        <v>16758.669921875</v>
      </c>
    </row>
    <row r="269">
      <c r="A269" s="63" t="n">
        <v>42461</v>
      </c>
      <c r="B269" t="n">
        <v>4144163</v>
      </c>
      <c r="C269" t="n">
        <v>5433174</v>
      </c>
      <c r="D269" t="n">
        <v>16666.05078125</v>
      </c>
    </row>
    <row r="270">
      <c r="A270" s="63" t="n">
        <v>42491</v>
      </c>
      <c r="B270" t="n">
        <v>4256697</v>
      </c>
      <c r="C270" t="n">
        <v>5436986</v>
      </c>
      <c r="D270" t="n">
        <v>17234.98046875</v>
      </c>
    </row>
    <row r="271">
      <c r="A271" s="63" t="n">
        <v>42522</v>
      </c>
      <c r="B271" t="n">
        <v>4327586</v>
      </c>
      <c r="C271" t="n">
        <v>5436986</v>
      </c>
      <c r="D271" t="n">
        <v>15575.919921875</v>
      </c>
    </row>
    <row r="272">
      <c r="A272" s="63" t="n">
        <v>42552</v>
      </c>
      <c r="B272" t="n">
        <v>4430848</v>
      </c>
      <c r="C272" t="n">
        <v>5436986</v>
      </c>
      <c r="D272" t="n">
        <v>16569.26953125</v>
      </c>
    </row>
    <row r="273">
      <c r="A273" s="63" t="n">
        <v>42583</v>
      </c>
      <c r="B273" t="n">
        <v>4529802</v>
      </c>
      <c r="C273" t="n">
        <v>5446302</v>
      </c>
      <c r="D273" t="n">
        <v>16887.400390625</v>
      </c>
    </row>
    <row r="274">
      <c r="A274" s="63" t="n">
        <v>42614</v>
      </c>
      <c r="B274" t="n">
        <v>4568058</v>
      </c>
      <c r="C274" t="n">
        <v>5446302</v>
      </c>
      <c r="D274" t="n">
        <v>16449.83984375</v>
      </c>
    </row>
    <row r="275">
      <c r="A275" s="63" t="n">
        <v>42644</v>
      </c>
      <c r="B275" t="n">
        <v>4633922</v>
      </c>
      <c r="C275" t="n">
        <v>5446302</v>
      </c>
      <c r="D275" t="n">
        <v>17425.01953125</v>
      </c>
    </row>
    <row r="276">
      <c r="A276" s="63" t="n">
        <v>42675</v>
      </c>
      <c r="B276" t="n">
        <v>4711310</v>
      </c>
      <c r="C276" t="n">
        <v>5474471</v>
      </c>
      <c r="D276" t="n">
        <v>18308.48046875</v>
      </c>
    </row>
    <row r="277">
      <c r="A277" s="63" t="n">
        <v>42705</v>
      </c>
      <c r="B277" t="n">
        <v>4764980</v>
      </c>
      <c r="C277" t="n">
        <v>5474471</v>
      </c>
      <c r="D277" t="n">
        <v>19114.369140625</v>
      </c>
    </row>
    <row r="278">
      <c r="A278" s="63" t="n">
        <v>42736</v>
      </c>
      <c r="B278" t="n">
        <v>4819817</v>
      </c>
      <c r="C278" t="n">
        <v>5474471</v>
      </c>
      <c r="D278" t="n">
        <v>19041.33984375</v>
      </c>
    </row>
    <row r="279">
      <c r="A279" s="63" t="n">
        <v>42767</v>
      </c>
      <c r="B279" t="n">
        <v>4879011</v>
      </c>
      <c r="C279" t="n">
        <v>5506437</v>
      </c>
      <c r="D279" t="n">
        <v>19118.990234375</v>
      </c>
    </row>
    <row r="280">
      <c r="A280" s="63" t="n">
        <v>42795</v>
      </c>
      <c r="B280" t="n">
        <v>4900893</v>
      </c>
      <c r="C280" t="n">
        <v>5506437</v>
      </c>
      <c r="D280" t="n">
        <v>18909.259765625</v>
      </c>
    </row>
    <row r="281">
      <c r="A281" s="63" t="n">
        <v>42826</v>
      </c>
      <c r="B281" t="n">
        <v>4977463</v>
      </c>
      <c r="C281" t="n">
        <v>5506437</v>
      </c>
      <c r="D281" t="n">
        <v>19196.740234375</v>
      </c>
    </row>
    <row r="282">
      <c r="A282" s="63" t="n">
        <v>42856</v>
      </c>
      <c r="B282" t="n">
        <v>5008008</v>
      </c>
      <c r="C282" t="n">
        <v>5572837</v>
      </c>
      <c r="D282" t="n">
        <v>19650.5703125</v>
      </c>
    </row>
    <row r="283">
      <c r="A283" s="63" t="n">
        <v>42887</v>
      </c>
      <c r="B283" t="n">
        <v>5021084</v>
      </c>
      <c r="C283" t="n">
        <v>5572837</v>
      </c>
      <c r="D283" t="n">
        <v>20033.4296875</v>
      </c>
    </row>
    <row r="284">
      <c r="A284" s="63" t="n">
        <v>42917</v>
      </c>
      <c r="B284" t="n">
        <v>5055602</v>
      </c>
      <c r="C284" t="n">
        <v>5572837</v>
      </c>
      <c r="D284" t="n">
        <v>19925.1796875</v>
      </c>
    </row>
    <row r="285">
      <c r="A285" s="63" t="n">
        <v>42948</v>
      </c>
      <c r="B285" t="n">
        <v>5115845</v>
      </c>
      <c r="C285" t="n">
        <v>5568258</v>
      </c>
      <c r="D285" t="n">
        <v>19646.240234375</v>
      </c>
    </row>
    <row r="286">
      <c r="A286" s="63" t="n">
        <v>42979</v>
      </c>
      <c r="B286" t="n">
        <v>5134438</v>
      </c>
      <c r="C286" t="n">
        <v>5568258</v>
      </c>
      <c r="D286" t="n">
        <v>20356.279296875</v>
      </c>
    </row>
    <row r="287">
      <c r="A287" s="63" t="n">
        <v>43009</v>
      </c>
      <c r="B287" t="n">
        <v>5180461</v>
      </c>
      <c r="C287" t="n">
        <v>5568258</v>
      </c>
      <c r="D287" t="n">
        <v>22011.609375</v>
      </c>
    </row>
    <row r="288">
      <c r="A288" s="63" t="n">
        <v>43040</v>
      </c>
      <c r="B288" t="n">
        <v>5218600</v>
      </c>
      <c r="C288" t="n">
        <v>5580489</v>
      </c>
      <c r="D288" t="n">
        <v>22724.9609375</v>
      </c>
    </row>
    <row r="289">
      <c r="A289" s="63" t="n">
        <v>43070</v>
      </c>
      <c r="B289" t="n">
        <v>5214161</v>
      </c>
      <c r="C289" t="n">
        <v>5580489</v>
      </c>
      <c r="D289" t="n">
        <v>22764.939453125</v>
      </c>
    </row>
    <row r="290">
      <c r="A290" s="63" t="n">
        <v>43101</v>
      </c>
      <c r="B290" t="n">
        <v>5267036</v>
      </c>
      <c r="C290" t="n">
        <v>5580489</v>
      </c>
      <c r="D290" t="n">
        <v>23098.2890625</v>
      </c>
    </row>
    <row r="291">
      <c r="A291" s="63" t="n">
        <v>43132</v>
      </c>
      <c r="B291" t="n">
        <v>5331792</v>
      </c>
      <c r="C291" t="n">
        <v>5592235</v>
      </c>
      <c r="D291" t="n">
        <v>22068.240234375</v>
      </c>
    </row>
    <row r="292">
      <c r="A292" s="63" t="n">
        <v>43160</v>
      </c>
      <c r="B292" t="n">
        <v>5282856</v>
      </c>
      <c r="C292" t="n">
        <v>5592235</v>
      </c>
      <c r="D292" t="n">
        <v>21454.30078125</v>
      </c>
    </row>
    <row r="293">
      <c r="A293" s="63" t="n">
        <v>43191</v>
      </c>
      <c r="B293" t="n">
        <v>5350510</v>
      </c>
      <c r="C293" t="n">
        <v>5592235</v>
      </c>
      <c r="D293" t="n">
        <v>22467.869140625</v>
      </c>
    </row>
    <row r="294">
      <c r="A294" s="63" t="n">
        <v>43221</v>
      </c>
      <c r="B294" t="n">
        <v>5408036</v>
      </c>
      <c r="C294" t="n">
        <v>5554572</v>
      </c>
      <c r="D294" t="n">
        <v>22201.8203125</v>
      </c>
    </row>
    <row r="295">
      <c r="A295" s="63" t="n">
        <v>43252</v>
      </c>
      <c r="B295" t="n">
        <v>5370168</v>
      </c>
      <c r="C295" t="n">
        <v>5554572</v>
      </c>
      <c r="D295" t="n">
        <v>22304.509765625</v>
      </c>
    </row>
    <row r="296">
      <c r="A296" s="63" t="n">
        <v>43282</v>
      </c>
      <c r="B296" t="n">
        <v>5463108</v>
      </c>
      <c r="C296" t="n">
        <v>5554572</v>
      </c>
      <c r="D296" t="n">
        <v>22553.720703125</v>
      </c>
    </row>
    <row r="297">
      <c r="A297" s="63" t="n">
        <v>43313</v>
      </c>
      <c r="B297" t="n">
        <v>5509363</v>
      </c>
      <c r="C297" t="n">
        <v>5534193</v>
      </c>
      <c r="D297" t="n">
        <v>22865.150390625</v>
      </c>
    </row>
    <row r="298">
      <c r="A298" s="63" t="n">
        <v>43344</v>
      </c>
      <c r="B298" t="n">
        <v>5456615</v>
      </c>
      <c r="C298" t="n">
        <v>5534193</v>
      </c>
      <c r="D298" t="n">
        <v>24120.0390625</v>
      </c>
    </row>
    <row r="299">
      <c r="A299" s="63" t="n">
        <v>43374</v>
      </c>
      <c r="B299" t="n">
        <v>5518054</v>
      </c>
      <c r="C299" t="n">
        <v>5534193</v>
      </c>
      <c r="D299" t="n">
        <v>21920.4609375</v>
      </c>
    </row>
    <row r="300">
      <c r="A300" s="63" t="n">
        <v>43405</v>
      </c>
      <c r="B300" t="n">
        <v>5555010</v>
      </c>
      <c r="C300" t="n">
        <v>5586760</v>
      </c>
      <c r="D300" t="n">
        <v>22351.060546875</v>
      </c>
    </row>
    <row r="301">
      <c r="A301" s="63" t="n">
        <v>43435</v>
      </c>
      <c r="B301" t="n">
        <v>5520843</v>
      </c>
      <c r="C301" t="n">
        <v>5586760</v>
      </c>
      <c r="D301" t="n">
        <v>20014.76953125</v>
      </c>
    </row>
    <row r="302">
      <c r="A302" s="63" t="n">
        <v>43466</v>
      </c>
      <c r="B302" t="n">
        <v>5569180</v>
      </c>
      <c r="C302" t="n">
        <v>5586760</v>
      </c>
      <c r="D302" t="n">
        <v>20773.490234375</v>
      </c>
    </row>
    <row r="303">
      <c r="A303" s="63" t="n">
        <v>43497</v>
      </c>
      <c r="B303" t="n">
        <v>5619262</v>
      </c>
      <c r="C303" t="n">
        <v>5615719</v>
      </c>
      <c r="D303" t="n">
        <v>21385.16015625</v>
      </c>
    </row>
    <row r="304">
      <c r="A304" s="63" t="n">
        <v>43525</v>
      </c>
      <c r="B304" t="n">
        <v>5570243</v>
      </c>
      <c r="C304" t="n">
        <v>5615719</v>
      </c>
      <c r="D304" t="n">
        <v>21205.810546875</v>
      </c>
    </row>
    <row r="305">
      <c r="A305" s="63" t="n">
        <v>43556</v>
      </c>
      <c r="B305" t="n">
        <v>5620357</v>
      </c>
      <c r="C305" t="n">
        <v>5615719</v>
      </c>
      <c r="D305" t="n">
        <v>22258.73046875</v>
      </c>
    </row>
    <row r="306">
      <c r="A306" s="63" t="n">
        <v>43586</v>
      </c>
      <c r="B306" t="n">
        <v>5671565</v>
      </c>
      <c r="C306" t="n">
        <v>5619187</v>
      </c>
      <c r="D306" t="n">
        <v>20601.189453125</v>
      </c>
    </row>
    <row r="307">
      <c r="A307" s="63" t="n">
        <v>43617</v>
      </c>
      <c r="B307" t="n">
        <v>5648665</v>
      </c>
      <c r="C307" t="n">
        <v>5619187</v>
      </c>
      <c r="D307" t="n">
        <v>21275.919921875</v>
      </c>
    </row>
    <row r="308">
      <c r="A308" s="63" t="n">
        <v>43647</v>
      </c>
      <c r="B308" t="n">
        <v>5683142</v>
      </c>
      <c r="C308" t="n">
        <v>5619187</v>
      </c>
      <c r="D308" t="n">
        <v>21521.529296875</v>
      </c>
    </row>
    <row r="309">
      <c r="A309" s="63" t="n">
        <v>43678</v>
      </c>
      <c r="B309" t="n">
        <v>5727192</v>
      </c>
      <c r="C309" t="n">
        <v>5499355</v>
      </c>
      <c r="D309" t="n">
        <v>20704.369140625</v>
      </c>
    </row>
    <row r="310">
      <c r="A310" s="63" t="n">
        <v>43709</v>
      </c>
      <c r="B310" t="n">
        <v>5698026</v>
      </c>
      <c r="C310" t="n">
        <v>5499355</v>
      </c>
      <c r="D310" t="n">
        <v>21755.83984375</v>
      </c>
    </row>
    <row r="311">
      <c r="A311" s="63" t="n">
        <v>43739</v>
      </c>
      <c r="B311" t="n">
        <v>5756702</v>
      </c>
      <c r="C311" t="n">
        <v>5499355</v>
      </c>
      <c r="D311" t="n">
        <v>22927.0390625</v>
      </c>
    </row>
    <row r="312">
      <c r="A312" s="63" t="n">
        <v>43770</v>
      </c>
      <c r="B312" t="n">
        <v>5785322</v>
      </c>
      <c r="C312" t="n">
        <v>5527176</v>
      </c>
      <c r="D312" t="n">
        <v>23293.91015625</v>
      </c>
    </row>
    <row r="313">
      <c r="A313" s="63" t="n">
        <v>43800</v>
      </c>
      <c r="B313" t="n">
        <v>5730531</v>
      </c>
      <c r="C313" t="n">
        <v>5527176</v>
      </c>
      <c r="D313" t="n">
        <v>23656.619140625</v>
      </c>
    </row>
    <row r="314">
      <c r="A314" s="63" t="n">
        <v>43831</v>
      </c>
      <c r="B314" t="n">
        <v>5783352</v>
      </c>
      <c r="C314" t="n">
        <v>5527176</v>
      </c>
      <c r="D314" t="n">
        <v>23205.1796875</v>
      </c>
    </row>
    <row r="315">
      <c r="A315" s="63" t="n">
        <v>43862</v>
      </c>
      <c r="B315" t="n">
        <v>5849208</v>
      </c>
      <c r="C315" t="n">
        <v>5104365</v>
      </c>
      <c r="D315" t="n">
        <v>21142.9609375</v>
      </c>
    </row>
    <row r="316">
      <c r="A316" s="63" t="n">
        <v>43891</v>
      </c>
      <c r="B316" t="n">
        <v>6044846</v>
      </c>
      <c r="C316" t="n">
        <v>5104365</v>
      </c>
      <c r="D316" t="n">
        <v>18917.009765625</v>
      </c>
    </row>
    <row r="317">
      <c r="A317" s="63" t="n">
        <v>43922</v>
      </c>
      <c r="B317" t="n">
        <v>6190306</v>
      </c>
      <c r="C317" t="n">
        <v>5104365</v>
      </c>
      <c r="D317" t="n">
        <v>20193.689453125</v>
      </c>
    </row>
    <row r="318">
      <c r="A318" s="63" t="n">
        <v>43952</v>
      </c>
      <c r="B318" t="n">
        <v>6385922</v>
      </c>
      <c r="C318" t="n">
        <v>5386850</v>
      </c>
      <c r="D318" t="n">
        <v>21877.890625</v>
      </c>
    </row>
    <row r="319">
      <c r="A319" s="63" t="n">
        <v>43983</v>
      </c>
      <c r="B319" t="n">
        <v>6489462</v>
      </c>
      <c r="C319" t="n">
        <v>5386850</v>
      </c>
      <c r="D319" t="n">
        <v>22288.140625</v>
      </c>
    </row>
    <row r="320">
      <c r="A320" s="63" t="n">
        <v>44013</v>
      </c>
      <c r="B320" t="n">
        <v>6658852</v>
      </c>
      <c r="C320" t="n">
        <v>5386850</v>
      </c>
      <c r="D320" t="n">
        <v>21710</v>
      </c>
    </row>
    <row r="321">
      <c r="A321" s="63" t="n">
        <v>44044</v>
      </c>
      <c r="B321" t="n">
        <v>6828990</v>
      </c>
      <c r="C321" t="n">
        <v>5461880</v>
      </c>
      <c r="D321" t="n">
        <v>23139.759765625</v>
      </c>
    </row>
    <row r="322">
      <c r="A322" s="63" t="n">
        <v>44075</v>
      </c>
      <c r="B322" t="n">
        <v>6900269</v>
      </c>
      <c r="C322" t="n">
        <v>5461880</v>
      </c>
      <c r="D322" t="n">
        <v>23185.119140625</v>
      </c>
    </row>
    <row r="323">
      <c r="A323" s="63" t="n">
        <v>44105</v>
      </c>
      <c r="B323" t="n">
        <v>6982309</v>
      </c>
      <c r="C323" t="n">
        <v>5461880</v>
      </c>
      <c r="D323" t="n">
        <v>22977.130859375</v>
      </c>
    </row>
    <row r="324">
      <c r="A324" s="63" t="n">
        <v>44136</v>
      </c>
      <c r="B324" t="n">
        <v>7053047</v>
      </c>
      <c r="C324" t="n">
        <v>5430246</v>
      </c>
      <c r="D324" t="n">
        <v>26433.619140625</v>
      </c>
    </row>
    <row r="325">
      <c r="A325" s="63" t="n">
        <v>44166</v>
      </c>
      <c r="B325" t="n">
        <v>7025822</v>
      </c>
      <c r="C325" t="n">
        <v>5430246</v>
      </c>
      <c r="D325" t="n">
        <v>27444.169921875</v>
      </c>
    </row>
    <row r="326">
      <c r="A326" s="63" t="n">
        <v>44197</v>
      </c>
      <c r="B326" t="n">
        <v>7094935</v>
      </c>
      <c r="C326" t="n">
        <v>5430246</v>
      </c>
      <c r="D326" t="n">
        <v>27663.390625</v>
      </c>
    </row>
    <row r="327">
      <c r="A327" s="63" t="n">
        <v>44228</v>
      </c>
      <c r="B327" t="n">
        <v>7126021</v>
      </c>
      <c r="C327" t="n">
        <v>5415149</v>
      </c>
      <c r="D327" t="n">
        <v>28966.009765625</v>
      </c>
    </row>
    <row r="328">
      <c r="A328" s="63" t="n">
        <v>44256</v>
      </c>
      <c r="B328" t="n">
        <v>7145566</v>
      </c>
      <c r="C328" t="n">
        <v>5415149</v>
      </c>
      <c r="D328" t="n">
        <v>29178.80078125</v>
      </c>
    </row>
    <row r="329">
      <c r="A329" s="63" t="n">
        <v>44287</v>
      </c>
      <c r="B329" t="n">
        <v>7202316</v>
      </c>
      <c r="C329" t="n">
        <v>5415149</v>
      </c>
      <c r="D329" t="n">
        <v>28812.630859375</v>
      </c>
    </row>
    <row r="330">
      <c r="A330" s="63" t="n">
        <v>44317</v>
      </c>
      <c r="B330" t="n">
        <v>7246409</v>
      </c>
      <c r="C330" t="n">
        <v>5394956</v>
      </c>
      <c r="D330" t="n">
        <v>28860.080078125</v>
      </c>
    </row>
    <row r="331">
      <c r="A331" s="63" t="n">
        <v>44348</v>
      </c>
      <c r="B331" t="n">
        <v>7169006</v>
      </c>
      <c r="C331" t="n">
        <v>5394956</v>
      </c>
      <c r="D331" t="n">
        <v>28791.529296875</v>
      </c>
    </row>
    <row r="332">
      <c r="A332" s="63" t="n">
        <v>44378</v>
      </c>
      <c r="B332" t="n">
        <v>7229429</v>
      </c>
      <c r="C332" t="n">
        <v>5394956</v>
      </c>
      <c r="D332" t="n">
        <v>27283.58984375</v>
      </c>
    </row>
    <row r="333">
      <c r="A333" s="63" t="n">
        <v>44409</v>
      </c>
      <c r="B333" t="n">
        <v>7267102</v>
      </c>
      <c r="C333" t="n">
        <v>5418570</v>
      </c>
      <c r="D333" t="n">
        <v>28089.5390625</v>
      </c>
    </row>
    <row r="334">
      <c r="A334" s="63" t="n">
        <v>44440</v>
      </c>
      <c r="B334" t="n">
        <v>7240579</v>
      </c>
      <c r="C334" t="n">
        <v>5418570</v>
      </c>
      <c r="D334" t="n">
        <v>29452.66015625</v>
      </c>
    </row>
    <row r="335">
      <c r="A335" s="63" t="n">
        <v>44470</v>
      </c>
      <c r="B335" t="n">
        <v>7251886</v>
      </c>
      <c r="C335" t="n">
        <v>5418570</v>
      </c>
      <c r="D335" t="n">
        <v>28892.689453125</v>
      </c>
    </row>
    <row r="336">
      <c r="A336" s="63" t="n">
        <v>44501</v>
      </c>
      <c r="B336" t="n">
        <v>7282186</v>
      </c>
      <c r="C336" t="n">
        <v>5441143</v>
      </c>
      <c r="D336" t="n">
        <v>27821.759765625</v>
      </c>
    </row>
    <row r="337">
      <c r="A337" s="63" t="n">
        <v>44531</v>
      </c>
      <c r="B337" t="n">
        <v>7237659</v>
      </c>
      <c r="C337" t="n">
        <v>5441143</v>
      </c>
      <c r="D337" t="n">
        <v>28791.7109375</v>
      </c>
    </row>
    <row r="338">
      <c r="A338" s="63" t="n">
        <v>44562</v>
      </c>
      <c r="B338" t="n">
        <v>7251444</v>
      </c>
      <c r="C338" t="n">
        <v>5441143</v>
      </c>
      <c r="D338" t="n">
        <v>27001.98046875</v>
      </c>
    </row>
    <row r="339">
      <c r="A339" s="63" t="n">
        <v>44593</v>
      </c>
      <c r="B339" t="n">
        <v>7305553</v>
      </c>
      <c r="C339" t="n">
        <v>5474721</v>
      </c>
      <c r="D339" t="n">
        <v>26526.8203125</v>
      </c>
    </row>
    <row r="340">
      <c r="A340" s="63" t="n">
        <v>44602</v>
      </c>
      <c r="D340" t="n">
        <v>27696.080078125</v>
      </c>
    </row>
    <row r="341">
      <c r="A341" s="63" t="n">
        <v>44617</v>
      </c>
      <c r="D341" t="n">
        <v>26476.5</v>
      </c>
    </row>
    <row r="342">
      <c r="A342" s="63" t="n">
        <v>44621</v>
      </c>
      <c r="B342" t="n">
        <v>7362535</v>
      </c>
      <c r="C342" t="n">
        <v>5474721</v>
      </c>
      <c r="D342" t="n">
        <v>27821.4296875</v>
      </c>
    </row>
    <row r="343">
      <c r="A343" s="63" t="n">
        <v>44624</v>
      </c>
      <c r="D343" t="n">
        <v>25985.470703125</v>
      </c>
    </row>
    <row r="344">
      <c r="A344" s="63" t="n">
        <v>44631</v>
      </c>
      <c r="D344" t="n">
        <v>25162.779296875</v>
      </c>
    </row>
    <row r="345">
      <c r="A345" s="63" t="n">
        <v>44638</v>
      </c>
      <c r="D345" t="n">
        <v>26827.4296875</v>
      </c>
    </row>
    <row r="346">
      <c r="A346" s="63" t="n">
        <v>44645</v>
      </c>
      <c r="D346" t="n">
        <v>28149.83984375</v>
      </c>
    </row>
    <row r="347">
      <c r="A347" s="63" t="n">
        <v>44652</v>
      </c>
      <c r="B347" t="n">
        <v>7386915</v>
      </c>
      <c r="C347" t="n">
        <v>5474721</v>
      </c>
      <c r="D347" t="n">
        <v>26847.900390625</v>
      </c>
    </row>
    <row r="348">
      <c r="A348" s="63" t="n">
        <v>44659</v>
      </c>
      <c r="D348" t="n">
        <v>26985.80078125</v>
      </c>
    </row>
    <row r="349">
      <c r="A349" s="63" t="n">
        <v>44666</v>
      </c>
      <c r="D349" t="n">
        <v>27093.189453125</v>
      </c>
    </row>
    <row r="350">
      <c r="A350" s="63" t="n">
        <v>44682</v>
      </c>
      <c r="B350" t="n">
        <v>7364911</v>
      </c>
      <c r="D350" t="n">
        <v>27279.80078125</v>
      </c>
    </row>
    <row r="351">
      <c r="A351" s="63" t="n">
        <v>44683</v>
      </c>
      <c r="D351" t="n">
        <v>26818.529296875</v>
      </c>
    </row>
    <row r="352">
      <c r="A352" s="63" t="n">
        <v>44694</v>
      </c>
      <c r="D352" t="n">
        <v>26427.650390625</v>
      </c>
    </row>
    <row r="353">
      <c r="A353" s="63" t="n">
        <v>44708</v>
      </c>
      <c r="D353" t="n">
        <v>26781.6796875</v>
      </c>
    </row>
    <row r="354">
      <c r="A354" s="63" t="n">
        <v>44713</v>
      </c>
      <c r="B354" t="n">
        <v>7327306</v>
      </c>
      <c r="D354" t="n">
        <v>26393.0390625</v>
      </c>
    </row>
    <row r="355">
      <c r="A355" s="63" t="n">
        <v>44715</v>
      </c>
      <c r="D355" t="n">
        <v>27761.5703125</v>
      </c>
    </row>
    <row r="356">
      <c r="A356" s="63" t="n">
        <v>44722</v>
      </c>
      <c r="D356" t="n">
        <v>27824.2890625</v>
      </c>
    </row>
    <row r="357">
      <c r="A357" s="63" t="n">
        <v>44729</v>
      </c>
      <c r="D357" t="n">
        <v>25963</v>
      </c>
    </row>
    <row r="358">
      <c r="A358" s="63" t="n">
        <v>44736</v>
      </c>
      <c r="D358" t="n">
        <v>26491.970703125</v>
      </c>
    </row>
    <row r="359">
      <c r="A359" s="63" t="n">
        <v>44743</v>
      </c>
      <c r="B359" t="n">
        <v>7253573</v>
      </c>
      <c r="D359" t="n">
        <v>27801.640625</v>
      </c>
    </row>
    <row r="360">
      <c r="A360" s="63" t="n">
        <v>44750</v>
      </c>
      <c r="D360" t="n">
        <v>26517.189453125</v>
      </c>
    </row>
    <row r="361">
      <c r="A361" s="63" t="n">
        <v>44757</v>
      </c>
      <c r="D361" t="n">
        <v>26788.470703125</v>
      </c>
    </row>
    <row r="362">
      <c r="A362" s="63" t="n">
        <v>44771</v>
      </c>
      <c r="D362" t="n">
        <v>27801.640625</v>
      </c>
    </row>
    <row r="363">
      <c r="A363" s="63" t="n">
        <v>44774</v>
      </c>
      <c r="B363" t="n">
        <v>7092488</v>
      </c>
      <c r="D363" t="n">
        <v>28091.529296875</v>
      </c>
    </row>
    <row r="364">
      <c r="A364" s="63" t="n">
        <v>44792</v>
      </c>
      <c r="D364" t="n">
        <v>28930.330078125</v>
      </c>
    </row>
    <row r="365">
      <c r="A365" s="63" t="n">
        <v>44799</v>
      </c>
      <c r="D365" t="n">
        <v>28641.380859375</v>
      </c>
    </row>
    <row r="366">
      <c r="A366" s="63" t="n">
        <v>44805</v>
      </c>
      <c r="D366" t="n">
        <v>27153.830078125</v>
      </c>
    </row>
    <row r="367">
      <c r="A367" s="63" t="n">
        <v>44806</v>
      </c>
      <c r="D367" t="n">
        <v>27650.83984375</v>
      </c>
    </row>
    <row r="368">
      <c r="A368" s="63" t="n">
        <v>44820</v>
      </c>
      <c r="D368" t="n">
        <v>27567.650390625</v>
      </c>
    </row>
    <row r="369">
      <c r="A369" s="63" t="n">
        <v>44826</v>
      </c>
      <c r="D369" t="n">
        <v>27153.830078125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39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C869" sqref="C869"/>
    </sheetView>
  </sheetViews>
  <sheetFormatPr baseColWidth="10" defaultColWidth="9.1640625" defaultRowHeight="15"/>
  <cols>
    <col width="13.83203125" customWidth="1" style="4" min="1" max="2"/>
    <col width="9.1640625" customWidth="1" style="56" min="3" max="22"/>
    <col width="9.1640625" customWidth="1" style="56" min="23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6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5"/>
  <sheetViews>
    <sheetView zoomScale="170" zoomScaleNormal="170" workbookViewId="0">
      <pane ySplit="7" topLeftCell="A815" activePane="bottomLeft" state="frozen"/>
      <selection pane="bottomLeft" activeCell="M812" sqref="M81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22"/>
    <col width="9.1640625" customWidth="1" style="56" min="23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  <row r="824">
      <c r="A824" s="41" t="n">
        <v>44743</v>
      </c>
      <c r="B824" s="21">
        <f>VLOOKUP(A824,'Database Rates'!$A$1:$D$1000,3,FALSE)</f>
        <v/>
      </c>
    </row>
    <row r="825">
      <c r="A825" s="41" t="n">
        <v>44774</v>
      </c>
      <c r="B825" s="21">
        <f>VLOOKUP(A825,'Database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9"/>
  <sheetViews>
    <sheetView zoomScale="140" zoomScaleNormal="140" workbookViewId="0">
      <pane ySplit="6" topLeftCell="A759" activePane="bottomLeft" state="frozen"/>
      <selection pane="bottomLeft" activeCell="S772" sqref="S77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25"/>
    <col width="9.1640625" customWidth="1" style="56" min="26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Rates'!$A$1:$D$1000,4,FALSE)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Rates'!$A$1:$D$1000,4,FALSE)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Rates'!$A$1:$D$1000,4,FALSE)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40"/>
  <sheetViews>
    <sheetView zoomScale="150" zoomScaleNormal="150" workbookViewId="0">
      <pane ySplit="11" topLeftCell="A1029" activePane="bottomLeft" state="frozen"/>
      <selection pane="bottomLeft" activeCell="R1040" sqref="R1040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23"/>
    <col width="9.1640625" customWidth="1" style="56" min="24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40"/>
  <sheetViews>
    <sheetView showGridLines="0" zoomScale="130" zoomScaleNormal="130" workbookViewId="0">
      <pane ySplit="11" topLeftCell="A1023" activePane="bottomLeft" state="frozen"/>
      <selection activeCell="G33" sqref="G33"/>
      <selection pane="bottomLeft" activeCell="O1040" sqref="O1040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39"/>
    <col width="9.1640625" customWidth="1" style="56" min="40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7"/>
  <sheetViews>
    <sheetView zoomScale="110" zoomScaleNormal="110" workbookViewId="0">
      <pane ySplit="5" topLeftCell="A290" activePane="bottomLeft" state="frozen"/>
      <selection activeCell="A1206" sqref="A1206"/>
      <selection pane="bottomLeft" activeCell="P299" sqref="P299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22"/>
    <col width="9.1640625" customWidth="1" style="56" min="23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  <row r="297">
      <c r="A297" s="42" t="n">
        <v>44743</v>
      </c>
      <c r="B297" s="18">
        <f>VLOOKUP(A297,'Database BOJ'!$A$1:$C$1100,2,FALSE)</f>
        <v/>
      </c>
      <c r="C297" s="29">
        <f>VLOOKUP(A297,'Database BOJ'!$A$1:$D$1100,4,FALSE)</f>
        <v/>
      </c>
      <c r="D297" s="46">
        <f>IFERROR(VLOOKUP(A297,'Database BOJ'!$A$1:$C$1100,2,FALSE)/VLOOKUP(A297,'Database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94"/>
  <sheetViews>
    <sheetView tabSelected="1" zoomScale="170" zoomScaleNormal="170" workbookViewId="0">
      <pane ySplit="6" topLeftCell="A382" activePane="bottomLeft" state="frozen"/>
      <selection activeCell="A1206" sqref="A1206"/>
      <selection pane="bottomLeft" activeCell="C400" sqref="C400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22"/>
    <col width="9.1640625" customWidth="1" style="56" min="23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  <row r="388">
      <c r="A388" s="48">
        <f>'Database ECB'!$A1230</f>
        <v/>
      </c>
      <c r="B388" s="15">
        <f>VLOOKUP(A388,'Database ECB'!$A$1:$D$2000,2,FALSE)</f>
        <v/>
      </c>
    </row>
    <row r="389">
      <c r="A389" s="48">
        <f>'Database ECB'!$A1231</f>
        <v/>
      </c>
      <c r="B389" s="15">
        <f>VLOOKUP(A389,'Database ECB'!$A$1:$D$2000,2,FALSE)</f>
        <v/>
      </c>
    </row>
    <row r="390">
      <c r="A390" s="48">
        <f>'Database ECB'!$A1232</f>
        <v/>
      </c>
      <c r="B390" s="15">
        <f>VLOOKUP(A390,'Database ECB'!$A$1:$D$2000,2,FALSE)</f>
        <v/>
      </c>
    </row>
    <row r="391">
      <c r="A391" s="48">
        <f>'Database ECB'!$A1233</f>
        <v/>
      </c>
      <c r="B391" s="15">
        <f>VLOOKUP(A391,'Database ECB'!$A$1:$D$2000,2,FALSE)</f>
        <v/>
      </c>
    </row>
    <row r="392">
      <c r="A392" s="48">
        <f>'Database ECB'!$A1234</f>
        <v/>
      </c>
      <c r="B392" s="15">
        <f>VLOOKUP(A392,'Database ECB'!$A$1:$D$2000,2,FALSE)</f>
        <v/>
      </c>
    </row>
    <row r="393">
      <c r="A393" s="48">
        <f>'Database ECB'!$A1235</f>
        <v/>
      </c>
      <c r="B393" s="15">
        <f>VLOOKUP(A393,'Database ECB'!$A$1:$D$2000,2,FALSE)</f>
        <v/>
      </c>
    </row>
    <row r="394">
      <c r="A394" s="48">
        <f>'Database ECB'!$A1236</f>
        <v/>
      </c>
      <c r="B394" s="15">
        <f>VLOOKUP(A394,'Database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2022-09-03T05:28:46Z</dcterms:modified>
  <cp:lastModifiedBy>Mark Mukherjee</cp:lastModifiedBy>
</cp:coreProperties>
</file>