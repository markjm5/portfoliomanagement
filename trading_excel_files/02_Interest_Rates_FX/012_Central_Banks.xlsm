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05A7D959-8598-2046-BF2C-D1428ED14655}" xr6:coauthVersionLast="47" xr6:coauthVersionMax="47" xr10:uidLastSave="{00000000-0000-0000-0000-000000000000}"/>
  <bookViews>
    <workbookView xWindow="-65720" yWindow="-640" windowWidth="58600" windowHeight="28300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63" i="12" l="1"/>
  <c r="B364" i="12"/>
  <c r="A364" i="12"/>
  <c r="A363" i="12"/>
  <c r="D291" i="11"/>
  <c r="D290" i="11"/>
  <c r="D289" i="11"/>
  <c r="D288" i="11"/>
  <c r="D287" i="11"/>
  <c r="D286" i="11"/>
  <c r="D285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24" i="11"/>
  <c r="D123" i="11"/>
  <c r="D122" i="11"/>
  <c r="D121" i="11"/>
  <c r="D120" i="11"/>
  <c r="D119" i="11"/>
  <c r="D118" i="11"/>
  <c r="D117" i="11"/>
  <c r="D116" i="11"/>
  <c r="D115" i="11"/>
  <c r="D114" i="11"/>
  <c r="D113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B290" i="11"/>
  <c r="C290" i="11"/>
  <c r="B291" i="11"/>
  <c r="C291" i="11"/>
  <c r="B288" i="11"/>
  <c r="C288" i="11"/>
  <c r="B289" i="11"/>
  <c r="C289" i="11"/>
  <c r="B287" i="11"/>
  <c r="C287" i="11"/>
  <c r="B286" i="11"/>
  <c r="C286" i="11"/>
  <c r="A1010" i="10"/>
  <c r="B1010" i="10" s="1"/>
  <c r="C1010" i="10"/>
  <c r="A1009" i="10"/>
  <c r="B1009" i="10" s="1"/>
  <c r="C1009" i="10"/>
  <c r="A1010" i="9"/>
  <c r="B1010" i="9" s="1"/>
  <c r="C1010" i="9" s="1"/>
  <c r="A1009" i="9"/>
  <c r="B1009" i="9"/>
  <c r="C1009" i="9" s="1"/>
  <c r="A362" i="12"/>
  <c r="B362" i="12" s="1"/>
  <c r="A361" i="12"/>
  <c r="B361" i="12" s="1"/>
  <c r="A360" i="12"/>
  <c r="B360" i="12" s="1"/>
  <c r="A359" i="12"/>
  <c r="B359" i="12" s="1"/>
  <c r="A358" i="12"/>
  <c r="B358" i="12" s="1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C285" i="11"/>
  <c r="B285" i="11"/>
  <c r="C284" i="11"/>
  <c r="B284" i="11"/>
  <c r="C283" i="11"/>
  <c r="B283" i="11"/>
  <c r="C282" i="11"/>
  <c r="B282" i="11"/>
  <c r="C281" i="11"/>
  <c r="B281" i="11"/>
  <c r="C280" i="11"/>
  <c r="B280" i="11"/>
  <c r="C279" i="11"/>
  <c r="B279" i="11"/>
  <c r="C278" i="11"/>
  <c r="B278" i="11"/>
  <c r="C277" i="11"/>
  <c r="B277" i="11"/>
  <c r="C276" i="11"/>
  <c r="B276" i="11"/>
  <c r="C275" i="11"/>
  <c r="B275" i="11"/>
  <c r="C274" i="11"/>
  <c r="B274" i="11"/>
  <c r="C273" i="11"/>
  <c r="B273" i="11"/>
  <c r="C272" i="11"/>
  <c r="B272" i="11"/>
  <c r="C271" i="11"/>
  <c r="B271" i="11"/>
  <c r="C270" i="11"/>
  <c r="B270" i="11"/>
  <c r="C269" i="11"/>
  <c r="B269" i="11"/>
  <c r="C268" i="11"/>
  <c r="B268" i="11"/>
  <c r="C267" i="11"/>
  <c r="B267" i="11"/>
  <c r="C266" i="11"/>
  <c r="B266" i="11"/>
  <c r="C265" i="11"/>
  <c r="B265" i="11"/>
  <c r="C264" i="11"/>
  <c r="B264" i="11"/>
  <c r="C263" i="11"/>
  <c r="B263" i="11"/>
  <c r="C262" i="11"/>
  <c r="B262" i="11"/>
  <c r="C261" i="11"/>
  <c r="B261" i="11"/>
  <c r="C260" i="11"/>
  <c r="B260" i="11"/>
  <c r="C259" i="11"/>
  <c r="B259" i="11"/>
  <c r="C258" i="11"/>
  <c r="B258" i="11"/>
  <c r="C257" i="11"/>
  <c r="B257" i="11"/>
  <c r="C256" i="11"/>
  <c r="B256" i="11"/>
  <c r="C255" i="11"/>
  <c r="B255" i="11"/>
  <c r="C254" i="11"/>
  <c r="B254" i="11"/>
  <c r="C253" i="11"/>
  <c r="B253" i="11"/>
  <c r="C252" i="11"/>
  <c r="B252" i="11"/>
  <c r="C251" i="11"/>
  <c r="B251" i="11"/>
  <c r="C250" i="11"/>
  <c r="B250" i="11"/>
  <c r="C249" i="11"/>
  <c r="B249" i="11"/>
  <c r="C248" i="11"/>
  <c r="B248" i="11"/>
  <c r="C247" i="11"/>
  <c r="B247" i="11"/>
  <c r="C246" i="11"/>
  <c r="B246" i="11"/>
  <c r="C245" i="11"/>
  <c r="B245" i="11"/>
  <c r="C244" i="11"/>
  <c r="B244" i="11"/>
  <c r="C243" i="11"/>
  <c r="B243" i="11"/>
  <c r="C242" i="11"/>
  <c r="B242" i="11"/>
  <c r="C241" i="11"/>
  <c r="B241" i="11"/>
  <c r="C240" i="11"/>
  <c r="B240" i="11"/>
  <c r="C239" i="11"/>
  <c r="B239" i="11"/>
  <c r="C238" i="11"/>
  <c r="B238" i="11"/>
  <c r="C237" i="11"/>
  <c r="B237" i="11"/>
  <c r="C236" i="11"/>
  <c r="B236" i="11"/>
  <c r="C235" i="11"/>
  <c r="B235" i="11"/>
  <c r="C234" i="11"/>
  <c r="B234" i="11"/>
  <c r="C233" i="11"/>
  <c r="B233" i="11"/>
  <c r="C232" i="11"/>
  <c r="B232" i="11"/>
  <c r="C231" i="11"/>
  <c r="B231" i="11"/>
  <c r="C230" i="11"/>
  <c r="B230" i="11"/>
  <c r="C229" i="11"/>
  <c r="B229" i="11"/>
  <c r="C228" i="11"/>
  <c r="B228" i="11"/>
  <c r="C227" i="11"/>
  <c r="B227" i="11"/>
  <c r="C226" i="11"/>
  <c r="B226" i="11"/>
  <c r="C225" i="11"/>
  <c r="B225" i="11"/>
  <c r="C224" i="11"/>
  <c r="B224" i="11"/>
  <c r="C223" i="11"/>
  <c r="B223" i="11"/>
  <c r="C222" i="11"/>
  <c r="B222" i="11"/>
  <c r="C221" i="11"/>
  <c r="B221" i="11"/>
  <c r="C220" i="11"/>
  <c r="B220" i="11"/>
  <c r="C219" i="11"/>
  <c r="B219" i="11"/>
  <c r="C218" i="11"/>
  <c r="B218" i="11"/>
  <c r="C217" i="11"/>
  <c r="B217" i="11"/>
  <c r="C216" i="11"/>
  <c r="B216" i="11"/>
  <c r="C215" i="11"/>
  <c r="B215" i="11"/>
  <c r="C214" i="11"/>
  <c r="B214" i="11"/>
  <c r="C213" i="11"/>
  <c r="B213" i="11"/>
  <c r="C212" i="11"/>
  <c r="B212" i="11"/>
  <c r="C211" i="11"/>
  <c r="B211" i="11"/>
  <c r="C210" i="11"/>
  <c r="B210" i="11"/>
  <c r="C209" i="11"/>
  <c r="B209" i="11"/>
  <c r="C208" i="11"/>
  <c r="B208" i="11"/>
  <c r="C207" i="11"/>
  <c r="B207" i="11"/>
  <c r="C206" i="11"/>
  <c r="B206" i="11"/>
  <c r="C205" i="11"/>
  <c r="B205" i="11"/>
  <c r="C204" i="11"/>
  <c r="B204" i="11"/>
  <c r="C203" i="11"/>
  <c r="B203" i="11"/>
  <c r="C202" i="11"/>
  <c r="B202" i="11"/>
  <c r="C201" i="11"/>
  <c r="B201" i="11"/>
  <c r="C200" i="11"/>
  <c r="B200" i="11"/>
  <c r="C199" i="11"/>
  <c r="B199" i="11"/>
  <c r="C198" i="11"/>
  <c r="B198" i="11"/>
  <c r="C197" i="11"/>
  <c r="B197" i="11"/>
  <c r="C196" i="11"/>
  <c r="B196" i="11"/>
  <c r="C195" i="11"/>
  <c r="B195" i="11"/>
  <c r="C194" i="11"/>
  <c r="B194" i="11"/>
  <c r="C193" i="11"/>
  <c r="B193" i="11"/>
  <c r="C192" i="11"/>
  <c r="B192" i="11"/>
  <c r="C191" i="11"/>
  <c r="B191" i="11"/>
  <c r="C190" i="11"/>
  <c r="B190" i="11"/>
  <c r="C189" i="11"/>
  <c r="B189" i="11"/>
  <c r="C188" i="11"/>
  <c r="B188" i="11"/>
  <c r="C187" i="11"/>
  <c r="B187" i="11"/>
  <c r="C186" i="11"/>
  <c r="B186" i="11"/>
  <c r="C185" i="11"/>
  <c r="B185" i="11"/>
  <c r="C184" i="11"/>
  <c r="B184" i="11"/>
  <c r="C183" i="11"/>
  <c r="B183" i="11"/>
  <c r="C182" i="11"/>
  <c r="B182" i="11"/>
  <c r="C181" i="11"/>
  <c r="B181" i="11"/>
  <c r="C180" i="11"/>
  <c r="B180" i="11"/>
  <c r="C179" i="11"/>
  <c r="B179" i="11"/>
  <c r="C178" i="11"/>
  <c r="B178" i="11"/>
  <c r="C177" i="11"/>
  <c r="B177" i="11"/>
  <c r="C176" i="11"/>
  <c r="B176" i="11"/>
  <c r="C175" i="11"/>
  <c r="B175" i="11"/>
  <c r="C174" i="11"/>
  <c r="B174" i="11"/>
  <c r="C173" i="11"/>
  <c r="B173" i="11"/>
  <c r="C172" i="11"/>
  <c r="B172" i="11"/>
  <c r="C171" i="11"/>
  <c r="B171" i="11"/>
  <c r="C170" i="11"/>
  <c r="B170" i="11"/>
  <c r="C169" i="11"/>
  <c r="B169" i="11"/>
  <c r="C168" i="11"/>
  <c r="B168" i="11"/>
  <c r="C167" i="11"/>
  <c r="B167" i="11"/>
  <c r="C166" i="11"/>
  <c r="B166" i="11"/>
  <c r="C165" i="11"/>
  <c r="B165" i="11"/>
  <c r="C164" i="11"/>
  <c r="B164" i="11"/>
  <c r="C163" i="11"/>
  <c r="B163" i="11"/>
  <c r="C162" i="11"/>
  <c r="B162" i="11"/>
  <c r="C161" i="11"/>
  <c r="B161" i="11"/>
  <c r="C160" i="11"/>
  <c r="B160" i="11"/>
  <c r="C159" i="11"/>
  <c r="B159" i="11"/>
  <c r="C158" i="11"/>
  <c r="B158" i="11"/>
  <c r="C157" i="11"/>
  <c r="B157" i="11"/>
  <c r="C156" i="11"/>
  <c r="B156" i="11"/>
  <c r="C155" i="11"/>
  <c r="B155" i="11"/>
  <c r="C154" i="11"/>
  <c r="B154" i="11"/>
  <c r="C153" i="11"/>
  <c r="B153" i="11"/>
  <c r="C152" i="11"/>
  <c r="B152" i="11"/>
  <c r="C151" i="11"/>
  <c r="B151" i="11"/>
  <c r="C150" i="11"/>
  <c r="B150" i="11"/>
  <c r="C149" i="11"/>
  <c r="B149" i="11"/>
  <c r="C148" i="11"/>
  <c r="B148" i="11"/>
  <c r="C147" i="11"/>
  <c r="B147" i="11"/>
  <c r="C146" i="11"/>
  <c r="B146" i="11"/>
  <c r="C145" i="11"/>
  <c r="B145" i="11"/>
  <c r="C144" i="11"/>
  <c r="B144" i="11"/>
  <c r="C143" i="11"/>
  <c r="B143" i="11"/>
  <c r="C142" i="11"/>
  <c r="B142" i="11"/>
  <c r="C141" i="11"/>
  <c r="B141" i="11"/>
  <c r="C140" i="11"/>
  <c r="B140" i="11"/>
  <c r="C139" i="11"/>
  <c r="B139" i="11"/>
  <c r="C138" i="11"/>
  <c r="B138" i="11"/>
  <c r="C137" i="11"/>
  <c r="B137" i="11"/>
  <c r="C136" i="11"/>
  <c r="B136" i="11"/>
  <c r="C135" i="11"/>
  <c r="B135" i="11"/>
  <c r="C134" i="11"/>
  <c r="B134" i="11"/>
  <c r="C133" i="11"/>
  <c r="B133" i="11"/>
  <c r="C132" i="11"/>
  <c r="B132" i="11"/>
  <c r="C131" i="11"/>
  <c r="B131" i="11"/>
  <c r="C130" i="11"/>
  <c r="B130" i="11"/>
  <c r="C129" i="11"/>
  <c r="B129" i="11"/>
  <c r="C128" i="11"/>
  <c r="B128" i="11"/>
  <c r="C127" i="11"/>
  <c r="B127" i="11"/>
  <c r="C126" i="11"/>
  <c r="B126" i="11"/>
  <c r="C125" i="11"/>
  <c r="B125" i="11"/>
  <c r="C124" i="11"/>
  <c r="B124" i="11"/>
  <c r="C123" i="11"/>
  <c r="B123" i="11"/>
  <c r="C122" i="11"/>
  <c r="B122" i="11"/>
  <c r="C121" i="11"/>
  <c r="B121" i="11"/>
  <c r="C120" i="11"/>
  <c r="B120" i="11"/>
  <c r="C119" i="11"/>
  <c r="B119" i="11"/>
  <c r="C118" i="11"/>
  <c r="B118" i="11"/>
  <c r="C117" i="11"/>
  <c r="B117" i="11"/>
  <c r="C116" i="11"/>
  <c r="B116" i="11"/>
  <c r="C115" i="11"/>
  <c r="B115" i="11"/>
  <c r="C114" i="11"/>
  <c r="B114" i="11"/>
  <c r="C113" i="11"/>
  <c r="B113" i="11"/>
  <c r="C112" i="11"/>
  <c r="B112" i="11"/>
  <c r="C111" i="11"/>
  <c r="B111" i="11"/>
  <c r="C110" i="11"/>
  <c r="B110" i="11"/>
  <c r="C109" i="11"/>
  <c r="B109" i="11"/>
  <c r="C108" i="11"/>
  <c r="B108" i="11"/>
  <c r="C107" i="11"/>
  <c r="B107" i="11"/>
  <c r="C106" i="11"/>
  <c r="B106" i="11"/>
  <c r="C105" i="11"/>
  <c r="B105" i="11"/>
  <c r="C104" i="11"/>
  <c r="B104" i="11"/>
  <c r="C103" i="11"/>
  <c r="B103" i="11"/>
  <c r="C102" i="11"/>
  <c r="B102" i="11"/>
  <c r="C101" i="11"/>
  <c r="B101" i="11"/>
  <c r="C100" i="11"/>
  <c r="B100" i="11"/>
  <c r="C99" i="11"/>
  <c r="B99" i="11"/>
  <c r="C98" i="11"/>
  <c r="B98" i="11"/>
  <c r="C97" i="11"/>
  <c r="B97" i="11"/>
  <c r="C96" i="11"/>
  <c r="B96" i="11"/>
  <c r="C95" i="11"/>
  <c r="B95" i="11"/>
  <c r="C94" i="11"/>
  <c r="B94" i="11"/>
  <c r="C93" i="11"/>
  <c r="B93" i="11"/>
  <c r="C92" i="11"/>
  <c r="B92" i="11"/>
  <c r="C91" i="11"/>
  <c r="B91" i="11"/>
  <c r="C90" i="11"/>
  <c r="B90" i="11"/>
  <c r="C89" i="11"/>
  <c r="B89" i="11"/>
  <c r="C88" i="11"/>
  <c r="B88" i="11"/>
  <c r="C87" i="11"/>
  <c r="B87" i="11"/>
  <c r="C86" i="11"/>
  <c r="B86" i="11"/>
  <c r="C85" i="11"/>
  <c r="B85" i="11"/>
  <c r="C84" i="11"/>
  <c r="B84" i="11"/>
  <c r="C83" i="11"/>
  <c r="B83" i="11"/>
  <c r="C82" i="11"/>
  <c r="B82" i="11"/>
  <c r="C81" i="11"/>
  <c r="B81" i="11"/>
  <c r="C80" i="11"/>
  <c r="B80" i="11"/>
  <c r="C79" i="11"/>
  <c r="B79" i="11"/>
  <c r="C78" i="11"/>
  <c r="B78" i="11"/>
  <c r="C77" i="11"/>
  <c r="B77" i="11"/>
  <c r="C76" i="11"/>
  <c r="B76" i="11"/>
  <c r="C75" i="11"/>
  <c r="B75" i="11"/>
  <c r="C74" i="11"/>
  <c r="B74" i="11"/>
  <c r="C73" i="11"/>
  <c r="B73" i="11"/>
  <c r="C72" i="11"/>
  <c r="B72" i="11"/>
  <c r="C71" i="11"/>
  <c r="B71" i="11"/>
  <c r="C70" i="11"/>
  <c r="B70" i="11"/>
  <c r="C69" i="11"/>
  <c r="B69" i="11"/>
  <c r="C68" i="11"/>
  <c r="B68" i="11"/>
  <c r="C67" i="11"/>
  <c r="B67" i="11"/>
  <c r="C66" i="11"/>
  <c r="B66" i="11"/>
  <c r="C65" i="11"/>
  <c r="B65" i="11"/>
  <c r="C64" i="11"/>
  <c r="B64" i="11"/>
  <c r="C63" i="11"/>
  <c r="B63" i="11"/>
  <c r="C62" i="11"/>
  <c r="B62" i="11"/>
  <c r="C61" i="11"/>
  <c r="B61" i="11"/>
  <c r="C60" i="11"/>
  <c r="B60" i="11"/>
  <c r="C59" i="11"/>
  <c r="B59" i="11"/>
  <c r="C58" i="11"/>
  <c r="B58" i="11"/>
  <c r="C57" i="11"/>
  <c r="B57" i="11"/>
  <c r="C56" i="11"/>
  <c r="B56" i="11"/>
  <c r="C55" i="11"/>
  <c r="B55" i="11"/>
  <c r="C54" i="11"/>
  <c r="B54" i="11"/>
  <c r="C53" i="11"/>
  <c r="B53" i="11"/>
  <c r="C52" i="11"/>
  <c r="B52" i="11"/>
  <c r="C51" i="11"/>
  <c r="B51" i="11"/>
  <c r="C50" i="11"/>
  <c r="B50" i="11"/>
  <c r="C49" i="11"/>
  <c r="B49" i="11"/>
  <c r="C48" i="11"/>
  <c r="B48" i="11"/>
  <c r="C47" i="11"/>
  <c r="B47" i="11"/>
  <c r="C46" i="11"/>
  <c r="B46" i="11"/>
  <c r="C45" i="11"/>
  <c r="B45" i="11"/>
  <c r="C44" i="11"/>
  <c r="B44" i="11"/>
  <c r="C43" i="11"/>
  <c r="B43" i="11"/>
  <c r="C42" i="11"/>
  <c r="B42" i="11"/>
  <c r="C41" i="11"/>
  <c r="B41" i="11"/>
  <c r="C40" i="11"/>
  <c r="B40" i="11"/>
  <c r="C39" i="11"/>
  <c r="B39" i="11"/>
  <c r="C38" i="11"/>
  <c r="B38" i="11"/>
  <c r="C37" i="11"/>
  <c r="B37" i="11"/>
  <c r="C36" i="11"/>
  <c r="B36" i="11"/>
  <c r="C35" i="11"/>
  <c r="B35" i="11"/>
  <c r="C34" i="11"/>
  <c r="B34" i="11"/>
  <c r="C33" i="11"/>
  <c r="B33" i="11"/>
  <c r="C32" i="11"/>
  <c r="B32" i="11"/>
  <c r="C31" i="11"/>
  <c r="B31" i="11"/>
  <c r="C30" i="11"/>
  <c r="B30" i="11"/>
  <c r="C29" i="11"/>
  <c r="B29" i="11"/>
  <c r="C28" i="11"/>
  <c r="B28" i="11"/>
  <c r="C27" i="11"/>
  <c r="B27" i="11"/>
  <c r="C26" i="11"/>
  <c r="B26" i="11"/>
  <c r="C25" i="11"/>
  <c r="B25" i="11"/>
  <c r="C24" i="11"/>
  <c r="B24" i="11"/>
  <c r="C23" i="11"/>
  <c r="B23" i="11"/>
  <c r="C22" i="11"/>
  <c r="B22" i="11"/>
  <c r="C21" i="11"/>
  <c r="B21" i="11"/>
  <c r="C20" i="11"/>
  <c r="B20" i="11"/>
  <c r="C19" i="11"/>
  <c r="B19" i="11"/>
  <c r="C18" i="11"/>
  <c r="B18" i="11"/>
  <c r="C17" i="11"/>
  <c r="B17" i="11"/>
  <c r="C16" i="11"/>
  <c r="B16" i="11"/>
  <c r="C15" i="11"/>
  <c r="B15" i="11"/>
  <c r="C14" i="11"/>
  <c r="B14" i="11"/>
  <c r="C13" i="11"/>
  <c r="B13" i="11"/>
  <c r="C12" i="11"/>
  <c r="B12" i="11"/>
  <c r="C11" i="11"/>
  <c r="B11" i="11"/>
  <c r="C10" i="11"/>
  <c r="B10" i="11"/>
  <c r="C9" i="11"/>
  <c r="B9" i="11"/>
  <c r="C8" i="11"/>
  <c r="B8" i="11"/>
  <c r="C7" i="11"/>
  <c r="B7" i="11"/>
  <c r="C6" i="11"/>
  <c r="B6" i="11"/>
  <c r="C1008" i="10"/>
  <c r="B1008" i="10"/>
  <c r="A1008" i="10"/>
  <c r="C1007" i="10"/>
  <c r="B1007" i="10"/>
  <c r="A1007" i="10"/>
  <c r="A1006" i="10"/>
  <c r="B1006" i="10" s="1"/>
  <c r="C1006" i="10" s="1"/>
  <c r="C1005" i="10"/>
  <c r="A1005" i="10"/>
  <c r="B1005" i="10" s="1"/>
  <c r="A1004" i="10"/>
  <c r="B1004" i="10" s="1"/>
  <c r="C1004" i="10" s="1"/>
  <c r="C1003" i="10"/>
  <c r="B1003" i="10"/>
  <c r="A1003" i="10"/>
  <c r="B1002" i="10"/>
  <c r="C1002" i="10" s="1"/>
  <c r="A1002" i="10"/>
  <c r="A1001" i="10"/>
  <c r="B1001" i="10" s="1"/>
  <c r="C1001" i="10" s="1"/>
  <c r="C1000" i="10"/>
  <c r="B1000" i="10"/>
  <c r="A1000" i="10"/>
  <c r="C999" i="10"/>
  <c r="B999" i="10"/>
  <c r="A999" i="10"/>
  <c r="A998" i="10"/>
  <c r="B998" i="10" s="1"/>
  <c r="C998" i="10" s="1"/>
  <c r="C997" i="10"/>
  <c r="A997" i="10"/>
  <c r="B997" i="10" s="1"/>
  <c r="C996" i="10"/>
  <c r="A996" i="10"/>
  <c r="B996" i="10" s="1"/>
  <c r="A995" i="10"/>
  <c r="B995" i="10" s="1"/>
  <c r="C995" i="10" s="1"/>
  <c r="A994" i="10"/>
  <c r="B994" i="10" s="1"/>
  <c r="C994" i="10" s="1"/>
  <c r="A993" i="10"/>
  <c r="B993" i="10" s="1"/>
  <c r="C993" i="10" s="1"/>
  <c r="C992" i="10"/>
  <c r="B992" i="10"/>
  <c r="A992" i="10"/>
  <c r="B991" i="10"/>
  <c r="C991" i="10" s="1"/>
  <c r="A991" i="10"/>
  <c r="B990" i="10"/>
  <c r="C990" i="10" s="1"/>
  <c r="A990" i="10"/>
  <c r="C989" i="10"/>
  <c r="A989" i="10"/>
  <c r="B989" i="10" s="1"/>
  <c r="A988" i="10"/>
  <c r="B988" i="10" s="1"/>
  <c r="C988" i="10" s="1"/>
  <c r="B987" i="10"/>
  <c r="C987" i="10" s="1"/>
  <c r="A987" i="10"/>
  <c r="A986" i="10"/>
  <c r="B986" i="10" s="1"/>
  <c r="C986" i="10" s="1"/>
  <c r="A985" i="10"/>
  <c r="B985" i="10" s="1"/>
  <c r="C985" i="10" s="1"/>
  <c r="B984" i="10"/>
  <c r="C984" i="10" s="1"/>
  <c r="A984" i="10"/>
  <c r="B983" i="10"/>
  <c r="C983" i="10" s="1"/>
  <c r="A983" i="10"/>
  <c r="A982" i="10"/>
  <c r="B982" i="10" s="1"/>
  <c r="C982" i="10" s="1"/>
  <c r="A981" i="10"/>
  <c r="B981" i="10" s="1"/>
  <c r="C981" i="10" s="1"/>
  <c r="A980" i="10"/>
  <c r="B980" i="10" s="1"/>
  <c r="C980" i="10" s="1"/>
  <c r="A979" i="10"/>
  <c r="B979" i="10" s="1"/>
  <c r="C979" i="10" s="1"/>
  <c r="B978" i="10"/>
  <c r="C978" i="10" s="1"/>
  <c r="A978" i="10"/>
  <c r="A977" i="10"/>
  <c r="B977" i="10" s="1"/>
  <c r="C977" i="10" s="1"/>
  <c r="B976" i="10"/>
  <c r="C976" i="10" s="1"/>
  <c r="A976" i="10"/>
  <c r="B975" i="10"/>
  <c r="C975" i="10" s="1"/>
  <c r="A975" i="10"/>
  <c r="A974" i="10"/>
  <c r="B974" i="10" s="1"/>
  <c r="C974" i="10" s="1"/>
  <c r="A973" i="10"/>
  <c r="B973" i="10" s="1"/>
  <c r="C973" i="10" s="1"/>
  <c r="C972" i="10"/>
  <c r="A972" i="10"/>
  <c r="B972" i="10" s="1"/>
  <c r="C971" i="10"/>
  <c r="B971" i="10"/>
  <c r="A971" i="10"/>
  <c r="B970" i="10"/>
  <c r="C970" i="10" s="1"/>
  <c r="A970" i="10"/>
  <c r="A969" i="10"/>
  <c r="B969" i="10" s="1"/>
  <c r="C969" i="10" s="1"/>
  <c r="C968" i="10"/>
  <c r="B968" i="10"/>
  <c r="A968" i="10"/>
  <c r="C967" i="10"/>
  <c r="B967" i="10"/>
  <c r="A967" i="10"/>
  <c r="A966" i="10"/>
  <c r="B966" i="10" s="1"/>
  <c r="C966" i="10" s="1"/>
  <c r="C965" i="10"/>
  <c r="A965" i="10"/>
  <c r="B965" i="10" s="1"/>
  <c r="C964" i="10"/>
  <c r="A964" i="10"/>
  <c r="B964" i="10" s="1"/>
  <c r="A963" i="10"/>
  <c r="B963" i="10" s="1"/>
  <c r="C963" i="10" s="1"/>
  <c r="A962" i="10"/>
  <c r="B962" i="10" s="1"/>
  <c r="C962" i="10" s="1"/>
  <c r="A961" i="10"/>
  <c r="B961" i="10" s="1"/>
  <c r="C961" i="10" s="1"/>
  <c r="C960" i="10"/>
  <c r="B960" i="10"/>
  <c r="A960" i="10"/>
  <c r="B959" i="10"/>
  <c r="C959" i="10" s="1"/>
  <c r="A959" i="10"/>
  <c r="B958" i="10"/>
  <c r="C958" i="10" s="1"/>
  <c r="A958" i="10"/>
  <c r="A957" i="10"/>
  <c r="B957" i="10" s="1"/>
  <c r="C957" i="10" s="1"/>
  <c r="A956" i="10"/>
  <c r="B956" i="10" s="1"/>
  <c r="C956" i="10" s="1"/>
  <c r="B955" i="10"/>
  <c r="C955" i="10" s="1"/>
  <c r="A955" i="10"/>
  <c r="A954" i="10"/>
  <c r="B954" i="10" s="1"/>
  <c r="C954" i="10" s="1"/>
  <c r="A953" i="10"/>
  <c r="B953" i="10" s="1"/>
  <c r="C953" i="10" s="1"/>
  <c r="B952" i="10"/>
  <c r="C952" i="10" s="1"/>
  <c r="A952" i="10"/>
  <c r="C951" i="10"/>
  <c r="B951" i="10"/>
  <c r="A951" i="10"/>
  <c r="A950" i="10"/>
  <c r="B950" i="10" s="1"/>
  <c r="C950" i="10" s="1"/>
  <c r="A949" i="10"/>
  <c r="B949" i="10" s="1"/>
  <c r="C949" i="10" s="1"/>
  <c r="C948" i="10"/>
  <c r="A948" i="10"/>
  <c r="B948" i="10" s="1"/>
  <c r="C947" i="10"/>
  <c r="A947" i="10"/>
  <c r="B947" i="10" s="1"/>
  <c r="B946" i="10"/>
  <c r="C946" i="10" s="1"/>
  <c r="A946" i="10"/>
  <c r="A945" i="10"/>
  <c r="B945" i="10" s="1"/>
  <c r="C945" i="10" s="1"/>
  <c r="B944" i="10"/>
  <c r="C944" i="10" s="1"/>
  <c r="A944" i="10"/>
  <c r="B943" i="10"/>
  <c r="C943" i="10" s="1"/>
  <c r="A943" i="10"/>
  <c r="A942" i="10"/>
  <c r="B942" i="10" s="1"/>
  <c r="C942" i="10" s="1"/>
  <c r="A941" i="10"/>
  <c r="B941" i="10" s="1"/>
  <c r="C941" i="10" s="1"/>
  <c r="C940" i="10"/>
  <c r="A940" i="10"/>
  <c r="B940" i="10" s="1"/>
  <c r="C939" i="10"/>
  <c r="B939" i="10"/>
  <c r="A939" i="10"/>
  <c r="B938" i="10"/>
  <c r="C938" i="10" s="1"/>
  <c r="A938" i="10"/>
  <c r="A937" i="10"/>
  <c r="B937" i="10" s="1"/>
  <c r="C937" i="10" s="1"/>
  <c r="C936" i="10"/>
  <c r="B936" i="10"/>
  <c r="A936" i="10"/>
  <c r="C935" i="10"/>
  <c r="B935" i="10"/>
  <c r="A935" i="10"/>
  <c r="A934" i="10"/>
  <c r="B934" i="10" s="1"/>
  <c r="C934" i="10" s="1"/>
  <c r="C933" i="10"/>
  <c r="A933" i="10"/>
  <c r="B933" i="10" s="1"/>
  <c r="C932" i="10"/>
  <c r="A932" i="10"/>
  <c r="B932" i="10" s="1"/>
  <c r="A931" i="10"/>
  <c r="B931" i="10" s="1"/>
  <c r="C931" i="10" s="1"/>
  <c r="A930" i="10"/>
  <c r="B930" i="10" s="1"/>
  <c r="C930" i="10" s="1"/>
  <c r="A929" i="10"/>
  <c r="B929" i="10" s="1"/>
  <c r="C929" i="10" s="1"/>
  <c r="C928" i="10"/>
  <c r="B928" i="10"/>
  <c r="A928" i="10"/>
  <c r="B927" i="10"/>
  <c r="C927" i="10" s="1"/>
  <c r="A927" i="10"/>
  <c r="B926" i="10"/>
  <c r="C926" i="10" s="1"/>
  <c r="A926" i="10"/>
  <c r="A925" i="10"/>
  <c r="B925" i="10" s="1"/>
  <c r="C925" i="10" s="1"/>
  <c r="A924" i="10"/>
  <c r="B924" i="10" s="1"/>
  <c r="C924" i="10" s="1"/>
  <c r="B923" i="10"/>
  <c r="C923" i="10" s="1"/>
  <c r="A923" i="10"/>
  <c r="A922" i="10"/>
  <c r="B922" i="10" s="1"/>
  <c r="C922" i="10" s="1"/>
  <c r="A921" i="10"/>
  <c r="B921" i="10" s="1"/>
  <c r="C921" i="10" s="1"/>
  <c r="B920" i="10"/>
  <c r="C920" i="10" s="1"/>
  <c r="A920" i="10"/>
  <c r="C919" i="10"/>
  <c r="B919" i="10"/>
  <c r="A919" i="10"/>
  <c r="A918" i="10"/>
  <c r="B918" i="10" s="1"/>
  <c r="C918" i="10" s="1"/>
  <c r="A917" i="10"/>
  <c r="B917" i="10" s="1"/>
  <c r="C917" i="10" s="1"/>
  <c r="C916" i="10"/>
  <c r="A916" i="10"/>
  <c r="B916" i="10" s="1"/>
  <c r="C915" i="10"/>
  <c r="A915" i="10"/>
  <c r="B915" i="10" s="1"/>
  <c r="B914" i="10"/>
  <c r="C914" i="10" s="1"/>
  <c r="A914" i="10"/>
  <c r="A913" i="10"/>
  <c r="B913" i="10" s="1"/>
  <c r="C913" i="10" s="1"/>
  <c r="B912" i="10"/>
  <c r="C912" i="10" s="1"/>
  <c r="A912" i="10"/>
  <c r="B911" i="10"/>
  <c r="C911" i="10" s="1"/>
  <c r="A911" i="10"/>
  <c r="A910" i="10"/>
  <c r="B910" i="10" s="1"/>
  <c r="C910" i="10" s="1"/>
  <c r="A909" i="10"/>
  <c r="B909" i="10" s="1"/>
  <c r="C909" i="10" s="1"/>
  <c r="C908" i="10"/>
  <c r="A908" i="10"/>
  <c r="B908" i="10" s="1"/>
  <c r="C907" i="10"/>
  <c r="B907" i="10"/>
  <c r="A907" i="10"/>
  <c r="B906" i="10"/>
  <c r="C906" i="10" s="1"/>
  <c r="A906" i="10"/>
  <c r="A905" i="10"/>
  <c r="B905" i="10" s="1"/>
  <c r="C905" i="10" s="1"/>
  <c r="C904" i="10"/>
  <c r="B904" i="10"/>
  <c r="A904" i="10"/>
  <c r="C903" i="10"/>
  <c r="B903" i="10"/>
  <c r="A903" i="10"/>
  <c r="A902" i="10"/>
  <c r="B902" i="10" s="1"/>
  <c r="C902" i="10" s="1"/>
  <c r="C901" i="10"/>
  <c r="A901" i="10"/>
  <c r="B901" i="10" s="1"/>
  <c r="C900" i="10"/>
  <c r="A900" i="10"/>
  <c r="B900" i="10" s="1"/>
  <c r="A899" i="10"/>
  <c r="B899" i="10" s="1"/>
  <c r="C899" i="10" s="1"/>
  <c r="A898" i="10"/>
  <c r="B898" i="10" s="1"/>
  <c r="C898" i="10" s="1"/>
  <c r="A897" i="10"/>
  <c r="B897" i="10" s="1"/>
  <c r="C897" i="10" s="1"/>
  <c r="C896" i="10"/>
  <c r="B896" i="10"/>
  <c r="A896" i="10"/>
  <c r="B895" i="10"/>
  <c r="C895" i="10" s="1"/>
  <c r="A895" i="10"/>
  <c r="A894" i="10"/>
  <c r="B894" i="10" s="1"/>
  <c r="C894" i="10" s="1"/>
  <c r="A893" i="10"/>
  <c r="B893" i="10" s="1"/>
  <c r="C893" i="10" s="1"/>
  <c r="A892" i="10"/>
  <c r="B892" i="10" s="1"/>
  <c r="C892" i="10" s="1"/>
  <c r="B891" i="10"/>
  <c r="C891" i="10" s="1"/>
  <c r="A891" i="10"/>
  <c r="A890" i="10"/>
  <c r="B890" i="10" s="1"/>
  <c r="C890" i="10" s="1"/>
  <c r="A889" i="10"/>
  <c r="B889" i="10" s="1"/>
  <c r="C889" i="10" s="1"/>
  <c r="B888" i="10"/>
  <c r="C888" i="10" s="1"/>
  <c r="A888" i="10"/>
  <c r="B887" i="10"/>
  <c r="C887" i="10" s="1"/>
  <c r="A887" i="10"/>
  <c r="A886" i="10"/>
  <c r="B886" i="10" s="1"/>
  <c r="C886" i="10" s="1"/>
  <c r="A885" i="10"/>
  <c r="B885" i="10" s="1"/>
  <c r="C885" i="10" s="1"/>
  <c r="C884" i="10"/>
  <c r="A884" i="10"/>
  <c r="B884" i="10" s="1"/>
  <c r="B883" i="10"/>
  <c r="C883" i="10" s="1"/>
  <c r="A883" i="10"/>
  <c r="B882" i="10"/>
  <c r="C882" i="10" s="1"/>
  <c r="A882" i="10"/>
  <c r="A881" i="10"/>
  <c r="B881" i="10" s="1"/>
  <c r="C881" i="10" s="1"/>
  <c r="B880" i="10"/>
  <c r="C880" i="10" s="1"/>
  <c r="A880" i="10"/>
  <c r="C879" i="10"/>
  <c r="B879" i="10"/>
  <c r="A879" i="10"/>
  <c r="A878" i="10"/>
  <c r="B878" i="10" s="1"/>
  <c r="C878" i="10" s="1"/>
  <c r="A877" i="10"/>
  <c r="B877" i="10" s="1"/>
  <c r="C877" i="10" s="1"/>
  <c r="C876" i="10"/>
  <c r="A876" i="10"/>
  <c r="B876" i="10" s="1"/>
  <c r="C875" i="10"/>
  <c r="B875" i="10"/>
  <c r="A875" i="10"/>
  <c r="B874" i="10"/>
  <c r="C874" i="10" s="1"/>
  <c r="A874" i="10"/>
  <c r="A873" i="10"/>
  <c r="B873" i="10" s="1"/>
  <c r="C873" i="10" s="1"/>
  <c r="C872" i="10"/>
  <c r="B872" i="10"/>
  <c r="A872" i="10"/>
  <c r="C871" i="10"/>
  <c r="B871" i="10"/>
  <c r="A871" i="10"/>
  <c r="A870" i="10"/>
  <c r="B870" i="10" s="1"/>
  <c r="C870" i="10" s="1"/>
  <c r="C869" i="10"/>
  <c r="A869" i="10"/>
  <c r="B869" i="10" s="1"/>
  <c r="C868" i="10"/>
  <c r="A868" i="10"/>
  <c r="B868" i="10" s="1"/>
  <c r="A867" i="10"/>
  <c r="B867" i="10" s="1"/>
  <c r="C867" i="10" s="1"/>
  <c r="B866" i="10"/>
  <c r="C866" i="10" s="1"/>
  <c r="A866" i="10"/>
  <c r="A865" i="10"/>
  <c r="B865" i="10" s="1"/>
  <c r="C865" i="10" s="1"/>
  <c r="B864" i="10"/>
  <c r="C864" i="10" s="1"/>
  <c r="A864" i="10"/>
  <c r="B863" i="10"/>
  <c r="C863" i="10" s="1"/>
  <c r="A863" i="10"/>
  <c r="A862" i="10"/>
  <c r="B862" i="10" s="1"/>
  <c r="C862" i="10" s="1"/>
  <c r="A861" i="10"/>
  <c r="B861" i="10" s="1"/>
  <c r="C861" i="10" s="1"/>
  <c r="A860" i="10"/>
  <c r="B860" i="10" s="1"/>
  <c r="C860" i="10" s="1"/>
  <c r="A859" i="10"/>
  <c r="B859" i="10" s="1"/>
  <c r="C859" i="10" s="1"/>
  <c r="B858" i="10"/>
  <c r="C858" i="10" s="1"/>
  <c r="A858" i="10"/>
  <c r="A857" i="10"/>
  <c r="B857" i="10" s="1"/>
  <c r="C857" i="10" s="1"/>
  <c r="B856" i="10"/>
  <c r="C856" i="10" s="1"/>
  <c r="A856" i="10"/>
  <c r="B855" i="10"/>
  <c r="C855" i="10" s="1"/>
  <c r="A855" i="10"/>
  <c r="A854" i="10"/>
  <c r="B854" i="10" s="1"/>
  <c r="C854" i="10" s="1"/>
  <c r="A853" i="10"/>
  <c r="B853" i="10" s="1"/>
  <c r="C853" i="10" s="1"/>
  <c r="C852" i="10"/>
  <c r="A852" i="10"/>
  <c r="B852" i="10" s="1"/>
  <c r="A851" i="10"/>
  <c r="B851" i="10" s="1"/>
  <c r="C851" i="10" s="1"/>
  <c r="B850" i="10"/>
  <c r="C850" i="10" s="1"/>
  <c r="A850" i="10"/>
  <c r="A849" i="10"/>
  <c r="B849" i="10" s="1"/>
  <c r="C849" i="10" s="1"/>
  <c r="C848" i="10"/>
  <c r="B848" i="10"/>
  <c r="A848" i="10"/>
  <c r="B847" i="10"/>
  <c r="C847" i="10" s="1"/>
  <c r="A847" i="10"/>
  <c r="A846" i="10"/>
  <c r="B846" i="10" s="1"/>
  <c r="C846" i="10" s="1"/>
  <c r="A845" i="10"/>
  <c r="B845" i="10" s="1"/>
  <c r="C845" i="10" s="1"/>
  <c r="A844" i="10"/>
  <c r="B844" i="10" s="1"/>
  <c r="C844" i="10" s="1"/>
  <c r="C843" i="10"/>
  <c r="B843" i="10"/>
  <c r="A843" i="10"/>
  <c r="B842" i="10"/>
  <c r="C842" i="10" s="1"/>
  <c r="A842" i="10"/>
  <c r="A841" i="10"/>
  <c r="B841" i="10" s="1"/>
  <c r="C841" i="10" s="1"/>
  <c r="B840" i="10"/>
  <c r="C840" i="10" s="1"/>
  <c r="A840" i="10"/>
  <c r="C839" i="10"/>
  <c r="B839" i="10"/>
  <c r="A839" i="10"/>
  <c r="A838" i="10"/>
  <c r="B838" i="10" s="1"/>
  <c r="C838" i="10" s="1"/>
  <c r="A837" i="10"/>
  <c r="B837" i="10" s="1"/>
  <c r="C837" i="10" s="1"/>
  <c r="C836" i="10"/>
  <c r="A836" i="10"/>
  <c r="B836" i="10" s="1"/>
  <c r="A835" i="10"/>
  <c r="B835" i="10" s="1"/>
  <c r="C835" i="10" s="1"/>
  <c r="A834" i="10"/>
  <c r="B834" i="10" s="1"/>
  <c r="C834" i="10" s="1"/>
  <c r="A833" i="10"/>
  <c r="B833" i="10" s="1"/>
  <c r="C833" i="10" s="1"/>
  <c r="B832" i="10"/>
  <c r="C832" i="10" s="1"/>
  <c r="A832" i="10"/>
  <c r="C831" i="10"/>
  <c r="B831" i="10"/>
  <c r="A831" i="10"/>
  <c r="B830" i="10"/>
  <c r="C830" i="10" s="1"/>
  <c r="A830" i="10"/>
  <c r="A829" i="10"/>
  <c r="B829" i="10" s="1"/>
  <c r="C829" i="10" s="1"/>
  <c r="A828" i="10"/>
  <c r="B828" i="10" s="1"/>
  <c r="C828" i="10" s="1"/>
  <c r="B827" i="10"/>
  <c r="C827" i="10" s="1"/>
  <c r="A827" i="10"/>
  <c r="B826" i="10"/>
  <c r="C826" i="10" s="1"/>
  <c r="A826" i="10"/>
  <c r="A825" i="10"/>
  <c r="B825" i="10" s="1"/>
  <c r="C825" i="10" s="1"/>
  <c r="B824" i="10"/>
  <c r="C824" i="10" s="1"/>
  <c r="A824" i="10"/>
  <c r="B823" i="10"/>
  <c r="C823" i="10" s="1"/>
  <c r="A823" i="10"/>
  <c r="B822" i="10"/>
  <c r="C822" i="10" s="1"/>
  <c r="A822" i="10"/>
  <c r="A821" i="10"/>
  <c r="B821" i="10" s="1"/>
  <c r="C821" i="10" s="1"/>
  <c r="A820" i="10"/>
  <c r="B820" i="10" s="1"/>
  <c r="C820" i="10" s="1"/>
  <c r="B819" i="10"/>
  <c r="C819" i="10" s="1"/>
  <c r="A819" i="10"/>
  <c r="B818" i="10"/>
  <c r="C818" i="10" s="1"/>
  <c r="A818" i="10"/>
  <c r="A817" i="10"/>
  <c r="B817" i="10" s="1"/>
  <c r="C817" i="10" s="1"/>
  <c r="B816" i="10"/>
  <c r="C816" i="10" s="1"/>
  <c r="A816" i="10"/>
  <c r="C815" i="10"/>
  <c r="B815" i="10"/>
  <c r="A815" i="10"/>
  <c r="A814" i="10"/>
  <c r="B814" i="10" s="1"/>
  <c r="C814" i="10" s="1"/>
  <c r="A813" i="10"/>
  <c r="B813" i="10" s="1"/>
  <c r="C813" i="10" s="1"/>
  <c r="A812" i="10"/>
  <c r="B812" i="10" s="1"/>
  <c r="C812" i="10" s="1"/>
  <c r="C811" i="10"/>
  <c r="B811" i="10"/>
  <c r="A811" i="10"/>
  <c r="A810" i="10"/>
  <c r="B810" i="10" s="1"/>
  <c r="C810" i="10" s="1"/>
  <c r="A809" i="10"/>
  <c r="B809" i="10" s="1"/>
  <c r="C809" i="10" s="1"/>
  <c r="C808" i="10"/>
  <c r="B808" i="10"/>
  <c r="A808" i="10"/>
  <c r="C807" i="10"/>
  <c r="B807" i="10"/>
  <c r="A807" i="10"/>
  <c r="A806" i="10"/>
  <c r="B806" i="10" s="1"/>
  <c r="C806" i="10" s="1"/>
  <c r="C805" i="10"/>
  <c r="A805" i="10"/>
  <c r="B805" i="10" s="1"/>
  <c r="C804" i="10"/>
  <c r="A804" i="10"/>
  <c r="B804" i="10" s="1"/>
  <c r="B803" i="10"/>
  <c r="C803" i="10" s="1"/>
  <c r="A803" i="10"/>
  <c r="A802" i="10"/>
  <c r="B802" i="10" s="1"/>
  <c r="C802" i="10" s="1"/>
  <c r="A801" i="10"/>
  <c r="B801" i="10" s="1"/>
  <c r="C801" i="10" s="1"/>
  <c r="C800" i="10"/>
  <c r="B800" i="10"/>
  <c r="A800" i="10"/>
  <c r="C799" i="10"/>
  <c r="B799" i="10"/>
  <c r="A799" i="10"/>
  <c r="B798" i="10"/>
  <c r="C798" i="10" s="1"/>
  <c r="A798" i="10"/>
  <c r="C797" i="10"/>
  <c r="A797" i="10"/>
  <c r="B797" i="10" s="1"/>
  <c r="A796" i="10"/>
  <c r="B796" i="10" s="1"/>
  <c r="C796" i="10" s="1"/>
  <c r="B795" i="10"/>
  <c r="C795" i="10" s="1"/>
  <c r="A795" i="10"/>
  <c r="B794" i="10"/>
  <c r="C794" i="10" s="1"/>
  <c r="A794" i="10"/>
  <c r="A793" i="10"/>
  <c r="B793" i="10" s="1"/>
  <c r="C793" i="10" s="1"/>
  <c r="B792" i="10"/>
  <c r="C792" i="10" s="1"/>
  <c r="A792" i="10"/>
  <c r="B791" i="10"/>
  <c r="C791" i="10" s="1"/>
  <c r="A791" i="10"/>
  <c r="B790" i="10"/>
  <c r="C790" i="10" s="1"/>
  <c r="A790" i="10"/>
  <c r="A789" i="10"/>
  <c r="B789" i="10" s="1"/>
  <c r="C789" i="10" s="1"/>
  <c r="C788" i="10"/>
  <c r="A788" i="10"/>
  <c r="B788" i="10" s="1"/>
  <c r="B787" i="10"/>
  <c r="C787" i="10" s="1"/>
  <c r="A787" i="10"/>
  <c r="C786" i="10"/>
  <c r="A786" i="10"/>
  <c r="B786" i="10" s="1"/>
  <c r="A785" i="10"/>
  <c r="B785" i="10" s="1"/>
  <c r="C785" i="10" s="1"/>
  <c r="A784" i="10"/>
  <c r="B784" i="10" s="1"/>
  <c r="C784" i="10" s="1"/>
  <c r="C783" i="10"/>
  <c r="B783" i="10"/>
  <c r="A783" i="10"/>
  <c r="B782" i="10"/>
  <c r="C782" i="10" s="1"/>
  <c r="A782" i="10"/>
  <c r="B781" i="10"/>
  <c r="C781" i="10" s="1"/>
  <c r="A781" i="10"/>
  <c r="A780" i="10"/>
  <c r="B780" i="10" s="1"/>
  <c r="C780" i="10" s="1"/>
  <c r="A779" i="10"/>
  <c r="B779" i="10" s="1"/>
  <c r="C779" i="10" s="1"/>
  <c r="B778" i="10"/>
  <c r="C778" i="10" s="1"/>
  <c r="A778" i="10"/>
  <c r="A777" i="10"/>
  <c r="B777" i="10" s="1"/>
  <c r="C777" i="10" s="1"/>
  <c r="C776" i="10"/>
  <c r="B776" i="10"/>
  <c r="A776" i="10"/>
  <c r="C775" i="10"/>
  <c r="B775" i="10"/>
  <c r="A775" i="10"/>
  <c r="B774" i="10"/>
  <c r="C774" i="10" s="1"/>
  <c r="A774" i="10"/>
  <c r="C773" i="10"/>
  <c r="B773" i="10"/>
  <c r="A773" i="10"/>
  <c r="C772" i="10"/>
  <c r="A772" i="10"/>
  <c r="B772" i="10" s="1"/>
  <c r="B771" i="10"/>
  <c r="C771" i="10" s="1"/>
  <c r="A771" i="10"/>
  <c r="A770" i="10"/>
  <c r="B770" i="10" s="1"/>
  <c r="C770" i="10" s="1"/>
  <c r="B769" i="10"/>
  <c r="C769" i="10" s="1"/>
  <c r="A769" i="10"/>
  <c r="A768" i="10"/>
  <c r="B768" i="10" s="1"/>
  <c r="C768" i="10" s="1"/>
  <c r="C767" i="10"/>
  <c r="B767" i="10"/>
  <c r="A767" i="10"/>
  <c r="B766" i="10"/>
  <c r="C766" i="10" s="1"/>
  <c r="A766" i="10"/>
  <c r="B765" i="10"/>
  <c r="C765" i="10" s="1"/>
  <c r="A765" i="10"/>
  <c r="A764" i="10"/>
  <c r="B764" i="10" s="1"/>
  <c r="C764" i="10" s="1"/>
  <c r="C763" i="10"/>
  <c r="B763" i="10"/>
  <c r="A763" i="10"/>
  <c r="A762" i="10"/>
  <c r="B762" i="10" s="1"/>
  <c r="C762" i="10" s="1"/>
  <c r="A761" i="10"/>
  <c r="B761" i="10" s="1"/>
  <c r="C761" i="10" s="1"/>
  <c r="B760" i="10"/>
  <c r="C760" i="10" s="1"/>
  <c r="A760" i="10"/>
  <c r="B759" i="10"/>
  <c r="C759" i="10" s="1"/>
  <c r="A759" i="10"/>
  <c r="A758" i="10"/>
  <c r="B758" i="10" s="1"/>
  <c r="C758" i="10" s="1"/>
  <c r="C757" i="10"/>
  <c r="A757" i="10"/>
  <c r="B757" i="10" s="1"/>
  <c r="A756" i="10"/>
  <c r="B756" i="10" s="1"/>
  <c r="C756" i="10" s="1"/>
  <c r="C755" i="10"/>
  <c r="A755" i="10"/>
  <c r="B755" i="10" s="1"/>
  <c r="A754" i="10"/>
  <c r="B754" i="10" s="1"/>
  <c r="C754" i="10" s="1"/>
  <c r="B753" i="10"/>
  <c r="C753" i="10" s="1"/>
  <c r="A753" i="10"/>
  <c r="B752" i="10"/>
  <c r="C752" i="10" s="1"/>
  <c r="A752" i="10"/>
  <c r="C751" i="10"/>
  <c r="B751" i="10"/>
  <c r="A751" i="10"/>
  <c r="A750" i="10"/>
  <c r="B750" i="10" s="1"/>
  <c r="C750" i="10" s="1"/>
  <c r="A749" i="10"/>
  <c r="B749" i="10" s="1"/>
  <c r="C749" i="10" s="1"/>
  <c r="A748" i="10"/>
  <c r="B748" i="10" s="1"/>
  <c r="C748" i="10" s="1"/>
  <c r="B747" i="10"/>
  <c r="C747" i="10" s="1"/>
  <c r="A747" i="10"/>
  <c r="C746" i="10"/>
  <c r="B746" i="10"/>
  <c r="A746" i="10"/>
  <c r="A745" i="10"/>
  <c r="B745" i="10" s="1"/>
  <c r="C745" i="10" s="1"/>
  <c r="C744" i="10"/>
  <c r="A744" i="10"/>
  <c r="B744" i="10" s="1"/>
  <c r="B743" i="10"/>
  <c r="C743" i="10" s="1"/>
  <c r="A743" i="10"/>
  <c r="B742" i="10"/>
  <c r="C742" i="10" s="1"/>
  <c r="A742" i="10"/>
  <c r="B741" i="10"/>
  <c r="C741" i="10" s="1"/>
  <c r="A741" i="10"/>
  <c r="A740" i="10"/>
  <c r="B740" i="10" s="1"/>
  <c r="C740" i="10" s="1"/>
  <c r="A739" i="10"/>
  <c r="B739" i="10" s="1"/>
  <c r="C739" i="10" s="1"/>
  <c r="C738" i="10"/>
  <c r="A738" i="10"/>
  <c r="B738" i="10" s="1"/>
  <c r="B737" i="10"/>
  <c r="C737" i="10" s="1"/>
  <c r="A737" i="10"/>
  <c r="B736" i="10"/>
  <c r="C736" i="10" s="1"/>
  <c r="A736" i="10"/>
  <c r="B735" i="10"/>
  <c r="C735" i="10" s="1"/>
  <c r="A735" i="10"/>
  <c r="B734" i="10"/>
  <c r="C734" i="10" s="1"/>
  <c r="A734" i="10"/>
  <c r="C733" i="10"/>
  <c r="A733" i="10"/>
  <c r="B733" i="10" s="1"/>
  <c r="C732" i="10"/>
  <c r="A732" i="10"/>
  <c r="B732" i="10" s="1"/>
  <c r="B731" i="10"/>
  <c r="C731" i="10" s="1"/>
  <c r="A731" i="10"/>
  <c r="A730" i="10"/>
  <c r="B730" i="10" s="1"/>
  <c r="C730" i="10" s="1"/>
  <c r="B729" i="10"/>
  <c r="C729" i="10" s="1"/>
  <c r="A729" i="10"/>
  <c r="B728" i="10"/>
  <c r="C728" i="10" s="1"/>
  <c r="A728" i="10"/>
  <c r="C727" i="10"/>
  <c r="B727" i="10"/>
  <c r="A727" i="10"/>
  <c r="C726" i="10"/>
  <c r="A726" i="10"/>
  <c r="B726" i="10" s="1"/>
  <c r="C725" i="10"/>
  <c r="A725" i="10"/>
  <c r="B725" i="10" s="1"/>
  <c r="A724" i="10"/>
  <c r="B724" i="10" s="1"/>
  <c r="C724" i="10" s="1"/>
  <c r="B723" i="10"/>
  <c r="C723" i="10" s="1"/>
  <c r="A723" i="10"/>
  <c r="C722" i="10"/>
  <c r="A722" i="10"/>
  <c r="B722" i="10" s="1"/>
  <c r="A721" i="10"/>
  <c r="B721" i="10" s="1"/>
  <c r="C721" i="10" s="1"/>
  <c r="B720" i="10"/>
  <c r="C720" i="10" s="1"/>
  <c r="A720" i="10"/>
  <c r="C719" i="10"/>
  <c r="B719" i="10"/>
  <c r="A719" i="10"/>
  <c r="B718" i="10"/>
  <c r="C718" i="10" s="1"/>
  <c r="A718" i="10"/>
  <c r="B717" i="10"/>
  <c r="C717" i="10" s="1"/>
  <c r="A717" i="10"/>
  <c r="A716" i="10"/>
  <c r="B716" i="10" s="1"/>
  <c r="C716" i="10" s="1"/>
  <c r="A715" i="10"/>
  <c r="B715" i="10" s="1"/>
  <c r="C715" i="10" s="1"/>
  <c r="C714" i="10"/>
  <c r="A714" i="10"/>
  <c r="B714" i="10" s="1"/>
  <c r="A713" i="10"/>
  <c r="B713" i="10" s="1"/>
  <c r="C713" i="10" s="1"/>
  <c r="B712" i="10"/>
  <c r="C712" i="10" s="1"/>
  <c r="A712" i="10"/>
  <c r="B711" i="10"/>
  <c r="C711" i="10" s="1"/>
  <c r="A711" i="10"/>
  <c r="A710" i="10"/>
  <c r="B710" i="10" s="1"/>
  <c r="C710" i="10" s="1"/>
  <c r="C709" i="10"/>
  <c r="B709" i="10"/>
  <c r="A709" i="10"/>
  <c r="A708" i="10"/>
  <c r="B708" i="10" s="1"/>
  <c r="C708" i="10" s="1"/>
  <c r="A707" i="10"/>
  <c r="B707" i="10" s="1"/>
  <c r="C707" i="10" s="1"/>
  <c r="A706" i="10"/>
  <c r="B706" i="10" s="1"/>
  <c r="C706" i="10" s="1"/>
  <c r="A705" i="10"/>
  <c r="B705" i="10" s="1"/>
  <c r="C705" i="10" s="1"/>
  <c r="A704" i="10"/>
  <c r="B704" i="10" s="1"/>
  <c r="C704" i="10" s="1"/>
  <c r="B703" i="10"/>
  <c r="C703" i="10" s="1"/>
  <c r="A703" i="10"/>
  <c r="C702" i="10"/>
  <c r="B702" i="10"/>
  <c r="A702" i="10"/>
  <c r="C701" i="10"/>
  <c r="B701" i="10"/>
  <c r="A701" i="10"/>
  <c r="A700" i="10"/>
  <c r="B700" i="10" s="1"/>
  <c r="C700" i="10" s="1"/>
  <c r="C699" i="10"/>
  <c r="B699" i="10"/>
  <c r="A699" i="10"/>
  <c r="C698" i="10"/>
  <c r="B698" i="10"/>
  <c r="A698" i="10"/>
  <c r="A697" i="10"/>
  <c r="B697" i="10" s="1"/>
  <c r="C697" i="10" s="1"/>
  <c r="C696" i="10"/>
  <c r="B696" i="10"/>
  <c r="A696" i="10"/>
  <c r="C695" i="10"/>
  <c r="B695" i="10"/>
  <c r="A695" i="10"/>
  <c r="B694" i="10"/>
  <c r="C694" i="10" s="1"/>
  <c r="A694" i="10"/>
  <c r="A693" i="10"/>
  <c r="B693" i="10" s="1"/>
  <c r="C693" i="10" s="1"/>
  <c r="A692" i="10"/>
  <c r="B692" i="10" s="1"/>
  <c r="C692" i="10" s="1"/>
  <c r="C691" i="10"/>
  <c r="A691" i="10"/>
  <c r="B691" i="10" s="1"/>
  <c r="C690" i="10"/>
  <c r="A690" i="10"/>
  <c r="B690" i="10" s="1"/>
  <c r="B689" i="10"/>
  <c r="C689" i="10" s="1"/>
  <c r="A689" i="10"/>
  <c r="C688" i="10"/>
  <c r="B688" i="10"/>
  <c r="A688" i="10"/>
  <c r="C687" i="10"/>
  <c r="B687" i="10"/>
  <c r="A687" i="10"/>
  <c r="C686" i="10"/>
  <c r="A686" i="10"/>
  <c r="B686" i="10" s="1"/>
  <c r="C685" i="10"/>
  <c r="A685" i="10"/>
  <c r="B685" i="10" s="1"/>
  <c r="A684" i="10"/>
  <c r="B684" i="10" s="1"/>
  <c r="C684" i="10" s="1"/>
  <c r="A683" i="10"/>
  <c r="B683" i="10" s="1"/>
  <c r="C683" i="10" s="1"/>
  <c r="B682" i="10"/>
  <c r="C682" i="10" s="1"/>
  <c r="A682" i="10"/>
  <c r="A681" i="10"/>
  <c r="B681" i="10" s="1"/>
  <c r="C681" i="10" s="1"/>
  <c r="A680" i="10"/>
  <c r="B680" i="10" s="1"/>
  <c r="C680" i="10" s="1"/>
  <c r="C679" i="10"/>
  <c r="B679" i="10"/>
  <c r="A679" i="10"/>
  <c r="B678" i="10"/>
  <c r="C678" i="10" s="1"/>
  <c r="A678" i="10"/>
  <c r="A677" i="10"/>
  <c r="B677" i="10" s="1"/>
  <c r="C677" i="10" s="1"/>
  <c r="A676" i="10"/>
  <c r="B676" i="10" s="1"/>
  <c r="C676" i="10" s="1"/>
  <c r="B675" i="10"/>
  <c r="C675" i="10" s="1"/>
  <c r="A675" i="10"/>
  <c r="B674" i="10"/>
  <c r="C674" i="10" s="1"/>
  <c r="A674" i="10"/>
  <c r="A673" i="10"/>
  <c r="B673" i="10" s="1"/>
  <c r="C673" i="10" s="1"/>
  <c r="A672" i="10"/>
  <c r="B672" i="10" s="1"/>
  <c r="C672" i="10" s="1"/>
  <c r="B671" i="10"/>
  <c r="C671" i="10" s="1"/>
  <c r="A671" i="10"/>
  <c r="B670" i="10"/>
  <c r="C670" i="10" s="1"/>
  <c r="A670" i="10"/>
  <c r="B669" i="10"/>
  <c r="C669" i="10" s="1"/>
  <c r="A669" i="10"/>
  <c r="A668" i="10"/>
  <c r="B668" i="10" s="1"/>
  <c r="C668" i="10" s="1"/>
  <c r="B667" i="10"/>
  <c r="C667" i="10" s="1"/>
  <c r="A667" i="10"/>
  <c r="B666" i="10"/>
  <c r="C666" i="10" s="1"/>
  <c r="A666" i="10"/>
  <c r="C665" i="10"/>
  <c r="B665" i="10"/>
  <c r="A665" i="10"/>
  <c r="C664" i="10"/>
  <c r="A664" i="10"/>
  <c r="B664" i="10" s="1"/>
  <c r="B663" i="10"/>
  <c r="C663" i="10" s="1"/>
  <c r="A663" i="10"/>
  <c r="C662" i="10"/>
  <c r="B662" i="10"/>
  <c r="A662" i="10"/>
  <c r="B661" i="10"/>
  <c r="C661" i="10" s="1"/>
  <c r="A661" i="10"/>
  <c r="B660" i="10"/>
  <c r="C660" i="10" s="1"/>
  <c r="A660" i="10"/>
  <c r="C659" i="10"/>
  <c r="B659" i="10"/>
  <c r="A659" i="10"/>
  <c r="A658" i="10"/>
  <c r="B658" i="10" s="1"/>
  <c r="C658" i="10" s="1"/>
  <c r="C657" i="10"/>
  <c r="B657" i="10"/>
  <c r="A657" i="10"/>
  <c r="C656" i="10"/>
  <c r="A656" i="10"/>
  <c r="B656" i="10" s="1"/>
  <c r="C655" i="10"/>
  <c r="A655" i="10"/>
  <c r="B655" i="10" s="1"/>
  <c r="A654" i="10"/>
  <c r="B654" i="10" s="1"/>
  <c r="C654" i="10" s="1"/>
  <c r="B653" i="10"/>
  <c r="C653" i="10" s="1"/>
  <c r="A653" i="10"/>
  <c r="C652" i="10"/>
  <c r="A652" i="10"/>
  <c r="B652" i="10" s="1"/>
  <c r="B651" i="10"/>
  <c r="C651" i="10" s="1"/>
  <c r="A651" i="10"/>
  <c r="A650" i="10"/>
  <c r="B650" i="10" s="1"/>
  <c r="C650" i="10" s="1"/>
  <c r="A649" i="10"/>
  <c r="B649" i="10" s="1"/>
  <c r="C649" i="10" s="1"/>
  <c r="A648" i="10"/>
  <c r="B648" i="10" s="1"/>
  <c r="C648" i="10" s="1"/>
  <c r="C647" i="10"/>
  <c r="A647" i="10"/>
  <c r="B647" i="10" s="1"/>
  <c r="B646" i="10"/>
  <c r="C646" i="10" s="1"/>
  <c r="A646" i="10"/>
  <c r="B645" i="10"/>
  <c r="C645" i="10" s="1"/>
  <c r="A645" i="10"/>
  <c r="C644" i="10"/>
  <c r="A644" i="10"/>
  <c r="B644" i="10" s="1"/>
  <c r="B643" i="10"/>
  <c r="C643" i="10" s="1"/>
  <c r="A643" i="10"/>
  <c r="B642" i="10"/>
  <c r="C642" i="10" s="1"/>
  <c r="A642" i="10"/>
  <c r="B641" i="10"/>
  <c r="C641" i="10" s="1"/>
  <c r="A641" i="10"/>
  <c r="A640" i="10"/>
  <c r="B640" i="10" s="1"/>
  <c r="C640" i="10" s="1"/>
  <c r="A639" i="10"/>
  <c r="B639" i="10" s="1"/>
  <c r="C639" i="10" s="1"/>
  <c r="B638" i="10"/>
  <c r="C638" i="10" s="1"/>
  <c r="A638" i="10"/>
  <c r="B637" i="10"/>
  <c r="C637" i="10" s="1"/>
  <c r="A637" i="10"/>
  <c r="C636" i="10"/>
  <c r="B636" i="10"/>
  <c r="A636" i="10"/>
  <c r="B635" i="10"/>
  <c r="C635" i="10" s="1"/>
  <c r="A635" i="10"/>
  <c r="C634" i="10"/>
  <c r="B634" i="10"/>
  <c r="A634" i="10"/>
  <c r="C633" i="10"/>
  <c r="B633" i="10"/>
  <c r="A633" i="10"/>
  <c r="A632" i="10"/>
  <c r="B632" i="10" s="1"/>
  <c r="C632" i="10" s="1"/>
  <c r="C631" i="10"/>
  <c r="B631" i="10"/>
  <c r="A631" i="10"/>
  <c r="C630" i="10"/>
  <c r="B630" i="10"/>
  <c r="A630" i="10"/>
  <c r="A629" i="10"/>
  <c r="B629" i="10" s="1"/>
  <c r="C629" i="10" s="1"/>
  <c r="C628" i="10"/>
  <c r="B628" i="10"/>
  <c r="A628" i="10"/>
  <c r="B627" i="10"/>
  <c r="C627" i="10" s="1"/>
  <c r="A627" i="10"/>
  <c r="A626" i="10"/>
  <c r="B626" i="10" s="1"/>
  <c r="C626" i="10" s="1"/>
  <c r="A625" i="10"/>
  <c r="B625" i="10" s="1"/>
  <c r="C625" i="10" s="1"/>
  <c r="C624" i="10"/>
  <c r="A624" i="10"/>
  <c r="B624" i="10" s="1"/>
  <c r="A623" i="10"/>
  <c r="B623" i="10" s="1"/>
  <c r="C623" i="10" s="1"/>
  <c r="C622" i="10"/>
  <c r="A622" i="10"/>
  <c r="B622" i="10" s="1"/>
  <c r="B621" i="10"/>
  <c r="C621" i="10" s="1"/>
  <c r="A621" i="10"/>
  <c r="C620" i="10"/>
  <c r="A620" i="10"/>
  <c r="B620" i="10" s="1"/>
  <c r="C619" i="10"/>
  <c r="B619" i="10"/>
  <c r="A619" i="10"/>
  <c r="C618" i="10"/>
  <c r="A618" i="10"/>
  <c r="B618" i="10" s="1"/>
  <c r="A617" i="10"/>
  <c r="B617" i="10" s="1"/>
  <c r="C617" i="10" s="1"/>
  <c r="C616" i="10"/>
  <c r="A616" i="10"/>
  <c r="B616" i="10" s="1"/>
  <c r="A615" i="10"/>
  <c r="B615" i="10" s="1"/>
  <c r="C615" i="10" s="1"/>
  <c r="A614" i="10"/>
  <c r="B614" i="10" s="1"/>
  <c r="C614" i="10" s="1"/>
  <c r="A613" i="10"/>
  <c r="B613" i="10" s="1"/>
  <c r="C613" i="10" s="1"/>
  <c r="A612" i="10"/>
  <c r="B612" i="10" s="1"/>
  <c r="C612" i="10" s="1"/>
  <c r="C611" i="10"/>
  <c r="B611" i="10"/>
  <c r="A611" i="10"/>
  <c r="B610" i="10"/>
  <c r="C610" i="10" s="1"/>
  <c r="A610" i="10"/>
  <c r="A609" i="10"/>
  <c r="B609" i="10" s="1"/>
  <c r="C609" i="10" s="1"/>
  <c r="C608" i="10"/>
  <c r="A608" i="10"/>
  <c r="B608" i="10" s="1"/>
  <c r="B607" i="10"/>
  <c r="C607" i="10" s="1"/>
  <c r="A607" i="10"/>
  <c r="B606" i="10"/>
  <c r="C606" i="10" s="1"/>
  <c r="A606" i="10"/>
  <c r="A605" i="10"/>
  <c r="B605" i="10" s="1"/>
  <c r="C605" i="10" s="1"/>
  <c r="B604" i="10"/>
  <c r="C604" i="10" s="1"/>
  <c r="A604" i="10"/>
  <c r="B603" i="10"/>
  <c r="C603" i="10" s="1"/>
  <c r="A603" i="10"/>
  <c r="B602" i="10"/>
  <c r="C602" i="10" s="1"/>
  <c r="A602" i="10"/>
  <c r="B601" i="10"/>
  <c r="C601" i="10" s="1"/>
  <c r="A601" i="10"/>
  <c r="C600" i="10"/>
  <c r="A600" i="10"/>
  <c r="B600" i="10" s="1"/>
  <c r="B599" i="10"/>
  <c r="C599" i="10" s="1"/>
  <c r="A599" i="10"/>
  <c r="B598" i="10"/>
  <c r="C598" i="10" s="1"/>
  <c r="A598" i="10"/>
  <c r="A597" i="10"/>
  <c r="B597" i="10" s="1"/>
  <c r="C597" i="10" s="1"/>
  <c r="B596" i="10"/>
  <c r="C596" i="10" s="1"/>
  <c r="A596" i="10"/>
  <c r="B595" i="10"/>
  <c r="C595" i="10" s="1"/>
  <c r="A595" i="10"/>
  <c r="C594" i="10"/>
  <c r="B594" i="10"/>
  <c r="A594" i="10"/>
  <c r="B593" i="10"/>
  <c r="C593" i="10" s="1"/>
  <c r="A593" i="10"/>
  <c r="C592" i="10"/>
  <c r="A592" i="10"/>
  <c r="B592" i="10" s="1"/>
  <c r="C591" i="10"/>
  <c r="B591" i="10"/>
  <c r="A591" i="10"/>
  <c r="B590" i="10"/>
  <c r="C590" i="10" s="1"/>
  <c r="A590" i="10"/>
  <c r="B589" i="10"/>
  <c r="C589" i="10" s="1"/>
  <c r="A589" i="10"/>
  <c r="C588" i="10"/>
  <c r="B588" i="10"/>
  <c r="A588" i="10"/>
  <c r="B587" i="10"/>
  <c r="C587" i="10" s="1"/>
  <c r="A587" i="10"/>
  <c r="A586" i="10"/>
  <c r="B586" i="10" s="1"/>
  <c r="C586" i="10" s="1"/>
  <c r="C585" i="10"/>
  <c r="B585" i="10"/>
  <c r="A585" i="10"/>
  <c r="A584" i="10"/>
  <c r="B584" i="10" s="1"/>
  <c r="C584" i="10" s="1"/>
  <c r="A583" i="10"/>
  <c r="B583" i="10" s="1"/>
  <c r="C583" i="10" s="1"/>
  <c r="B582" i="10"/>
  <c r="C582" i="10" s="1"/>
  <c r="A582" i="10"/>
  <c r="A581" i="10"/>
  <c r="B581" i="10" s="1"/>
  <c r="C581" i="10" s="1"/>
  <c r="A580" i="10"/>
  <c r="B580" i="10" s="1"/>
  <c r="C580" i="10" s="1"/>
  <c r="B579" i="10"/>
  <c r="C579" i="10" s="1"/>
  <c r="A579" i="10"/>
  <c r="C578" i="10"/>
  <c r="A578" i="10"/>
  <c r="B578" i="10" s="1"/>
  <c r="A577" i="10"/>
  <c r="B577" i="10" s="1"/>
  <c r="C577" i="10" s="1"/>
  <c r="C576" i="10"/>
  <c r="A576" i="10"/>
  <c r="B576" i="10" s="1"/>
  <c r="C575" i="10"/>
  <c r="B575" i="10"/>
  <c r="A575" i="10"/>
  <c r="A574" i="10"/>
  <c r="B574" i="10" s="1"/>
  <c r="C574" i="10" s="1"/>
  <c r="B573" i="10"/>
  <c r="C573" i="10" s="1"/>
  <c r="A573" i="10"/>
  <c r="A572" i="10"/>
  <c r="B572" i="10" s="1"/>
  <c r="C572" i="10" s="1"/>
  <c r="A571" i="10"/>
  <c r="B571" i="10" s="1"/>
  <c r="C571" i="10" s="1"/>
  <c r="A570" i="10"/>
  <c r="B570" i="10" s="1"/>
  <c r="C570" i="10" s="1"/>
  <c r="C569" i="10"/>
  <c r="B569" i="10"/>
  <c r="A569" i="10"/>
  <c r="B568" i="10"/>
  <c r="C568" i="10" s="1"/>
  <c r="A568" i="10"/>
  <c r="A567" i="10"/>
  <c r="B567" i="10" s="1"/>
  <c r="C567" i="10" s="1"/>
  <c r="C566" i="10"/>
  <c r="A566" i="10"/>
  <c r="B566" i="10" s="1"/>
  <c r="A565" i="10"/>
  <c r="B565" i="10" s="1"/>
  <c r="C565" i="10" s="1"/>
  <c r="C564" i="10"/>
  <c r="A564" i="10"/>
  <c r="B564" i="10" s="1"/>
  <c r="A563" i="10"/>
  <c r="B563" i="10" s="1"/>
  <c r="C563" i="10" s="1"/>
  <c r="A562" i="10"/>
  <c r="B562" i="10" s="1"/>
  <c r="C562" i="10" s="1"/>
  <c r="C561" i="10"/>
  <c r="B561" i="10"/>
  <c r="A561" i="10"/>
  <c r="B560" i="10"/>
  <c r="C560" i="10" s="1"/>
  <c r="A560" i="10"/>
  <c r="A559" i="10"/>
  <c r="B559" i="10" s="1"/>
  <c r="C559" i="10" s="1"/>
  <c r="C558" i="10"/>
  <c r="A558" i="10"/>
  <c r="B558" i="10" s="1"/>
  <c r="B557" i="10"/>
  <c r="C557" i="10" s="1"/>
  <c r="A557" i="10"/>
  <c r="B556" i="10"/>
  <c r="C556" i="10" s="1"/>
  <c r="A556" i="10"/>
  <c r="B555" i="10"/>
  <c r="C555" i="10" s="1"/>
  <c r="A555" i="10"/>
  <c r="B554" i="10"/>
  <c r="C554" i="10" s="1"/>
  <c r="A554" i="10"/>
  <c r="B553" i="10"/>
  <c r="C553" i="10" s="1"/>
  <c r="A553" i="10"/>
  <c r="C552" i="10"/>
  <c r="A552" i="10"/>
  <c r="B552" i="10" s="1"/>
  <c r="A551" i="10"/>
  <c r="B551" i="10" s="1"/>
  <c r="C551" i="10" s="1"/>
  <c r="A550" i="10"/>
  <c r="B550" i="10" s="1"/>
  <c r="C550" i="10" s="1"/>
  <c r="C549" i="10"/>
  <c r="B549" i="10"/>
  <c r="A549" i="10"/>
  <c r="A548" i="10"/>
  <c r="B548" i="10" s="1"/>
  <c r="C548" i="10" s="1"/>
  <c r="B547" i="10"/>
  <c r="C547" i="10" s="1"/>
  <c r="A547" i="10"/>
  <c r="A546" i="10"/>
  <c r="B546" i="10" s="1"/>
  <c r="C546" i="10" s="1"/>
  <c r="C545" i="10"/>
  <c r="B545" i="10"/>
  <c r="A545" i="10"/>
  <c r="C544" i="10"/>
  <c r="A544" i="10"/>
  <c r="B544" i="10" s="1"/>
  <c r="B543" i="10"/>
  <c r="C543" i="10" s="1"/>
  <c r="A543" i="10"/>
  <c r="A542" i="10"/>
  <c r="B542" i="10" s="1"/>
  <c r="C542" i="10" s="1"/>
  <c r="B541" i="10"/>
  <c r="C541" i="10" s="1"/>
  <c r="A541" i="10"/>
  <c r="A540" i="10"/>
  <c r="B540" i="10" s="1"/>
  <c r="C540" i="10" s="1"/>
  <c r="A539" i="10"/>
  <c r="B539" i="10" s="1"/>
  <c r="C539" i="10" s="1"/>
  <c r="A538" i="10"/>
  <c r="B538" i="10" s="1"/>
  <c r="C538" i="10" s="1"/>
  <c r="B537" i="10"/>
  <c r="C537" i="10" s="1"/>
  <c r="A537" i="10"/>
  <c r="B536" i="10"/>
  <c r="C536" i="10" s="1"/>
  <c r="A536" i="10"/>
  <c r="A535" i="10"/>
  <c r="B535" i="10" s="1"/>
  <c r="C535" i="10" s="1"/>
  <c r="A534" i="10"/>
  <c r="B534" i="10" s="1"/>
  <c r="C534" i="10" s="1"/>
  <c r="A533" i="10"/>
  <c r="B533" i="10" s="1"/>
  <c r="C533" i="10" s="1"/>
  <c r="A532" i="10"/>
  <c r="B532" i="10" s="1"/>
  <c r="C532" i="10" s="1"/>
  <c r="B531" i="10"/>
  <c r="C531" i="10" s="1"/>
  <c r="A531" i="10"/>
  <c r="B530" i="10"/>
  <c r="C530" i="10" s="1"/>
  <c r="A530" i="10"/>
  <c r="C529" i="10"/>
  <c r="B529" i="10"/>
  <c r="A529" i="10"/>
  <c r="C528" i="10"/>
  <c r="B528" i="10"/>
  <c r="A528" i="10"/>
  <c r="C527" i="10"/>
  <c r="B527" i="10"/>
  <c r="A527" i="10"/>
  <c r="A526" i="10"/>
  <c r="B526" i="10" s="1"/>
  <c r="C526" i="10" s="1"/>
  <c r="C525" i="10"/>
  <c r="B525" i="10"/>
  <c r="A525" i="10"/>
  <c r="A524" i="10"/>
  <c r="B524" i="10" s="1"/>
  <c r="C524" i="10" s="1"/>
  <c r="A523" i="10"/>
  <c r="B523" i="10" s="1"/>
  <c r="C523" i="10" s="1"/>
  <c r="B522" i="10"/>
  <c r="C522" i="10" s="1"/>
  <c r="A522" i="10"/>
  <c r="B521" i="10"/>
  <c r="C521" i="10" s="1"/>
  <c r="A521" i="10"/>
  <c r="A520" i="10"/>
  <c r="B520" i="10" s="1"/>
  <c r="C520" i="10" s="1"/>
  <c r="C519" i="10"/>
  <c r="A519" i="10"/>
  <c r="B519" i="10" s="1"/>
  <c r="A518" i="10"/>
  <c r="B518" i="10" s="1"/>
  <c r="C518" i="10" s="1"/>
  <c r="A517" i="10"/>
  <c r="B517" i="10" s="1"/>
  <c r="C517" i="10" s="1"/>
  <c r="C516" i="10"/>
  <c r="A516" i="10"/>
  <c r="B516" i="10" s="1"/>
  <c r="A515" i="10"/>
  <c r="B515" i="10" s="1"/>
  <c r="C515" i="10" s="1"/>
  <c r="B514" i="10"/>
  <c r="C514" i="10" s="1"/>
  <c r="A514" i="10"/>
  <c r="C513" i="10"/>
  <c r="B513" i="10"/>
  <c r="A513" i="10"/>
  <c r="B512" i="10"/>
  <c r="C512" i="10" s="1"/>
  <c r="A512" i="10"/>
  <c r="A511" i="10"/>
  <c r="B511" i="10" s="1"/>
  <c r="C511" i="10" s="1"/>
  <c r="A510" i="10"/>
  <c r="B510" i="10" s="1"/>
  <c r="C510" i="10" s="1"/>
  <c r="A509" i="10"/>
  <c r="B509" i="10" s="1"/>
  <c r="C509" i="10" s="1"/>
  <c r="B508" i="10"/>
  <c r="C508" i="10" s="1"/>
  <c r="A508" i="10"/>
  <c r="A507" i="10"/>
  <c r="B507" i="10" s="1"/>
  <c r="C507" i="10" s="1"/>
  <c r="B506" i="10"/>
  <c r="C506" i="10" s="1"/>
  <c r="A506" i="10"/>
  <c r="C505" i="10"/>
  <c r="B505" i="10"/>
  <c r="A505" i="10"/>
  <c r="A504" i="10"/>
  <c r="B504" i="10" s="1"/>
  <c r="C504" i="10" s="1"/>
  <c r="B503" i="10"/>
  <c r="C503" i="10" s="1"/>
  <c r="A503" i="10"/>
  <c r="A502" i="10"/>
  <c r="B502" i="10" s="1"/>
  <c r="C502" i="10" s="1"/>
  <c r="B501" i="10"/>
  <c r="C501" i="10" s="1"/>
  <c r="A501" i="10"/>
  <c r="A500" i="10"/>
  <c r="B500" i="10" s="1"/>
  <c r="C500" i="10" s="1"/>
  <c r="A499" i="10"/>
  <c r="B499" i="10" s="1"/>
  <c r="C499" i="10" s="1"/>
  <c r="B498" i="10"/>
  <c r="C498" i="10" s="1"/>
  <c r="A498" i="10"/>
  <c r="B497" i="10"/>
  <c r="C497" i="10" s="1"/>
  <c r="A497" i="10"/>
  <c r="C496" i="10"/>
  <c r="B496" i="10"/>
  <c r="A496" i="10"/>
  <c r="B495" i="10"/>
  <c r="C495" i="10" s="1"/>
  <c r="A495" i="10"/>
  <c r="A494" i="10"/>
  <c r="B494" i="10" s="1"/>
  <c r="C494" i="10" s="1"/>
  <c r="C493" i="10"/>
  <c r="B493" i="10"/>
  <c r="A493" i="10"/>
  <c r="B492" i="10"/>
  <c r="C492" i="10" s="1"/>
  <c r="A492" i="10"/>
  <c r="A491" i="10"/>
  <c r="B491" i="10" s="1"/>
  <c r="C491" i="10" s="1"/>
  <c r="C490" i="10"/>
  <c r="B490" i="10"/>
  <c r="A490" i="10"/>
  <c r="B489" i="10"/>
  <c r="C489" i="10" s="1"/>
  <c r="A489" i="10"/>
  <c r="A488" i="10"/>
  <c r="B488" i="10" s="1"/>
  <c r="C488" i="10" s="1"/>
  <c r="A487" i="10"/>
  <c r="B487" i="10" s="1"/>
  <c r="C487" i="10" s="1"/>
  <c r="C486" i="10"/>
  <c r="A486" i="10"/>
  <c r="B486" i="10" s="1"/>
  <c r="A485" i="10"/>
  <c r="B485" i="10" s="1"/>
  <c r="C485" i="10" s="1"/>
  <c r="C484" i="10"/>
  <c r="A484" i="10"/>
  <c r="B484" i="10" s="1"/>
  <c r="A483" i="10"/>
  <c r="B483" i="10" s="1"/>
  <c r="C483" i="10" s="1"/>
  <c r="A482" i="10"/>
  <c r="B482" i="10" s="1"/>
  <c r="C482" i="10" s="1"/>
  <c r="C481" i="10"/>
  <c r="B481" i="10"/>
  <c r="A481" i="10"/>
  <c r="A480" i="10"/>
  <c r="B480" i="10" s="1"/>
  <c r="C480" i="10" s="1"/>
  <c r="A479" i="10"/>
  <c r="B479" i="10" s="1"/>
  <c r="C479" i="10" s="1"/>
  <c r="A478" i="10"/>
  <c r="B478" i="10" s="1"/>
  <c r="C478" i="10" s="1"/>
  <c r="B477" i="10"/>
  <c r="C477" i="10" s="1"/>
  <c r="A477" i="10"/>
  <c r="A476" i="10"/>
  <c r="B476" i="10" s="1"/>
  <c r="C476" i="10" s="1"/>
  <c r="A475" i="10"/>
  <c r="B475" i="10" s="1"/>
  <c r="C475" i="10" s="1"/>
  <c r="A474" i="10"/>
  <c r="B474" i="10" s="1"/>
  <c r="C474" i="10" s="1"/>
  <c r="B473" i="10"/>
  <c r="C473" i="10" s="1"/>
  <c r="A473" i="10"/>
  <c r="A472" i="10"/>
  <c r="B472" i="10" s="1"/>
  <c r="C472" i="10" s="1"/>
  <c r="A471" i="10"/>
  <c r="B471" i="10" s="1"/>
  <c r="C471" i="10" s="1"/>
  <c r="A470" i="10"/>
  <c r="B470" i="10" s="1"/>
  <c r="C470" i="10" s="1"/>
  <c r="A469" i="10"/>
  <c r="B469" i="10" s="1"/>
  <c r="C469" i="10" s="1"/>
  <c r="C468" i="10"/>
  <c r="B468" i="10"/>
  <c r="A468" i="10"/>
  <c r="A467" i="10"/>
  <c r="B467" i="10" s="1"/>
  <c r="C467" i="10" s="1"/>
  <c r="B466" i="10"/>
  <c r="C466" i="10" s="1"/>
  <c r="A466" i="10"/>
  <c r="B465" i="10"/>
  <c r="C465" i="10" s="1"/>
  <c r="A465" i="10"/>
  <c r="B464" i="10"/>
  <c r="C464" i="10" s="1"/>
  <c r="A464" i="10"/>
  <c r="A463" i="10"/>
  <c r="B463" i="10" s="1"/>
  <c r="C463" i="10" s="1"/>
  <c r="A462" i="10"/>
  <c r="B462" i="10" s="1"/>
  <c r="C462" i="10" s="1"/>
  <c r="B461" i="10"/>
  <c r="C461" i="10" s="1"/>
  <c r="A461" i="10"/>
  <c r="A460" i="10"/>
  <c r="B460" i="10" s="1"/>
  <c r="C460" i="10" s="1"/>
  <c r="A459" i="10"/>
  <c r="B459" i="10" s="1"/>
  <c r="C459" i="10" s="1"/>
  <c r="B458" i="10"/>
  <c r="C458" i="10" s="1"/>
  <c r="A458" i="10"/>
  <c r="C457" i="10"/>
  <c r="B457" i="10"/>
  <c r="A457" i="10"/>
  <c r="B456" i="10"/>
  <c r="C456" i="10" s="1"/>
  <c r="A456" i="10"/>
  <c r="A455" i="10"/>
  <c r="B455" i="10" s="1"/>
  <c r="C455" i="10" s="1"/>
  <c r="C454" i="10"/>
  <c r="A454" i="10"/>
  <c r="B454" i="10" s="1"/>
  <c r="A453" i="10"/>
  <c r="B453" i="10" s="1"/>
  <c r="C453" i="10" s="1"/>
  <c r="A452" i="10"/>
  <c r="B452" i="10" s="1"/>
  <c r="C452" i="10" s="1"/>
  <c r="B451" i="10"/>
  <c r="C451" i="10" s="1"/>
  <c r="A451" i="10"/>
  <c r="A450" i="10"/>
  <c r="B450" i="10" s="1"/>
  <c r="C450" i="10" s="1"/>
  <c r="C449" i="10"/>
  <c r="B449" i="10"/>
  <c r="A449" i="10"/>
  <c r="B448" i="10"/>
  <c r="C448" i="10" s="1"/>
  <c r="A448" i="10"/>
  <c r="B447" i="10"/>
  <c r="C447" i="10" s="1"/>
  <c r="A447" i="10"/>
  <c r="A446" i="10"/>
  <c r="B446" i="10" s="1"/>
  <c r="C446" i="10" s="1"/>
  <c r="C445" i="10"/>
  <c r="A445" i="10"/>
  <c r="B445" i="10" s="1"/>
  <c r="A444" i="10"/>
  <c r="B444" i="10" s="1"/>
  <c r="C444" i="10" s="1"/>
  <c r="A443" i="10"/>
  <c r="B443" i="10" s="1"/>
  <c r="C443" i="10" s="1"/>
  <c r="B442" i="10"/>
  <c r="C442" i="10" s="1"/>
  <c r="A442" i="10"/>
  <c r="C441" i="10"/>
  <c r="B441" i="10"/>
  <c r="A441" i="10"/>
  <c r="A440" i="10"/>
  <c r="B440" i="10" s="1"/>
  <c r="C440" i="10" s="1"/>
  <c r="A439" i="10"/>
  <c r="B439" i="10" s="1"/>
  <c r="C439" i="10" s="1"/>
  <c r="C438" i="10"/>
  <c r="A438" i="10"/>
  <c r="B438" i="10" s="1"/>
  <c r="A437" i="10"/>
  <c r="B437" i="10" s="1"/>
  <c r="C437" i="10" s="1"/>
  <c r="A436" i="10"/>
  <c r="B436" i="10" s="1"/>
  <c r="C436" i="10" s="1"/>
  <c r="B435" i="10"/>
  <c r="C435" i="10" s="1"/>
  <c r="A435" i="10"/>
  <c r="A434" i="10"/>
  <c r="B434" i="10" s="1"/>
  <c r="C434" i="10" s="1"/>
  <c r="B433" i="10"/>
  <c r="C433" i="10" s="1"/>
  <c r="A433" i="10"/>
  <c r="B432" i="10"/>
  <c r="C432" i="10" s="1"/>
  <c r="A432" i="10"/>
  <c r="A431" i="10"/>
  <c r="B431" i="10" s="1"/>
  <c r="C431" i="10" s="1"/>
  <c r="C430" i="10"/>
  <c r="A430" i="10"/>
  <c r="B430" i="10" s="1"/>
  <c r="B429" i="10"/>
  <c r="C429" i="10" s="1"/>
  <c r="A429" i="10"/>
  <c r="A428" i="10"/>
  <c r="B428" i="10" s="1"/>
  <c r="C428" i="10" s="1"/>
  <c r="B427" i="10"/>
  <c r="C427" i="10" s="1"/>
  <c r="A427" i="10"/>
  <c r="B426" i="10"/>
  <c r="C426" i="10" s="1"/>
  <c r="A426" i="10"/>
  <c r="B425" i="10"/>
  <c r="C425" i="10" s="1"/>
  <c r="A425" i="10"/>
  <c r="A424" i="10"/>
  <c r="B424" i="10" s="1"/>
  <c r="C424" i="10" s="1"/>
  <c r="A423" i="10"/>
  <c r="B423" i="10" s="1"/>
  <c r="C423" i="10" s="1"/>
  <c r="A422" i="10"/>
  <c r="B422" i="10" s="1"/>
  <c r="C422" i="10" s="1"/>
  <c r="C421" i="10"/>
  <c r="B421" i="10"/>
  <c r="A421" i="10"/>
  <c r="A420" i="10"/>
  <c r="B420" i="10" s="1"/>
  <c r="C420" i="10" s="1"/>
  <c r="B419" i="10"/>
  <c r="C419" i="10" s="1"/>
  <c r="A419" i="10"/>
  <c r="A418" i="10"/>
  <c r="B418" i="10" s="1"/>
  <c r="C418" i="10" s="1"/>
  <c r="C417" i="10"/>
  <c r="B417" i="10"/>
  <c r="A417" i="10"/>
  <c r="A416" i="10"/>
  <c r="B416" i="10" s="1"/>
  <c r="C416" i="10" s="1"/>
  <c r="C415" i="10"/>
  <c r="B415" i="10"/>
  <c r="A415" i="10"/>
  <c r="A414" i="10"/>
  <c r="B414" i="10" s="1"/>
  <c r="C414" i="10" s="1"/>
  <c r="B413" i="10"/>
  <c r="C413" i="10" s="1"/>
  <c r="A413" i="10"/>
  <c r="A412" i="10"/>
  <c r="B412" i="10" s="1"/>
  <c r="C412" i="10" s="1"/>
  <c r="A411" i="10"/>
  <c r="B411" i="10" s="1"/>
  <c r="C411" i="10" s="1"/>
  <c r="A410" i="10"/>
  <c r="B410" i="10" s="1"/>
  <c r="C410" i="10" s="1"/>
  <c r="B409" i="10"/>
  <c r="C409" i="10" s="1"/>
  <c r="A409" i="10"/>
  <c r="B408" i="10"/>
  <c r="C408" i="10" s="1"/>
  <c r="A408" i="10"/>
  <c r="A407" i="10"/>
  <c r="B407" i="10" s="1"/>
  <c r="C407" i="10" s="1"/>
  <c r="A406" i="10"/>
  <c r="B406" i="10" s="1"/>
  <c r="C406" i="10" s="1"/>
  <c r="A405" i="10"/>
  <c r="B405" i="10" s="1"/>
  <c r="C405" i="10" s="1"/>
  <c r="B404" i="10"/>
  <c r="C404" i="10" s="1"/>
  <c r="A404" i="10"/>
  <c r="B403" i="10"/>
  <c r="C403" i="10" s="1"/>
  <c r="A403" i="10"/>
  <c r="A402" i="10"/>
  <c r="B402" i="10" s="1"/>
  <c r="C402" i="10" s="1"/>
  <c r="C401" i="10"/>
  <c r="B401" i="10"/>
  <c r="A401" i="10"/>
  <c r="C400" i="10"/>
  <c r="B400" i="10"/>
  <c r="A400" i="10"/>
  <c r="A399" i="10"/>
  <c r="B399" i="10" s="1"/>
  <c r="C399" i="10" s="1"/>
  <c r="A398" i="10"/>
  <c r="B398" i="10" s="1"/>
  <c r="C398" i="10" s="1"/>
  <c r="B397" i="10"/>
  <c r="C397" i="10" s="1"/>
  <c r="A397" i="10"/>
  <c r="A396" i="10"/>
  <c r="B396" i="10" s="1"/>
  <c r="C396" i="10" s="1"/>
  <c r="A395" i="10"/>
  <c r="B395" i="10" s="1"/>
  <c r="C395" i="10" s="1"/>
  <c r="B394" i="10"/>
  <c r="C394" i="10" s="1"/>
  <c r="A394" i="10"/>
  <c r="C393" i="10"/>
  <c r="B393" i="10"/>
  <c r="A393" i="10"/>
  <c r="B392" i="10"/>
  <c r="C392" i="10" s="1"/>
  <c r="A392" i="10"/>
  <c r="C391" i="10"/>
  <c r="A391" i="10"/>
  <c r="B391" i="10" s="1"/>
  <c r="A390" i="10"/>
  <c r="B390" i="10" s="1"/>
  <c r="C390" i="10" s="1"/>
  <c r="A389" i="10"/>
  <c r="B389" i="10" s="1"/>
  <c r="C389" i="10" s="1"/>
  <c r="C388" i="10"/>
  <c r="A388" i="10"/>
  <c r="B388" i="10" s="1"/>
  <c r="A387" i="10"/>
  <c r="B387" i="10" s="1"/>
  <c r="C387" i="10" s="1"/>
  <c r="B386" i="10"/>
  <c r="C386" i="10" s="1"/>
  <c r="A386" i="10"/>
  <c r="C385" i="10"/>
  <c r="B385" i="10"/>
  <c r="A385" i="10"/>
  <c r="B384" i="10"/>
  <c r="C384" i="10" s="1"/>
  <c r="A384" i="10"/>
  <c r="A383" i="10"/>
  <c r="B383" i="10" s="1"/>
  <c r="C383" i="10" s="1"/>
  <c r="A382" i="10"/>
  <c r="B382" i="10" s="1"/>
  <c r="C382" i="10" s="1"/>
  <c r="A381" i="10"/>
  <c r="B381" i="10" s="1"/>
  <c r="C381" i="10" s="1"/>
  <c r="B380" i="10"/>
  <c r="C380" i="10" s="1"/>
  <c r="A380" i="10"/>
  <c r="A379" i="10"/>
  <c r="B379" i="10" s="1"/>
  <c r="C379" i="10" s="1"/>
  <c r="B378" i="10"/>
  <c r="C378" i="10" s="1"/>
  <c r="A378" i="10"/>
  <c r="B377" i="10"/>
  <c r="C377" i="10" s="1"/>
  <c r="A377" i="10"/>
  <c r="A376" i="10"/>
  <c r="B376" i="10" s="1"/>
  <c r="C376" i="10" s="1"/>
  <c r="C375" i="10"/>
  <c r="B375" i="10"/>
  <c r="A375" i="10"/>
  <c r="A374" i="10"/>
  <c r="B374" i="10" s="1"/>
  <c r="C374" i="10" s="1"/>
  <c r="B373" i="10"/>
  <c r="C373" i="10" s="1"/>
  <c r="A373" i="10"/>
  <c r="B372" i="10"/>
  <c r="C372" i="10" s="1"/>
  <c r="A372" i="10"/>
  <c r="A371" i="10"/>
  <c r="B371" i="10" s="1"/>
  <c r="C371" i="10" s="1"/>
  <c r="A370" i="10"/>
  <c r="B370" i="10" s="1"/>
  <c r="C370" i="10" s="1"/>
  <c r="B369" i="10"/>
  <c r="C369" i="10" s="1"/>
  <c r="A369" i="10"/>
  <c r="C368" i="10"/>
  <c r="B368" i="10"/>
  <c r="A368" i="10"/>
  <c r="C367" i="10"/>
  <c r="B367" i="10"/>
  <c r="A367" i="10"/>
  <c r="C366" i="10"/>
  <c r="A366" i="10"/>
  <c r="B366" i="10" s="1"/>
  <c r="C365" i="10"/>
  <c r="B365" i="10"/>
  <c r="A365" i="10"/>
  <c r="C364" i="10"/>
  <c r="B364" i="10"/>
  <c r="A364" i="10"/>
  <c r="B363" i="10"/>
  <c r="C363" i="10" s="1"/>
  <c r="A363" i="10"/>
  <c r="C362" i="10"/>
  <c r="B362" i="10"/>
  <c r="A362" i="10"/>
  <c r="C361" i="10"/>
  <c r="B361" i="10"/>
  <c r="A361" i="10"/>
  <c r="A360" i="10"/>
  <c r="B360" i="10" s="1"/>
  <c r="C360" i="10" s="1"/>
  <c r="A359" i="10"/>
  <c r="B359" i="10" s="1"/>
  <c r="C359" i="10" s="1"/>
  <c r="C358" i="10"/>
  <c r="A358" i="10"/>
  <c r="B358" i="10" s="1"/>
  <c r="A357" i="10"/>
  <c r="B357" i="10" s="1"/>
  <c r="C357" i="10" s="1"/>
  <c r="C356" i="10"/>
  <c r="A356" i="10"/>
  <c r="B356" i="10" s="1"/>
  <c r="A355" i="10"/>
  <c r="B355" i="10" s="1"/>
  <c r="C355" i="10" s="1"/>
  <c r="A354" i="10"/>
  <c r="B354" i="10" s="1"/>
  <c r="C354" i="10" s="1"/>
  <c r="C353" i="10"/>
  <c r="B353" i="10"/>
  <c r="A353" i="10"/>
  <c r="C352" i="10"/>
  <c r="A352" i="10"/>
  <c r="B352" i="10" s="1"/>
  <c r="A351" i="10"/>
  <c r="B351" i="10" s="1"/>
  <c r="C351" i="10" s="1"/>
  <c r="A350" i="10"/>
  <c r="B350" i="10" s="1"/>
  <c r="C350" i="10" s="1"/>
  <c r="A349" i="10"/>
  <c r="B349" i="10" s="1"/>
  <c r="C349" i="10" s="1"/>
  <c r="A348" i="10"/>
  <c r="B348" i="10" s="1"/>
  <c r="C348" i="10" s="1"/>
  <c r="A347" i="10"/>
  <c r="B347" i="10" s="1"/>
  <c r="C347" i="10" s="1"/>
  <c r="C346" i="10"/>
  <c r="A346" i="10"/>
  <c r="B346" i="10" s="1"/>
  <c r="B345" i="10"/>
  <c r="C345" i="10" s="1"/>
  <c r="A345" i="10"/>
  <c r="A344" i="10"/>
  <c r="B344" i="10" s="1"/>
  <c r="C344" i="10" s="1"/>
  <c r="C343" i="10"/>
  <c r="A343" i="10"/>
  <c r="B343" i="10" s="1"/>
  <c r="C342" i="10"/>
  <c r="A342" i="10"/>
  <c r="B342" i="10" s="1"/>
  <c r="A341" i="10"/>
  <c r="B341" i="10" s="1"/>
  <c r="C341" i="10" s="1"/>
  <c r="C340" i="10"/>
  <c r="B340" i="10"/>
  <c r="A340" i="10"/>
  <c r="B339" i="10"/>
  <c r="C339" i="10" s="1"/>
  <c r="A339" i="10"/>
  <c r="B338" i="10"/>
  <c r="C338" i="10" s="1"/>
  <c r="A338" i="10"/>
  <c r="B337" i="10"/>
  <c r="C337" i="10" s="1"/>
  <c r="A337" i="10"/>
  <c r="B336" i="10"/>
  <c r="C336" i="10" s="1"/>
  <c r="A336" i="10"/>
  <c r="C335" i="10"/>
  <c r="A335" i="10"/>
  <c r="B335" i="10" s="1"/>
  <c r="A334" i="10"/>
  <c r="B334" i="10" s="1"/>
  <c r="C334" i="10" s="1"/>
  <c r="B333" i="10"/>
  <c r="C333" i="10" s="1"/>
  <c r="A333" i="10"/>
  <c r="C332" i="10"/>
  <c r="A332" i="10"/>
  <c r="B332" i="10" s="1"/>
  <c r="A331" i="10"/>
  <c r="B331" i="10" s="1"/>
  <c r="C331" i="10" s="1"/>
  <c r="B330" i="10"/>
  <c r="C330" i="10" s="1"/>
  <c r="A330" i="10"/>
  <c r="C329" i="10"/>
  <c r="B329" i="10"/>
  <c r="A329" i="10"/>
  <c r="B328" i="10"/>
  <c r="C328" i="10" s="1"/>
  <c r="A328" i="10"/>
  <c r="A327" i="10"/>
  <c r="B327" i="10" s="1"/>
  <c r="C327" i="10" s="1"/>
  <c r="A326" i="10"/>
  <c r="B326" i="10" s="1"/>
  <c r="C326" i="10" s="1"/>
  <c r="C325" i="10"/>
  <c r="B325" i="10"/>
  <c r="A325" i="10"/>
  <c r="A324" i="10"/>
  <c r="B324" i="10" s="1"/>
  <c r="C324" i="10" s="1"/>
  <c r="A323" i="10"/>
  <c r="B323" i="10" s="1"/>
  <c r="C323" i="10" s="1"/>
  <c r="B322" i="10"/>
  <c r="C322" i="10" s="1"/>
  <c r="A322" i="10"/>
  <c r="C321" i="10"/>
  <c r="B321" i="10"/>
  <c r="A321" i="10"/>
  <c r="A320" i="10"/>
  <c r="B320" i="10" s="1"/>
  <c r="C320" i="10" s="1"/>
  <c r="A319" i="10"/>
  <c r="B319" i="10" s="1"/>
  <c r="C319" i="10" s="1"/>
  <c r="A318" i="10"/>
  <c r="B318" i="10" s="1"/>
  <c r="C318" i="10" s="1"/>
  <c r="C317" i="10"/>
  <c r="A317" i="10"/>
  <c r="B317" i="10" s="1"/>
  <c r="A316" i="10"/>
  <c r="B316" i="10" s="1"/>
  <c r="C316" i="10" s="1"/>
  <c r="A315" i="10"/>
  <c r="B315" i="10" s="1"/>
  <c r="C315" i="10" s="1"/>
  <c r="A314" i="10"/>
  <c r="B314" i="10" s="1"/>
  <c r="C314" i="10" s="1"/>
  <c r="B313" i="10"/>
  <c r="C313" i="10" s="1"/>
  <c r="A313" i="10"/>
  <c r="A312" i="10"/>
  <c r="B312" i="10" s="1"/>
  <c r="C312" i="10" s="1"/>
  <c r="B311" i="10"/>
  <c r="C311" i="10" s="1"/>
  <c r="A311" i="10"/>
  <c r="C310" i="10"/>
  <c r="A310" i="10"/>
  <c r="B310" i="10" s="1"/>
  <c r="A309" i="10"/>
  <c r="B309" i="10" s="1"/>
  <c r="C309" i="10" s="1"/>
  <c r="C308" i="10"/>
  <c r="A308" i="10"/>
  <c r="B308" i="10" s="1"/>
  <c r="A307" i="10"/>
  <c r="B307" i="10" s="1"/>
  <c r="C307" i="10" s="1"/>
  <c r="B306" i="10"/>
  <c r="C306" i="10" s="1"/>
  <c r="A306" i="10"/>
  <c r="B305" i="10"/>
  <c r="C305" i="10" s="1"/>
  <c r="A305" i="10"/>
  <c r="C304" i="10"/>
  <c r="B304" i="10"/>
  <c r="A304" i="10"/>
  <c r="C303" i="10"/>
  <c r="A303" i="10"/>
  <c r="B303" i="10" s="1"/>
  <c r="C302" i="10"/>
  <c r="A302" i="10"/>
  <c r="B302" i="10" s="1"/>
  <c r="C301" i="10"/>
  <c r="B301" i="10"/>
  <c r="A301" i="10"/>
  <c r="A300" i="10"/>
  <c r="B300" i="10" s="1"/>
  <c r="C300" i="10" s="1"/>
  <c r="B299" i="10"/>
  <c r="C299" i="10" s="1"/>
  <c r="A299" i="10"/>
  <c r="C298" i="10"/>
  <c r="B298" i="10"/>
  <c r="A298" i="10"/>
  <c r="C297" i="10"/>
  <c r="B297" i="10"/>
  <c r="A297" i="10"/>
  <c r="A296" i="10"/>
  <c r="B296" i="10" s="1"/>
  <c r="C296" i="10" s="1"/>
  <c r="A295" i="10"/>
  <c r="B295" i="10" s="1"/>
  <c r="C295" i="10" s="1"/>
  <c r="C294" i="10"/>
  <c r="A294" i="10"/>
  <c r="B294" i="10" s="1"/>
  <c r="B293" i="10"/>
  <c r="C293" i="10" s="1"/>
  <c r="A293" i="10"/>
  <c r="A292" i="10"/>
  <c r="B292" i="10" s="1"/>
  <c r="C292" i="10" s="1"/>
  <c r="A291" i="10"/>
  <c r="B291" i="10" s="1"/>
  <c r="C291" i="10" s="1"/>
  <c r="C290" i="10"/>
  <c r="A290" i="10"/>
  <c r="B290" i="10" s="1"/>
  <c r="C289" i="10"/>
  <c r="B289" i="10"/>
  <c r="A289" i="10"/>
  <c r="A288" i="10"/>
  <c r="B288" i="10" s="1"/>
  <c r="C288" i="10" s="1"/>
  <c r="B287" i="10"/>
  <c r="C287" i="10" s="1"/>
  <c r="A287" i="10"/>
  <c r="A286" i="10"/>
  <c r="B286" i="10" s="1"/>
  <c r="C286" i="10" s="1"/>
  <c r="A285" i="10"/>
  <c r="B285" i="10" s="1"/>
  <c r="C285" i="10" s="1"/>
  <c r="C284" i="10"/>
  <c r="A284" i="10"/>
  <c r="B284" i="10" s="1"/>
  <c r="A283" i="10"/>
  <c r="B283" i="10" s="1"/>
  <c r="C283" i="10" s="1"/>
  <c r="A282" i="10"/>
  <c r="B282" i="10" s="1"/>
  <c r="C282" i="10" s="1"/>
  <c r="B281" i="10"/>
  <c r="C281" i="10" s="1"/>
  <c r="A281" i="10"/>
  <c r="B280" i="10"/>
  <c r="C280" i="10" s="1"/>
  <c r="A280" i="10"/>
  <c r="A279" i="10"/>
  <c r="B279" i="10" s="1"/>
  <c r="C279" i="10" s="1"/>
  <c r="A278" i="10"/>
  <c r="B278" i="10" s="1"/>
  <c r="C278" i="10" s="1"/>
  <c r="A277" i="10"/>
  <c r="B277" i="10" s="1"/>
  <c r="C277" i="10" s="1"/>
  <c r="B276" i="10"/>
  <c r="C276" i="10" s="1"/>
  <c r="A276" i="10"/>
  <c r="A275" i="10"/>
  <c r="B275" i="10" s="1"/>
  <c r="C275" i="10" s="1"/>
  <c r="B274" i="10"/>
  <c r="C274" i="10" s="1"/>
  <c r="A274" i="10"/>
  <c r="C273" i="10"/>
  <c r="B273" i="10"/>
  <c r="A273" i="10"/>
  <c r="B272" i="10"/>
  <c r="C272" i="10" s="1"/>
  <c r="A272" i="10"/>
  <c r="C271" i="10"/>
  <c r="B271" i="10"/>
  <c r="A271" i="10"/>
  <c r="A270" i="10"/>
  <c r="B270" i="10" s="1"/>
  <c r="C270" i="10" s="1"/>
  <c r="C269" i="10"/>
  <c r="B269" i="10"/>
  <c r="A269" i="10"/>
  <c r="B268" i="10"/>
  <c r="C268" i="10" s="1"/>
  <c r="A268" i="10"/>
  <c r="A267" i="10"/>
  <c r="B267" i="10" s="1"/>
  <c r="C267" i="10" s="1"/>
  <c r="B266" i="10"/>
  <c r="C266" i="10" s="1"/>
  <c r="A266" i="10"/>
  <c r="B265" i="10"/>
  <c r="C265" i="10" s="1"/>
  <c r="A265" i="10"/>
  <c r="B264" i="10"/>
  <c r="C264" i="10" s="1"/>
  <c r="A264" i="10"/>
  <c r="A263" i="10"/>
  <c r="B263" i="10" s="1"/>
  <c r="C263" i="10" s="1"/>
  <c r="A262" i="10"/>
  <c r="B262" i="10" s="1"/>
  <c r="C262" i="10" s="1"/>
  <c r="A261" i="10"/>
  <c r="B261" i="10" s="1"/>
  <c r="C261" i="10" s="1"/>
  <c r="C260" i="10"/>
  <c r="A260" i="10"/>
  <c r="B260" i="10" s="1"/>
  <c r="A259" i="10"/>
  <c r="B259" i="10" s="1"/>
  <c r="C259" i="10" s="1"/>
  <c r="C258" i="10"/>
  <c r="B258" i="10"/>
  <c r="A258" i="10"/>
  <c r="C257" i="10"/>
  <c r="B257" i="10"/>
  <c r="A257" i="10"/>
  <c r="B256" i="10"/>
  <c r="C256" i="10" s="1"/>
  <c r="A256" i="10"/>
  <c r="C255" i="10"/>
  <c r="A255" i="10"/>
  <c r="B255" i="10" s="1"/>
  <c r="A254" i="10"/>
  <c r="B254" i="10" s="1"/>
  <c r="C254" i="10" s="1"/>
  <c r="A253" i="10"/>
  <c r="B253" i="10" s="1"/>
  <c r="C253" i="10" s="1"/>
  <c r="B252" i="10"/>
  <c r="C252" i="10" s="1"/>
  <c r="A252" i="10"/>
  <c r="A251" i="10"/>
  <c r="B251" i="10" s="1"/>
  <c r="C251" i="10" s="1"/>
  <c r="B250" i="10"/>
  <c r="C250" i="10" s="1"/>
  <c r="A250" i="10"/>
  <c r="B249" i="10"/>
  <c r="C249" i="10" s="1"/>
  <c r="A249" i="10"/>
  <c r="A248" i="10"/>
  <c r="B248" i="10" s="1"/>
  <c r="C248" i="10" s="1"/>
  <c r="A247" i="10"/>
  <c r="B247" i="10" s="1"/>
  <c r="C247" i="10" s="1"/>
  <c r="A246" i="10"/>
  <c r="B246" i="10" s="1"/>
  <c r="C246" i="10" s="1"/>
  <c r="B245" i="10"/>
  <c r="C245" i="10" s="1"/>
  <c r="A245" i="10"/>
  <c r="B244" i="10"/>
  <c r="C244" i="10" s="1"/>
  <c r="A244" i="10"/>
  <c r="B243" i="10"/>
  <c r="C243" i="10" s="1"/>
  <c r="A243" i="10"/>
  <c r="A242" i="10"/>
  <c r="B242" i="10" s="1"/>
  <c r="C242" i="10" s="1"/>
  <c r="B241" i="10"/>
  <c r="C241" i="10" s="1"/>
  <c r="A241" i="10"/>
  <c r="B240" i="10"/>
  <c r="C240" i="10" s="1"/>
  <c r="A240" i="10"/>
  <c r="B239" i="10"/>
  <c r="C239" i="10" s="1"/>
  <c r="A239" i="10"/>
  <c r="C238" i="10"/>
  <c r="A238" i="10"/>
  <c r="B238" i="10" s="1"/>
  <c r="B237" i="10"/>
  <c r="C237" i="10" s="1"/>
  <c r="A237" i="10"/>
  <c r="B236" i="10"/>
  <c r="C236" i="10" s="1"/>
  <c r="A236" i="10"/>
  <c r="A235" i="10"/>
  <c r="B235" i="10" s="1"/>
  <c r="C235" i="10" s="1"/>
  <c r="B234" i="10"/>
  <c r="C234" i="10" s="1"/>
  <c r="A234" i="10"/>
  <c r="B233" i="10"/>
  <c r="C233" i="10" s="1"/>
  <c r="A233" i="10"/>
  <c r="A232" i="10"/>
  <c r="B232" i="10" s="1"/>
  <c r="C232" i="10" s="1"/>
  <c r="A231" i="10"/>
  <c r="B231" i="10" s="1"/>
  <c r="C231" i="10" s="1"/>
  <c r="A230" i="10"/>
  <c r="B230" i="10" s="1"/>
  <c r="C230" i="10" s="1"/>
  <c r="B229" i="10"/>
  <c r="C229" i="10" s="1"/>
  <c r="A229" i="10"/>
  <c r="C228" i="10"/>
  <c r="A228" i="10"/>
  <c r="B228" i="10" s="1"/>
  <c r="B227" i="10"/>
  <c r="C227" i="10" s="1"/>
  <c r="A227" i="10"/>
  <c r="A226" i="10"/>
  <c r="B226" i="10" s="1"/>
  <c r="C226" i="10" s="1"/>
  <c r="C225" i="10"/>
  <c r="B225" i="10"/>
  <c r="A225" i="10"/>
  <c r="C224" i="10"/>
  <c r="A224" i="10"/>
  <c r="B224" i="10" s="1"/>
  <c r="A223" i="10"/>
  <c r="B223" i="10" s="1"/>
  <c r="C223" i="10" s="1"/>
  <c r="A222" i="10"/>
  <c r="B222" i="10" s="1"/>
  <c r="C222" i="10" s="1"/>
  <c r="B221" i="10"/>
  <c r="C221" i="10" s="1"/>
  <c r="A221" i="10"/>
  <c r="A220" i="10"/>
  <c r="B220" i="10" s="1"/>
  <c r="C220" i="10" s="1"/>
  <c r="A219" i="10"/>
  <c r="B219" i="10" s="1"/>
  <c r="C219" i="10" s="1"/>
  <c r="A218" i="10"/>
  <c r="B218" i="10" s="1"/>
  <c r="C218" i="10" s="1"/>
  <c r="B217" i="10"/>
  <c r="C217" i="10" s="1"/>
  <c r="A217" i="10"/>
  <c r="B216" i="10"/>
  <c r="C216" i="10" s="1"/>
  <c r="A216" i="10"/>
  <c r="B215" i="10"/>
  <c r="C215" i="10" s="1"/>
  <c r="A215" i="10"/>
  <c r="A214" i="10"/>
  <c r="B214" i="10" s="1"/>
  <c r="C214" i="10" s="1"/>
  <c r="A213" i="10"/>
  <c r="B213" i="10" s="1"/>
  <c r="C213" i="10" s="1"/>
  <c r="A212" i="10"/>
  <c r="B212" i="10" s="1"/>
  <c r="C212" i="10" s="1"/>
  <c r="B211" i="10"/>
  <c r="C211" i="10" s="1"/>
  <c r="A211" i="10"/>
  <c r="B210" i="10"/>
  <c r="C210" i="10" s="1"/>
  <c r="A210" i="10"/>
  <c r="B209" i="10"/>
  <c r="C209" i="10" s="1"/>
  <c r="A209" i="10"/>
  <c r="B208" i="10"/>
  <c r="C208" i="10" s="1"/>
  <c r="A208" i="10"/>
  <c r="C207" i="10"/>
  <c r="A207" i="10"/>
  <c r="B207" i="10" s="1"/>
  <c r="A206" i="10"/>
  <c r="B206" i="10" s="1"/>
  <c r="C206" i="10" s="1"/>
  <c r="B205" i="10"/>
  <c r="C205" i="10" s="1"/>
  <c r="A205" i="10"/>
  <c r="A204" i="10"/>
  <c r="B204" i="10" s="1"/>
  <c r="C204" i="10" s="1"/>
  <c r="B203" i="10"/>
  <c r="C203" i="10" s="1"/>
  <c r="A203" i="10"/>
  <c r="C202" i="10"/>
  <c r="B202" i="10"/>
  <c r="A202" i="10"/>
  <c r="C201" i="10"/>
  <c r="B201" i="10"/>
  <c r="A201" i="10"/>
  <c r="A200" i="10"/>
  <c r="B200" i="10" s="1"/>
  <c r="C200" i="10" s="1"/>
  <c r="A199" i="10"/>
  <c r="B199" i="10" s="1"/>
  <c r="C199" i="10" s="1"/>
  <c r="C198" i="10"/>
  <c r="A198" i="10"/>
  <c r="B198" i="10" s="1"/>
  <c r="C197" i="10"/>
  <c r="A197" i="10"/>
  <c r="B197" i="10" s="1"/>
  <c r="C196" i="10"/>
  <c r="A196" i="10"/>
  <c r="B196" i="10" s="1"/>
  <c r="A195" i="10"/>
  <c r="B195" i="10" s="1"/>
  <c r="C195" i="10" s="1"/>
  <c r="B194" i="10"/>
  <c r="C194" i="10" s="1"/>
  <c r="A194" i="10"/>
  <c r="C193" i="10"/>
  <c r="B193" i="10"/>
  <c r="A193" i="10"/>
  <c r="B192" i="10"/>
  <c r="C192" i="10" s="1"/>
  <c r="A192" i="10"/>
  <c r="B191" i="10"/>
  <c r="C191" i="10" s="1"/>
  <c r="A191" i="10"/>
  <c r="A190" i="10"/>
  <c r="B190" i="10" s="1"/>
  <c r="C190" i="10" s="1"/>
  <c r="C189" i="10"/>
  <c r="A189" i="10"/>
  <c r="B189" i="10" s="1"/>
  <c r="B188" i="10"/>
  <c r="C188" i="10" s="1"/>
  <c r="A188" i="10"/>
  <c r="A187" i="10"/>
  <c r="B187" i="10" s="1"/>
  <c r="C187" i="10" s="1"/>
  <c r="A186" i="10"/>
  <c r="B186" i="10" s="1"/>
  <c r="C186" i="10" s="1"/>
  <c r="C185" i="10"/>
  <c r="B185" i="10"/>
  <c r="A185" i="10"/>
  <c r="A184" i="10"/>
  <c r="B184" i="10" s="1"/>
  <c r="C184" i="10" s="1"/>
  <c r="A183" i="10"/>
  <c r="B183" i="10" s="1"/>
  <c r="C183" i="10" s="1"/>
  <c r="C182" i="10"/>
  <c r="A182" i="10"/>
  <c r="B182" i="10" s="1"/>
  <c r="B181" i="10"/>
  <c r="C181" i="10" s="1"/>
  <c r="A181" i="10"/>
  <c r="B180" i="10"/>
  <c r="C180" i="10" s="1"/>
  <c r="A180" i="10"/>
  <c r="B179" i="10"/>
  <c r="C179" i="10" s="1"/>
  <c r="A179" i="10"/>
  <c r="A178" i="10"/>
  <c r="B178" i="10" s="1"/>
  <c r="C178" i="10" s="1"/>
  <c r="C177" i="10"/>
  <c r="B177" i="10"/>
  <c r="A177" i="10"/>
  <c r="C176" i="10"/>
  <c r="B176" i="10"/>
  <c r="A176" i="10"/>
  <c r="A175" i="10"/>
  <c r="B175" i="10" s="1"/>
  <c r="C175" i="10" s="1"/>
  <c r="C174" i="10"/>
  <c r="A174" i="10"/>
  <c r="B174" i="10" s="1"/>
  <c r="B173" i="10"/>
  <c r="C173" i="10" s="1"/>
  <c r="A173" i="10"/>
  <c r="B172" i="10"/>
  <c r="C172" i="10" s="1"/>
  <c r="A172" i="10"/>
  <c r="A171" i="10"/>
  <c r="B171" i="10" s="1"/>
  <c r="C171" i="10" s="1"/>
  <c r="C170" i="10"/>
  <c r="B170" i="10"/>
  <c r="A170" i="10"/>
  <c r="B169" i="10"/>
  <c r="C169" i="10" s="1"/>
  <c r="A169" i="10"/>
  <c r="A168" i="10"/>
  <c r="B168" i="10" s="1"/>
  <c r="C168" i="10" s="1"/>
  <c r="A167" i="10"/>
  <c r="B167" i="10" s="1"/>
  <c r="C167" i="10" s="1"/>
  <c r="A166" i="10"/>
  <c r="B166" i="10" s="1"/>
  <c r="C166" i="10" s="1"/>
  <c r="C165" i="10"/>
  <c r="B165" i="10"/>
  <c r="A165" i="10"/>
  <c r="A164" i="10"/>
  <c r="B164" i="10" s="1"/>
  <c r="C164" i="10" s="1"/>
  <c r="B163" i="10"/>
  <c r="C163" i="10" s="1"/>
  <c r="A163" i="10"/>
  <c r="B162" i="10"/>
  <c r="C162" i="10" s="1"/>
  <c r="A162" i="10"/>
  <c r="C161" i="10"/>
  <c r="B161" i="10"/>
  <c r="A161" i="10"/>
  <c r="A160" i="10"/>
  <c r="B160" i="10" s="1"/>
  <c r="C160" i="10" s="1"/>
  <c r="B159" i="10"/>
  <c r="C159" i="10" s="1"/>
  <c r="A159" i="10"/>
  <c r="A158" i="10"/>
  <c r="B158" i="10" s="1"/>
  <c r="C158" i="10" s="1"/>
  <c r="B157" i="10"/>
  <c r="C157" i="10" s="1"/>
  <c r="A157" i="10"/>
  <c r="B156" i="10"/>
  <c r="C156" i="10" s="1"/>
  <c r="A156" i="10"/>
  <c r="A155" i="10"/>
  <c r="B155" i="10" s="1"/>
  <c r="C155" i="10" s="1"/>
  <c r="A154" i="10"/>
  <c r="B154" i="10" s="1"/>
  <c r="C154" i="10" s="1"/>
  <c r="B153" i="10"/>
  <c r="C153" i="10" s="1"/>
  <c r="A153" i="10"/>
  <c r="B152" i="10"/>
  <c r="C152" i="10" s="1"/>
  <c r="A152" i="10"/>
  <c r="C151" i="10"/>
  <c r="A151" i="10"/>
  <c r="B151" i="10" s="1"/>
  <c r="A150" i="10"/>
  <c r="B150" i="10" s="1"/>
  <c r="C150" i="10" s="1"/>
  <c r="B149" i="10"/>
  <c r="C149" i="10" s="1"/>
  <c r="A149" i="10"/>
  <c r="B148" i="10"/>
  <c r="C148" i="10" s="1"/>
  <c r="A148" i="10"/>
  <c r="B147" i="10"/>
  <c r="C147" i="10" s="1"/>
  <c r="A147" i="10"/>
  <c r="B146" i="10"/>
  <c r="C146" i="10" s="1"/>
  <c r="A146" i="10"/>
  <c r="B145" i="10"/>
  <c r="C145" i="10" s="1"/>
  <c r="A145" i="10"/>
  <c r="C144" i="10"/>
  <c r="B144" i="10"/>
  <c r="A144" i="10"/>
  <c r="C143" i="10"/>
  <c r="B143" i="10"/>
  <c r="A143" i="10"/>
  <c r="A142" i="10"/>
  <c r="B142" i="10" s="1"/>
  <c r="C142" i="10" s="1"/>
  <c r="C141" i="10"/>
  <c r="B141" i="10"/>
  <c r="A141" i="10"/>
  <c r="C140" i="10"/>
  <c r="B140" i="10"/>
  <c r="A140" i="10"/>
  <c r="A139" i="10"/>
  <c r="B139" i="10" s="1"/>
  <c r="C139" i="10" s="1"/>
  <c r="C138" i="10"/>
  <c r="B138" i="10"/>
  <c r="A138" i="10"/>
  <c r="C137" i="10"/>
  <c r="B137" i="10"/>
  <c r="A137" i="10"/>
  <c r="B136" i="10"/>
  <c r="C136" i="10" s="1"/>
  <c r="A136" i="10"/>
  <c r="C135" i="10"/>
  <c r="A135" i="10"/>
  <c r="B135" i="10" s="1"/>
  <c r="C134" i="10"/>
  <c r="A134" i="10"/>
  <c r="B134" i="10" s="1"/>
  <c r="A133" i="10"/>
  <c r="B133" i="10" s="1"/>
  <c r="C133" i="10" s="1"/>
  <c r="C132" i="10"/>
  <c r="A132" i="10"/>
  <c r="B132" i="10" s="1"/>
  <c r="A131" i="10"/>
  <c r="B131" i="10" s="1"/>
  <c r="C131" i="10" s="1"/>
  <c r="C130" i="10"/>
  <c r="B130" i="10"/>
  <c r="A130" i="10"/>
  <c r="C129" i="10"/>
  <c r="B129" i="10"/>
  <c r="A129" i="10"/>
  <c r="A128" i="10"/>
  <c r="B128" i="10" s="1"/>
  <c r="C128" i="10" s="1"/>
  <c r="B127" i="10"/>
  <c r="C127" i="10" s="1"/>
  <c r="A127" i="10"/>
  <c r="A126" i="10"/>
  <c r="B126" i="10" s="1"/>
  <c r="C126" i="10" s="1"/>
  <c r="A125" i="10"/>
  <c r="B125" i="10" s="1"/>
  <c r="C125" i="10" s="1"/>
  <c r="B124" i="10"/>
  <c r="C124" i="10" s="1"/>
  <c r="A124" i="10"/>
  <c r="A123" i="10"/>
  <c r="B123" i="10" s="1"/>
  <c r="C123" i="10" s="1"/>
  <c r="C122" i="10"/>
  <c r="B122" i="10"/>
  <c r="A122" i="10"/>
  <c r="B121" i="10"/>
  <c r="C121" i="10" s="1"/>
  <c r="A121" i="10"/>
  <c r="B120" i="10"/>
  <c r="C120" i="10" s="1"/>
  <c r="A120" i="10"/>
  <c r="C119" i="10"/>
  <c r="B119" i="10"/>
  <c r="A119" i="10"/>
  <c r="A118" i="10"/>
  <c r="B118" i="10" s="1"/>
  <c r="C118" i="10" s="1"/>
  <c r="B117" i="10"/>
  <c r="C117" i="10" s="1"/>
  <c r="A117" i="10"/>
  <c r="C116" i="10"/>
  <c r="B116" i="10"/>
  <c r="A116" i="10"/>
  <c r="A115" i="10"/>
  <c r="B115" i="10" s="1"/>
  <c r="C115" i="10" s="1"/>
  <c r="A114" i="10"/>
  <c r="B114" i="10" s="1"/>
  <c r="C114" i="10" s="1"/>
  <c r="C113" i="10"/>
  <c r="B113" i="10"/>
  <c r="A113" i="10"/>
  <c r="C112" i="10"/>
  <c r="B112" i="10"/>
  <c r="A112" i="10"/>
  <c r="A111" i="10"/>
  <c r="B111" i="10" s="1"/>
  <c r="C111" i="10" s="1"/>
  <c r="A110" i="10"/>
  <c r="B110" i="10" s="1"/>
  <c r="C110" i="10" s="1"/>
  <c r="C109" i="10"/>
  <c r="B109" i="10"/>
  <c r="A109" i="10"/>
  <c r="A108" i="10"/>
  <c r="B108" i="10" s="1"/>
  <c r="C108" i="10" s="1"/>
  <c r="B107" i="10"/>
  <c r="C107" i="10" s="1"/>
  <c r="A107" i="10"/>
  <c r="A106" i="10"/>
  <c r="B106" i="10" s="1"/>
  <c r="C106" i="10" s="1"/>
  <c r="A105" i="10"/>
  <c r="B105" i="10" s="1"/>
  <c r="C105" i="10" s="1"/>
  <c r="C104" i="10"/>
  <c r="A104" i="10"/>
  <c r="B104" i="10" s="1"/>
  <c r="A103" i="10"/>
  <c r="B103" i="10" s="1"/>
  <c r="C103" i="10" s="1"/>
  <c r="C102" i="10"/>
  <c r="B102" i="10"/>
  <c r="A102" i="10"/>
  <c r="B101" i="10"/>
  <c r="C101" i="10" s="1"/>
  <c r="A101" i="10"/>
  <c r="A100" i="10"/>
  <c r="B100" i="10" s="1"/>
  <c r="C100" i="10" s="1"/>
  <c r="B99" i="10"/>
  <c r="C99" i="10" s="1"/>
  <c r="A99" i="10"/>
  <c r="A98" i="10"/>
  <c r="B98" i="10" s="1"/>
  <c r="C98" i="10" s="1"/>
  <c r="A97" i="10"/>
  <c r="B97" i="10" s="1"/>
  <c r="C97" i="10" s="1"/>
  <c r="A96" i="10"/>
  <c r="B96" i="10" s="1"/>
  <c r="C96" i="10" s="1"/>
  <c r="B95" i="10"/>
  <c r="C95" i="10" s="1"/>
  <c r="A95" i="10"/>
  <c r="A94" i="10"/>
  <c r="B94" i="10" s="1"/>
  <c r="C94" i="10" s="1"/>
  <c r="B93" i="10"/>
  <c r="C93" i="10" s="1"/>
  <c r="A93" i="10"/>
  <c r="B92" i="10"/>
  <c r="C92" i="10" s="1"/>
  <c r="A92" i="10"/>
  <c r="B91" i="10"/>
  <c r="C91" i="10" s="1"/>
  <c r="A91" i="10"/>
  <c r="A90" i="10"/>
  <c r="B90" i="10" s="1"/>
  <c r="C90" i="10" s="1"/>
  <c r="B89" i="10"/>
  <c r="C89" i="10" s="1"/>
  <c r="A89" i="10"/>
  <c r="B88" i="10"/>
  <c r="C88" i="10" s="1"/>
  <c r="A88" i="10"/>
  <c r="A87" i="10"/>
  <c r="B87" i="10" s="1"/>
  <c r="C87" i="10" s="1"/>
  <c r="C86" i="10"/>
  <c r="B86" i="10"/>
  <c r="A86" i="10"/>
  <c r="B85" i="10"/>
  <c r="C85" i="10" s="1"/>
  <c r="A85" i="10"/>
  <c r="A84" i="10"/>
  <c r="B84" i="10" s="1"/>
  <c r="C84" i="10" s="1"/>
  <c r="C83" i="10"/>
  <c r="A83" i="10"/>
  <c r="B83" i="10" s="1"/>
  <c r="C82" i="10"/>
  <c r="A82" i="10"/>
  <c r="B82" i="10" s="1"/>
  <c r="C81" i="10"/>
  <c r="B81" i="10"/>
  <c r="A81" i="10"/>
  <c r="A80" i="10"/>
  <c r="B80" i="10" s="1"/>
  <c r="C80" i="10" s="1"/>
  <c r="A79" i="10"/>
  <c r="B79" i="10" s="1"/>
  <c r="C79" i="10" s="1"/>
  <c r="B78" i="10"/>
  <c r="C78" i="10" s="1"/>
  <c r="A78" i="10"/>
  <c r="C77" i="10"/>
  <c r="B77" i="10"/>
  <c r="A77" i="10"/>
  <c r="A76" i="10"/>
  <c r="B76" i="10" s="1"/>
  <c r="C76" i="10" s="1"/>
  <c r="C75" i="10"/>
  <c r="B75" i="10"/>
  <c r="A75" i="10"/>
  <c r="A74" i="10"/>
  <c r="B74" i="10" s="1"/>
  <c r="C74" i="10" s="1"/>
  <c r="C73" i="10"/>
  <c r="A73" i="10"/>
  <c r="B73" i="10" s="1"/>
  <c r="B72" i="10"/>
  <c r="C72" i="10" s="1"/>
  <c r="A72" i="10"/>
  <c r="A71" i="10"/>
  <c r="B71" i="10" s="1"/>
  <c r="C71" i="10" s="1"/>
  <c r="B70" i="10"/>
  <c r="C70" i="10" s="1"/>
  <c r="A70" i="10"/>
  <c r="B69" i="10"/>
  <c r="C69" i="10" s="1"/>
  <c r="A69" i="10"/>
  <c r="A68" i="10"/>
  <c r="B68" i="10" s="1"/>
  <c r="C68" i="10" s="1"/>
  <c r="A67" i="10"/>
  <c r="B67" i="10" s="1"/>
  <c r="C67" i="10" s="1"/>
  <c r="A66" i="10"/>
  <c r="B66" i="10" s="1"/>
  <c r="C66" i="10" s="1"/>
  <c r="A65" i="10"/>
  <c r="B65" i="10" s="1"/>
  <c r="C65" i="10" s="1"/>
  <c r="C64" i="10"/>
  <c r="B64" i="10"/>
  <c r="A64" i="10"/>
  <c r="A63" i="10"/>
  <c r="B63" i="10" s="1"/>
  <c r="C63" i="10" s="1"/>
  <c r="A62" i="10"/>
  <c r="B62" i="10" s="1"/>
  <c r="C62" i="10" s="1"/>
  <c r="B61" i="10"/>
  <c r="C61" i="10" s="1"/>
  <c r="A61" i="10"/>
  <c r="C60" i="10"/>
  <c r="B60" i="10"/>
  <c r="A60" i="10"/>
  <c r="B59" i="10"/>
  <c r="C59" i="10" s="1"/>
  <c r="A59" i="10"/>
  <c r="A58" i="10"/>
  <c r="B58" i="10" s="1"/>
  <c r="C58" i="10" s="1"/>
  <c r="C57" i="10"/>
  <c r="B57" i="10"/>
  <c r="A57" i="10"/>
  <c r="A56" i="10"/>
  <c r="B56" i="10" s="1"/>
  <c r="C56" i="10" s="1"/>
  <c r="A55" i="10"/>
  <c r="B55" i="10" s="1"/>
  <c r="C55" i="10" s="1"/>
  <c r="B54" i="10"/>
  <c r="C54" i="10" s="1"/>
  <c r="A54" i="10"/>
  <c r="B53" i="10"/>
  <c r="C53" i="10" s="1"/>
  <c r="A53" i="10"/>
  <c r="A52" i="10"/>
  <c r="B52" i="10" s="1"/>
  <c r="C52" i="10" s="1"/>
  <c r="A51" i="10"/>
  <c r="B51" i="10" s="1"/>
  <c r="C51" i="10" s="1"/>
  <c r="C50" i="10"/>
  <c r="A50" i="10"/>
  <c r="B50" i="10" s="1"/>
  <c r="B49" i="10"/>
  <c r="C49" i="10" s="1"/>
  <c r="A49" i="10"/>
  <c r="A48" i="10"/>
  <c r="B48" i="10" s="1"/>
  <c r="C48" i="10" s="1"/>
  <c r="B47" i="10"/>
  <c r="C47" i="10" s="1"/>
  <c r="A47" i="10"/>
  <c r="A46" i="10"/>
  <c r="B46" i="10" s="1"/>
  <c r="C46" i="10" s="1"/>
  <c r="C45" i="10"/>
  <c r="B45" i="10"/>
  <c r="A45" i="10"/>
  <c r="C44" i="10"/>
  <c r="B44" i="10"/>
  <c r="A44" i="10"/>
  <c r="B43" i="10"/>
  <c r="C43" i="10" s="1"/>
  <c r="A43" i="10"/>
  <c r="A42" i="10"/>
  <c r="B42" i="10" s="1"/>
  <c r="C42" i="10" s="1"/>
  <c r="C41" i="10"/>
  <c r="B41" i="10"/>
  <c r="A41" i="10"/>
  <c r="A40" i="10"/>
  <c r="B40" i="10" s="1"/>
  <c r="C40" i="10" s="1"/>
  <c r="A39" i="10"/>
  <c r="B39" i="10" s="1"/>
  <c r="C39" i="10" s="1"/>
  <c r="A38" i="10"/>
  <c r="B38" i="10" s="1"/>
  <c r="C38" i="10" s="1"/>
  <c r="C37" i="10"/>
  <c r="B37" i="10"/>
  <c r="A37" i="10"/>
  <c r="A36" i="10"/>
  <c r="B36" i="10" s="1"/>
  <c r="C36" i="10" s="1"/>
  <c r="A35" i="10"/>
  <c r="B35" i="10" s="1"/>
  <c r="C35" i="10" s="1"/>
  <c r="C34" i="10"/>
  <c r="A34" i="10"/>
  <c r="B34" i="10" s="1"/>
  <c r="A33" i="10"/>
  <c r="B33" i="10" s="1"/>
  <c r="C33" i="10" s="1"/>
  <c r="B32" i="10"/>
  <c r="C32" i="10" s="1"/>
  <c r="A32" i="10"/>
  <c r="B31" i="10"/>
  <c r="C31" i="10" s="1"/>
  <c r="A31" i="10"/>
  <c r="A30" i="10"/>
  <c r="B30" i="10" s="1"/>
  <c r="C30" i="10" s="1"/>
  <c r="C29" i="10"/>
  <c r="B29" i="10"/>
  <c r="A29" i="10"/>
  <c r="C28" i="10"/>
  <c r="B28" i="10"/>
  <c r="A28" i="10"/>
  <c r="A27" i="10"/>
  <c r="B27" i="10" s="1"/>
  <c r="C27" i="10" s="1"/>
  <c r="C26" i="10"/>
  <c r="A26" i="10"/>
  <c r="B26" i="10" s="1"/>
  <c r="B25" i="10"/>
  <c r="C25" i="10" s="1"/>
  <c r="A25" i="10"/>
  <c r="A24" i="10"/>
  <c r="B24" i="10" s="1"/>
  <c r="C24" i="10" s="1"/>
  <c r="B23" i="10"/>
  <c r="C23" i="10" s="1"/>
  <c r="A23" i="10"/>
  <c r="B22" i="10"/>
  <c r="C22" i="10" s="1"/>
  <c r="A22" i="10"/>
  <c r="B21" i="10"/>
  <c r="C21" i="10" s="1"/>
  <c r="A21" i="10"/>
  <c r="B20" i="10"/>
  <c r="C20" i="10" s="1"/>
  <c r="A20" i="10"/>
  <c r="A19" i="10"/>
  <c r="B19" i="10" s="1"/>
  <c r="C19" i="10" s="1"/>
  <c r="C18" i="10"/>
  <c r="A18" i="10"/>
  <c r="B18" i="10" s="1"/>
  <c r="A17" i="10"/>
  <c r="B17" i="10" s="1"/>
  <c r="C17" i="10" s="1"/>
  <c r="C16" i="10"/>
  <c r="A16" i="10"/>
  <c r="B16" i="10" s="1"/>
  <c r="A15" i="10"/>
  <c r="B15" i="10" s="1"/>
  <c r="C15" i="10" s="1"/>
  <c r="A14" i="10"/>
  <c r="B14" i="10" s="1"/>
  <c r="C14" i="10" s="1"/>
  <c r="C13" i="10"/>
  <c r="B13" i="10"/>
  <c r="A13" i="10"/>
  <c r="B12" i="10"/>
  <c r="C12" i="10" s="1"/>
  <c r="A12" i="10"/>
  <c r="A1008" i="9"/>
  <c r="B1008" i="9" s="1"/>
  <c r="C1008" i="9" s="1"/>
  <c r="A1007" i="9"/>
  <c r="B1007" i="9" s="1"/>
  <c r="A1006" i="9"/>
  <c r="B1006" i="9" s="1"/>
  <c r="A1005" i="9"/>
  <c r="B1005" i="9" s="1"/>
  <c r="C1006" i="9" s="1"/>
  <c r="A1004" i="9"/>
  <c r="B1004" i="9" s="1"/>
  <c r="A1003" i="9"/>
  <c r="B1003" i="9" s="1"/>
  <c r="B1002" i="9"/>
  <c r="A1002" i="9"/>
  <c r="A1001" i="9"/>
  <c r="B1001" i="9" s="1"/>
  <c r="C1002" i="9" s="1"/>
  <c r="A1000" i="9"/>
  <c r="B1000" i="9" s="1"/>
  <c r="C1000" i="9" s="1"/>
  <c r="A999" i="9"/>
  <c r="B999" i="9" s="1"/>
  <c r="A998" i="9"/>
  <c r="B998" i="9" s="1"/>
  <c r="A997" i="9"/>
  <c r="B997" i="9" s="1"/>
  <c r="B996" i="9"/>
  <c r="A996" i="9"/>
  <c r="A995" i="9"/>
  <c r="B995" i="9" s="1"/>
  <c r="C996" i="9" s="1"/>
  <c r="B994" i="9"/>
  <c r="C995" i="9" s="1"/>
  <c r="A994" i="9"/>
  <c r="A993" i="9"/>
  <c r="B993" i="9" s="1"/>
  <c r="A992" i="9"/>
  <c r="B992" i="9" s="1"/>
  <c r="A991" i="9"/>
  <c r="B991" i="9" s="1"/>
  <c r="A990" i="9"/>
  <c r="B990" i="9" s="1"/>
  <c r="B989" i="9"/>
  <c r="A989" i="9"/>
  <c r="A988" i="9"/>
  <c r="B988" i="9" s="1"/>
  <c r="B987" i="9"/>
  <c r="A987" i="9"/>
  <c r="A986" i="9"/>
  <c r="B986" i="9" s="1"/>
  <c r="C987" i="9" s="1"/>
  <c r="A985" i="9"/>
  <c r="B985" i="9" s="1"/>
  <c r="A984" i="9"/>
  <c r="B984" i="9" s="1"/>
  <c r="A983" i="9"/>
  <c r="B983" i="9" s="1"/>
  <c r="A982" i="9"/>
  <c r="B982" i="9" s="1"/>
  <c r="C983" i="9" s="1"/>
  <c r="A981" i="9"/>
  <c r="B981" i="9" s="1"/>
  <c r="A980" i="9"/>
  <c r="B980" i="9" s="1"/>
  <c r="B979" i="9"/>
  <c r="C979" i="9" s="1"/>
  <c r="A979" i="9"/>
  <c r="B978" i="9"/>
  <c r="A978" i="9"/>
  <c r="A977" i="9"/>
  <c r="B977" i="9" s="1"/>
  <c r="C978" i="9" s="1"/>
  <c r="A976" i="9"/>
  <c r="B976" i="9" s="1"/>
  <c r="A975" i="9"/>
  <c r="B975" i="9" s="1"/>
  <c r="A974" i="9"/>
  <c r="B974" i="9" s="1"/>
  <c r="B973" i="9"/>
  <c r="A973" i="9"/>
  <c r="A972" i="9"/>
  <c r="B972" i="9" s="1"/>
  <c r="C973" i="9" s="1"/>
  <c r="A971" i="9"/>
  <c r="B971" i="9" s="1"/>
  <c r="B970" i="9"/>
  <c r="C971" i="9" s="1"/>
  <c r="A970" i="9"/>
  <c r="A969" i="9"/>
  <c r="B969" i="9" s="1"/>
  <c r="A968" i="9"/>
  <c r="B968" i="9" s="1"/>
  <c r="C969" i="9" s="1"/>
  <c r="A967" i="9"/>
  <c r="B967" i="9" s="1"/>
  <c r="A966" i="9"/>
  <c r="B966" i="9" s="1"/>
  <c r="A965" i="9"/>
  <c r="B965" i="9" s="1"/>
  <c r="B964" i="9"/>
  <c r="C965" i="9" s="1"/>
  <c r="A964" i="9"/>
  <c r="A963" i="9"/>
  <c r="B963" i="9" s="1"/>
  <c r="A962" i="9"/>
  <c r="B962" i="9" s="1"/>
  <c r="C963" i="9" s="1"/>
  <c r="B961" i="9"/>
  <c r="A961" i="9"/>
  <c r="A960" i="9"/>
  <c r="B960" i="9" s="1"/>
  <c r="A959" i="9"/>
  <c r="B959" i="9" s="1"/>
  <c r="A958" i="9"/>
  <c r="B958" i="9" s="1"/>
  <c r="A957" i="9"/>
  <c r="B957" i="9" s="1"/>
  <c r="C958" i="9" s="1"/>
  <c r="A956" i="9"/>
  <c r="B956" i="9" s="1"/>
  <c r="A955" i="9"/>
  <c r="B955" i="9" s="1"/>
  <c r="A954" i="9"/>
  <c r="B954" i="9" s="1"/>
  <c r="A953" i="9"/>
  <c r="B953" i="9" s="1"/>
  <c r="C952" i="9"/>
  <c r="A952" i="9"/>
  <c r="B952" i="9" s="1"/>
  <c r="A951" i="9"/>
  <c r="B951" i="9" s="1"/>
  <c r="A950" i="9"/>
  <c r="B950" i="9" s="1"/>
  <c r="C951" i="9" s="1"/>
  <c r="A949" i="9"/>
  <c r="B949" i="9" s="1"/>
  <c r="B948" i="9"/>
  <c r="A948" i="9"/>
  <c r="B947" i="9"/>
  <c r="A947" i="9"/>
  <c r="A946" i="9"/>
  <c r="B946" i="9" s="1"/>
  <c r="A945" i="9"/>
  <c r="B945" i="9" s="1"/>
  <c r="A944" i="9"/>
  <c r="B944" i="9" s="1"/>
  <c r="A943" i="9"/>
  <c r="B943" i="9" s="1"/>
  <c r="B942" i="9"/>
  <c r="C943" i="9" s="1"/>
  <c r="A942" i="9"/>
  <c r="A941" i="9"/>
  <c r="B941" i="9" s="1"/>
  <c r="A940" i="9"/>
  <c r="B940" i="9" s="1"/>
  <c r="A939" i="9"/>
  <c r="B939" i="9" s="1"/>
  <c r="C940" i="9" s="1"/>
  <c r="A938" i="9"/>
  <c r="B938" i="9" s="1"/>
  <c r="A937" i="9"/>
  <c r="B937" i="9" s="1"/>
  <c r="A936" i="9"/>
  <c r="B936" i="9" s="1"/>
  <c r="A935" i="9"/>
  <c r="B935" i="9" s="1"/>
  <c r="A934" i="9"/>
  <c r="B934" i="9" s="1"/>
  <c r="C935" i="9" s="1"/>
  <c r="A933" i="9"/>
  <c r="B933" i="9" s="1"/>
  <c r="B932" i="9"/>
  <c r="C933" i="9" s="1"/>
  <c r="A932" i="9"/>
  <c r="A931" i="9"/>
  <c r="B931" i="9" s="1"/>
  <c r="B930" i="9"/>
  <c r="A930" i="9"/>
  <c r="A929" i="9"/>
  <c r="B929" i="9" s="1"/>
  <c r="C930" i="9" s="1"/>
  <c r="A928" i="9"/>
  <c r="B928" i="9" s="1"/>
  <c r="C929" i="9" s="1"/>
  <c r="A927" i="9"/>
  <c r="B927" i="9" s="1"/>
  <c r="B926" i="9"/>
  <c r="C927" i="9" s="1"/>
  <c r="A926" i="9"/>
  <c r="A925" i="9"/>
  <c r="B925" i="9" s="1"/>
  <c r="C926" i="9" s="1"/>
  <c r="B924" i="9"/>
  <c r="A924" i="9"/>
  <c r="B923" i="9"/>
  <c r="A923" i="9"/>
  <c r="B922" i="9"/>
  <c r="A922" i="9"/>
  <c r="A921" i="9"/>
  <c r="B921" i="9" s="1"/>
  <c r="A920" i="9"/>
  <c r="B920" i="9" s="1"/>
  <c r="A919" i="9"/>
  <c r="B919" i="9" s="1"/>
  <c r="C919" i="9" s="1"/>
  <c r="A918" i="9"/>
  <c r="B918" i="9" s="1"/>
  <c r="C918" i="9" s="1"/>
  <c r="A917" i="9"/>
  <c r="B917" i="9" s="1"/>
  <c r="A916" i="9"/>
  <c r="B916" i="9" s="1"/>
  <c r="A915" i="9"/>
  <c r="B915" i="9" s="1"/>
  <c r="A914" i="9"/>
  <c r="B914" i="9" s="1"/>
  <c r="A913" i="9"/>
  <c r="B913" i="9" s="1"/>
  <c r="C914" i="9" s="1"/>
  <c r="A912" i="9"/>
  <c r="B912" i="9" s="1"/>
  <c r="C912" i="9" s="1"/>
  <c r="A911" i="9"/>
  <c r="B911" i="9" s="1"/>
  <c r="A910" i="9"/>
  <c r="B910" i="9" s="1"/>
  <c r="A909" i="9"/>
  <c r="B909" i="9" s="1"/>
  <c r="A908" i="9"/>
  <c r="B908" i="9" s="1"/>
  <c r="A907" i="9"/>
  <c r="B907" i="9" s="1"/>
  <c r="C908" i="9" s="1"/>
  <c r="B906" i="9"/>
  <c r="A906" i="9"/>
  <c r="A905" i="9"/>
  <c r="B905" i="9" s="1"/>
  <c r="C906" i="9" s="1"/>
  <c r="A904" i="9"/>
  <c r="B904" i="9" s="1"/>
  <c r="A903" i="9"/>
  <c r="B903" i="9" s="1"/>
  <c r="A902" i="9"/>
  <c r="B902" i="9" s="1"/>
  <c r="A901" i="9"/>
  <c r="B901" i="9" s="1"/>
  <c r="B900" i="9"/>
  <c r="A900" i="9"/>
  <c r="A899" i="9"/>
  <c r="B899" i="9" s="1"/>
  <c r="C900" i="9" s="1"/>
  <c r="A898" i="9"/>
  <c r="B898" i="9" s="1"/>
  <c r="A897" i="9"/>
  <c r="B897" i="9" s="1"/>
  <c r="A896" i="9"/>
  <c r="B896" i="9" s="1"/>
  <c r="A895" i="9"/>
  <c r="B895" i="9" s="1"/>
  <c r="A894" i="9"/>
  <c r="B894" i="9" s="1"/>
  <c r="C895" i="9" s="1"/>
  <c r="B893" i="9"/>
  <c r="A893" i="9"/>
  <c r="A892" i="9"/>
  <c r="B892" i="9" s="1"/>
  <c r="B891" i="9"/>
  <c r="C892" i="9" s="1"/>
  <c r="A891" i="9"/>
  <c r="B890" i="9"/>
  <c r="A890" i="9"/>
  <c r="A889" i="9"/>
  <c r="B889" i="9" s="1"/>
  <c r="C888" i="9"/>
  <c r="A888" i="9"/>
  <c r="B888" i="9" s="1"/>
  <c r="A887" i="9"/>
  <c r="B887" i="9" s="1"/>
  <c r="B886" i="9"/>
  <c r="A886" i="9"/>
  <c r="A885" i="9"/>
  <c r="B885" i="9" s="1"/>
  <c r="A884" i="9"/>
  <c r="B884" i="9" s="1"/>
  <c r="B883" i="9"/>
  <c r="A883" i="9"/>
  <c r="A882" i="9"/>
  <c r="B882" i="9" s="1"/>
  <c r="B881" i="9"/>
  <c r="A881" i="9"/>
  <c r="C880" i="9"/>
  <c r="B880" i="9"/>
  <c r="A880" i="9"/>
  <c r="A879" i="9"/>
  <c r="B879" i="9" s="1"/>
  <c r="B878" i="9"/>
  <c r="A878" i="9"/>
  <c r="B877" i="9"/>
  <c r="A877" i="9"/>
  <c r="A876" i="9"/>
  <c r="B876" i="9" s="1"/>
  <c r="B875" i="9"/>
  <c r="A875" i="9"/>
  <c r="A874" i="9"/>
  <c r="B874" i="9" s="1"/>
  <c r="A873" i="9"/>
  <c r="B873" i="9" s="1"/>
  <c r="A872" i="9"/>
  <c r="B872" i="9" s="1"/>
  <c r="A871" i="9"/>
  <c r="B871" i="9" s="1"/>
  <c r="B870" i="9"/>
  <c r="C871" i="9" s="1"/>
  <c r="A870" i="9"/>
  <c r="A869" i="9"/>
  <c r="B869" i="9" s="1"/>
  <c r="A868" i="9"/>
  <c r="B868" i="9" s="1"/>
  <c r="C869" i="9" s="1"/>
  <c r="A867" i="9"/>
  <c r="B867" i="9" s="1"/>
  <c r="B866" i="9"/>
  <c r="A866" i="9"/>
  <c r="A865" i="9"/>
  <c r="B865" i="9" s="1"/>
  <c r="C866" i="9" s="1"/>
  <c r="A864" i="9"/>
  <c r="B864" i="9" s="1"/>
  <c r="A863" i="9"/>
  <c r="B863" i="9" s="1"/>
  <c r="B862" i="9"/>
  <c r="C863" i="9" s="1"/>
  <c r="A862" i="9"/>
  <c r="A861" i="9"/>
  <c r="B861" i="9" s="1"/>
  <c r="C862" i="9" s="1"/>
  <c r="A860" i="9"/>
  <c r="B860" i="9" s="1"/>
  <c r="A859" i="9"/>
  <c r="B859" i="9" s="1"/>
  <c r="C860" i="9" s="1"/>
  <c r="A858" i="9"/>
  <c r="B858" i="9" s="1"/>
  <c r="A857" i="9"/>
  <c r="B857" i="9" s="1"/>
  <c r="A856" i="9"/>
  <c r="B856" i="9" s="1"/>
  <c r="C856" i="9" s="1"/>
  <c r="A855" i="9"/>
  <c r="B855" i="9" s="1"/>
  <c r="A854" i="9"/>
  <c r="B854" i="9" s="1"/>
  <c r="A853" i="9"/>
  <c r="B853" i="9" s="1"/>
  <c r="B852" i="9"/>
  <c r="C853" i="9" s="1"/>
  <c r="A852" i="9"/>
  <c r="B851" i="9"/>
  <c r="C851" i="9" s="1"/>
  <c r="A851" i="9"/>
  <c r="A850" i="9"/>
  <c r="B850" i="9" s="1"/>
  <c r="A849" i="9"/>
  <c r="B849" i="9" s="1"/>
  <c r="A848" i="9"/>
  <c r="B848" i="9" s="1"/>
  <c r="A847" i="9"/>
  <c r="B847" i="9" s="1"/>
  <c r="A846" i="9"/>
  <c r="B846" i="9" s="1"/>
  <c r="A845" i="9"/>
  <c r="B845" i="9" s="1"/>
  <c r="C845" i="9" s="1"/>
  <c r="A844" i="9"/>
  <c r="B844" i="9" s="1"/>
  <c r="A843" i="9"/>
  <c r="B843" i="9" s="1"/>
  <c r="A842" i="9"/>
  <c r="B842" i="9" s="1"/>
  <c r="C843" i="9" s="1"/>
  <c r="A841" i="9"/>
  <c r="B841" i="9" s="1"/>
  <c r="A840" i="9"/>
  <c r="B840" i="9" s="1"/>
  <c r="A839" i="9"/>
  <c r="B839" i="9" s="1"/>
  <c r="B838" i="9"/>
  <c r="A838" i="9"/>
  <c r="A837" i="9"/>
  <c r="B837" i="9" s="1"/>
  <c r="C838" i="9" s="1"/>
  <c r="B836" i="9"/>
  <c r="A836" i="9"/>
  <c r="A835" i="9"/>
  <c r="B835" i="9" s="1"/>
  <c r="A834" i="9"/>
  <c r="B834" i="9" s="1"/>
  <c r="A833" i="9"/>
  <c r="B833" i="9" s="1"/>
  <c r="B832" i="9"/>
  <c r="A832" i="9"/>
  <c r="A831" i="9"/>
  <c r="B831" i="9" s="1"/>
  <c r="A830" i="9"/>
  <c r="B830" i="9" s="1"/>
  <c r="A829" i="9"/>
  <c r="B829" i="9" s="1"/>
  <c r="C829" i="9" s="1"/>
  <c r="A828" i="9"/>
  <c r="B828" i="9" s="1"/>
  <c r="B827" i="9"/>
  <c r="A827" i="9"/>
  <c r="B826" i="9"/>
  <c r="A826" i="9"/>
  <c r="A825" i="9"/>
  <c r="B825" i="9" s="1"/>
  <c r="C826" i="9" s="1"/>
  <c r="C824" i="9"/>
  <c r="A824" i="9"/>
  <c r="B824" i="9" s="1"/>
  <c r="A823" i="9"/>
  <c r="B823" i="9" s="1"/>
  <c r="A822" i="9"/>
  <c r="B822" i="9" s="1"/>
  <c r="C823" i="9" s="1"/>
  <c r="A821" i="9"/>
  <c r="B821" i="9" s="1"/>
  <c r="A820" i="9"/>
  <c r="B820" i="9" s="1"/>
  <c r="C821" i="9" s="1"/>
  <c r="A819" i="9"/>
  <c r="B819" i="9" s="1"/>
  <c r="B818" i="9"/>
  <c r="A818" i="9"/>
  <c r="A817" i="9"/>
  <c r="B817" i="9" s="1"/>
  <c r="C818" i="9" s="1"/>
  <c r="A816" i="9"/>
  <c r="B816" i="9" s="1"/>
  <c r="A815" i="9"/>
  <c r="B815" i="9" s="1"/>
  <c r="C814" i="9"/>
  <c r="B814" i="9"/>
  <c r="C815" i="9" s="1"/>
  <c r="A814" i="9"/>
  <c r="A813" i="9"/>
  <c r="B813" i="9" s="1"/>
  <c r="A812" i="9"/>
  <c r="B812" i="9" s="1"/>
  <c r="C813" i="9" s="1"/>
  <c r="A811" i="9"/>
  <c r="B811" i="9" s="1"/>
  <c r="A810" i="9"/>
  <c r="B810" i="9" s="1"/>
  <c r="A809" i="9"/>
  <c r="B809" i="9" s="1"/>
  <c r="A808" i="9"/>
  <c r="B808" i="9" s="1"/>
  <c r="C809" i="9" s="1"/>
  <c r="C807" i="9"/>
  <c r="A807" i="9"/>
  <c r="B807" i="9" s="1"/>
  <c r="A806" i="9"/>
  <c r="B806" i="9" s="1"/>
  <c r="A805" i="9"/>
  <c r="B805" i="9" s="1"/>
  <c r="A804" i="9"/>
  <c r="B804" i="9" s="1"/>
  <c r="C805" i="9" s="1"/>
  <c r="B803" i="9"/>
  <c r="A803" i="9"/>
  <c r="A802" i="9"/>
  <c r="B802" i="9" s="1"/>
  <c r="C803" i="9" s="1"/>
  <c r="B801" i="9"/>
  <c r="A801" i="9"/>
  <c r="A800" i="9"/>
  <c r="B800" i="9" s="1"/>
  <c r="C799" i="9"/>
  <c r="A799" i="9"/>
  <c r="B799" i="9" s="1"/>
  <c r="A798" i="9"/>
  <c r="B798" i="9" s="1"/>
  <c r="A797" i="9"/>
  <c r="B797" i="9" s="1"/>
  <c r="B796" i="9"/>
  <c r="A796" i="9"/>
  <c r="B795" i="9"/>
  <c r="C795" i="9" s="1"/>
  <c r="A795" i="9"/>
  <c r="A794" i="9"/>
  <c r="B794" i="9" s="1"/>
  <c r="B793" i="9"/>
  <c r="A793" i="9"/>
  <c r="C792" i="9"/>
  <c r="A792" i="9"/>
  <c r="B792" i="9" s="1"/>
  <c r="A791" i="9"/>
  <c r="B791" i="9" s="1"/>
  <c r="A790" i="9"/>
  <c r="B790" i="9" s="1"/>
  <c r="C789" i="9"/>
  <c r="A789" i="9"/>
  <c r="B789" i="9" s="1"/>
  <c r="B788" i="9"/>
  <c r="A788" i="9"/>
  <c r="A787" i="9"/>
  <c r="B787" i="9" s="1"/>
  <c r="B786" i="9"/>
  <c r="A786" i="9"/>
  <c r="C785" i="9"/>
  <c r="A785" i="9"/>
  <c r="B785" i="9" s="1"/>
  <c r="C786" i="9" s="1"/>
  <c r="A784" i="9"/>
  <c r="B784" i="9" s="1"/>
  <c r="A783" i="9"/>
  <c r="B783" i="9" s="1"/>
  <c r="C784" i="9" s="1"/>
  <c r="B782" i="9"/>
  <c r="A782" i="9"/>
  <c r="A781" i="9"/>
  <c r="B781" i="9" s="1"/>
  <c r="A780" i="9"/>
  <c r="B780" i="9" s="1"/>
  <c r="A779" i="9"/>
  <c r="B779" i="9" s="1"/>
  <c r="B778" i="9"/>
  <c r="A778" i="9"/>
  <c r="A777" i="9"/>
  <c r="B777" i="9" s="1"/>
  <c r="C778" i="9" s="1"/>
  <c r="B776" i="9"/>
  <c r="A776" i="9"/>
  <c r="A775" i="9"/>
  <c r="B775" i="9" s="1"/>
  <c r="A774" i="9"/>
  <c r="B774" i="9" s="1"/>
  <c r="C775" i="9" s="1"/>
  <c r="A773" i="9"/>
  <c r="B773" i="9" s="1"/>
  <c r="B772" i="9"/>
  <c r="C773" i="9" s="1"/>
  <c r="A772" i="9"/>
  <c r="A771" i="9"/>
  <c r="B771" i="9" s="1"/>
  <c r="C772" i="9" s="1"/>
  <c r="A770" i="9"/>
  <c r="B770" i="9" s="1"/>
  <c r="B769" i="9"/>
  <c r="C770" i="9" s="1"/>
  <c r="A769" i="9"/>
  <c r="A768" i="9"/>
  <c r="B768" i="9" s="1"/>
  <c r="A767" i="9"/>
  <c r="B767" i="9" s="1"/>
  <c r="C767" i="9" s="1"/>
  <c r="B766" i="9"/>
  <c r="A766" i="9"/>
  <c r="B765" i="9"/>
  <c r="C766" i="9" s="1"/>
  <c r="A765" i="9"/>
  <c r="A764" i="9"/>
  <c r="B764" i="9" s="1"/>
  <c r="A763" i="9"/>
  <c r="B763" i="9" s="1"/>
  <c r="B762" i="9"/>
  <c r="A762" i="9"/>
  <c r="A761" i="9"/>
  <c r="B761" i="9" s="1"/>
  <c r="C760" i="9"/>
  <c r="A760" i="9"/>
  <c r="B760" i="9" s="1"/>
  <c r="A759" i="9"/>
  <c r="B759" i="9" s="1"/>
  <c r="A758" i="9"/>
  <c r="B758" i="9" s="1"/>
  <c r="A757" i="9"/>
  <c r="B757" i="9" s="1"/>
  <c r="B756" i="9"/>
  <c r="A756" i="9"/>
  <c r="A755" i="9"/>
  <c r="B755" i="9" s="1"/>
  <c r="B754" i="9"/>
  <c r="A754" i="9"/>
  <c r="A753" i="9"/>
  <c r="B753" i="9" s="1"/>
  <c r="A752" i="9"/>
  <c r="B752" i="9" s="1"/>
  <c r="A751" i="9"/>
  <c r="B751" i="9" s="1"/>
  <c r="C752" i="9" s="1"/>
  <c r="C750" i="9"/>
  <c r="A750" i="9"/>
  <c r="B750" i="9" s="1"/>
  <c r="A749" i="9"/>
  <c r="B749" i="9" s="1"/>
  <c r="C749" i="9" s="1"/>
  <c r="A748" i="9"/>
  <c r="B748" i="9" s="1"/>
  <c r="B747" i="9"/>
  <c r="A747" i="9"/>
  <c r="A746" i="9"/>
  <c r="B746" i="9" s="1"/>
  <c r="A745" i="9"/>
  <c r="B745" i="9" s="1"/>
  <c r="B744" i="9"/>
  <c r="C745" i="9" s="1"/>
  <c r="A744" i="9"/>
  <c r="A743" i="9"/>
  <c r="B743" i="9" s="1"/>
  <c r="B742" i="9"/>
  <c r="C743" i="9" s="1"/>
  <c r="A742" i="9"/>
  <c r="A741" i="9"/>
  <c r="B741" i="9" s="1"/>
  <c r="B740" i="9"/>
  <c r="A740" i="9"/>
  <c r="B739" i="9"/>
  <c r="A739" i="9"/>
  <c r="B738" i="9"/>
  <c r="A738" i="9"/>
  <c r="A737" i="9"/>
  <c r="B737" i="9" s="1"/>
  <c r="A736" i="9"/>
  <c r="B736" i="9" s="1"/>
  <c r="A735" i="9"/>
  <c r="B735" i="9" s="1"/>
  <c r="A734" i="9"/>
  <c r="B734" i="9" s="1"/>
  <c r="C735" i="9" s="1"/>
  <c r="A733" i="9"/>
  <c r="B733" i="9" s="1"/>
  <c r="A732" i="9"/>
  <c r="B732" i="9" s="1"/>
  <c r="C733" i="9" s="1"/>
  <c r="B731" i="9"/>
  <c r="A731" i="9"/>
  <c r="B730" i="9"/>
  <c r="C731" i="9" s="1"/>
  <c r="A730" i="9"/>
  <c r="A729" i="9"/>
  <c r="B729" i="9" s="1"/>
  <c r="C729" i="9" s="1"/>
  <c r="A728" i="9"/>
  <c r="B728" i="9" s="1"/>
  <c r="A727" i="9"/>
  <c r="B727" i="9" s="1"/>
  <c r="C728" i="9" s="1"/>
  <c r="A726" i="9"/>
  <c r="B726" i="9" s="1"/>
  <c r="A725" i="9"/>
  <c r="B725" i="9" s="1"/>
  <c r="C726" i="9" s="1"/>
  <c r="A724" i="9"/>
  <c r="B724" i="9" s="1"/>
  <c r="A723" i="9"/>
  <c r="B723" i="9" s="1"/>
  <c r="A722" i="9"/>
  <c r="B722" i="9" s="1"/>
  <c r="B721" i="9"/>
  <c r="A721" i="9"/>
  <c r="A720" i="9"/>
  <c r="B720" i="9" s="1"/>
  <c r="A719" i="9"/>
  <c r="B719" i="9" s="1"/>
  <c r="A718" i="9"/>
  <c r="B718" i="9" s="1"/>
  <c r="A717" i="9"/>
  <c r="B717" i="9" s="1"/>
  <c r="A716" i="9"/>
  <c r="B716" i="9" s="1"/>
  <c r="A715" i="9"/>
  <c r="B715" i="9" s="1"/>
  <c r="B714" i="9"/>
  <c r="A714" i="9"/>
  <c r="B713" i="9"/>
  <c r="A713" i="9"/>
  <c r="A712" i="9"/>
  <c r="B712" i="9" s="1"/>
  <c r="A711" i="9"/>
  <c r="B711" i="9" s="1"/>
  <c r="A710" i="9"/>
  <c r="B710" i="9" s="1"/>
  <c r="C711" i="9" s="1"/>
  <c r="A709" i="9"/>
  <c r="B709" i="9" s="1"/>
  <c r="C709" i="9" s="1"/>
  <c r="A708" i="9"/>
  <c r="B708" i="9" s="1"/>
  <c r="A707" i="9"/>
  <c r="B707" i="9" s="1"/>
  <c r="C708" i="9" s="1"/>
  <c r="B706" i="9"/>
  <c r="A706" i="9"/>
  <c r="A705" i="9"/>
  <c r="B705" i="9" s="1"/>
  <c r="A704" i="9"/>
  <c r="B704" i="9" s="1"/>
  <c r="A703" i="9"/>
  <c r="B703" i="9" s="1"/>
  <c r="B702" i="9"/>
  <c r="C702" i="9" s="1"/>
  <c r="A702" i="9"/>
  <c r="A701" i="9"/>
  <c r="B701" i="9" s="1"/>
  <c r="B700" i="9"/>
  <c r="A700" i="9"/>
  <c r="B699" i="9"/>
  <c r="A699" i="9"/>
  <c r="A698" i="9"/>
  <c r="B698" i="9" s="1"/>
  <c r="A697" i="9"/>
  <c r="B697" i="9" s="1"/>
  <c r="A696" i="9"/>
  <c r="B696" i="9" s="1"/>
  <c r="A695" i="9"/>
  <c r="B695" i="9" s="1"/>
  <c r="A694" i="9"/>
  <c r="B694" i="9" s="1"/>
  <c r="A693" i="9"/>
  <c r="B693" i="9" s="1"/>
  <c r="A692" i="9"/>
  <c r="B692" i="9" s="1"/>
  <c r="A691" i="9"/>
  <c r="B691" i="9" s="1"/>
  <c r="C690" i="9"/>
  <c r="A690" i="9"/>
  <c r="B690" i="9" s="1"/>
  <c r="A689" i="9"/>
  <c r="B689" i="9" s="1"/>
  <c r="A688" i="9"/>
  <c r="B688" i="9" s="1"/>
  <c r="C689" i="9" s="1"/>
  <c r="A687" i="9"/>
  <c r="B687" i="9" s="1"/>
  <c r="A686" i="9"/>
  <c r="B686" i="9" s="1"/>
  <c r="A685" i="9"/>
  <c r="B685" i="9" s="1"/>
  <c r="A684" i="9"/>
  <c r="B684" i="9" s="1"/>
  <c r="A683" i="9"/>
  <c r="B683" i="9" s="1"/>
  <c r="B682" i="9"/>
  <c r="C683" i="9" s="1"/>
  <c r="A682" i="9"/>
  <c r="A681" i="9"/>
  <c r="B681" i="9" s="1"/>
  <c r="A680" i="9"/>
  <c r="B680" i="9" s="1"/>
  <c r="C681" i="9" s="1"/>
  <c r="A679" i="9"/>
  <c r="B679" i="9" s="1"/>
  <c r="A678" i="9"/>
  <c r="B678" i="9" s="1"/>
  <c r="B677" i="9"/>
  <c r="C678" i="9" s="1"/>
  <c r="A677" i="9"/>
  <c r="A676" i="9"/>
  <c r="B676" i="9" s="1"/>
  <c r="B675" i="9"/>
  <c r="C676" i="9" s="1"/>
  <c r="A675" i="9"/>
  <c r="B674" i="9"/>
  <c r="A674" i="9"/>
  <c r="A673" i="9"/>
  <c r="B673" i="9" s="1"/>
  <c r="C674" i="9" s="1"/>
  <c r="A672" i="9"/>
  <c r="B672" i="9" s="1"/>
  <c r="C672" i="9" s="1"/>
  <c r="A671" i="9"/>
  <c r="B671" i="9" s="1"/>
  <c r="B670" i="9"/>
  <c r="C671" i="9" s="1"/>
  <c r="A670" i="9"/>
  <c r="B669" i="9"/>
  <c r="C670" i="9" s="1"/>
  <c r="A669" i="9"/>
  <c r="A668" i="9"/>
  <c r="B668" i="9" s="1"/>
  <c r="B667" i="9"/>
  <c r="A667" i="9"/>
  <c r="B666" i="9"/>
  <c r="A666" i="9"/>
  <c r="B665" i="9"/>
  <c r="C665" i="9" s="1"/>
  <c r="A665" i="9"/>
  <c r="A664" i="9"/>
  <c r="B664" i="9" s="1"/>
  <c r="A663" i="9"/>
  <c r="B663" i="9" s="1"/>
  <c r="C664" i="9" s="1"/>
  <c r="A662" i="9"/>
  <c r="B662" i="9" s="1"/>
  <c r="A661" i="9"/>
  <c r="B661" i="9" s="1"/>
  <c r="A660" i="9"/>
  <c r="B660" i="9" s="1"/>
  <c r="C661" i="9" s="1"/>
  <c r="B659" i="9"/>
  <c r="A659" i="9"/>
  <c r="C658" i="9"/>
  <c r="B658" i="9"/>
  <c r="A658" i="9"/>
  <c r="B657" i="9"/>
  <c r="A657" i="9"/>
  <c r="B656" i="9"/>
  <c r="C657" i="9" s="1"/>
  <c r="A656" i="9"/>
  <c r="A655" i="9"/>
  <c r="B655" i="9" s="1"/>
  <c r="A654" i="9"/>
  <c r="B654" i="9" s="1"/>
  <c r="C655" i="9" s="1"/>
  <c r="A653" i="9"/>
  <c r="B653" i="9" s="1"/>
  <c r="C653" i="9" s="1"/>
  <c r="A652" i="9"/>
  <c r="B652" i="9" s="1"/>
  <c r="A651" i="9"/>
  <c r="B651" i="9" s="1"/>
  <c r="C652" i="9" s="1"/>
  <c r="B650" i="9"/>
  <c r="A650" i="9"/>
  <c r="A649" i="9"/>
  <c r="B649" i="9" s="1"/>
  <c r="C650" i="9" s="1"/>
  <c r="A648" i="9"/>
  <c r="B648" i="9" s="1"/>
  <c r="A647" i="9"/>
  <c r="B647" i="9" s="1"/>
  <c r="A646" i="9"/>
  <c r="B646" i="9" s="1"/>
  <c r="C647" i="9" s="1"/>
  <c r="A645" i="9"/>
  <c r="B645" i="9" s="1"/>
  <c r="A644" i="9"/>
  <c r="B644" i="9" s="1"/>
  <c r="C645" i="9" s="1"/>
  <c r="A643" i="9"/>
  <c r="B643" i="9" s="1"/>
  <c r="B642" i="9"/>
  <c r="C643" i="9" s="1"/>
  <c r="A642" i="9"/>
  <c r="A641" i="9"/>
  <c r="B641" i="9" s="1"/>
  <c r="A640" i="9"/>
  <c r="B640" i="9" s="1"/>
  <c r="A639" i="9"/>
  <c r="B639" i="9" s="1"/>
  <c r="B638" i="9"/>
  <c r="C639" i="9" s="1"/>
  <c r="A638" i="9"/>
  <c r="A637" i="9"/>
  <c r="B637" i="9" s="1"/>
  <c r="C638" i="9" s="1"/>
  <c r="A636" i="9"/>
  <c r="B636" i="9" s="1"/>
  <c r="B635" i="9"/>
  <c r="A635" i="9"/>
  <c r="B634" i="9"/>
  <c r="A634" i="9"/>
  <c r="A633" i="9"/>
  <c r="B633" i="9" s="1"/>
  <c r="A632" i="9"/>
  <c r="B632" i="9" s="1"/>
  <c r="A631" i="9"/>
  <c r="B631" i="9" s="1"/>
  <c r="A630" i="9"/>
  <c r="B630" i="9" s="1"/>
  <c r="C631" i="9" s="1"/>
  <c r="A629" i="9"/>
  <c r="B629" i="9" s="1"/>
  <c r="C630" i="9" s="1"/>
  <c r="A628" i="9"/>
  <c r="B628" i="9" s="1"/>
  <c r="A627" i="9"/>
  <c r="B627" i="9" s="1"/>
  <c r="A626" i="9"/>
  <c r="B626" i="9" s="1"/>
  <c r="A625" i="9"/>
  <c r="B625" i="9" s="1"/>
  <c r="B624" i="9"/>
  <c r="A624" i="9"/>
  <c r="A623" i="9"/>
  <c r="B623" i="9" s="1"/>
  <c r="C624" i="9" s="1"/>
  <c r="A622" i="9"/>
  <c r="B622" i="9" s="1"/>
  <c r="C623" i="9" s="1"/>
  <c r="A621" i="9"/>
  <c r="B621" i="9" s="1"/>
  <c r="C621" i="9" s="1"/>
  <c r="A620" i="9"/>
  <c r="B620" i="9" s="1"/>
  <c r="B619" i="9"/>
  <c r="C620" i="9" s="1"/>
  <c r="A619" i="9"/>
  <c r="A618" i="9"/>
  <c r="B618" i="9" s="1"/>
  <c r="C618" i="9" s="1"/>
  <c r="B617" i="9"/>
  <c r="A617" i="9"/>
  <c r="B616" i="9"/>
  <c r="A616" i="9"/>
  <c r="A615" i="9"/>
  <c r="B615" i="9" s="1"/>
  <c r="A614" i="9"/>
  <c r="B614" i="9" s="1"/>
  <c r="A613" i="9"/>
  <c r="B613" i="9" s="1"/>
  <c r="C614" i="9" s="1"/>
  <c r="B612" i="9"/>
  <c r="A612" i="9"/>
  <c r="A611" i="9"/>
  <c r="B611" i="9" s="1"/>
  <c r="A610" i="9"/>
  <c r="B610" i="9" s="1"/>
  <c r="A609" i="9"/>
  <c r="B609" i="9" s="1"/>
  <c r="A608" i="9"/>
  <c r="B608" i="9" s="1"/>
  <c r="A607" i="9"/>
  <c r="B607" i="9" s="1"/>
  <c r="C608" i="9" s="1"/>
  <c r="B606" i="9"/>
  <c r="A606" i="9"/>
  <c r="A605" i="9"/>
  <c r="B605" i="9" s="1"/>
  <c r="A604" i="9"/>
  <c r="B604" i="9" s="1"/>
  <c r="A603" i="9"/>
  <c r="B603" i="9" s="1"/>
  <c r="C604" i="9" s="1"/>
  <c r="B602" i="9"/>
  <c r="C603" i="9" s="1"/>
  <c r="A602" i="9"/>
  <c r="A601" i="9"/>
  <c r="B601" i="9" s="1"/>
  <c r="A600" i="9"/>
  <c r="B600" i="9" s="1"/>
  <c r="A599" i="9"/>
  <c r="B599" i="9" s="1"/>
  <c r="C600" i="9" s="1"/>
  <c r="A598" i="9"/>
  <c r="B598" i="9" s="1"/>
  <c r="A597" i="9"/>
  <c r="B597" i="9" s="1"/>
  <c r="C598" i="9" s="1"/>
  <c r="A596" i="9"/>
  <c r="B596" i="9" s="1"/>
  <c r="C597" i="9" s="1"/>
  <c r="B595" i="9"/>
  <c r="A595" i="9"/>
  <c r="A594" i="9"/>
  <c r="B594" i="9" s="1"/>
  <c r="A593" i="9"/>
  <c r="B593" i="9" s="1"/>
  <c r="A592" i="9"/>
  <c r="B592" i="9" s="1"/>
  <c r="C592" i="9" s="1"/>
  <c r="A591" i="9"/>
  <c r="B591" i="9" s="1"/>
  <c r="A590" i="9"/>
  <c r="B590" i="9" s="1"/>
  <c r="C591" i="9" s="1"/>
  <c r="A589" i="9"/>
  <c r="B589" i="9" s="1"/>
  <c r="B588" i="9"/>
  <c r="A588" i="9"/>
  <c r="A587" i="9"/>
  <c r="B587" i="9" s="1"/>
  <c r="B586" i="9"/>
  <c r="C587" i="9" s="1"/>
  <c r="A586" i="9"/>
  <c r="B585" i="9"/>
  <c r="C586" i="9" s="1"/>
  <c r="A585" i="9"/>
  <c r="A584" i="9"/>
  <c r="B584" i="9" s="1"/>
  <c r="C584" i="9" s="1"/>
  <c r="A583" i="9"/>
  <c r="B583" i="9" s="1"/>
  <c r="A582" i="9"/>
  <c r="B582" i="9" s="1"/>
  <c r="C583" i="9" s="1"/>
  <c r="A581" i="9"/>
  <c r="B581" i="9" s="1"/>
  <c r="C582" i="9" s="1"/>
  <c r="A580" i="9"/>
  <c r="B580" i="9" s="1"/>
  <c r="C581" i="9" s="1"/>
  <c r="A579" i="9"/>
  <c r="B579" i="9" s="1"/>
  <c r="C579" i="9" s="1"/>
  <c r="A578" i="9"/>
  <c r="B578" i="9" s="1"/>
  <c r="A577" i="9"/>
  <c r="B577" i="9" s="1"/>
  <c r="B576" i="9"/>
  <c r="A576" i="9"/>
  <c r="A575" i="9"/>
  <c r="B575" i="9" s="1"/>
  <c r="A574" i="9"/>
  <c r="B574" i="9" s="1"/>
  <c r="C575" i="9" s="1"/>
  <c r="A573" i="9"/>
  <c r="B573" i="9" s="1"/>
  <c r="A572" i="9"/>
  <c r="B572" i="9" s="1"/>
  <c r="A571" i="9"/>
  <c r="B571" i="9" s="1"/>
  <c r="B570" i="9"/>
  <c r="C571" i="9" s="1"/>
  <c r="A570" i="9"/>
  <c r="A569" i="9"/>
  <c r="B569" i="9" s="1"/>
  <c r="A568" i="9"/>
  <c r="B568" i="9" s="1"/>
  <c r="A567" i="9"/>
  <c r="B567" i="9" s="1"/>
  <c r="A566" i="9"/>
  <c r="B566" i="9" s="1"/>
  <c r="C567" i="9" s="1"/>
  <c r="A565" i="9"/>
  <c r="B565" i="9" s="1"/>
  <c r="B564" i="9"/>
  <c r="C565" i="9" s="1"/>
  <c r="A564" i="9"/>
  <c r="A563" i="9"/>
  <c r="B563" i="9" s="1"/>
  <c r="B562" i="9"/>
  <c r="A562" i="9"/>
  <c r="A561" i="9"/>
  <c r="B561" i="9" s="1"/>
  <c r="C562" i="9" s="1"/>
  <c r="C560" i="9"/>
  <c r="A560" i="9"/>
  <c r="B560" i="9" s="1"/>
  <c r="A559" i="9"/>
  <c r="B559" i="9" s="1"/>
  <c r="A558" i="9"/>
  <c r="B558" i="9" s="1"/>
  <c r="C559" i="9" s="1"/>
  <c r="A557" i="9"/>
  <c r="B557" i="9" s="1"/>
  <c r="A556" i="9"/>
  <c r="B556" i="9" s="1"/>
  <c r="A555" i="9"/>
  <c r="B555" i="9" s="1"/>
  <c r="B554" i="9"/>
  <c r="A554" i="9"/>
  <c r="A553" i="9"/>
  <c r="B553" i="9" s="1"/>
  <c r="C554" i="9" s="1"/>
  <c r="A552" i="9"/>
  <c r="B552" i="9" s="1"/>
  <c r="C552" i="9" s="1"/>
  <c r="A551" i="9"/>
  <c r="B551" i="9" s="1"/>
  <c r="A550" i="9"/>
  <c r="B550" i="9" s="1"/>
  <c r="B549" i="9"/>
  <c r="A549" i="9"/>
  <c r="A548" i="9"/>
  <c r="B548" i="9" s="1"/>
  <c r="A547" i="9"/>
  <c r="B547" i="9" s="1"/>
  <c r="A546" i="9"/>
  <c r="B546" i="9" s="1"/>
  <c r="C547" i="9" s="1"/>
  <c r="A545" i="9"/>
  <c r="B545" i="9" s="1"/>
  <c r="A544" i="9"/>
  <c r="B544" i="9" s="1"/>
  <c r="A543" i="9"/>
  <c r="B543" i="9" s="1"/>
  <c r="C544" i="9" s="1"/>
  <c r="A542" i="9"/>
  <c r="B542" i="9" s="1"/>
  <c r="A541" i="9"/>
  <c r="B541" i="9" s="1"/>
  <c r="A540" i="9"/>
  <c r="B540" i="9" s="1"/>
  <c r="A539" i="9"/>
  <c r="B539" i="9" s="1"/>
  <c r="A538" i="9"/>
  <c r="B538" i="9" s="1"/>
  <c r="C539" i="9" s="1"/>
  <c r="A537" i="9"/>
  <c r="B537" i="9" s="1"/>
  <c r="A536" i="9"/>
  <c r="B536" i="9" s="1"/>
  <c r="C537" i="9" s="1"/>
  <c r="A535" i="9"/>
  <c r="B535" i="9" s="1"/>
  <c r="A534" i="9"/>
  <c r="B534" i="9" s="1"/>
  <c r="C535" i="9" s="1"/>
  <c r="B533" i="9"/>
  <c r="A533" i="9"/>
  <c r="A532" i="9"/>
  <c r="B532" i="9" s="1"/>
  <c r="C533" i="9" s="1"/>
  <c r="A531" i="9"/>
  <c r="B531" i="9" s="1"/>
  <c r="B530" i="9"/>
  <c r="A530" i="9"/>
  <c r="A529" i="9"/>
  <c r="B529" i="9" s="1"/>
  <c r="C528" i="9"/>
  <c r="A528" i="9"/>
  <c r="B528" i="9" s="1"/>
  <c r="A527" i="9"/>
  <c r="B527" i="9" s="1"/>
  <c r="B526" i="9"/>
  <c r="C527" i="9" s="1"/>
  <c r="A526" i="9"/>
  <c r="A525" i="9"/>
  <c r="B525" i="9" s="1"/>
  <c r="C525" i="9" s="1"/>
  <c r="A524" i="9"/>
  <c r="B524" i="9" s="1"/>
  <c r="A523" i="9"/>
  <c r="B523" i="9" s="1"/>
  <c r="A522" i="9"/>
  <c r="B522" i="9" s="1"/>
  <c r="B521" i="9"/>
  <c r="C522" i="9" s="1"/>
  <c r="A521" i="9"/>
  <c r="A520" i="9"/>
  <c r="B520" i="9" s="1"/>
  <c r="A519" i="9"/>
  <c r="B519" i="9" s="1"/>
  <c r="A518" i="9"/>
  <c r="B518" i="9" s="1"/>
  <c r="A517" i="9"/>
  <c r="B517" i="9" s="1"/>
  <c r="C517" i="9" s="1"/>
  <c r="B516" i="9"/>
  <c r="A516" i="9"/>
  <c r="A515" i="9"/>
  <c r="B515" i="9" s="1"/>
  <c r="C516" i="9" s="1"/>
  <c r="A514" i="9"/>
  <c r="B514" i="9" s="1"/>
  <c r="C514" i="9" s="1"/>
  <c r="A513" i="9"/>
  <c r="B513" i="9" s="1"/>
  <c r="A512" i="9"/>
  <c r="B512" i="9" s="1"/>
  <c r="C513" i="9" s="1"/>
  <c r="A511" i="9"/>
  <c r="B511" i="9" s="1"/>
  <c r="A510" i="9"/>
  <c r="B510" i="9" s="1"/>
  <c r="A509" i="9"/>
  <c r="B509" i="9" s="1"/>
  <c r="A508" i="9"/>
  <c r="B508" i="9" s="1"/>
  <c r="A507" i="9"/>
  <c r="B507" i="9" s="1"/>
  <c r="A506" i="9"/>
  <c r="B506" i="9" s="1"/>
  <c r="C507" i="9" s="1"/>
  <c r="A505" i="9"/>
  <c r="B505" i="9" s="1"/>
  <c r="A504" i="9"/>
  <c r="B504" i="9" s="1"/>
  <c r="A503" i="9"/>
  <c r="B503" i="9" s="1"/>
  <c r="A502" i="9"/>
  <c r="B502" i="9" s="1"/>
  <c r="C503" i="9" s="1"/>
  <c r="A501" i="9"/>
  <c r="B501" i="9" s="1"/>
  <c r="B500" i="9"/>
  <c r="A500" i="9"/>
  <c r="A499" i="9"/>
  <c r="B499" i="9" s="1"/>
  <c r="C500" i="9" s="1"/>
  <c r="B498" i="9"/>
  <c r="A498" i="9"/>
  <c r="A497" i="9"/>
  <c r="B497" i="9" s="1"/>
  <c r="B496" i="9"/>
  <c r="A496" i="9"/>
  <c r="A495" i="9"/>
  <c r="B495" i="9" s="1"/>
  <c r="C496" i="9" s="1"/>
  <c r="B494" i="9"/>
  <c r="A494" i="9"/>
  <c r="B493" i="9"/>
  <c r="A493" i="9"/>
  <c r="A492" i="9"/>
  <c r="B492" i="9" s="1"/>
  <c r="C493" i="9" s="1"/>
  <c r="B491" i="9"/>
  <c r="A491" i="9"/>
  <c r="A490" i="9"/>
  <c r="B490" i="9" s="1"/>
  <c r="A489" i="9"/>
  <c r="B489" i="9" s="1"/>
  <c r="A488" i="9"/>
  <c r="B488" i="9" s="1"/>
  <c r="A487" i="9"/>
  <c r="B487" i="9" s="1"/>
  <c r="B486" i="9"/>
  <c r="C487" i="9" s="1"/>
  <c r="A486" i="9"/>
  <c r="A485" i="9"/>
  <c r="B485" i="9" s="1"/>
  <c r="B484" i="9"/>
  <c r="A484" i="9"/>
  <c r="A483" i="9"/>
  <c r="B483" i="9" s="1"/>
  <c r="B482" i="9"/>
  <c r="A482" i="9"/>
  <c r="A481" i="9"/>
  <c r="B481" i="9" s="1"/>
  <c r="C482" i="9" s="1"/>
  <c r="A480" i="9"/>
  <c r="B480" i="9" s="1"/>
  <c r="A479" i="9"/>
  <c r="B479" i="9" s="1"/>
  <c r="C479" i="9" s="1"/>
  <c r="A478" i="9"/>
  <c r="B478" i="9" s="1"/>
  <c r="A477" i="9"/>
  <c r="B477" i="9" s="1"/>
  <c r="C478" i="9" s="1"/>
  <c r="A476" i="9"/>
  <c r="B476" i="9" s="1"/>
  <c r="C477" i="9" s="1"/>
  <c r="A475" i="9"/>
  <c r="B475" i="9" s="1"/>
  <c r="A474" i="9"/>
  <c r="B474" i="9" s="1"/>
  <c r="C475" i="9" s="1"/>
  <c r="A473" i="9"/>
  <c r="B473" i="9" s="1"/>
  <c r="A472" i="9"/>
  <c r="B472" i="9" s="1"/>
  <c r="C473" i="9" s="1"/>
  <c r="A471" i="9"/>
  <c r="B471" i="9" s="1"/>
  <c r="A470" i="9"/>
  <c r="B470" i="9" s="1"/>
  <c r="B469" i="9"/>
  <c r="C470" i="9" s="1"/>
  <c r="A469" i="9"/>
  <c r="A468" i="9"/>
  <c r="B468" i="9" s="1"/>
  <c r="A467" i="9"/>
  <c r="B467" i="9" s="1"/>
  <c r="A466" i="9"/>
  <c r="B466" i="9" s="1"/>
  <c r="A465" i="9"/>
  <c r="B465" i="9" s="1"/>
  <c r="C466" i="9" s="1"/>
  <c r="A464" i="9"/>
  <c r="B464" i="9" s="1"/>
  <c r="A463" i="9"/>
  <c r="B463" i="9" s="1"/>
  <c r="C463" i="9" s="1"/>
  <c r="A462" i="9"/>
  <c r="B462" i="9" s="1"/>
  <c r="A461" i="9"/>
  <c r="B461" i="9" s="1"/>
  <c r="C462" i="9" s="1"/>
  <c r="A460" i="9"/>
  <c r="B460" i="9" s="1"/>
  <c r="A459" i="9"/>
  <c r="B459" i="9" s="1"/>
  <c r="A458" i="9"/>
  <c r="B458" i="9" s="1"/>
  <c r="B457" i="9"/>
  <c r="A457" i="9"/>
  <c r="A456" i="9"/>
  <c r="B456" i="9" s="1"/>
  <c r="C456" i="9" s="1"/>
  <c r="A455" i="9"/>
  <c r="B455" i="9" s="1"/>
  <c r="A454" i="9"/>
  <c r="B454" i="9" s="1"/>
  <c r="C455" i="9" s="1"/>
  <c r="A453" i="9"/>
  <c r="B453" i="9" s="1"/>
  <c r="A452" i="9"/>
  <c r="B452" i="9" s="1"/>
  <c r="C453" i="9" s="1"/>
  <c r="A451" i="9"/>
  <c r="B451" i="9" s="1"/>
  <c r="C451" i="9" s="1"/>
  <c r="B450" i="9"/>
  <c r="A450" i="9"/>
  <c r="A449" i="9"/>
  <c r="B449" i="9" s="1"/>
  <c r="C448" i="9"/>
  <c r="A448" i="9"/>
  <c r="B448" i="9" s="1"/>
  <c r="A447" i="9"/>
  <c r="B447" i="9" s="1"/>
  <c r="A446" i="9"/>
  <c r="B446" i="9" s="1"/>
  <c r="C447" i="9" s="1"/>
  <c r="A445" i="9"/>
  <c r="B445" i="9" s="1"/>
  <c r="C446" i="9" s="1"/>
  <c r="B444" i="9"/>
  <c r="A444" i="9"/>
  <c r="A443" i="9"/>
  <c r="B443" i="9" s="1"/>
  <c r="B442" i="9"/>
  <c r="A442" i="9"/>
  <c r="A441" i="9"/>
  <c r="B441" i="9" s="1"/>
  <c r="C442" i="9" s="1"/>
  <c r="A440" i="9"/>
  <c r="B440" i="9" s="1"/>
  <c r="C441" i="9" s="1"/>
  <c r="A439" i="9"/>
  <c r="B439" i="9" s="1"/>
  <c r="A438" i="9"/>
  <c r="B438" i="9" s="1"/>
  <c r="B437" i="9"/>
  <c r="A437" i="9"/>
  <c r="A436" i="9"/>
  <c r="B436" i="9" s="1"/>
  <c r="C437" i="9" s="1"/>
  <c r="B435" i="9"/>
  <c r="C436" i="9" s="1"/>
  <c r="A435" i="9"/>
  <c r="A434" i="9"/>
  <c r="B434" i="9" s="1"/>
  <c r="A433" i="9"/>
  <c r="B433" i="9" s="1"/>
  <c r="A432" i="9"/>
  <c r="B432" i="9" s="1"/>
  <c r="A431" i="9"/>
  <c r="B431" i="9" s="1"/>
  <c r="A430" i="9"/>
  <c r="B430" i="9" s="1"/>
  <c r="C431" i="9" s="1"/>
  <c r="A429" i="9"/>
  <c r="B429" i="9" s="1"/>
  <c r="C430" i="9" s="1"/>
  <c r="A428" i="9"/>
  <c r="B428" i="9" s="1"/>
  <c r="A427" i="9"/>
  <c r="B427" i="9" s="1"/>
  <c r="B426" i="9"/>
  <c r="C427" i="9" s="1"/>
  <c r="A426" i="9"/>
  <c r="A425" i="9"/>
  <c r="B425" i="9" s="1"/>
  <c r="C426" i="9" s="1"/>
  <c r="A424" i="9"/>
  <c r="B424" i="9" s="1"/>
  <c r="C425" i="9" s="1"/>
  <c r="A423" i="9"/>
  <c r="B423" i="9" s="1"/>
  <c r="A422" i="9"/>
  <c r="B422" i="9" s="1"/>
  <c r="C423" i="9" s="1"/>
  <c r="A421" i="9"/>
  <c r="B421" i="9" s="1"/>
  <c r="A420" i="9"/>
  <c r="B420" i="9" s="1"/>
  <c r="A419" i="9"/>
  <c r="B419" i="9" s="1"/>
  <c r="C420" i="9" s="1"/>
  <c r="A418" i="9"/>
  <c r="B418" i="9" s="1"/>
  <c r="C419" i="9" s="1"/>
  <c r="B417" i="9"/>
  <c r="C417" i="9" s="1"/>
  <c r="A417" i="9"/>
  <c r="A416" i="9"/>
  <c r="B416" i="9" s="1"/>
  <c r="A415" i="9"/>
  <c r="B415" i="9" s="1"/>
  <c r="C416" i="9" s="1"/>
  <c r="A414" i="9"/>
  <c r="B414" i="9" s="1"/>
  <c r="C415" i="9" s="1"/>
  <c r="A413" i="9"/>
  <c r="B413" i="9" s="1"/>
  <c r="A412" i="9"/>
  <c r="B412" i="9" s="1"/>
  <c r="C413" i="9" s="1"/>
  <c r="A411" i="9"/>
  <c r="B411" i="9" s="1"/>
  <c r="A410" i="9"/>
  <c r="B410" i="9" s="1"/>
  <c r="A409" i="9"/>
  <c r="B409" i="9" s="1"/>
  <c r="B408" i="9"/>
  <c r="C408" i="9" s="1"/>
  <c r="A408" i="9"/>
  <c r="A407" i="9"/>
  <c r="B407" i="9" s="1"/>
  <c r="A406" i="9"/>
  <c r="B406" i="9" s="1"/>
  <c r="C407" i="9" s="1"/>
  <c r="A405" i="9"/>
  <c r="B405" i="9" s="1"/>
  <c r="C406" i="9" s="1"/>
  <c r="A404" i="9"/>
  <c r="B404" i="9" s="1"/>
  <c r="A403" i="9"/>
  <c r="B403" i="9" s="1"/>
  <c r="B402" i="9"/>
  <c r="C403" i="9" s="1"/>
  <c r="A402" i="9"/>
  <c r="A401" i="9"/>
  <c r="B401" i="9" s="1"/>
  <c r="A400" i="9"/>
  <c r="B400" i="9" s="1"/>
  <c r="A399" i="9"/>
  <c r="B399" i="9" s="1"/>
  <c r="C399" i="9" s="1"/>
  <c r="A398" i="9"/>
  <c r="B398" i="9" s="1"/>
  <c r="A397" i="9"/>
  <c r="B397" i="9" s="1"/>
  <c r="C398" i="9" s="1"/>
  <c r="A396" i="9"/>
  <c r="B396" i="9" s="1"/>
  <c r="A395" i="9"/>
  <c r="B395" i="9" s="1"/>
  <c r="B394" i="9"/>
  <c r="A394" i="9"/>
  <c r="A393" i="9"/>
  <c r="B393" i="9" s="1"/>
  <c r="A392" i="9"/>
  <c r="B392" i="9" s="1"/>
  <c r="A391" i="9"/>
  <c r="B391" i="9" s="1"/>
  <c r="C392" i="9" s="1"/>
  <c r="B390" i="9"/>
  <c r="A390" i="9"/>
  <c r="A389" i="9"/>
  <c r="B389" i="9" s="1"/>
  <c r="A388" i="9"/>
  <c r="B388" i="9" s="1"/>
  <c r="C389" i="9" s="1"/>
  <c r="A387" i="9"/>
  <c r="B387" i="9" s="1"/>
  <c r="C388" i="9" s="1"/>
  <c r="B386" i="9"/>
  <c r="A386" i="9"/>
  <c r="A385" i="9"/>
  <c r="B385" i="9" s="1"/>
  <c r="A384" i="9"/>
  <c r="B384" i="9" s="1"/>
  <c r="C385" i="9" s="1"/>
  <c r="A383" i="9"/>
  <c r="B383" i="9" s="1"/>
  <c r="A382" i="9"/>
  <c r="B382" i="9" s="1"/>
  <c r="C383" i="9" s="1"/>
  <c r="A381" i="9"/>
  <c r="B381" i="9" s="1"/>
  <c r="A380" i="9"/>
  <c r="B380" i="9" s="1"/>
  <c r="C381" i="9" s="1"/>
  <c r="A379" i="9"/>
  <c r="B379" i="9" s="1"/>
  <c r="A378" i="9"/>
  <c r="B378" i="9" s="1"/>
  <c r="A377" i="9"/>
  <c r="B377" i="9" s="1"/>
  <c r="C377" i="9" s="1"/>
  <c r="A376" i="9"/>
  <c r="B376" i="9" s="1"/>
  <c r="A375" i="9"/>
  <c r="B375" i="9" s="1"/>
  <c r="A374" i="9"/>
  <c r="B374" i="9" s="1"/>
  <c r="C375" i="9" s="1"/>
  <c r="A373" i="9"/>
  <c r="B373" i="9" s="1"/>
  <c r="A372" i="9"/>
  <c r="B372" i="9" s="1"/>
  <c r="A371" i="9"/>
  <c r="B371" i="9" s="1"/>
  <c r="A370" i="9"/>
  <c r="B370" i="9" s="1"/>
  <c r="C370" i="9" s="1"/>
  <c r="A369" i="9"/>
  <c r="B369" i="9" s="1"/>
  <c r="C368" i="9"/>
  <c r="A368" i="9"/>
  <c r="B368" i="9" s="1"/>
  <c r="C369" i="9" s="1"/>
  <c r="A367" i="9"/>
  <c r="B367" i="9" s="1"/>
  <c r="A366" i="9"/>
  <c r="B366" i="9" s="1"/>
  <c r="A365" i="9"/>
  <c r="B365" i="9" s="1"/>
  <c r="A364" i="9"/>
  <c r="B364" i="9" s="1"/>
  <c r="C365" i="9" s="1"/>
  <c r="A363" i="9"/>
  <c r="B363" i="9" s="1"/>
  <c r="A362" i="9"/>
  <c r="B362" i="9" s="1"/>
  <c r="C362" i="9" s="1"/>
  <c r="A361" i="9"/>
  <c r="B361" i="9" s="1"/>
  <c r="A360" i="9"/>
  <c r="B360" i="9" s="1"/>
  <c r="A359" i="9"/>
  <c r="B359" i="9" s="1"/>
  <c r="C359" i="9" s="1"/>
  <c r="A358" i="9"/>
  <c r="B358" i="9" s="1"/>
  <c r="A357" i="9"/>
  <c r="B357" i="9" s="1"/>
  <c r="A356" i="9"/>
  <c r="B356" i="9" s="1"/>
  <c r="C357" i="9" s="1"/>
  <c r="A355" i="9"/>
  <c r="B355" i="9" s="1"/>
  <c r="B354" i="9"/>
  <c r="A354" i="9"/>
  <c r="A353" i="9"/>
  <c r="B353" i="9" s="1"/>
  <c r="A352" i="9"/>
  <c r="B352" i="9" s="1"/>
  <c r="A351" i="9"/>
  <c r="B351" i="9" s="1"/>
  <c r="C352" i="9" s="1"/>
  <c r="B350" i="9"/>
  <c r="A350" i="9"/>
  <c r="A349" i="9"/>
  <c r="B349" i="9" s="1"/>
  <c r="C349" i="9" s="1"/>
  <c r="A348" i="9"/>
  <c r="B348" i="9" s="1"/>
  <c r="A347" i="9"/>
  <c r="B347" i="9" s="1"/>
  <c r="A346" i="9"/>
  <c r="B346" i="9" s="1"/>
  <c r="C346" i="9" s="1"/>
  <c r="A345" i="9"/>
  <c r="B345" i="9" s="1"/>
  <c r="A344" i="9"/>
  <c r="B344" i="9" s="1"/>
  <c r="A343" i="9"/>
  <c r="B343" i="9" s="1"/>
  <c r="A342" i="9"/>
  <c r="B342" i="9" s="1"/>
  <c r="A341" i="9"/>
  <c r="B341" i="9" s="1"/>
  <c r="A340" i="9"/>
  <c r="B340" i="9" s="1"/>
  <c r="C341" i="9" s="1"/>
  <c r="B339" i="9"/>
  <c r="C339" i="9" s="1"/>
  <c r="A339" i="9"/>
  <c r="A338" i="9"/>
  <c r="B338" i="9" s="1"/>
  <c r="A337" i="9"/>
  <c r="B337" i="9" s="1"/>
  <c r="A336" i="9"/>
  <c r="B336" i="9" s="1"/>
  <c r="A335" i="9"/>
  <c r="B335" i="9" s="1"/>
  <c r="A334" i="9"/>
  <c r="B334" i="9" s="1"/>
  <c r="C335" i="9" s="1"/>
  <c r="A333" i="9"/>
  <c r="B333" i="9" s="1"/>
  <c r="A332" i="9"/>
  <c r="B332" i="9" s="1"/>
  <c r="A331" i="9"/>
  <c r="B331" i="9" s="1"/>
  <c r="A330" i="9"/>
  <c r="B330" i="9" s="1"/>
  <c r="C331" i="9" s="1"/>
  <c r="A329" i="9"/>
  <c r="B329" i="9" s="1"/>
  <c r="A328" i="9"/>
  <c r="B328" i="9" s="1"/>
  <c r="A327" i="9"/>
  <c r="B327" i="9" s="1"/>
  <c r="A326" i="9"/>
  <c r="B326" i="9" s="1"/>
  <c r="A325" i="9"/>
  <c r="B325" i="9" s="1"/>
  <c r="A324" i="9"/>
  <c r="B324" i="9" s="1"/>
  <c r="A323" i="9"/>
  <c r="B323" i="9" s="1"/>
  <c r="C323" i="9" s="1"/>
  <c r="A322" i="9"/>
  <c r="B322" i="9" s="1"/>
  <c r="A321" i="9"/>
  <c r="B321" i="9" s="1"/>
  <c r="A320" i="9"/>
  <c r="B320" i="9" s="1"/>
  <c r="C321" i="9" s="1"/>
  <c r="A319" i="9"/>
  <c r="B319" i="9" s="1"/>
  <c r="C320" i="9" s="1"/>
  <c r="B318" i="9"/>
  <c r="C318" i="9" s="1"/>
  <c r="A318" i="9"/>
  <c r="A317" i="9"/>
  <c r="B317" i="9" s="1"/>
  <c r="A316" i="9"/>
  <c r="B316" i="9" s="1"/>
  <c r="C317" i="9" s="1"/>
  <c r="A315" i="9"/>
  <c r="B315" i="9" s="1"/>
  <c r="C316" i="9" s="1"/>
  <c r="A314" i="9"/>
  <c r="B314" i="9" s="1"/>
  <c r="A313" i="9"/>
  <c r="B313" i="9" s="1"/>
  <c r="A312" i="9"/>
  <c r="B312" i="9" s="1"/>
  <c r="C312" i="9" s="1"/>
  <c r="A311" i="9"/>
  <c r="B311" i="9" s="1"/>
  <c r="A310" i="9"/>
  <c r="B310" i="9" s="1"/>
  <c r="C311" i="9" s="1"/>
  <c r="A309" i="9"/>
  <c r="B309" i="9" s="1"/>
  <c r="C309" i="9" s="1"/>
  <c r="A308" i="9"/>
  <c r="B308" i="9" s="1"/>
  <c r="A307" i="9"/>
  <c r="B307" i="9" s="1"/>
  <c r="B306" i="9"/>
  <c r="C306" i="9" s="1"/>
  <c r="A306" i="9"/>
  <c r="A305" i="9"/>
  <c r="B305" i="9" s="1"/>
  <c r="A304" i="9"/>
  <c r="B304" i="9" s="1"/>
  <c r="C305" i="9" s="1"/>
  <c r="A303" i="9"/>
  <c r="B303" i="9" s="1"/>
  <c r="C304" i="9" s="1"/>
  <c r="A302" i="9"/>
  <c r="B302" i="9" s="1"/>
  <c r="A301" i="9"/>
  <c r="B301" i="9" s="1"/>
  <c r="C301" i="9" s="1"/>
  <c r="A300" i="9"/>
  <c r="B300" i="9" s="1"/>
  <c r="A299" i="9"/>
  <c r="B299" i="9" s="1"/>
  <c r="A298" i="9"/>
  <c r="B298" i="9" s="1"/>
  <c r="C299" i="9" s="1"/>
  <c r="A297" i="9"/>
  <c r="B297" i="9" s="1"/>
  <c r="A296" i="9"/>
  <c r="B296" i="9" s="1"/>
  <c r="C297" i="9" s="1"/>
  <c r="A295" i="9"/>
  <c r="B295" i="9" s="1"/>
  <c r="A294" i="9"/>
  <c r="B294" i="9" s="1"/>
  <c r="A293" i="9"/>
  <c r="B293" i="9" s="1"/>
  <c r="A292" i="9"/>
  <c r="B292" i="9" s="1"/>
  <c r="B291" i="9"/>
  <c r="A291" i="9"/>
  <c r="A290" i="9"/>
  <c r="B290" i="9" s="1"/>
  <c r="A289" i="9"/>
  <c r="B289" i="9" s="1"/>
  <c r="A288" i="9"/>
  <c r="B288" i="9" s="1"/>
  <c r="A287" i="9"/>
  <c r="B287" i="9" s="1"/>
  <c r="C288" i="9" s="1"/>
  <c r="A286" i="9"/>
  <c r="B286" i="9" s="1"/>
  <c r="C287" i="9" s="1"/>
  <c r="A285" i="9"/>
  <c r="B285" i="9" s="1"/>
  <c r="A284" i="9"/>
  <c r="B284" i="9" s="1"/>
  <c r="C285" i="9" s="1"/>
  <c r="A283" i="9"/>
  <c r="B283" i="9" s="1"/>
  <c r="A282" i="9"/>
  <c r="B282" i="9" s="1"/>
  <c r="A281" i="9"/>
  <c r="B281" i="9" s="1"/>
  <c r="A280" i="9"/>
  <c r="B280" i="9" s="1"/>
  <c r="C280" i="9" s="1"/>
  <c r="A279" i="9"/>
  <c r="B279" i="9" s="1"/>
  <c r="A278" i="9"/>
  <c r="B278" i="9" s="1"/>
  <c r="C279" i="9" s="1"/>
  <c r="A277" i="9"/>
  <c r="B277" i="9" s="1"/>
  <c r="A276" i="9"/>
  <c r="B276" i="9" s="1"/>
  <c r="A275" i="9"/>
  <c r="B275" i="9" s="1"/>
  <c r="A274" i="9"/>
  <c r="B274" i="9" s="1"/>
  <c r="A273" i="9"/>
  <c r="B273" i="9" s="1"/>
  <c r="A272" i="9"/>
  <c r="B272" i="9" s="1"/>
  <c r="A271" i="9"/>
  <c r="B271" i="9" s="1"/>
  <c r="C271" i="9" s="1"/>
  <c r="A270" i="9"/>
  <c r="B270" i="9" s="1"/>
  <c r="A269" i="9"/>
  <c r="B269" i="9" s="1"/>
  <c r="C270" i="9" s="1"/>
  <c r="A268" i="9"/>
  <c r="B268" i="9" s="1"/>
  <c r="A267" i="9"/>
  <c r="B267" i="9" s="1"/>
  <c r="B266" i="9"/>
  <c r="A266" i="9"/>
  <c r="A265" i="9"/>
  <c r="B265" i="9" s="1"/>
  <c r="C266" i="9" s="1"/>
  <c r="A264" i="9"/>
  <c r="B264" i="9" s="1"/>
  <c r="A263" i="9"/>
  <c r="B263" i="9" s="1"/>
  <c r="A262" i="9"/>
  <c r="B262" i="9" s="1"/>
  <c r="C263" i="9" s="1"/>
  <c r="A261" i="9"/>
  <c r="B261" i="9" s="1"/>
  <c r="C262" i="9" s="1"/>
  <c r="B260" i="9"/>
  <c r="A260" i="9"/>
  <c r="A259" i="9"/>
  <c r="B259" i="9" s="1"/>
  <c r="B258" i="9"/>
  <c r="A258" i="9"/>
  <c r="A257" i="9"/>
  <c r="B257" i="9" s="1"/>
  <c r="C257" i="9" s="1"/>
  <c r="A256" i="9"/>
  <c r="B256" i="9" s="1"/>
  <c r="C255" i="9"/>
  <c r="A255" i="9"/>
  <c r="B255" i="9" s="1"/>
  <c r="B254" i="9"/>
  <c r="C254" i="9" s="1"/>
  <c r="A254" i="9"/>
  <c r="A253" i="9"/>
  <c r="B253" i="9" s="1"/>
  <c r="A252" i="9"/>
  <c r="B252" i="9" s="1"/>
  <c r="C253" i="9" s="1"/>
  <c r="A251" i="9"/>
  <c r="B251" i="9" s="1"/>
  <c r="C252" i="9" s="1"/>
  <c r="A250" i="9"/>
  <c r="B250" i="9" s="1"/>
  <c r="A249" i="9"/>
  <c r="B249" i="9" s="1"/>
  <c r="A248" i="9"/>
  <c r="B248" i="9" s="1"/>
  <c r="C249" i="9" s="1"/>
  <c r="A247" i="9"/>
  <c r="B247" i="9" s="1"/>
  <c r="A246" i="9"/>
  <c r="B246" i="9" s="1"/>
  <c r="C247" i="9" s="1"/>
  <c r="A245" i="9"/>
  <c r="B245" i="9" s="1"/>
  <c r="B244" i="9"/>
  <c r="A244" i="9"/>
  <c r="A243" i="9"/>
  <c r="B243" i="9" s="1"/>
  <c r="A242" i="9"/>
  <c r="B242" i="9" s="1"/>
  <c r="A241" i="9"/>
  <c r="B241" i="9" s="1"/>
  <c r="C241" i="9" s="1"/>
  <c r="A240" i="9"/>
  <c r="B240" i="9" s="1"/>
  <c r="A239" i="9"/>
  <c r="B239" i="9" s="1"/>
  <c r="C240" i="9" s="1"/>
  <c r="A238" i="9"/>
  <c r="B238" i="9" s="1"/>
  <c r="C238" i="9" s="1"/>
  <c r="A237" i="9"/>
  <c r="B237" i="9" s="1"/>
  <c r="A236" i="9"/>
  <c r="B236" i="9" s="1"/>
  <c r="A235" i="9"/>
  <c r="B235" i="9" s="1"/>
  <c r="C236" i="9" s="1"/>
  <c r="A234" i="9"/>
  <c r="B234" i="9" s="1"/>
  <c r="C235" i="9" s="1"/>
  <c r="A233" i="9"/>
  <c r="B233" i="9" s="1"/>
  <c r="C233" i="9" s="1"/>
  <c r="A232" i="9"/>
  <c r="B232" i="9" s="1"/>
  <c r="A231" i="9"/>
  <c r="B231" i="9" s="1"/>
  <c r="A230" i="9"/>
  <c r="B230" i="9" s="1"/>
  <c r="C231" i="9" s="1"/>
  <c r="A229" i="9"/>
  <c r="B229" i="9" s="1"/>
  <c r="B228" i="9"/>
  <c r="A228" i="9"/>
  <c r="A227" i="9"/>
  <c r="B227" i="9" s="1"/>
  <c r="B226" i="9"/>
  <c r="C227" i="9" s="1"/>
  <c r="A226" i="9"/>
  <c r="A225" i="9"/>
  <c r="B225" i="9" s="1"/>
  <c r="C225" i="9" s="1"/>
  <c r="A224" i="9"/>
  <c r="B224" i="9" s="1"/>
  <c r="A223" i="9"/>
  <c r="B223" i="9" s="1"/>
  <c r="B222" i="9"/>
  <c r="C223" i="9" s="1"/>
  <c r="A222" i="9"/>
  <c r="A221" i="9"/>
  <c r="B221" i="9" s="1"/>
  <c r="A220" i="9"/>
  <c r="B220" i="9" s="1"/>
  <c r="C221" i="9" s="1"/>
  <c r="A219" i="9"/>
  <c r="B219" i="9" s="1"/>
  <c r="C220" i="9" s="1"/>
  <c r="A218" i="9"/>
  <c r="B218" i="9" s="1"/>
  <c r="C219" i="9" s="1"/>
  <c r="A217" i="9"/>
  <c r="B217" i="9" s="1"/>
  <c r="A216" i="9"/>
  <c r="B216" i="9" s="1"/>
  <c r="B215" i="9"/>
  <c r="A215" i="9"/>
  <c r="A214" i="9"/>
  <c r="B214" i="9" s="1"/>
  <c r="C215" i="9" s="1"/>
  <c r="B213" i="9"/>
  <c r="A213" i="9"/>
  <c r="A212" i="9"/>
  <c r="B212" i="9" s="1"/>
  <c r="A211" i="9"/>
  <c r="B211" i="9" s="1"/>
  <c r="A210" i="9"/>
  <c r="B210" i="9" s="1"/>
  <c r="A209" i="9"/>
  <c r="B209" i="9" s="1"/>
  <c r="C209" i="9" s="1"/>
  <c r="A208" i="9"/>
  <c r="B208" i="9" s="1"/>
  <c r="A207" i="9"/>
  <c r="B207" i="9" s="1"/>
  <c r="C208" i="9" s="1"/>
  <c r="A206" i="9"/>
  <c r="B206" i="9" s="1"/>
  <c r="C207" i="9" s="1"/>
  <c r="A205" i="9"/>
  <c r="B205" i="9" s="1"/>
  <c r="A204" i="9"/>
  <c r="B204" i="9" s="1"/>
  <c r="A203" i="9"/>
  <c r="B203" i="9" s="1"/>
  <c r="C204" i="9" s="1"/>
  <c r="A202" i="9"/>
  <c r="B202" i="9" s="1"/>
  <c r="C203" i="9" s="1"/>
  <c r="A201" i="9"/>
  <c r="B201" i="9" s="1"/>
  <c r="A200" i="9"/>
  <c r="B200" i="9" s="1"/>
  <c r="A199" i="9"/>
  <c r="B199" i="9" s="1"/>
  <c r="A198" i="9"/>
  <c r="B198" i="9" s="1"/>
  <c r="C199" i="9" s="1"/>
  <c r="B197" i="9"/>
  <c r="A197" i="9"/>
  <c r="A196" i="9"/>
  <c r="B196" i="9" s="1"/>
  <c r="C196" i="9" s="1"/>
  <c r="A195" i="9"/>
  <c r="B195" i="9" s="1"/>
  <c r="A194" i="9"/>
  <c r="B194" i="9" s="1"/>
  <c r="B193" i="9"/>
  <c r="C193" i="9" s="1"/>
  <c r="A193" i="9"/>
  <c r="A192" i="9"/>
  <c r="B192" i="9" s="1"/>
  <c r="A191" i="9"/>
  <c r="B191" i="9" s="1"/>
  <c r="A190" i="9"/>
  <c r="B190" i="9" s="1"/>
  <c r="C191" i="9" s="1"/>
  <c r="A189" i="9"/>
  <c r="B189" i="9" s="1"/>
  <c r="A188" i="9"/>
  <c r="B188" i="9" s="1"/>
  <c r="C188" i="9" s="1"/>
  <c r="A187" i="9"/>
  <c r="B187" i="9" s="1"/>
  <c r="A186" i="9"/>
  <c r="B186" i="9" s="1"/>
  <c r="C187" i="9" s="1"/>
  <c r="A185" i="9"/>
  <c r="B185" i="9" s="1"/>
  <c r="A184" i="9"/>
  <c r="B184" i="9" s="1"/>
  <c r="C185" i="9" s="1"/>
  <c r="A183" i="9"/>
  <c r="B183" i="9" s="1"/>
  <c r="C183" i="9" s="1"/>
  <c r="B182" i="9"/>
  <c r="A182" i="9"/>
  <c r="A181" i="9"/>
  <c r="B181" i="9" s="1"/>
  <c r="C182" i="9" s="1"/>
  <c r="A180" i="9"/>
  <c r="B180" i="9" s="1"/>
  <c r="C180" i="9" s="1"/>
  <c r="A179" i="9"/>
  <c r="B179" i="9" s="1"/>
  <c r="A178" i="9"/>
  <c r="B178" i="9" s="1"/>
  <c r="C179" i="9" s="1"/>
  <c r="A177" i="9"/>
  <c r="B177" i="9" s="1"/>
  <c r="A176" i="9"/>
  <c r="B176" i="9" s="1"/>
  <c r="C177" i="9" s="1"/>
  <c r="A175" i="9"/>
  <c r="B175" i="9" s="1"/>
  <c r="A174" i="9"/>
  <c r="B174" i="9" s="1"/>
  <c r="C175" i="9" s="1"/>
  <c r="A173" i="9"/>
  <c r="B173" i="9" s="1"/>
  <c r="A172" i="9"/>
  <c r="B172" i="9" s="1"/>
  <c r="A171" i="9"/>
  <c r="B171" i="9" s="1"/>
  <c r="C172" i="9" s="1"/>
  <c r="A170" i="9"/>
  <c r="B170" i="9" s="1"/>
  <c r="C171" i="9" s="1"/>
  <c r="A169" i="9"/>
  <c r="B169" i="9" s="1"/>
  <c r="A168" i="9"/>
  <c r="B168" i="9" s="1"/>
  <c r="C169" i="9" s="1"/>
  <c r="A167" i="9"/>
  <c r="B167" i="9" s="1"/>
  <c r="C167" i="9" s="1"/>
  <c r="A166" i="9"/>
  <c r="B166" i="9" s="1"/>
  <c r="A165" i="9"/>
  <c r="B165" i="9" s="1"/>
  <c r="C166" i="9" s="1"/>
  <c r="A164" i="9"/>
  <c r="B164" i="9" s="1"/>
  <c r="C164" i="9" s="1"/>
  <c r="A163" i="9"/>
  <c r="B163" i="9" s="1"/>
  <c r="A162" i="9"/>
  <c r="B162" i="9" s="1"/>
  <c r="A161" i="9"/>
  <c r="B161" i="9" s="1"/>
  <c r="C161" i="9" s="1"/>
  <c r="A160" i="9"/>
  <c r="B160" i="9" s="1"/>
  <c r="A159" i="9"/>
  <c r="B159" i="9" s="1"/>
  <c r="A158" i="9"/>
  <c r="B158" i="9" s="1"/>
  <c r="C159" i="9" s="1"/>
  <c r="A157" i="9"/>
  <c r="B157" i="9" s="1"/>
  <c r="A156" i="9"/>
  <c r="B156" i="9" s="1"/>
  <c r="C157" i="9" s="1"/>
  <c r="A155" i="9"/>
  <c r="B155" i="9" s="1"/>
  <c r="C155" i="9" s="1"/>
  <c r="A154" i="9"/>
  <c r="B154" i="9" s="1"/>
  <c r="A153" i="9"/>
  <c r="B153" i="9" s="1"/>
  <c r="C154" i="9" s="1"/>
  <c r="A152" i="9"/>
  <c r="B152" i="9" s="1"/>
  <c r="C153" i="9" s="1"/>
  <c r="A151" i="9"/>
  <c r="B151" i="9" s="1"/>
  <c r="A150" i="9"/>
  <c r="B150" i="9" s="1"/>
  <c r="A149" i="9"/>
  <c r="B149" i="9" s="1"/>
  <c r="A148" i="9"/>
  <c r="B148" i="9" s="1"/>
  <c r="C148" i="9" s="1"/>
  <c r="A147" i="9"/>
  <c r="B147" i="9" s="1"/>
  <c r="A146" i="9"/>
  <c r="B146" i="9" s="1"/>
  <c r="C147" i="9" s="1"/>
  <c r="A145" i="9"/>
  <c r="B145" i="9" s="1"/>
  <c r="C145" i="9" s="1"/>
  <c r="A144" i="9"/>
  <c r="B144" i="9" s="1"/>
  <c r="A143" i="9"/>
  <c r="B143" i="9" s="1"/>
  <c r="C144" i="9" s="1"/>
  <c r="A142" i="9"/>
  <c r="B142" i="9" s="1"/>
  <c r="A141" i="9"/>
  <c r="B141" i="9" s="1"/>
  <c r="A140" i="9"/>
  <c r="B140" i="9" s="1"/>
  <c r="C141" i="9" s="1"/>
  <c r="C139" i="9"/>
  <c r="A139" i="9"/>
  <c r="B139" i="9" s="1"/>
  <c r="A138" i="9"/>
  <c r="B138" i="9" s="1"/>
  <c r="A137" i="9"/>
  <c r="B137" i="9" s="1"/>
  <c r="C138" i="9" s="1"/>
  <c r="A136" i="9"/>
  <c r="B136" i="9" s="1"/>
  <c r="A135" i="9"/>
  <c r="B135" i="9" s="1"/>
  <c r="C135" i="9" s="1"/>
  <c r="B134" i="9"/>
  <c r="A134" i="9"/>
  <c r="A133" i="9"/>
  <c r="B133" i="9" s="1"/>
  <c r="B132" i="9"/>
  <c r="A132" i="9"/>
  <c r="A131" i="9"/>
  <c r="B131" i="9" s="1"/>
  <c r="C132" i="9" s="1"/>
  <c r="A130" i="9"/>
  <c r="B130" i="9" s="1"/>
  <c r="A129" i="9"/>
  <c r="B129" i="9" s="1"/>
  <c r="C129" i="9" s="1"/>
  <c r="A128" i="9"/>
  <c r="B128" i="9" s="1"/>
  <c r="A127" i="9"/>
  <c r="B127" i="9" s="1"/>
  <c r="C128" i="9" s="1"/>
  <c r="A126" i="9"/>
  <c r="B126" i="9" s="1"/>
  <c r="C126" i="9" s="1"/>
  <c r="A125" i="9"/>
  <c r="B125" i="9" s="1"/>
  <c r="A124" i="9"/>
  <c r="B124" i="9" s="1"/>
  <c r="C125" i="9" s="1"/>
  <c r="A123" i="9"/>
  <c r="B123" i="9" s="1"/>
  <c r="C124" i="9" s="1"/>
  <c r="A122" i="9"/>
  <c r="B122" i="9" s="1"/>
  <c r="C123" i="9" s="1"/>
  <c r="A121" i="9"/>
  <c r="B121" i="9" s="1"/>
  <c r="A120" i="9"/>
  <c r="B120" i="9" s="1"/>
  <c r="C121" i="9" s="1"/>
  <c r="B119" i="9"/>
  <c r="A119" i="9"/>
  <c r="A118" i="9"/>
  <c r="B118" i="9" s="1"/>
  <c r="C119" i="9" s="1"/>
  <c r="A117" i="9"/>
  <c r="B117" i="9" s="1"/>
  <c r="B116" i="9"/>
  <c r="A116" i="9"/>
  <c r="A115" i="9"/>
  <c r="B115" i="9" s="1"/>
  <c r="C116" i="9" s="1"/>
  <c r="B114" i="9"/>
  <c r="A114" i="9"/>
  <c r="B113" i="9"/>
  <c r="C113" i="9" s="1"/>
  <c r="A113" i="9"/>
  <c r="A112" i="9"/>
  <c r="B112" i="9" s="1"/>
  <c r="A111" i="9"/>
  <c r="B111" i="9" s="1"/>
  <c r="B110" i="9"/>
  <c r="C110" i="9" s="1"/>
  <c r="A110" i="9"/>
  <c r="A109" i="9"/>
  <c r="B109" i="9" s="1"/>
  <c r="A108" i="9"/>
  <c r="B108" i="9" s="1"/>
  <c r="C109" i="9" s="1"/>
  <c r="A107" i="9"/>
  <c r="B107" i="9" s="1"/>
  <c r="A106" i="9"/>
  <c r="B106" i="9" s="1"/>
  <c r="C107" i="9" s="1"/>
  <c r="A105" i="9"/>
  <c r="B105" i="9" s="1"/>
  <c r="C105" i="9" s="1"/>
  <c r="A104" i="9"/>
  <c r="B104" i="9" s="1"/>
  <c r="A103" i="9"/>
  <c r="B103" i="9" s="1"/>
  <c r="B102" i="9"/>
  <c r="A102" i="9"/>
  <c r="B101" i="9"/>
  <c r="A101" i="9"/>
  <c r="A100" i="9"/>
  <c r="B100" i="9" s="1"/>
  <c r="A99" i="9"/>
  <c r="B99" i="9" s="1"/>
  <c r="A98" i="9"/>
  <c r="B98" i="9" s="1"/>
  <c r="C99" i="9" s="1"/>
  <c r="B97" i="9"/>
  <c r="C97" i="9" s="1"/>
  <c r="A97" i="9"/>
  <c r="A96" i="9"/>
  <c r="B96" i="9" s="1"/>
  <c r="A95" i="9"/>
  <c r="B95" i="9" s="1"/>
  <c r="C96" i="9" s="1"/>
  <c r="A94" i="9"/>
  <c r="B94" i="9" s="1"/>
  <c r="A93" i="9"/>
  <c r="B93" i="9" s="1"/>
  <c r="A92" i="9"/>
  <c r="B92" i="9" s="1"/>
  <c r="C93" i="9" s="1"/>
  <c r="A91" i="9"/>
  <c r="B91" i="9" s="1"/>
  <c r="A90" i="9"/>
  <c r="B90" i="9" s="1"/>
  <c r="C91" i="9" s="1"/>
  <c r="C89" i="9"/>
  <c r="A89" i="9"/>
  <c r="B89" i="9" s="1"/>
  <c r="A88" i="9"/>
  <c r="B88" i="9" s="1"/>
  <c r="B87" i="9"/>
  <c r="A87" i="9"/>
  <c r="B86" i="9"/>
  <c r="C87" i="9" s="1"/>
  <c r="A86" i="9"/>
  <c r="A85" i="9"/>
  <c r="B85" i="9" s="1"/>
  <c r="C86" i="9" s="1"/>
  <c r="A84" i="9"/>
  <c r="B84" i="9" s="1"/>
  <c r="A83" i="9"/>
  <c r="B83" i="9" s="1"/>
  <c r="A82" i="9"/>
  <c r="B82" i="9" s="1"/>
  <c r="A81" i="9"/>
  <c r="B81" i="9" s="1"/>
  <c r="C81" i="9" s="1"/>
  <c r="A80" i="9"/>
  <c r="B80" i="9" s="1"/>
  <c r="A79" i="9"/>
  <c r="B79" i="9" s="1"/>
  <c r="A78" i="9"/>
  <c r="B78" i="9" s="1"/>
  <c r="A77" i="9"/>
  <c r="B77" i="9" s="1"/>
  <c r="A76" i="9"/>
  <c r="B76" i="9" s="1"/>
  <c r="A75" i="9"/>
  <c r="B75" i="9" s="1"/>
  <c r="A74" i="9"/>
  <c r="B74" i="9" s="1"/>
  <c r="C75" i="9" s="1"/>
  <c r="C73" i="9"/>
  <c r="A73" i="9"/>
  <c r="B73" i="9" s="1"/>
  <c r="A72" i="9"/>
  <c r="B72" i="9" s="1"/>
  <c r="B71" i="9"/>
  <c r="A71" i="9"/>
  <c r="B70" i="9"/>
  <c r="C71" i="9" s="1"/>
  <c r="A70" i="9"/>
  <c r="A69" i="9"/>
  <c r="B69" i="9" s="1"/>
  <c r="C70" i="9" s="1"/>
  <c r="A68" i="9"/>
  <c r="B68" i="9" s="1"/>
  <c r="C68" i="9" s="1"/>
  <c r="A67" i="9"/>
  <c r="B67" i="9" s="1"/>
  <c r="A66" i="9"/>
  <c r="B66" i="9" s="1"/>
  <c r="C67" i="9" s="1"/>
  <c r="A65" i="9"/>
  <c r="B65" i="9" s="1"/>
  <c r="C65" i="9" s="1"/>
  <c r="A64" i="9"/>
  <c r="B64" i="9" s="1"/>
  <c r="A63" i="9"/>
  <c r="B63" i="9" s="1"/>
  <c r="C64" i="9" s="1"/>
  <c r="B62" i="9"/>
  <c r="C63" i="9" s="1"/>
  <c r="A62" i="9"/>
  <c r="A61" i="9"/>
  <c r="B61" i="9" s="1"/>
  <c r="C62" i="9" s="1"/>
  <c r="A60" i="9"/>
  <c r="B60" i="9" s="1"/>
  <c r="C60" i="9" s="1"/>
  <c r="A59" i="9"/>
  <c r="B59" i="9" s="1"/>
  <c r="A58" i="9"/>
  <c r="B58" i="9" s="1"/>
  <c r="A57" i="9"/>
  <c r="B57" i="9" s="1"/>
  <c r="C58" i="9" s="1"/>
  <c r="A56" i="9"/>
  <c r="B56" i="9" s="1"/>
  <c r="B55" i="9"/>
  <c r="A55" i="9"/>
  <c r="A54" i="9"/>
  <c r="B54" i="9" s="1"/>
  <c r="A53" i="9"/>
  <c r="B53" i="9" s="1"/>
  <c r="B52" i="9"/>
  <c r="C52" i="9" s="1"/>
  <c r="A52" i="9"/>
  <c r="A51" i="9"/>
  <c r="B51" i="9" s="1"/>
  <c r="A50" i="9"/>
  <c r="B50" i="9" s="1"/>
  <c r="B49" i="9"/>
  <c r="C50" i="9" s="1"/>
  <c r="A49" i="9"/>
  <c r="A48" i="9"/>
  <c r="B48" i="9" s="1"/>
  <c r="A47" i="9"/>
  <c r="B47" i="9" s="1"/>
  <c r="C48" i="9" s="1"/>
  <c r="A46" i="9"/>
  <c r="B46" i="9" s="1"/>
  <c r="C47" i="9" s="1"/>
  <c r="A45" i="9"/>
  <c r="B45" i="9" s="1"/>
  <c r="A44" i="9"/>
  <c r="B44" i="9" s="1"/>
  <c r="C44" i="9" s="1"/>
  <c r="A43" i="9"/>
  <c r="B43" i="9" s="1"/>
  <c r="A42" i="9"/>
  <c r="B42" i="9" s="1"/>
  <c r="C43" i="9" s="1"/>
  <c r="A41" i="9"/>
  <c r="B41" i="9" s="1"/>
  <c r="C42" i="9" s="1"/>
  <c r="A40" i="9"/>
  <c r="B40" i="9" s="1"/>
  <c r="B39" i="9"/>
  <c r="A39" i="9"/>
  <c r="B38" i="9"/>
  <c r="C39" i="9" s="1"/>
  <c r="A38" i="9"/>
  <c r="A37" i="9"/>
  <c r="B37" i="9" s="1"/>
  <c r="A36" i="9"/>
  <c r="B36" i="9" s="1"/>
  <c r="C36" i="9" s="1"/>
  <c r="A35" i="9"/>
  <c r="B35" i="9" s="1"/>
  <c r="A34" i="9"/>
  <c r="B34" i="9" s="1"/>
  <c r="A33" i="9"/>
  <c r="B33" i="9" s="1"/>
  <c r="C33" i="9" s="1"/>
  <c r="A32" i="9"/>
  <c r="B32" i="9" s="1"/>
  <c r="A31" i="9"/>
  <c r="B31" i="9" s="1"/>
  <c r="C32" i="9" s="1"/>
  <c r="B30" i="9"/>
  <c r="A30" i="9"/>
  <c r="A29" i="9"/>
  <c r="B29" i="9" s="1"/>
  <c r="C30" i="9" s="1"/>
  <c r="A28" i="9"/>
  <c r="B28" i="9" s="1"/>
  <c r="A27" i="9"/>
  <c r="B27" i="9" s="1"/>
  <c r="A26" i="9"/>
  <c r="B26" i="9" s="1"/>
  <c r="C27" i="9" s="1"/>
  <c r="A25" i="9"/>
  <c r="B25" i="9" s="1"/>
  <c r="A24" i="9"/>
  <c r="B24" i="9" s="1"/>
  <c r="A23" i="9"/>
  <c r="B23" i="9" s="1"/>
  <c r="C23" i="9" s="1"/>
  <c r="B22" i="9"/>
  <c r="A22" i="9"/>
  <c r="A21" i="9"/>
  <c r="B21" i="9" s="1"/>
  <c r="C22" i="9" s="1"/>
  <c r="A20" i="9"/>
  <c r="B20" i="9" s="1"/>
  <c r="C20" i="9" s="1"/>
  <c r="A19" i="9"/>
  <c r="B19" i="9" s="1"/>
  <c r="A18" i="9"/>
  <c r="B18" i="9" s="1"/>
  <c r="C19" i="9" s="1"/>
  <c r="A17" i="9"/>
  <c r="B17" i="9" s="1"/>
  <c r="C17" i="9" s="1"/>
  <c r="A16" i="9"/>
  <c r="B16" i="9" s="1"/>
  <c r="A15" i="9"/>
  <c r="B15" i="9" s="1"/>
  <c r="C16" i="9" s="1"/>
  <c r="A14" i="9"/>
  <c r="B14" i="9" s="1"/>
  <c r="A13" i="9"/>
  <c r="B13" i="9" s="1"/>
  <c r="A12" i="9"/>
  <c r="B12" i="9" s="1"/>
  <c r="E762" i="8"/>
  <c r="D762" i="8"/>
  <c r="B762" i="8"/>
  <c r="B761" i="8"/>
  <c r="C762" i="8" s="1"/>
  <c r="B760" i="8"/>
  <c r="C761" i="8" s="1"/>
  <c r="D761" i="8" s="1"/>
  <c r="E759" i="8"/>
  <c r="B759" i="8"/>
  <c r="B758" i="8"/>
  <c r="C759" i="8" s="1"/>
  <c r="D759" i="8" s="1"/>
  <c r="D757" i="8"/>
  <c r="C757" i="8"/>
  <c r="B757" i="8"/>
  <c r="D756" i="8"/>
  <c r="B756" i="8"/>
  <c r="E755" i="8"/>
  <c r="B755" i="8"/>
  <c r="C756" i="8" s="1"/>
  <c r="B754" i="8"/>
  <c r="C755" i="8" s="1"/>
  <c r="D755" i="8" s="1"/>
  <c r="B753" i="8"/>
  <c r="E752" i="8"/>
  <c r="B752" i="8"/>
  <c r="B751" i="8"/>
  <c r="C752" i="8" s="1"/>
  <c r="D752" i="8" s="1"/>
  <c r="E750" i="8"/>
  <c r="B750" i="8"/>
  <c r="B749" i="8"/>
  <c r="E748" i="8"/>
  <c r="B748" i="8"/>
  <c r="B747" i="8"/>
  <c r="B746" i="8"/>
  <c r="B745" i="8"/>
  <c r="B744" i="8"/>
  <c r="E743" i="8"/>
  <c r="B743" i="8"/>
  <c r="B742" i="8"/>
  <c r="D741" i="8"/>
  <c r="C741" i="8"/>
  <c r="B741" i="8"/>
  <c r="D740" i="8"/>
  <c r="B740" i="8"/>
  <c r="E739" i="8"/>
  <c r="C739" i="8"/>
  <c r="D739" i="8" s="1"/>
  <c r="B739" i="8"/>
  <c r="C740" i="8" s="1"/>
  <c r="B738" i="8"/>
  <c r="B737" i="8"/>
  <c r="E736" i="8"/>
  <c r="B736" i="8"/>
  <c r="E735" i="8"/>
  <c r="C735" i="8"/>
  <c r="D735" i="8" s="1"/>
  <c r="B735" i="8"/>
  <c r="B734" i="8"/>
  <c r="B733" i="8"/>
  <c r="E732" i="8"/>
  <c r="B732" i="8"/>
  <c r="E744" i="8" s="1"/>
  <c r="B731" i="8"/>
  <c r="B730" i="8"/>
  <c r="B729" i="8"/>
  <c r="B728" i="8"/>
  <c r="E727" i="8"/>
  <c r="B727" i="8"/>
  <c r="B726" i="8"/>
  <c r="D725" i="8"/>
  <c r="C725" i="8"/>
  <c r="B725" i="8"/>
  <c r="D724" i="8"/>
  <c r="B724" i="8"/>
  <c r="E723" i="8"/>
  <c r="B723" i="8"/>
  <c r="C724" i="8" s="1"/>
  <c r="B722" i="8"/>
  <c r="B721" i="8"/>
  <c r="E720" i="8"/>
  <c r="B720" i="8"/>
  <c r="B719" i="8"/>
  <c r="B718" i="8"/>
  <c r="B717" i="8"/>
  <c r="E716" i="8"/>
  <c r="B716" i="8"/>
  <c r="E728" i="8" s="1"/>
  <c r="C715" i="8"/>
  <c r="D715" i="8" s="1"/>
  <c r="B715" i="8"/>
  <c r="B714" i="8"/>
  <c r="E714" i="8" s="1"/>
  <c r="B713" i="8"/>
  <c r="B712" i="8"/>
  <c r="E711" i="8"/>
  <c r="B711" i="8"/>
  <c r="B710" i="8"/>
  <c r="E709" i="8"/>
  <c r="D709" i="8"/>
  <c r="C709" i="8"/>
  <c r="B709" i="8"/>
  <c r="D708" i="8"/>
  <c r="B708" i="8"/>
  <c r="E707" i="8"/>
  <c r="B707" i="8"/>
  <c r="C708" i="8" s="1"/>
  <c r="B706" i="8"/>
  <c r="C705" i="8"/>
  <c r="D705" i="8" s="1"/>
  <c r="B705" i="8"/>
  <c r="E704" i="8"/>
  <c r="B704" i="8"/>
  <c r="B703" i="8"/>
  <c r="E702" i="8"/>
  <c r="B702" i="8"/>
  <c r="B701" i="8"/>
  <c r="E700" i="8"/>
  <c r="B700" i="8"/>
  <c r="E712" i="8" s="1"/>
  <c r="C699" i="8"/>
  <c r="D699" i="8" s="1"/>
  <c r="B699" i="8"/>
  <c r="E698" i="8"/>
  <c r="B698" i="8"/>
  <c r="E710" i="8" s="1"/>
  <c r="B697" i="8"/>
  <c r="B696" i="8"/>
  <c r="E695" i="8"/>
  <c r="B695" i="8"/>
  <c r="E694" i="8"/>
  <c r="B694" i="8"/>
  <c r="D693" i="8"/>
  <c r="C693" i="8"/>
  <c r="B693" i="8"/>
  <c r="D692" i="8"/>
  <c r="B692" i="8"/>
  <c r="E691" i="8"/>
  <c r="B691" i="8"/>
  <c r="C692" i="8" s="1"/>
  <c r="B690" i="8"/>
  <c r="C691" i="8" s="1"/>
  <c r="D691" i="8" s="1"/>
  <c r="B689" i="8"/>
  <c r="E688" i="8"/>
  <c r="B688" i="8"/>
  <c r="B687" i="8"/>
  <c r="E686" i="8"/>
  <c r="B686" i="8"/>
  <c r="B685" i="8"/>
  <c r="E684" i="8"/>
  <c r="B684" i="8"/>
  <c r="B683" i="8"/>
  <c r="E682" i="8"/>
  <c r="B682" i="8"/>
  <c r="C683" i="8" s="1"/>
  <c r="D683" i="8" s="1"/>
  <c r="B681" i="8"/>
  <c r="B680" i="8"/>
  <c r="E679" i="8"/>
  <c r="B679" i="8"/>
  <c r="B678" i="8"/>
  <c r="E677" i="8"/>
  <c r="D677" i="8"/>
  <c r="C677" i="8"/>
  <c r="B677" i="8"/>
  <c r="D676" i="8"/>
  <c r="B676" i="8"/>
  <c r="E675" i="8"/>
  <c r="D675" i="8"/>
  <c r="C675" i="8"/>
  <c r="B675" i="8"/>
  <c r="C676" i="8" s="1"/>
  <c r="B674" i="8"/>
  <c r="B673" i="8"/>
  <c r="E672" i="8"/>
  <c r="B672" i="8"/>
  <c r="E671" i="8"/>
  <c r="B671" i="8"/>
  <c r="C671" i="8" s="1"/>
  <c r="D671" i="8" s="1"/>
  <c r="B670" i="8"/>
  <c r="B669" i="8"/>
  <c r="E668" i="8"/>
  <c r="B668" i="8"/>
  <c r="B667" i="8"/>
  <c r="E666" i="8"/>
  <c r="B666" i="8"/>
  <c r="C667" i="8" s="1"/>
  <c r="D667" i="8" s="1"/>
  <c r="E665" i="8"/>
  <c r="B665" i="8"/>
  <c r="B664" i="8"/>
  <c r="E663" i="8"/>
  <c r="B663" i="8"/>
  <c r="E662" i="8"/>
  <c r="B662" i="8"/>
  <c r="D661" i="8"/>
  <c r="C661" i="8"/>
  <c r="B661" i="8"/>
  <c r="D660" i="8"/>
  <c r="B660" i="8"/>
  <c r="E659" i="8"/>
  <c r="B659" i="8"/>
  <c r="C660" i="8" s="1"/>
  <c r="B658" i="8"/>
  <c r="E670" i="8" s="1"/>
  <c r="B657" i="8"/>
  <c r="E656" i="8"/>
  <c r="B656" i="8"/>
  <c r="C655" i="8"/>
  <c r="D655" i="8" s="1"/>
  <c r="B655" i="8"/>
  <c r="D654" i="8"/>
  <c r="B654" i="8"/>
  <c r="B653" i="8"/>
  <c r="C654" i="8" s="1"/>
  <c r="B652" i="8"/>
  <c r="C651" i="8"/>
  <c r="D651" i="8" s="1"/>
  <c r="B651" i="8"/>
  <c r="E650" i="8"/>
  <c r="B650" i="8"/>
  <c r="B649" i="8"/>
  <c r="B648" i="8"/>
  <c r="B647" i="8"/>
  <c r="B646" i="8"/>
  <c r="E645" i="8"/>
  <c r="B645" i="8"/>
  <c r="B644" i="8"/>
  <c r="C645" i="8" s="1"/>
  <c r="D645" i="8" s="1"/>
  <c r="E643" i="8"/>
  <c r="D643" i="8"/>
  <c r="C643" i="8"/>
  <c r="B643" i="8"/>
  <c r="B642" i="8"/>
  <c r="E654" i="8" s="1"/>
  <c r="B641" i="8"/>
  <c r="B640" i="8"/>
  <c r="B639" i="8"/>
  <c r="E638" i="8"/>
  <c r="B638" i="8"/>
  <c r="C637" i="8"/>
  <c r="D637" i="8" s="1"/>
  <c r="B637" i="8"/>
  <c r="E636" i="8"/>
  <c r="B636" i="8"/>
  <c r="B635" i="8"/>
  <c r="B634" i="8"/>
  <c r="B633" i="8"/>
  <c r="E632" i="8"/>
  <c r="B632" i="8"/>
  <c r="B631" i="8"/>
  <c r="B630" i="8"/>
  <c r="E629" i="8"/>
  <c r="B629" i="8"/>
  <c r="B628" i="8"/>
  <c r="E627" i="8"/>
  <c r="C627" i="8"/>
  <c r="D627" i="8" s="1"/>
  <c r="B627" i="8"/>
  <c r="B626" i="8"/>
  <c r="E625" i="8"/>
  <c r="B625" i="8"/>
  <c r="B624" i="8"/>
  <c r="B623" i="8"/>
  <c r="E622" i="8"/>
  <c r="B622" i="8"/>
  <c r="B621" i="8"/>
  <c r="E620" i="8"/>
  <c r="B620" i="8"/>
  <c r="B619" i="8"/>
  <c r="E618" i="8"/>
  <c r="B618" i="8"/>
  <c r="B617" i="8"/>
  <c r="B616" i="8"/>
  <c r="E615" i="8"/>
  <c r="B615" i="8"/>
  <c r="B614" i="8"/>
  <c r="E613" i="8"/>
  <c r="B613" i="8"/>
  <c r="B612" i="8"/>
  <c r="E611" i="8"/>
  <c r="D611" i="8"/>
  <c r="C611" i="8"/>
  <c r="B611" i="8"/>
  <c r="B610" i="8"/>
  <c r="B609" i="8"/>
  <c r="B608" i="8"/>
  <c r="B607" i="8"/>
  <c r="E606" i="8"/>
  <c r="B606" i="8"/>
  <c r="B605" i="8"/>
  <c r="E604" i="8"/>
  <c r="D604" i="8"/>
  <c r="B604" i="8"/>
  <c r="B603" i="8"/>
  <c r="C604" i="8" s="1"/>
  <c r="B602" i="8"/>
  <c r="B601" i="8"/>
  <c r="E600" i="8"/>
  <c r="B600" i="8"/>
  <c r="B599" i="8"/>
  <c r="B598" i="8"/>
  <c r="E597" i="8"/>
  <c r="B597" i="8"/>
  <c r="B596" i="8"/>
  <c r="E595" i="8"/>
  <c r="C595" i="8"/>
  <c r="D595" i="8" s="1"/>
  <c r="B595" i="8"/>
  <c r="B594" i="8"/>
  <c r="E593" i="8"/>
  <c r="B593" i="8"/>
  <c r="B592" i="8"/>
  <c r="B591" i="8"/>
  <c r="E590" i="8"/>
  <c r="B590" i="8"/>
  <c r="B589" i="8"/>
  <c r="E588" i="8"/>
  <c r="B588" i="8"/>
  <c r="B587" i="8"/>
  <c r="E586" i="8"/>
  <c r="B586" i="8"/>
  <c r="B585" i="8"/>
  <c r="E584" i="8"/>
  <c r="B584" i="8"/>
  <c r="B583" i="8"/>
  <c r="B582" i="8"/>
  <c r="E581" i="8"/>
  <c r="D581" i="8"/>
  <c r="C581" i="8"/>
  <c r="B581" i="8"/>
  <c r="B580" i="8"/>
  <c r="E592" i="8" s="1"/>
  <c r="B579" i="8"/>
  <c r="B578" i="8"/>
  <c r="E577" i="8"/>
  <c r="D577" i="8"/>
  <c r="C577" i="8"/>
  <c r="B577" i="8"/>
  <c r="E576" i="8"/>
  <c r="B576" i="8"/>
  <c r="B575" i="8"/>
  <c r="E574" i="8"/>
  <c r="D574" i="8"/>
  <c r="B574" i="8"/>
  <c r="B573" i="8"/>
  <c r="C574" i="8" s="1"/>
  <c r="B572" i="8"/>
  <c r="C573" i="8" s="1"/>
  <c r="D573" i="8" s="1"/>
  <c r="B571" i="8"/>
  <c r="C572" i="8" s="1"/>
  <c r="D572" i="8" s="1"/>
  <c r="E570" i="8"/>
  <c r="B570" i="8"/>
  <c r="B569" i="8"/>
  <c r="E568" i="8"/>
  <c r="B568" i="8"/>
  <c r="B567" i="8"/>
  <c r="B566" i="8"/>
  <c r="E565" i="8"/>
  <c r="D565" i="8"/>
  <c r="C565" i="8"/>
  <c r="B565" i="8"/>
  <c r="B564" i="8"/>
  <c r="B563" i="8"/>
  <c r="B562" i="8"/>
  <c r="E561" i="8"/>
  <c r="B561" i="8"/>
  <c r="E560" i="8"/>
  <c r="B560" i="8"/>
  <c r="B559" i="8"/>
  <c r="E558" i="8"/>
  <c r="B558" i="8"/>
  <c r="B557" i="8"/>
  <c r="E556" i="8"/>
  <c r="B556" i="8"/>
  <c r="B555" i="8"/>
  <c r="B554" i="8"/>
  <c r="B553" i="8"/>
  <c r="E552" i="8"/>
  <c r="B552" i="8"/>
  <c r="B551" i="8"/>
  <c r="B550" i="8"/>
  <c r="E549" i="8"/>
  <c r="D549" i="8"/>
  <c r="C549" i="8"/>
  <c r="B549" i="8"/>
  <c r="B548" i="8"/>
  <c r="B547" i="8"/>
  <c r="B546" i="8"/>
  <c r="E545" i="8"/>
  <c r="B545" i="8"/>
  <c r="E544" i="8"/>
  <c r="B544" i="8"/>
  <c r="C543" i="8"/>
  <c r="D543" i="8" s="1"/>
  <c r="B543" i="8"/>
  <c r="E542" i="8"/>
  <c r="B542" i="8"/>
  <c r="C541" i="8"/>
  <c r="D541" i="8" s="1"/>
  <c r="B541" i="8"/>
  <c r="C542" i="8" s="1"/>
  <c r="D542" i="8" s="1"/>
  <c r="E540" i="8"/>
  <c r="B540" i="8"/>
  <c r="B539" i="8"/>
  <c r="B538" i="8"/>
  <c r="B537" i="8"/>
  <c r="E536" i="8"/>
  <c r="B536" i="8"/>
  <c r="B535" i="8"/>
  <c r="B534" i="8"/>
  <c r="E533" i="8"/>
  <c r="B533" i="8"/>
  <c r="B532" i="8"/>
  <c r="C533" i="8" s="1"/>
  <c r="D533" i="8" s="1"/>
  <c r="E531" i="8"/>
  <c r="B531" i="8"/>
  <c r="B530" i="8"/>
  <c r="B529" i="8"/>
  <c r="B528" i="8"/>
  <c r="D527" i="8"/>
  <c r="C527" i="8"/>
  <c r="B527" i="8"/>
  <c r="E526" i="8"/>
  <c r="B526" i="8"/>
  <c r="C525" i="8"/>
  <c r="D525" i="8" s="1"/>
  <c r="B525" i="8"/>
  <c r="C526" i="8" s="1"/>
  <c r="D526" i="8" s="1"/>
  <c r="E524" i="8"/>
  <c r="D524" i="8"/>
  <c r="B524" i="8"/>
  <c r="B523" i="8"/>
  <c r="C524" i="8" s="1"/>
  <c r="B522" i="8"/>
  <c r="E521" i="8"/>
  <c r="B521" i="8"/>
  <c r="E520" i="8"/>
  <c r="B520" i="8"/>
  <c r="B519" i="8"/>
  <c r="B518" i="8"/>
  <c r="E517" i="8"/>
  <c r="B517" i="8"/>
  <c r="B516" i="8"/>
  <c r="C517" i="8" s="1"/>
  <c r="D517" i="8" s="1"/>
  <c r="E515" i="8"/>
  <c r="D515" i="8"/>
  <c r="C515" i="8"/>
  <c r="B515" i="8"/>
  <c r="B514" i="8"/>
  <c r="C513" i="8"/>
  <c r="D513" i="8" s="1"/>
  <c r="B513" i="8"/>
  <c r="B512" i="8"/>
  <c r="B511" i="8"/>
  <c r="E510" i="8"/>
  <c r="B510" i="8"/>
  <c r="C509" i="8"/>
  <c r="D509" i="8" s="1"/>
  <c r="B509" i="8"/>
  <c r="C510" i="8" s="1"/>
  <c r="D510" i="8" s="1"/>
  <c r="E508" i="8"/>
  <c r="B508" i="8"/>
  <c r="B507" i="8"/>
  <c r="C508" i="8" s="1"/>
  <c r="D508" i="8" s="1"/>
  <c r="B506" i="8"/>
  <c r="E505" i="8"/>
  <c r="B505" i="8"/>
  <c r="B504" i="8"/>
  <c r="E503" i="8"/>
  <c r="B503" i="8"/>
  <c r="B502" i="8"/>
  <c r="E501" i="8"/>
  <c r="B501" i="8"/>
  <c r="B500" i="8"/>
  <c r="C501" i="8" s="1"/>
  <c r="D501" i="8" s="1"/>
  <c r="E499" i="8"/>
  <c r="D499" i="8"/>
  <c r="C499" i="8"/>
  <c r="B499" i="8"/>
  <c r="B498" i="8"/>
  <c r="B497" i="8"/>
  <c r="B496" i="8"/>
  <c r="B495" i="8"/>
  <c r="E494" i="8"/>
  <c r="D494" i="8"/>
  <c r="B494" i="8"/>
  <c r="C493" i="8"/>
  <c r="D493" i="8" s="1"/>
  <c r="B493" i="8"/>
  <c r="C494" i="8" s="1"/>
  <c r="B492" i="8"/>
  <c r="E504" i="8" s="1"/>
  <c r="B491" i="8"/>
  <c r="C492" i="8" s="1"/>
  <c r="D492" i="8" s="1"/>
  <c r="B490" i="8"/>
  <c r="E489" i="8"/>
  <c r="B489" i="8"/>
  <c r="B488" i="8"/>
  <c r="E487" i="8"/>
  <c r="B487" i="8"/>
  <c r="B486" i="8"/>
  <c r="E485" i="8"/>
  <c r="B485" i="8"/>
  <c r="B484" i="8"/>
  <c r="C485" i="8" s="1"/>
  <c r="D485" i="8" s="1"/>
  <c r="E483" i="8"/>
  <c r="B483" i="8"/>
  <c r="B482" i="8"/>
  <c r="C481" i="8"/>
  <c r="D481" i="8" s="1"/>
  <c r="B481" i="8"/>
  <c r="B480" i="8"/>
  <c r="B479" i="8"/>
  <c r="E478" i="8"/>
  <c r="D478" i="8"/>
  <c r="B478" i="8"/>
  <c r="B477" i="8"/>
  <c r="C478" i="8" s="1"/>
  <c r="B476" i="8"/>
  <c r="B475" i="8"/>
  <c r="E474" i="8"/>
  <c r="B474" i="8"/>
  <c r="B473" i="8"/>
  <c r="B472" i="8"/>
  <c r="E471" i="8"/>
  <c r="B471" i="8"/>
  <c r="B470" i="8"/>
  <c r="B469" i="8"/>
  <c r="B468" i="8"/>
  <c r="E480" i="8" s="1"/>
  <c r="B467" i="8"/>
  <c r="B466" i="8"/>
  <c r="E465" i="8"/>
  <c r="D465" i="8"/>
  <c r="C465" i="8"/>
  <c r="B465" i="8"/>
  <c r="E464" i="8"/>
  <c r="B464" i="8"/>
  <c r="C463" i="8"/>
  <c r="D463" i="8" s="1"/>
  <c r="B463" i="8"/>
  <c r="E462" i="8"/>
  <c r="D462" i="8"/>
  <c r="B462" i="8"/>
  <c r="B461" i="8"/>
  <c r="C462" i="8" s="1"/>
  <c r="E460" i="8"/>
  <c r="C460" i="8"/>
  <c r="D460" i="8" s="1"/>
  <c r="B460" i="8"/>
  <c r="C459" i="8"/>
  <c r="D459" i="8" s="1"/>
  <c r="B459" i="8"/>
  <c r="E458" i="8"/>
  <c r="B458" i="8"/>
  <c r="B457" i="8"/>
  <c r="E456" i="8"/>
  <c r="B456" i="8"/>
  <c r="B455" i="8"/>
  <c r="E454" i="8"/>
  <c r="D454" i="8"/>
  <c r="C454" i="8"/>
  <c r="B454" i="8"/>
  <c r="E466" i="8" s="1"/>
  <c r="B453" i="8"/>
  <c r="C453" i="8" s="1"/>
  <c r="D453" i="8" s="1"/>
  <c r="E452" i="8"/>
  <c r="C452" i="8"/>
  <c r="D452" i="8" s="1"/>
  <c r="B452" i="8"/>
  <c r="C451" i="8"/>
  <c r="D451" i="8" s="1"/>
  <c r="B451" i="8"/>
  <c r="E450" i="8"/>
  <c r="B450" i="8"/>
  <c r="C449" i="8"/>
  <c r="D449" i="8" s="1"/>
  <c r="B449" i="8"/>
  <c r="E448" i="8"/>
  <c r="B448" i="8"/>
  <c r="B447" i="8"/>
  <c r="E446" i="8"/>
  <c r="C446" i="8"/>
  <c r="D446" i="8" s="1"/>
  <c r="B446" i="8"/>
  <c r="B445" i="8"/>
  <c r="E444" i="8"/>
  <c r="D444" i="8"/>
  <c r="C444" i="8"/>
  <c r="B444" i="8"/>
  <c r="C443" i="8"/>
  <c r="D443" i="8" s="1"/>
  <c r="B443" i="8"/>
  <c r="E442" i="8"/>
  <c r="B442" i="8"/>
  <c r="C441" i="8"/>
  <c r="D441" i="8" s="1"/>
  <c r="B441" i="8"/>
  <c r="E440" i="8"/>
  <c r="B440" i="8"/>
  <c r="B439" i="8"/>
  <c r="E438" i="8"/>
  <c r="D438" i="8"/>
  <c r="C438" i="8"/>
  <c r="B438" i="8"/>
  <c r="B437" i="8"/>
  <c r="E436" i="8"/>
  <c r="C436" i="8"/>
  <c r="D436" i="8" s="1"/>
  <c r="B436" i="8"/>
  <c r="C435" i="8"/>
  <c r="D435" i="8" s="1"/>
  <c r="B435" i="8"/>
  <c r="E434" i="8"/>
  <c r="B434" i="8"/>
  <c r="C433" i="8"/>
  <c r="D433" i="8" s="1"/>
  <c r="B433" i="8"/>
  <c r="E432" i="8"/>
  <c r="B432" i="8"/>
  <c r="B431" i="8"/>
  <c r="E430" i="8"/>
  <c r="D430" i="8"/>
  <c r="C430" i="8"/>
  <c r="B430" i="8"/>
  <c r="B429" i="8"/>
  <c r="E428" i="8"/>
  <c r="C428" i="8"/>
  <c r="D428" i="8" s="1"/>
  <c r="B428" i="8"/>
  <c r="C427" i="8"/>
  <c r="D427" i="8" s="1"/>
  <c r="B427" i="8"/>
  <c r="E426" i="8"/>
  <c r="B426" i="8"/>
  <c r="B425" i="8"/>
  <c r="E424" i="8"/>
  <c r="B424" i="8"/>
  <c r="B423" i="8"/>
  <c r="E422" i="8"/>
  <c r="D422" i="8"/>
  <c r="C422" i="8"/>
  <c r="B422" i="8"/>
  <c r="B421" i="8"/>
  <c r="E420" i="8"/>
  <c r="C420" i="8"/>
  <c r="D420" i="8" s="1"/>
  <c r="B420" i="8"/>
  <c r="C419" i="8"/>
  <c r="D419" i="8" s="1"/>
  <c r="B419" i="8"/>
  <c r="E418" i="8"/>
  <c r="B418" i="8"/>
  <c r="C417" i="8"/>
  <c r="D417" i="8" s="1"/>
  <c r="B417" i="8"/>
  <c r="E416" i="8"/>
  <c r="B416" i="8"/>
  <c r="B415" i="8"/>
  <c r="E414" i="8"/>
  <c r="C414" i="8"/>
  <c r="D414" i="8" s="1"/>
  <c r="B414" i="8"/>
  <c r="B413" i="8"/>
  <c r="E412" i="8"/>
  <c r="D412" i="8"/>
  <c r="C412" i="8"/>
  <c r="B412" i="8"/>
  <c r="C411" i="8"/>
  <c r="D411" i="8" s="1"/>
  <c r="B411" i="8"/>
  <c r="E410" i="8"/>
  <c r="B410" i="8"/>
  <c r="C409" i="8"/>
  <c r="D409" i="8" s="1"/>
  <c r="B409" i="8"/>
  <c r="E408" i="8"/>
  <c r="B408" i="8"/>
  <c r="B407" i="8"/>
  <c r="E406" i="8"/>
  <c r="D406" i="8"/>
  <c r="C406" i="8"/>
  <c r="B406" i="8"/>
  <c r="B405" i="8"/>
  <c r="E404" i="8"/>
  <c r="C404" i="8"/>
  <c r="D404" i="8" s="1"/>
  <c r="B404" i="8"/>
  <c r="C403" i="8"/>
  <c r="D403" i="8" s="1"/>
  <c r="B403" i="8"/>
  <c r="E402" i="8"/>
  <c r="B402" i="8"/>
  <c r="C401" i="8"/>
  <c r="D401" i="8" s="1"/>
  <c r="B401" i="8"/>
  <c r="E400" i="8"/>
  <c r="B400" i="8"/>
  <c r="B399" i="8"/>
  <c r="E398" i="8"/>
  <c r="D398" i="8"/>
  <c r="C398" i="8"/>
  <c r="B398" i="8"/>
  <c r="B397" i="8"/>
  <c r="E396" i="8"/>
  <c r="C396" i="8"/>
  <c r="D396" i="8" s="1"/>
  <c r="B396" i="8"/>
  <c r="C395" i="8"/>
  <c r="D395" i="8" s="1"/>
  <c r="B395" i="8"/>
  <c r="E394" i="8"/>
  <c r="B394" i="8"/>
  <c r="B393" i="8"/>
  <c r="E392" i="8"/>
  <c r="B392" i="8"/>
  <c r="B391" i="8"/>
  <c r="E390" i="8"/>
  <c r="D390" i="8"/>
  <c r="C390" i="8"/>
  <c r="B390" i="8"/>
  <c r="B389" i="8"/>
  <c r="E388" i="8"/>
  <c r="C388" i="8"/>
  <c r="D388" i="8" s="1"/>
  <c r="B388" i="8"/>
  <c r="C387" i="8"/>
  <c r="D387" i="8" s="1"/>
  <c r="B387" i="8"/>
  <c r="E386" i="8"/>
  <c r="B386" i="8"/>
  <c r="C385" i="8"/>
  <c r="D385" i="8" s="1"/>
  <c r="B385" i="8"/>
  <c r="E384" i="8"/>
  <c r="B384" i="8"/>
  <c r="B383" i="8"/>
  <c r="E382" i="8"/>
  <c r="C382" i="8"/>
  <c r="D382" i="8" s="1"/>
  <c r="B382" i="8"/>
  <c r="B381" i="8"/>
  <c r="E380" i="8"/>
  <c r="D380" i="8"/>
  <c r="C380" i="8"/>
  <c r="B380" i="8"/>
  <c r="C379" i="8"/>
  <c r="D379" i="8" s="1"/>
  <c r="B379" i="8"/>
  <c r="E378" i="8"/>
  <c r="B378" i="8"/>
  <c r="C377" i="8"/>
  <c r="D377" i="8" s="1"/>
  <c r="B377" i="8"/>
  <c r="E376" i="8"/>
  <c r="B376" i="8"/>
  <c r="B375" i="8"/>
  <c r="E374" i="8"/>
  <c r="D374" i="8"/>
  <c r="C374" i="8"/>
  <c r="B374" i="8"/>
  <c r="B373" i="8"/>
  <c r="E372" i="8"/>
  <c r="C372" i="8"/>
  <c r="D372" i="8" s="1"/>
  <c r="B372" i="8"/>
  <c r="C371" i="8"/>
  <c r="D371" i="8" s="1"/>
  <c r="B371" i="8"/>
  <c r="E370" i="8"/>
  <c r="B370" i="8"/>
  <c r="C369" i="8"/>
  <c r="D369" i="8" s="1"/>
  <c r="B369" i="8"/>
  <c r="E368" i="8"/>
  <c r="B368" i="8"/>
  <c r="B367" i="8"/>
  <c r="E366" i="8"/>
  <c r="D366" i="8"/>
  <c r="C366" i="8"/>
  <c r="B366" i="8"/>
  <c r="B365" i="8"/>
  <c r="C364" i="8"/>
  <c r="D364" i="8" s="1"/>
  <c r="B364" i="8"/>
  <c r="C363" i="8"/>
  <c r="D363" i="8" s="1"/>
  <c r="B363" i="8"/>
  <c r="B362" i="8"/>
  <c r="C361" i="8"/>
  <c r="D361" i="8" s="1"/>
  <c r="B361" i="8"/>
  <c r="B360" i="8"/>
  <c r="C359" i="8"/>
  <c r="D359" i="8" s="1"/>
  <c r="B359" i="8"/>
  <c r="E358" i="8"/>
  <c r="B358" i="8"/>
  <c r="B357" i="8"/>
  <c r="E356" i="8"/>
  <c r="C356" i="8"/>
  <c r="D356" i="8" s="1"/>
  <c r="B356" i="8"/>
  <c r="C357" i="8" s="1"/>
  <c r="D357" i="8" s="1"/>
  <c r="B355" i="8"/>
  <c r="E354" i="8"/>
  <c r="B354" i="8"/>
  <c r="C355" i="8" s="1"/>
  <c r="D355" i="8" s="1"/>
  <c r="B353" i="8"/>
  <c r="E365" i="8" s="1"/>
  <c r="B352" i="8"/>
  <c r="C352" i="8" s="1"/>
  <c r="D352" i="8" s="1"/>
  <c r="B351" i="8"/>
  <c r="B350" i="8"/>
  <c r="B349" i="8"/>
  <c r="B348" i="8"/>
  <c r="E360" i="8" s="1"/>
  <c r="D347" i="8"/>
  <c r="C347" i="8"/>
  <c r="B347" i="8"/>
  <c r="B346" i="8"/>
  <c r="C345" i="8"/>
  <c r="D345" i="8" s="1"/>
  <c r="B345" i="8"/>
  <c r="E344" i="8"/>
  <c r="B344" i="8"/>
  <c r="C343" i="8"/>
  <c r="D343" i="8" s="1"/>
  <c r="B343" i="8"/>
  <c r="E342" i="8"/>
  <c r="B342" i="8"/>
  <c r="B341" i="8"/>
  <c r="E340" i="8"/>
  <c r="D340" i="8"/>
  <c r="C340" i="8"/>
  <c r="B340" i="8"/>
  <c r="B339" i="8"/>
  <c r="E351" i="8" s="1"/>
  <c r="B338" i="8"/>
  <c r="C338" i="8" s="1"/>
  <c r="D338" i="8" s="1"/>
  <c r="B337" i="8"/>
  <c r="B336" i="8"/>
  <c r="B335" i="8"/>
  <c r="B334" i="8"/>
  <c r="C334" i="8" s="1"/>
  <c r="D334" i="8" s="1"/>
  <c r="D333" i="8"/>
  <c r="C333" i="8"/>
  <c r="B333" i="8"/>
  <c r="B332" i="8"/>
  <c r="C331" i="8"/>
  <c r="D331" i="8" s="1"/>
  <c r="B331" i="8"/>
  <c r="B330" i="8"/>
  <c r="D329" i="8"/>
  <c r="C329" i="8"/>
  <c r="B329" i="8"/>
  <c r="B328" i="8"/>
  <c r="B327" i="8"/>
  <c r="E326" i="8"/>
  <c r="B326" i="8"/>
  <c r="B325" i="8"/>
  <c r="E324" i="8"/>
  <c r="C324" i="8"/>
  <c r="D324" i="8" s="1"/>
  <c r="B324" i="8"/>
  <c r="E336" i="8" s="1"/>
  <c r="B323" i="8"/>
  <c r="E335" i="8" s="1"/>
  <c r="E322" i="8"/>
  <c r="B322" i="8"/>
  <c r="B321" i="8"/>
  <c r="B320" i="8"/>
  <c r="C320" i="8" s="1"/>
  <c r="D320" i="8" s="1"/>
  <c r="B319" i="8"/>
  <c r="B318" i="8"/>
  <c r="B317" i="8"/>
  <c r="B316" i="8"/>
  <c r="E328" i="8" s="1"/>
  <c r="D315" i="8"/>
  <c r="C315" i="8"/>
  <c r="B315" i="8"/>
  <c r="B314" i="8"/>
  <c r="B313" i="8"/>
  <c r="E312" i="8"/>
  <c r="B312" i="8"/>
  <c r="C311" i="8"/>
  <c r="D311" i="8" s="1"/>
  <c r="B311" i="8"/>
  <c r="E310" i="8"/>
  <c r="B310" i="8"/>
  <c r="B309" i="8"/>
  <c r="E308" i="8"/>
  <c r="D308" i="8"/>
  <c r="C308" i="8"/>
  <c r="B308" i="8"/>
  <c r="B307" i="8"/>
  <c r="E319" i="8" s="1"/>
  <c r="B306" i="8"/>
  <c r="E306" i="8" s="1"/>
  <c r="B305" i="8"/>
  <c r="B304" i="8"/>
  <c r="B303" i="8"/>
  <c r="B302" i="8"/>
  <c r="C302" i="8" s="1"/>
  <c r="D302" i="8" s="1"/>
  <c r="D301" i="8"/>
  <c r="C301" i="8"/>
  <c r="B301" i="8"/>
  <c r="B300" i="8"/>
  <c r="B299" i="8"/>
  <c r="B298" i="8"/>
  <c r="D297" i="8"/>
  <c r="C297" i="8"/>
  <c r="B297" i="8"/>
  <c r="B296" i="8"/>
  <c r="B295" i="8"/>
  <c r="E294" i="8"/>
  <c r="B294" i="8"/>
  <c r="B293" i="8"/>
  <c r="E292" i="8"/>
  <c r="C292" i="8"/>
  <c r="D292" i="8" s="1"/>
  <c r="B292" i="8"/>
  <c r="E304" i="8" s="1"/>
  <c r="B291" i="8"/>
  <c r="E303" i="8" s="1"/>
  <c r="E290" i="8"/>
  <c r="B290" i="8"/>
  <c r="B289" i="8"/>
  <c r="B288" i="8"/>
  <c r="C288" i="8" s="1"/>
  <c r="D288" i="8" s="1"/>
  <c r="B287" i="8"/>
  <c r="B286" i="8"/>
  <c r="B285" i="8"/>
  <c r="B284" i="8"/>
  <c r="E296" i="8" s="1"/>
  <c r="D283" i="8"/>
  <c r="C283" i="8"/>
  <c r="B283" i="8"/>
  <c r="B282" i="8"/>
  <c r="B281" i="8"/>
  <c r="E280" i="8"/>
  <c r="B280" i="8"/>
  <c r="C279" i="8"/>
  <c r="D279" i="8" s="1"/>
  <c r="B279" i="8"/>
  <c r="E278" i="8"/>
  <c r="B278" i="8"/>
  <c r="B277" i="8"/>
  <c r="E276" i="8"/>
  <c r="D276" i="8"/>
  <c r="C276" i="8"/>
  <c r="B276" i="8"/>
  <c r="B275" i="8"/>
  <c r="E287" i="8" s="1"/>
  <c r="B274" i="8"/>
  <c r="C274" i="8" s="1"/>
  <c r="D274" i="8" s="1"/>
  <c r="B273" i="8"/>
  <c r="B272" i="8"/>
  <c r="B271" i="8"/>
  <c r="C270" i="8"/>
  <c r="D270" i="8" s="1"/>
  <c r="B270" i="8"/>
  <c r="E282" i="8" s="1"/>
  <c r="B269" i="8"/>
  <c r="B268" i="8"/>
  <c r="C269" i="8" s="1"/>
  <c r="D269" i="8" s="1"/>
  <c r="B267" i="8"/>
  <c r="C267" i="8" s="1"/>
  <c r="D267" i="8" s="1"/>
  <c r="E266" i="8"/>
  <c r="B266" i="8"/>
  <c r="B265" i="8"/>
  <c r="B264" i="8"/>
  <c r="C263" i="8"/>
  <c r="D263" i="8" s="1"/>
  <c r="B263" i="8"/>
  <c r="E262" i="8"/>
  <c r="B262" i="8"/>
  <c r="B261" i="8"/>
  <c r="E273" i="8" s="1"/>
  <c r="E260" i="8"/>
  <c r="D260" i="8"/>
  <c r="C260" i="8"/>
  <c r="B260" i="8"/>
  <c r="B259" i="8"/>
  <c r="E271" i="8" s="1"/>
  <c r="B258" i="8"/>
  <c r="B257" i="8"/>
  <c r="B256" i="8"/>
  <c r="C255" i="8"/>
  <c r="D255" i="8" s="1"/>
  <c r="B255" i="8"/>
  <c r="C254" i="8"/>
  <c r="D254" i="8" s="1"/>
  <c r="B254" i="8"/>
  <c r="B253" i="8"/>
  <c r="E265" i="8" s="1"/>
  <c r="B252" i="8"/>
  <c r="C253" i="8" s="1"/>
  <c r="D253" i="8" s="1"/>
  <c r="C251" i="8"/>
  <c r="D251" i="8" s="1"/>
  <c r="B251" i="8"/>
  <c r="E250" i="8"/>
  <c r="B250" i="8"/>
  <c r="B249" i="8"/>
  <c r="C249" i="8" s="1"/>
  <c r="D249" i="8" s="1"/>
  <c r="B248" i="8"/>
  <c r="C247" i="8"/>
  <c r="D247" i="8" s="1"/>
  <c r="B247" i="8"/>
  <c r="E246" i="8"/>
  <c r="B246" i="8"/>
  <c r="B245" i="8"/>
  <c r="E257" i="8" s="1"/>
  <c r="E244" i="8"/>
  <c r="B244" i="8"/>
  <c r="B243" i="8"/>
  <c r="E255" i="8" s="1"/>
  <c r="E242" i="8"/>
  <c r="C242" i="8"/>
  <c r="D242" i="8" s="1"/>
  <c r="B242" i="8"/>
  <c r="B241" i="8"/>
  <c r="B240" i="8"/>
  <c r="C240" i="8" s="1"/>
  <c r="D240" i="8" s="1"/>
  <c r="C239" i="8"/>
  <c r="D239" i="8" s="1"/>
  <c r="B239" i="8"/>
  <c r="B238" i="8"/>
  <c r="B237" i="8"/>
  <c r="C238" i="8" s="1"/>
  <c r="D238" i="8" s="1"/>
  <c r="B236" i="8"/>
  <c r="C237" i="8" s="1"/>
  <c r="D237" i="8" s="1"/>
  <c r="D235" i="8"/>
  <c r="C235" i="8"/>
  <c r="B235" i="8"/>
  <c r="B234" i="8"/>
  <c r="C233" i="8"/>
  <c r="D233" i="8" s="1"/>
  <c r="B233" i="8"/>
  <c r="B232" i="8"/>
  <c r="B231" i="8"/>
  <c r="E230" i="8"/>
  <c r="B230" i="8"/>
  <c r="B229" i="8"/>
  <c r="E241" i="8" s="1"/>
  <c r="E228" i="8"/>
  <c r="B228" i="8"/>
  <c r="B227" i="8"/>
  <c r="E239" i="8" s="1"/>
  <c r="D226" i="8"/>
  <c r="C226" i="8"/>
  <c r="B226" i="8"/>
  <c r="B225" i="8"/>
  <c r="C224" i="8"/>
  <c r="D224" i="8" s="1"/>
  <c r="B224" i="8"/>
  <c r="D223" i="8"/>
  <c r="C223" i="8"/>
  <c r="B223" i="8"/>
  <c r="B222" i="8"/>
  <c r="E234" i="8" s="1"/>
  <c r="B221" i="8"/>
  <c r="E233" i="8" s="1"/>
  <c r="B220" i="8"/>
  <c r="C221" i="8" s="1"/>
  <c r="D221" i="8" s="1"/>
  <c r="D219" i="8"/>
  <c r="C219" i="8"/>
  <c r="B219" i="8"/>
  <c r="B218" i="8"/>
  <c r="B217" i="8"/>
  <c r="C217" i="8" s="1"/>
  <c r="D217" i="8" s="1"/>
  <c r="B216" i="8"/>
  <c r="B215" i="8"/>
  <c r="E214" i="8"/>
  <c r="C214" i="8"/>
  <c r="D214" i="8" s="1"/>
  <c r="B214" i="8"/>
  <c r="B213" i="8"/>
  <c r="E225" i="8" s="1"/>
  <c r="B212" i="8"/>
  <c r="B211" i="8"/>
  <c r="E223" i="8" s="1"/>
  <c r="E210" i="8"/>
  <c r="D210" i="8"/>
  <c r="C210" i="8"/>
  <c r="B210" i="8"/>
  <c r="B209" i="8"/>
  <c r="B208" i="8"/>
  <c r="C208" i="8" s="1"/>
  <c r="D208" i="8" s="1"/>
  <c r="D207" i="8"/>
  <c r="C207" i="8"/>
  <c r="B207" i="8"/>
  <c r="B206" i="8"/>
  <c r="E218" i="8" s="1"/>
  <c r="B205" i="8"/>
  <c r="E217" i="8" s="1"/>
  <c r="B204" i="8"/>
  <c r="C205" i="8" s="1"/>
  <c r="D205" i="8" s="1"/>
  <c r="B203" i="8"/>
  <c r="B202" i="8"/>
  <c r="C201" i="8"/>
  <c r="D201" i="8" s="1"/>
  <c r="B201" i="8"/>
  <c r="B200" i="8"/>
  <c r="B199" i="8"/>
  <c r="C199" i="8" s="1"/>
  <c r="D199" i="8" s="1"/>
  <c r="E198" i="8"/>
  <c r="D198" i="8"/>
  <c r="C198" i="8"/>
  <c r="B198" i="8"/>
  <c r="B197" i="8"/>
  <c r="E209" i="8" s="1"/>
  <c r="C196" i="8"/>
  <c r="D196" i="8" s="1"/>
  <c r="B196" i="8"/>
  <c r="B195" i="8"/>
  <c r="E207" i="8" s="1"/>
  <c r="E194" i="8"/>
  <c r="B194" i="8"/>
  <c r="B193" i="8"/>
  <c r="B192" i="8"/>
  <c r="B191" i="8"/>
  <c r="B190" i="8"/>
  <c r="C191" i="8" s="1"/>
  <c r="D191" i="8" s="1"/>
  <c r="B189" i="8"/>
  <c r="E201" i="8" s="1"/>
  <c r="B188" i="8"/>
  <c r="E200" i="8" s="1"/>
  <c r="B187" i="8"/>
  <c r="E186" i="8"/>
  <c r="B186" i="8"/>
  <c r="C185" i="8"/>
  <c r="D185" i="8" s="1"/>
  <c r="B185" i="8"/>
  <c r="B184" i="8"/>
  <c r="C183" i="8"/>
  <c r="D183" i="8" s="1"/>
  <c r="B183" i="8"/>
  <c r="E182" i="8"/>
  <c r="D182" i="8"/>
  <c r="C182" i="8"/>
  <c r="B182" i="8"/>
  <c r="B181" i="8"/>
  <c r="E193" i="8" s="1"/>
  <c r="B180" i="8"/>
  <c r="C180" i="8" s="1"/>
  <c r="D180" i="8" s="1"/>
  <c r="B179" i="8"/>
  <c r="E191" i="8" s="1"/>
  <c r="E178" i="8"/>
  <c r="B178" i="8"/>
  <c r="B177" i="8"/>
  <c r="C176" i="8"/>
  <c r="D176" i="8" s="1"/>
  <c r="B176" i="8"/>
  <c r="B175" i="8"/>
  <c r="C174" i="8"/>
  <c r="D174" i="8" s="1"/>
  <c r="B174" i="8"/>
  <c r="C175" i="8" s="1"/>
  <c r="D175" i="8" s="1"/>
  <c r="C173" i="8"/>
  <c r="D173" i="8" s="1"/>
  <c r="B173" i="8"/>
  <c r="E185" i="8" s="1"/>
  <c r="B172" i="8"/>
  <c r="E184" i="8" s="1"/>
  <c r="B171" i="8"/>
  <c r="C171" i="8" s="1"/>
  <c r="D171" i="8" s="1"/>
  <c r="B170" i="8"/>
  <c r="D169" i="8"/>
  <c r="C169" i="8"/>
  <c r="B169" i="8"/>
  <c r="B168" i="8"/>
  <c r="B167" i="8"/>
  <c r="C167" i="8" s="1"/>
  <c r="D167" i="8" s="1"/>
  <c r="B166" i="8"/>
  <c r="B165" i="8"/>
  <c r="E177" i="8" s="1"/>
  <c r="B164" i="8"/>
  <c r="E164" i="8" s="1"/>
  <c r="B163" i="8"/>
  <c r="E175" i="8" s="1"/>
  <c r="B162" i="8"/>
  <c r="B161" i="8"/>
  <c r="D160" i="8"/>
  <c r="C160" i="8"/>
  <c r="B160" i="8"/>
  <c r="B159" i="8"/>
  <c r="B158" i="8"/>
  <c r="C159" i="8" s="1"/>
  <c r="D159" i="8" s="1"/>
  <c r="D157" i="8"/>
  <c r="C157" i="8"/>
  <c r="B157" i="8"/>
  <c r="E169" i="8" s="1"/>
  <c r="B156" i="8"/>
  <c r="E168" i="8" s="1"/>
  <c r="B155" i="8"/>
  <c r="B154" i="8"/>
  <c r="E166" i="8" s="1"/>
  <c r="B153" i="8"/>
  <c r="B152" i="8"/>
  <c r="C151" i="8"/>
  <c r="D151" i="8" s="1"/>
  <c r="B151" i="8"/>
  <c r="B150" i="8"/>
  <c r="B149" i="8"/>
  <c r="E161" i="8" s="1"/>
  <c r="B148" i="8"/>
  <c r="E160" i="8" s="1"/>
  <c r="C147" i="8"/>
  <c r="D147" i="8" s="1"/>
  <c r="B147" i="8"/>
  <c r="E159" i="8" s="1"/>
  <c r="E146" i="8"/>
  <c r="D146" i="8"/>
  <c r="C146" i="8"/>
  <c r="B146" i="8"/>
  <c r="B145" i="8"/>
  <c r="E157" i="8" s="1"/>
  <c r="B144" i="8"/>
  <c r="C144" i="8" s="1"/>
  <c r="D144" i="8" s="1"/>
  <c r="B143" i="8"/>
  <c r="B142" i="8"/>
  <c r="C143" i="8" s="1"/>
  <c r="D143" i="8" s="1"/>
  <c r="B141" i="8"/>
  <c r="B140" i="8"/>
  <c r="E152" i="8" s="1"/>
  <c r="B139" i="8"/>
  <c r="E151" i="8" s="1"/>
  <c r="E138" i="8"/>
  <c r="B138" i="8"/>
  <c r="E150" i="8" s="1"/>
  <c r="C137" i="8"/>
  <c r="D137" i="8" s="1"/>
  <c r="B137" i="8"/>
  <c r="B136" i="8"/>
  <c r="E148" i="8" s="1"/>
  <c r="B135" i="8"/>
  <c r="E134" i="8"/>
  <c r="C134" i="8"/>
  <c r="D134" i="8" s="1"/>
  <c r="B134" i="8"/>
  <c r="B133" i="8"/>
  <c r="B132" i="8"/>
  <c r="C133" i="8" s="1"/>
  <c r="D133" i="8" s="1"/>
  <c r="C131" i="8"/>
  <c r="D131" i="8" s="1"/>
  <c r="B131" i="8"/>
  <c r="E143" i="8" s="1"/>
  <c r="B130" i="8"/>
  <c r="E130" i="8" s="1"/>
  <c r="B129" i="8"/>
  <c r="E141" i="8" s="1"/>
  <c r="E128" i="8"/>
  <c r="B128" i="8"/>
  <c r="C127" i="8"/>
  <c r="D127" i="8" s="1"/>
  <c r="B127" i="8"/>
  <c r="B126" i="8"/>
  <c r="B125" i="8"/>
  <c r="E137" i="8" s="1"/>
  <c r="B124" i="8"/>
  <c r="C124" i="8" s="1"/>
  <c r="D124" i="8" s="1"/>
  <c r="B123" i="8"/>
  <c r="C122" i="8"/>
  <c r="D122" i="8" s="1"/>
  <c r="B122" i="8"/>
  <c r="C123" i="8" s="1"/>
  <c r="D123" i="8" s="1"/>
  <c r="C121" i="8"/>
  <c r="D121" i="8" s="1"/>
  <c r="B121" i="8"/>
  <c r="E133" i="8" s="1"/>
  <c r="B120" i="8"/>
  <c r="E132" i="8" s="1"/>
  <c r="B119" i="8"/>
  <c r="C119" i="8" s="1"/>
  <c r="D119" i="8" s="1"/>
  <c r="E118" i="8"/>
  <c r="B118" i="8"/>
  <c r="C117" i="8"/>
  <c r="D117" i="8" s="1"/>
  <c r="B117" i="8"/>
  <c r="D116" i="8"/>
  <c r="C116" i="8"/>
  <c r="B116" i="8"/>
  <c r="B115" i="8"/>
  <c r="E127" i="8" s="1"/>
  <c r="B114" i="8"/>
  <c r="C115" i="8" s="1"/>
  <c r="D115" i="8" s="1"/>
  <c r="B113" i="8"/>
  <c r="C112" i="8"/>
  <c r="D112" i="8" s="1"/>
  <c r="B112" i="8"/>
  <c r="C111" i="8"/>
  <c r="D111" i="8" s="1"/>
  <c r="B111" i="8"/>
  <c r="B110" i="8"/>
  <c r="E122" i="8" s="1"/>
  <c r="B109" i="8"/>
  <c r="E121" i="8" s="1"/>
  <c r="B108" i="8"/>
  <c r="E120" i="8" s="1"/>
  <c r="C107" i="8"/>
  <c r="D107" i="8" s="1"/>
  <c r="B107" i="8"/>
  <c r="C106" i="8"/>
  <c r="D106" i="8" s="1"/>
  <c r="B106" i="8"/>
  <c r="B105" i="8"/>
  <c r="B104" i="8"/>
  <c r="E104" i="8" s="1"/>
  <c r="D103" i="8"/>
  <c r="C103" i="8"/>
  <c r="B103" i="8"/>
  <c r="C102" i="8"/>
  <c r="D102" i="8" s="1"/>
  <c r="B102" i="8"/>
  <c r="C101" i="8"/>
  <c r="D101" i="8" s="1"/>
  <c r="B101" i="8"/>
  <c r="E113" i="8" s="1"/>
  <c r="B100" i="8"/>
  <c r="E112" i="8" s="1"/>
  <c r="B99" i="8"/>
  <c r="E111" i="8" s="1"/>
  <c r="E98" i="8"/>
  <c r="B98" i="8"/>
  <c r="E110" i="8" s="1"/>
  <c r="B97" i="8"/>
  <c r="C96" i="8"/>
  <c r="D96" i="8" s="1"/>
  <c r="B96" i="8"/>
  <c r="B95" i="8"/>
  <c r="B94" i="8"/>
  <c r="C94" i="8" s="1"/>
  <c r="D94" i="8" s="1"/>
  <c r="B93" i="8"/>
  <c r="C92" i="8"/>
  <c r="D92" i="8" s="1"/>
  <c r="B92" i="8"/>
  <c r="C93" i="8" s="1"/>
  <c r="D93" i="8" s="1"/>
  <c r="C91" i="8"/>
  <c r="D91" i="8" s="1"/>
  <c r="B91" i="8"/>
  <c r="E103" i="8" s="1"/>
  <c r="B90" i="8"/>
  <c r="E102" i="8" s="1"/>
  <c r="B89" i="8"/>
  <c r="E101" i="8" s="1"/>
  <c r="E88" i="8"/>
  <c r="B88" i="8"/>
  <c r="E100" i="8" s="1"/>
  <c r="B87" i="8"/>
  <c r="C86" i="8"/>
  <c r="D86" i="8" s="1"/>
  <c r="B86" i="8"/>
  <c r="B85" i="8"/>
  <c r="B84" i="8"/>
  <c r="C85" i="8" s="1"/>
  <c r="D85" i="8" s="1"/>
  <c r="B83" i="8"/>
  <c r="E95" i="8" s="1"/>
  <c r="B82" i="8"/>
  <c r="E82" i="8" s="1"/>
  <c r="B81" i="8"/>
  <c r="E93" i="8" s="1"/>
  <c r="E80" i="8"/>
  <c r="B80" i="8"/>
  <c r="D79" i="8"/>
  <c r="C79" i="8"/>
  <c r="B79" i="8"/>
  <c r="E78" i="8"/>
  <c r="B78" i="8"/>
  <c r="E90" i="8" s="1"/>
  <c r="C77" i="8"/>
  <c r="D77" i="8" s="1"/>
  <c r="B77" i="8"/>
  <c r="C76" i="8"/>
  <c r="D76" i="8" s="1"/>
  <c r="B76" i="8"/>
  <c r="B75" i="8"/>
  <c r="B74" i="8"/>
  <c r="E74" i="8" s="1"/>
  <c r="B73" i="8"/>
  <c r="B72" i="8"/>
  <c r="E84" i="8" s="1"/>
  <c r="B71" i="8"/>
  <c r="E70" i="8"/>
  <c r="B70" i="8"/>
  <c r="B69" i="8"/>
  <c r="C69" i="8" s="1"/>
  <c r="D69" i="8" s="1"/>
  <c r="B68" i="8"/>
  <c r="B67" i="8"/>
  <c r="E79" i="8" s="1"/>
  <c r="C66" i="8"/>
  <c r="D66" i="8" s="1"/>
  <c r="B66" i="8"/>
  <c r="C67" i="8" s="1"/>
  <c r="D67" i="8" s="1"/>
  <c r="B65" i="8"/>
  <c r="B64" i="8"/>
  <c r="C64" i="8" s="1"/>
  <c r="D64" i="8" s="1"/>
  <c r="B63" i="8"/>
  <c r="C62" i="8"/>
  <c r="D62" i="8" s="1"/>
  <c r="B62" i="8"/>
  <c r="C63" i="8" s="1"/>
  <c r="D63" i="8" s="1"/>
  <c r="C61" i="8"/>
  <c r="D61" i="8" s="1"/>
  <c r="B61" i="8"/>
  <c r="E73" i="8" s="1"/>
  <c r="B60" i="8"/>
  <c r="E72" i="8" s="1"/>
  <c r="B59" i="8"/>
  <c r="C59" i="8" s="1"/>
  <c r="D59" i="8" s="1"/>
  <c r="E58" i="8"/>
  <c r="B58" i="8"/>
  <c r="B57" i="8"/>
  <c r="C58" i="8" s="1"/>
  <c r="D58" i="8" s="1"/>
  <c r="B56" i="8"/>
  <c r="E68" i="8" s="1"/>
  <c r="B55" i="8"/>
  <c r="D54" i="8"/>
  <c r="C54" i="8"/>
  <c r="B54" i="8"/>
  <c r="B53" i="8"/>
  <c r="B52" i="8"/>
  <c r="E64" i="8" s="1"/>
  <c r="B51" i="8"/>
  <c r="E63" i="8" s="1"/>
  <c r="E50" i="8"/>
  <c r="B50" i="8"/>
  <c r="E62" i="8" s="1"/>
  <c r="B49" i="8"/>
  <c r="E61" i="8" s="1"/>
  <c r="E48" i="8"/>
  <c r="D48" i="8"/>
  <c r="C48" i="8"/>
  <c r="B48" i="8"/>
  <c r="B47" i="8"/>
  <c r="C46" i="8"/>
  <c r="D46" i="8" s="1"/>
  <c r="B46" i="8"/>
  <c r="C47" i="8" s="1"/>
  <c r="D47" i="8" s="1"/>
  <c r="B45" i="8"/>
  <c r="B44" i="8"/>
  <c r="C45" i="8" s="1"/>
  <c r="D45" i="8" s="1"/>
  <c r="B43" i="8"/>
  <c r="B42" i="8"/>
  <c r="E54" i="8" s="1"/>
  <c r="B41" i="8"/>
  <c r="E53" i="8" s="1"/>
  <c r="E40" i="8"/>
  <c r="B40" i="8"/>
  <c r="E52" i="8" s="1"/>
  <c r="C39" i="8"/>
  <c r="D39" i="8" s="1"/>
  <c r="B39" i="8"/>
  <c r="B38" i="8"/>
  <c r="B37" i="8"/>
  <c r="E49" i="8" s="1"/>
  <c r="C36" i="8"/>
  <c r="D36" i="8" s="1"/>
  <c r="B36" i="8"/>
  <c r="C37" i="8" s="1"/>
  <c r="D37" i="8" s="1"/>
  <c r="B35" i="8"/>
  <c r="E47" i="8" s="1"/>
  <c r="B34" i="8"/>
  <c r="C35" i="8" s="1"/>
  <c r="D35" i="8" s="1"/>
  <c r="B33" i="8"/>
  <c r="E45" i="8" s="1"/>
  <c r="B32" i="8"/>
  <c r="C31" i="8"/>
  <c r="D31" i="8" s="1"/>
  <c r="B31" i="8"/>
  <c r="B30" i="8"/>
  <c r="E42" i="8" s="1"/>
  <c r="B29" i="8"/>
  <c r="C29" i="8" s="1"/>
  <c r="D29" i="8" s="1"/>
  <c r="B28" i="8"/>
  <c r="B27" i="8"/>
  <c r="E39" i="8" s="1"/>
  <c r="B26" i="8"/>
  <c r="C26" i="8" s="1"/>
  <c r="D26" i="8" s="1"/>
  <c r="B25" i="8"/>
  <c r="B24" i="8"/>
  <c r="C25" i="8" s="1"/>
  <c r="D25" i="8" s="1"/>
  <c r="C23" i="8"/>
  <c r="D23" i="8" s="1"/>
  <c r="B23" i="8"/>
  <c r="B22" i="8"/>
  <c r="B21" i="8"/>
  <c r="E33" i="8" s="1"/>
  <c r="E20" i="8"/>
  <c r="B20" i="8"/>
  <c r="E32" i="8" s="1"/>
  <c r="C19" i="8"/>
  <c r="D19" i="8" s="1"/>
  <c r="B19" i="8"/>
  <c r="E31" i="8" s="1"/>
  <c r="C18" i="8"/>
  <c r="D18" i="8" s="1"/>
  <c r="B18" i="8"/>
  <c r="E30" i="8" s="1"/>
  <c r="B17" i="8"/>
  <c r="B16" i="8"/>
  <c r="B15" i="8"/>
  <c r="E27" i="8" s="1"/>
  <c r="C14" i="8"/>
  <c r="D14" i="8" s="1"/>
  <c r="B14" i="8"/>
  <c r="B13" i="8"/>
  <c r="E25" i="8" s="1"/>
  <c r="D12" i="8"/>
  <c r="C12" i="8"/>
  <c r="B12" i="8"/>
  <c r="B11" i="8"/>
  <c r="B10" i="8"/>
  <c r="E22" i="8" s="1"/>
  <c r="B9" i="8"/>
  <c r="D8" i="8"/>
  <c r="C8" i="8"/>
  <c r="B8" i="8"/>
  <c r="B7" i="8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C95" i="9" l="1"/>
  <c r="C94" i="9"/>
  <c r="C439" i="9"/>
  <c r="C438" i="9"/>
  <c r="C830" i="9"/>
  <c r="C55" i="9"/>
  <c r="C468" i="9"/>
  <c r="C467" i="9"/>
  <c r="C151" i="9"/>
  <c r="C281" i="9"/>
  <c r="C378" i="9"/>
  <c r="C282" i="9"/>
  <c r="C337" i="9"/>
  <c r="C336" i="9"/>
  <c r="C150" i="9"/>
  <c r="C202" i="9"/>
  <c r="C201" i="9"/>
  <c r="C506" i="9"/>
  <c r="C590" i="9"/>
  <c r="C602" i="9"/>
  <c r="C607" i="9"/>
  <c r="C699" i="9"/>
  <c r="C740" i="9"/>
  <c r="C834" i="9"/>
  <c r="C865" i="9"/>
  <c r="C864" i="9"/>
  <c r="C898" i="9"/>
  <c r="C15" i="9"/>
  <c r="C25" i="9"/>
  <c r="C35" i="9"/>
  <c r="C49" i="9"/>
  <c r="C214" i="9"/>
  <c r="C246" i="9"/>
  <c r="C251" i="9"/>
  <c r="C325" i="9"/>
  <c r="C358" i="9"/>
  <c r="C393" i="9"/>
  <c r="C404" i="9"/>
  <c r="C435" i="9"/>
  <c r="C474" i="9"/>
  <c r="C543" i="9"/>
  <c r="C595" i="9"/>
  <c r="C629" i="9"/>
  <c r="C695" i="9"/>
  <c r="C694" i="9"/>
  <c r="C724" i="9"/>
  <c r="C26" i="9"/>
  <c r="C46" i="9"/>
  <c r="C51" i="9"/>
  <c r="C76" i="9"/>
  <c r="C92" i="9"/>
  <c r="C112" i="9"/>
  <c r="C142" i="9"/>
  <c r="C198" i="9"/>
  <c r="C294" i="9"/>
  <c r="C376" i="9"/>
  <c r="C410" i="9"/>
  <c r="C485" i="9"/>
  <c r="C718" i="9"/>
  <c r="C717" i="9"/>
  <c r="C737" i="9"/>
  <c r="C763" i="9"/>
  <c r="C998" i="9"/>
  <c r="C997" i="9"/>
  <c r="C156" i="9"/>
  <c r="C290" i="9"/>
  <c r="C458" i="9"/>
  <c r="C730" i="9"/>
  <c r="C31" i="9"/>
  <c r="C41" i="9"/>
  <c r="C83" i="9"/>
  <c r="C108" i="9"/>
  <c r="C118" i="9"/>
  <c r="C127" i="9"/>
  <c r="C137" i="9"/>
  <c r="C163" i="9"/>
  <c r="C174" i="9"/>
  <c r="C190" i="9"/>
  <c r="C195" i="9"/>
  <c r="C211" i="9"/>
  <c r="C237" i="9"/>
  <c r="C265" i="9"/>
  <c r="C289" i="9"/>
  <c r="C310" i="9"/>
  <c r="C338" i="9"/>
  <c r="C343" i="9"/>
  <c r="C366" i="9"/>
  <c r="C434" i="9"/>
  <c r="C454" i="9"/>
  <c r="C457" i="9"/>
  <c r="C531" i="9"/>
  <c r="C546" i="9"/>
  <c r="C545" i="9"/>
  <c r="C682" i="9"/>
  <c r="C698" i="9"/>
  <c r="C855" i="9"/>
  <c r="C915" i="9"/>
  <c r="C994" i="9"/>
  <c r="C993" i="9"/>
  <c r="C14" i="9"/>
  <c r="C84" i="9"/>
  <c r="C103" i="9"/>
  <c r="C212" i="9"/>
  <c r="C286" i="9"/>
  <c r="C328" i="9"/>
  <c r="C355" i="9"/>
  <c r="C361" i="9"/>
  <c r="C422" i="9"/>
  <c r="C486" i="9"/>
  <c r="C498" i="9"/>
  <c r="C606" i="9"/>
  <c r="C626" i="9"/>
  <c r="C632" i="9"/>
  <c r="C29" i="9"/>
  <c r="C38" i="9"/>
  <c r="C134" i="9"/>
  <c r="C143" i="9"/>
  <c r="C222" i="9"/>
  <c r="C228" i="9"/>
  <c r="C244" i="9"/>
  <c r="C260" i="9"/>
  <c r="C367" i="9"/>
  <c r="C386" i="9"/>
  <c r="C484" i="9"/>
  <c r="C497" i="9"/>
  <c r="C570" i="9"/>
  <c r="C605" i="9"/>
  <c r="C617" i="9"/>
  <c r="C619" i="9"/>
  <c r="C634" i="9"/>
  <c r="C633" i="9"/>
  <c r="C738" i="9"/>
  <c r="C955" i="9"/>
  <c r="C28" i="9"/>
  <c r="C54" i="9"/>
  <c r="C59" i="9"/>
  <c r="C74" i="9"/>
  <c r="C80" i="9"/>
  <c r="C100" i="9"/>
  <c r="C160" i="9"/>
  <c r="C170" i="9"/>
  <c r="C176" i="9"/>
  <c r="C186" i="9"/>
  <c r="C192" i="9"/>
  <c r="C217" i="9"/>
  <c r="C256" i="9"/>
  <c r="C278" i="9"/>
  <c r="C308" i="9"/>
  <c r="C334" i="9"/>
  <c r="C374" i="9"/>
  <c r="C391" i="9"/>
  <c r="C397" i="9"/>
  <c r="C429" i="9"/>
  <c r="C460" i="9"/>
  <c r="C483" i="9"/>
  <c r="C505" i="9"/>
  <c r="C510" i="9"/>
  <c r="C534" i="9"/>
  <c r="C576" i="9"/>
  <c r="C589" i="9"/>
  <c r="C616" i="9"/>
  <c r="C660" i="9"/>
  <c r="C669" i="9"/>
  <c r="C715" i="9"/>
  <c r="C722" i="9"/>
  <c r="C810" i="9"/>
  <c r="C817" i="9"/>
  <c r="C828" i="9"/>
  <c r="C827" i="9"/>
  <c r="C876" i="9"/>
  <c r="C896" i="9"/>
  <c r="C921" i="9"/>
  <c r="C946" i="9"/>
  <c r="C986" i="9"/>
  <c r="C782" i="9"/>
  <c r="C791" i="9"/>
  <c r="C832" i="9"/>
  <c r="C887" i="9"/>
  <c r="C961" i="9"/>
  <c r="C970" i="9"/>
  <c r="C542" i="9"/>
  <c r="C548" i="9"/>
  <c r="C594" i="9"/>
  <c r="C599" i="9"/>
  <c r="C640" i="9"/>
  <c r="C646" i="9"/>
  <c r="C693" i="9"/>
  <c r="C712" i="9"/>
  <c r="C727" i="9"/>
  <c r="C746" i="9"/>
  <c r="C825" i="9"/>
  <c r="C842" i="9"/>
  <c r="C917" i="9"/>
  <c r="C937" i="9"/>
  <c r="C967" i="9"/>
  <c r="C972" i="9"/>
  <c r="C981" i="9"/>
  <c r="C1007" i="9"/>
  <c r="C907" i="9"/>
  <c r="C931" i="9"/>
  <c r="C938" i="9"/>
  <c r="C957" i="9"/>
  <c r="C968" i="9"/>
  <c r="C982" i="9"/>
  <c r="C894" i="9"/>
  <c r="C158" i="9"/>
  <c r="C224" i="9"/>
  <c r="C269" i="9"/>
  <c r="C274" i="9"/>
  <c r="C303" i="9"/>
  <c r="C342" i="9"/>
  <c r="C348" i="9"/>
  <c r="C402" i="9"/>
  <c r="C538" i="9"/>
  <c r="C615" i="9"/>
  <c r="C684" i="9"/>
  <c r="C753" i="9"/>
  <c r="C759" i="9"/>
  <c r="C806" i="9"/>
  <c r="C844" i="9"/>
  <c r="C858" i="9"/>
  <c r="C873" i="9"/>
  <c r="C893" i="9"/>
  <c r="C903" i="9"/>
  <c r="C942" i="9"/>
  <c r="C984" i="9"/>
  <c r="C989" i="9"/>
  <c r="C667" i="9"/>
  <c r="C680" i="9"/>
  <c r="C714" i="9"/>
  <c r="C754" i="9"/>
  <c r="C769" i="9"/>
  <c r="C794" i="9"/>
  <c r="C802" i="9"/>
  <c r="C877" i="9"/>
  <c r="C882" i="9"/>
  <c r="C886" i="9"/>
  <c r="C924" i="9"/>
  <c r="C964" i="9"/>
  <c r="C1003" i="9"/>
  <c r="C490" i="9"/>
  <c r="C509" i="9"/>
  <c r="C519" i="9"/>
  <c r="C551" i="9"/>
  <c r="C556" i="9"/>
  <c r="C566" i="9"/>
  <c r="C679" i="9"/>
  <c r="C685" i="9"/>
  <c r="C696" i="9"/>
  <c r="C705" i="9"/>
  <c r="C719" i="9"/>
  <c r="C765" i="9"/>
  <c r="C793" i="9"/>
  <c r="C798" i="9"/>
  <c r="C801" i="9"/>
  <c r="C839" i="9"/>
  <c r="C854" i="9"/>
  <c r="C868" i="9"/>
  <c r="C881" i="9"/>
  <c r="C905" i="9"/>
  <c r="C911" i="9"/>
  <c r="C934" i="9"/>
  <c r="C950" i="9"/>
  <c r="C985" i="9"/>
  <c r="C999" i="9"/>
  <c r="C1004" i="9"/>
  <c r="C11" i="8"/>
  <c r="D11" i="8" s="1"/>
  <c r="E35" i="8"/>
  <c r="C24" i="8"/>
  <c r="D24" i="8" s="1"/>
  <c r="C28" i="8"/>
  <c r="D28" i="8" s="1"/>
  <c r="C38" i="8"/>
  <c r="D38" i="8" s="1"/>
  <c r="C43" i="8"/>
  <c r="D43" i="8" s="1"/>
  <c r="C53" i="8"/>
  <c r="D53" i="8" s="1"/>
  <c r="C73" i="8"/>
  <c r="D73" i="8" s="1"/>
  <c r="C83" i="8"/>
  <c r="D83" i="8" s="1"/>
  <c r="E108" i="8"/>
  <c r="C97" i="8"/>
  <c r="D97" i="8" s="1"/>
  <c r="C126" i="8"/>
  <c r="D126" i="8" s="1"/>
  <c r="C141" i="8"/>
  <c r="D141" i="8" s="1"/>
  <c r="E163" i="8"/>
  <c r="C152" i="8"/>
  <c r="D152" i="8" s="1"/>
  <c r="E188" i="8"/>
  <c r="C177" i="8"/>
  <c r="D177" i="8" s="1"/>
  <c r="E197" i="8"/>
  <c r="C186" i="8"/>
  <c r="D186" i="8" s="1"/>
  <c r="E238" i="8"/>
  <c r="C227" i="8"/>
  <c r="D227" i="8" s="1"/>
  <c r="E247" i="8"/>
  <c r="C236" i="8"/>
  <c r="D236" i="8" s="1"/>
  <c r="E275" i="8"/>
  <c r="C264" i="8"/>
  <c r="D264" i="8" s="1"/>
  <c r="E395" i="8"/>
  <c r="C384" i="8"/>
  <c r="D384" i="8" s="1"/>
  <c r="C383" i="8"/>
  <c r="D383" i="8" s="1"/>
  <c r="E427" i="8"/>
  <c r="C416" i="8"/>
  <c r="D416" i="8" s="1"/>
  <c r="C415" i="8"/>
  <c r="D415" i="8" s="1"/>
  <c r="E459" i="8"/>
  <c r="C448" i="8"/>
  <c r="D448" i="8" s="1"/>
  <c r="C447" i="8"/>
  <c r="D447" i="8" s="1"/>
  <c r="E614" i="8"/>
  <c r="C603" i="8"/>
  <c r="D603" i="8" s="1"/>
  <c r="E602" i="8"/>
  <c r="E204" i="8"/>
  <c r="C193" i="8"/>
  <c r="D193" i="8" s="1"/>
  <c r="E213" i="8"/>
  <c r="C202" i="8"/>
  <c r="D202" i="8" s="1"/>
  <c r="E216" i="8"/>
  <c r="E254" i="8"/>
  <c r="C243" i="8"/>
  <c r="D243" i="8" s="1"/>
  <c r="E263" i="8"/>
  <c r="C252" i="8"/>
  <c r="D252" i="8" s="1"/>
  <c r="E389" i="8"/>
  <c r="C378" i="8"/>
  <c r="D378" i="8" s="1"/>
  <c r="E421" i="8"/>
  <c r="C410" i="8"/>
  <c r="D410" i="8" s="1"/>
  <c r="E453" i="8"/>
  <c r="C442" i="8"/>
  <c r="D442" i="8" s="1"/>
  <c r="C480" i="8"/>
  <c r="D480" i="8" s="1"/>
  <c r="E491" i="8"/>
  <c r="C479" i="8"/>
  <c r="D479" i="8" s="1"/>
  <c r="E496" i="8"/>
  <c r="C714" i="8"/>
  <c r="D714" i="8" s="1"/>
  <c r="E725" i="8"/>
  <c r="C730" i="8"/>
  <c r="D730" i="8" s="1"/>
  <c r="E403" i="8"/>
  <c r="C392" i="8"/>
  <c r="D392" i="8" s="1"/>
  <c r="C391" i="8"/>
  <c r="D391" i="8" s="1"/>
  <c r="E435" i="8"/>
  <c r="C424" i="8"/>
  <c r="D424" i="8" s="1"/>
  <c r="C423" i="8"/>
  <c r="D423" i="8" s="1"/>
  <c r="C456" i="8"/>
  <c r="D456" i="8" s="1"/>
  <c r="C455" i="8"/>
  <c r="D455" i="8" s="1"/>
  <c r="E467" i="8"/>
  <c r="E500" i="8"/>
  <c r="C489" i="8"/>
  <c r="D489" i="8" s="1"/>
  <c r="C498" i="8"/>
  <c r="D498" i="8" s="1"/>
  <c r="E509" i="8"/>
  <c r="E497" i="8"/>
  <c r="E512" i="8"/>
  <c r="C558" i="8"/>
  <c r="D558" i="8" s="1"/>
  <c r="E569" i="8"/>
  <c r="E610" i="8"/>
  <c r="C599" i="8"/>
  <c r="D599" i="8" s="1"/>
  <c r="E628" i="8"/>
  <c r="C617" i="8"/>
  <c r="D617" i="8" s="1"/>
  <c r="E616" i="8"/>
  <c r="E646" i="8"/>
  <c r="C635" i="8"/>
  <c r="D635" i="8" s="1"/>
  <c r="E634" i="8"/>
  <c r="E660" i="8"/>
  <c r="C649" i="8"/>
  <c r="D649" i="8" s="1"/>
  <c r="C731" i="8"/>
  <c r="D731" i="8" s="1"/>
  <c r="E730" i="8"/>
  <c r="E742" i="8"/>
  <c r="C139" i="8"/>
  <c r="D139" i="8" s="1"/>
  <c r="E270" i="8"/>
  <c r="C259" i="8"/>
  <c r="D259" i="8" s="1"/>
  <c r="E26" i="8"/>
  <c r="C34" i="8"/>
  <c r="D34" i="8" s="1"/>
  <c r="E36" i="8"/>
  <c r="E51" i="8"/>
  <c r="C40" i="8"/>
  <c r="D40" i="8" s="1"/>
  <c r="C44" i="8"/>
  <c r="D44" i="8" s="1"/>
  <c r="E46" i="8"/>
  <c r="E56" i="8"/>
  <c r="E66" i="8"/>
  <c r="C74" i="8"/>
  <c r="D74" i="8" s="1"/>
  <c r="E89" i="8"/>
  <c r="E86" i="8"/>
  <c r="C89" i="8"/>
  <c r="D89" i="8" s="1"/>
  <c r="E96" i="8"/>
  <c r="C99" i="8"/>
  <c r="D99" i="8" s="1"/>
  <c r="E119" i="8"/>
  <c r="E124" i="8"/>
  <c r="C113" i="8"/>
  <c r="D113" i="8" s="1"/>
  <c r="E129" i="8"/>
  <c r="C132" i="8"/>
  <c r="D132" i="8" s="1"/>
  <c r="E149" i="8"/>
  <c r="C142" i="8"/>
  <c r="D142" i="8" s="1"/>
  <c r="E167" i="8"/>
  <c r="C156" i="8"/>
  <c r="D156" i="8" s="1"/>
  <c r="C158" i="8"/>
  <c r="D158" i="8" s="1"/>
  <c r="E170" i="8"/>
  <c r="E195" i="8"/>
  <c r="C184" i="8"/>
  <c r="D184" i="8" s="1"/>
  <c r="E208" i="8"/>
  <c r="C197" i="8"/>
  <c r="D197" i="8" s="1"/>
  <c r="E236" i="8"/>
  <c r="C225" i="8"/>
  <c r="D225" i="8" s="1"/>
  <c r="E226" i="8"/>
  <c r="C230" i="8"/>
  <c r="D230" i="8" s="1"/>
  <c r="E245" i="8"/>
  <c r="C234" i="8"/>
  <c r="D234" i="8" s="1"/>
  <c r="E248" i="8"/>
  <c r="C258" i="8"/>
  <c r="D258" i="8" s="1"/>
  <c r="E289" i="8"/>
  <c r="C278" i="8"/>
  <c r="D278" i="8" s="1"/>
  <c r="E293" i="8"/>
  <c r="C282" i="8"/>
  <c r="D282" i="8" s="1"/>
  <c r="E307" i="8"/>
  <c r="C296" i="8"/>
  <c r="D296" i="8" s="1"/>
  <c r="E311" i="8"/>
  <c r="C300" i="8"/>
  <c r="D300" i="8" s="1"/>
  <c r="C306" i="8"/>
  <c r="D306" i="8" s="1"/>
  <c r="E321" i="8"/>
  <c r="C310" i="8"/>
  <c r="D310" i="8" s="1"/>
  <c r="E325" i="8"/>
  <c r="C314" i="8"/>
  <c r="D314" i="8" s="1"/>
  <c r="E339" i="8"/>
  <c r="C328" i="8"/>
  <c r="D328" i="8" s="1"/>
  <c r="E343" i="8"/>
  <c r="C332" i="8"/>
  <c r="D332" i="8" s="1"/>
  <c r="E353" i="8"/>
  <c r="C342" i="8"/>
  <c r="D342" i="8" s="1"/>
  <c r="E357" i="8"/>
  <c r="C346" i="8"/>
  <c r="D346" i="8" s="1"/>
  <c r="E371" i="8"/>
  <c r="C360" i="8"/>
  <c r="D360" i="8" s="1"/>
  <c r="E397" i="8"/>
  <c r="C386" i="8"/>
  <c r="D386" i="8" s="1"/>
  <c r="E429" i="8"/>
  <c r="C418" i="8"/>
  <c r="D418" i="8" s="1"/>
  <c r="E461" i="8"/>
  <c r="C450" i="8"/>
  <c r="D450" i="8" s="1"/>
  <c r="C464" i="8"/>
  <c r="D464" i="8" s="1"/>
  <c r="E475" i="8"/>
  <c r="C476" i="8"/>
  <c r="D476" i="8" s="1"/>
  <c r="C482" i="8"/>
  <c r="D482" i="8" s="1"/>
  <c r="E493" i="8"/>
  <c r="C497" i="8"/>
  <c r="D497" i="8" s="1"/>
  <c r="C514" i="8"/>
  <c r="D514" i="8" s="1"/>
  <c r="E525" i="8"/>
  <c r="E513" i="8"/>
  <c r="E528" i="8"/>
  <c r="E537" i="8"/>
  <c r="E708" i="8"/>
  <c r="C697" i="8"/>
  <c r="D697" i="8" s="1"/>
  <c r="E21" i="8"/>
  <c r="C21" i="8"/>
  <c r="D21" i="8" s="1"/>
  <c r="E38" i="8"/>
  <c r="E106" i="8"/>
  <c r="E116" i="8"/>
  <c r="E126" i="8"/>
  <c r="C149" i="8"/>
  <c r="D149" i="8" s="1"/>
  <c r="E154" i="8"/>
  <c r="C164" i="8"/>
  <c r="D164" i="8" s="1"/>
  <c r="C189" i="8"/>
  <c r="D189" i="8" s="1"/>
  <c r="E220" i="8"/>
  <c r="C209" i="8"/>
  <c r="D209" i="8" s="1"/>
  <c r="E232" i="8"/>
  <c r="E286" i="8"/>
  <c r="C275" i="8"/>
  <c r="D275" i="8" s="1"/>
  <c r="E346" i="8"/>
  <c r="C335" i="8"/>
  <c r="D335" i="8" s="1"/>
  <c r="C52" i="8"/>
  <c r="D52" i="8" s="1"/>
  <c r="E174" i="8"/>
  <c r="C163" i="8"/>
  <c r="D163" i="8" s="1"/>
  <c r="E264" i="8"/>
  <c r="C271" i="8"/>
  <c r="D271" i="8" s="1"/>
  <c r="C281" i="8"/>
  <c r="D281" i="8" s="1"/>
  <c r="C285" i="8"/>
  <c r="D285" i="8" s="1"/>
  <c r="C295" i="8"/>
  <c r="D295" i="8" s="1"/>
  <c r="C299" i="8"/>
  <c r="D299" i="8" s="1"/>
  <c r="C313" i="8"/>
  <c r="D313" i="8" s="1"/>
  <c r="C317" i="8"/>
  <c r="D317" i="8" s="1"/>
  <c r="C327" i="8"/>
  <c r="D327" i="8" s="1"/>
  <c r="C349" i="8"/>
  <c r="D349" i="8" s="1"/>
  <c r="E379" i="8"/>
  <c r="C368" i="8"/>
  <c r="D368" i="8" s="1"/>
  <c r="C367" i="8"/>
  <c r="D367" i="8" s="1"/>
  <c r="E411" i="8"/>
  <c r="C400" i="8"/>
  <c r="D400" i="8" s="1"/>
  <c r="C399" i="8"/>
  <c r="D399" i="8" s="1"/>
  <c r="E443" i="8"/>
  <c r="C432" i="8"/>
  <c r="D432" i="8" s="1"/>
  <c r="C431" i="8"/>
  <c r="D431" i="8" s="1"/>
  <c r="E488" i="8"/>
  <c r="E476" i="8"/>
  <c r="C477" i="8"/>
  <c r="D477" i="8" s="1"/>
  <c r="C530" i="8"/>
  <c r="D530" i="8" s="1"/>
  <c r="E541" i="8"/>
  <c r="E529" i="8"/>
  <c r="C529" i="8"/>
  <c r="D529" i="8" s="1"/>
  <c r="E550" i="8"/>
  <c r="C539" i="8"/>
  <c r="D539" i="8" s="1"/>
  <c r="E538" i="8"/>
  <c r="E553" i="8"/>
  <c r="E578" i="8"/>
  <c r="C567" i="8"/>
  <c r="D567" i="8" s="1"/>
  <c r="C576" i="8"/>
  <c r="D576" i="8" s="1"/>
  <c r="E587" i="8"/>
  <c r="C592" i="8"/>
  <c r="D592" i="8" s="1"/>
  <c r="E603" i="8"/>
  <c r="C610" i="8"/>
  <c r="D610" i="8" s="1"/>
  <c r="E621" i="8"/>
  <c r="E609" i="8"/>
  <c r="E624" i="8"/>
  <c r="C613" i="8"/>
  <c r="D613" i="8" s="1"/>
  <c r="E642" i="8"/>
  <c r="C631" i="8"/>
  <c r="D631" i="8" s="1"/>
  <c r="E648" i="8"/>
  <c r="E41" i="8"/>
  <c r="C41" i="8"/>
  <c r="D41" i="8" s="1"/>
  <c r="E71" i="8"/>
  <c r="C109" i="8"/>
  <c r="D109" i="8" s="1"/>
  <c r="E136" i="8"/>
  <c r="E192" i="8"/>
  <c r="C181" i="8"/>
  <c r="D181" i="8" s="1"/>
  <c r="C192" i="8"/>
  <c r="D192" i="8" s="1"/>
  <c r="E300" i="8"/>
  <c r="C289" i="8"/>
  <c r="D289" i="8" s="1"/>
  <c r="E350" i="8"/>
  <c r="C339" i="8"/>
  <c r="D339" i="8" s="1"/>
  <c r="C17" i="8"/>
  <c r="D17" i="8" s="1"/>
  <c r="E28" i="8"/>
  <c r="E44" i="8"/>
  <c r="C33" i="8"/>
  <c r="D33" i="8" s="1"/>
  <c r="E69" i="8"/>
  <c r="E99" i="8"/>
  <c r="C88" i="8"/>
  <c r="D88" i="8" s="1"/>
  <c r="E94" i="8"/>
  <c r="E114" i="8"/>
  <c r="C155" i="8"/>
  <c r="D155" i="8" s="1"/>
  <c r="E224" i="8"/>
  <c r="C213" i="8"/>
  <c r="D213" i="8" s="1"/>
  <c r="C10" i="8"/>
  <c r="D10" i="8" s="1"/>
  <c r="B3" i="8" s="1"/>
  <c r="C16" i="8"/>
  <c r="D16" i="8" s="1"/>
  <c r="C22" i="8"/>
  <c r="D22" i="8" s="1"/>
  <c r="E24" i="8"/>
  <c r="C27" i="8"/>
  <c r="D27" i="8" s="1"/>
  <c r="C32" i="8"/>
  <c r="D32" i="8" s="1"/>
  <c r="E34" i="8"/>
  <c r="C42" i="8"/>
  <c r="D42" i="8" s="1"/>
  <c r="E57" i="8"/>
  <c r="C57" i="8"/>
  <c r="D57" i="8" s="1"/>
  <c r="E87" i="8"/>
  <c r="E92" i="8"/>
  <c r="C81" i="8"/>
  <c r="D81" i="8" s="1"/>
  <c r="E97" i="8"/>
  <c r="C87" i="8"/>
  <c r="D87" i="8" s="1"/>
  <c r="C100" i="8"/>
  <c r="D100" i="8" s="1"/>
  <c r="E117" i="8"/>
  <c r="C110" i="8"/>
  <c r="D110" i="8" s="1"/>
  <c r="C125" i="8"/>
  <c r="D125" i="8" s="1"/>
  <c r="C130" i="8"/>
  <c r="D130" i="8" s="1"/>
  <c r="E147" i="8"/>
  <c r="C136" i="8"/>
  <c r="D136" i="8" s="1"/>
  <c r="C140" i="8"/>
  <c r="D140" i="8" s="1"/>
  <c r="E142" i="8"/>
  <c r="C150" i="8"/>
  <c r="D150" i="8" s="1"/>
  <c r="C162" i="8"/>
  <c r="D162" i="8" s="1"/>
  <c r="E190" i="8"/>
  <c r="C179" i="8"/>
  <c r="D179" i="8" s="1"/>
  <c r="E180" i="8"/>
  <c r="E199" i="8"/>
  <c r="C188" i="8"/>
  <c r="D188" i="8" s="1"/>
  <c r="C190" i="8"/>
  <c r="D190" i="8" s="1"/>
  <c r="E202" i="8"/>
  <c r="C212" i="8"/>
  <c r="D212" i="8" s="1"/>
  <c r="E227" i="8"/>
  <c r="C216" i="8"/>
  <c r="D216" i="8" s="1"/>
  <c r="E240" i="8"/>
  <c r="C229" i="8"/>
  <c r="D229" i="8" s="1"/>
  <c r="E268" i="8"/>
  <c r="C257" i="8"/>
  <c r="D257" i="8" s="1"/>
  <c r="E258" i="8"/>
  <c r="C262" i="8"/>
  <c r="D262" i="8" s="1"/>
  <c r="E277" i="8"/>
  <c r="C266" i="8"/>
  <c r="D266" i="8" s="1"/>
  <c r="E274" i="8"/>
  <c r="E338" i="8"/>
  <c r="E405" i="8"/>
  <c r="C394" i="8"/>
  <c r="D394" i="8" s="1"/>
  <c r="E437" i="8"/>
  <c r="C426" i="8"/>
  <c r="D426" i="8" s="1"/>
  <c r="E469" i="8"/>
  <c r="C458" i="8"/>
  <c r="D458" i="8" s="1"/>
  <c r="E484" i="8"/>
  <c r="C473" i="8"/>
  <c r="D473" i="8" s="1"/>
  <c r="E472" i="8"/>
  <c r="E502" i="8"/>
  <c r="C491" i="8"/>
  <c r="D491" i="8" s="1"/>
  <c r="E518" i="8"/>
  <c r="C507" i="8"/>
  <c r="D507" i="8" s="1"/>
  <c r="E530" i="8"/>
  <c r="C519" i="8"/>
  <c r="D519" i="8" s="1"/>
  <c r="E534" i="8"/>
  <c r="C523" i="8"/>
  <c r="D523" i="8" s="1"/>
  <c r="E522" i="8"/>
  <c r="E546" i="8"/>
  <c r="C535" i="8"/>
  <c r="D535" i="8" s="1"/>
  <c r="C548" i="8"/>
  <c r="D548" i="8" s="1"/>
  <c r="E559" i="8"/>
  <c r="E547" i="8"/>
  <c r="E562" i="8"/>
  <c r="C551" i="8"/>
  <c r="D551" i="8" s="1"/>
  <c r="C560" i="8"/>
  <c r="D560" i="8" s="1"/>
  <c r="E571" i="8"/>
  <c r="C564" i="8"/>
  <c r="D564" i="8" s="1"/>
  <c r="E575" i="8"/>
  <c r="E563" i="8"/>
  <c r="C575" i="8"/>
  <c r="D575" i="8" s="1"/>
  <c r="C588" i="8"/>
  <c r="D588" i="8" s="1"/>
  <c r="E599" i="8"/>
  <c r="C591" i="8"/>
  <c r="D591" i="8" s="1"/>
  <c r="C609" i="8"/>
  <c r="D609" i="8" s="1"/>
  <c r="C642" i="8"/>
  <c r="D642" i="8" s="1"/>
  <c r="E653" i="8"/>
  <c r="E641" i="8"/>
  <c r="E690" i="8"/>
  <c r="C679" i="8"/>
  <c r="D679" i="8" s="1"/>
  <c r="E734" i="8"/>
  <c r="C723" i="8"/>
  <c r="D723" i="8" s="1"/>
  <c r="E83" i="8"/>
  <c r="C72" i="8"/>
  <c r="D72" i="8" s="1"/>
  <c r="E156" i="8"/>
  <c r="C145" i="8"/>
  <c r="D145" i="8" s="1"/>
  <c r="E176" i="8"/>
  <c r="C165" i="8"/>
  <c r="D165" i="8" s="1"/>
  <c r="E81" i="8"/>
  <c r="C84" i="8"/>
  <c r="D84" i="8" s="1"/>
  <c r="C114" i="8"/>
  <c r="D114" i="8" s="1"/>
  <c r="E229" i="8"/>
  <c r="C218" i="8"/>
  <c r="D218" i="8" s="1"/>
  <c r="E279" i="8"/>
  <c r="C268" i="8"/>
  <c r="D268" i="8" s="1"/>
  <c r="E318" i="8"/>
  <c r="C307" i="8"/>
  <c r="D307" i="8" s="1"/>
  <c r="C353" i="8"/>
  <c r="D353" i="8" s="1"/>
  <c r="E364" i="8"/>
  <c r="E144" i="8"/>
  <c r="E249" i="8"/>
  <c r="E252" i="8"/>
  <c r="C241" i="8"/>
  <c r="D241" i="8" s="1"/>
  <c r="C246" i="8"/>
  <c r="D246" i="8" s="1"/>
  <c r="E19" i="8"/>
  <c r="C13" i="8"/>
  <c r="D13" i="8" s="1"/>
  <c r="E29" i="8"/>
  <c r="C20" i="8"/>
  <c r="D20" i="8" s="1"/>
  <c r="E37" i="8"/>
  <c r="C30" i="8"/>
  <c r="D30" i="8" s="1"/>
  <c r="C50" i="8"/>
  <c r="D50" i="8" s="1"/>
  <c r="E67" i="8"/>
  <c r="C56" i="8"/>
  <c r="D56" i="8" s="1"/>
  <c r="C60" i="8"/>
  <c r="D60" i="8" s="1"/>
  <c r="E77" i="8"/>
  <c r="C70" i="8"/>
  <c r="D70" i="8" s="1"/>
  <c r="C75" i="8"/>
  <c r="D75" i="8" s="1"/>
  <c r="C80" i="8"/>
  <c r="D80" i="8" s="1"/>
  <c r="C90" i="8"/>
  <c r="D90" i="8" s="1"/>
  <c r="E105" i="8"/>
  <c r="C95" i="8"/>
  <c r="D95" i="8" s="1"/>
  <c r="C105" i="8"/>
  <c r="D105" i="8" s="1"/>
  <c r="E135" i="8"/>
  <c r="E140" i="8"/>
  <c r="C129" i="8"/>
  <c r="D129" i="8" s="1"/>
  <c r="E145" i="8"/>
  <c r="C135" i="8"/>
  <c r="D135" i="8" s="1"/>
  <c r="C148" i="8"/>
  <c r="D148" i="8" s="1"/>
  <c r="E165" i="8"/>
  <c r="C154" i="8"/>
  <c r="D154" i="8" s="1"/>
  <c r="C178" i="8"/>
  <c r="D178" i="8" s="1"/>
  <c r="C187" i="8"/>
  <c r="D187" i="8" s="1"/>
  <c r="E206" i="8"/>
  <c r="C195" i="8"/>
  <c r="D195" i="8" s="1"/>
  <c r="E196" i="8"/>
  <c r="E215" i="8"/>
  <c r="C204" i="8"/>
  <c r="D204" i="8" s="1"/>
  <c r="C206" i="8"/>
  <c r="D206" i="8" s="1"/>
  <c r="C215" i="8"/>
  <c r="D215" i="8" s="1"/>
  <c r="C228" i="8"/>
  <c r="D228" i="8" s="1"/>
  <c r="E243" i="8"/>
  <c r="C232" i="8"/>
  <c r="D232" i="8" s="1"/>
  <c r="E256" i="8"/>
  <c r="C245" i="8"/>
  <c r="D245" i="8" s="1"/>
  <c r="C256" i="8"/>
  <c r="D256" i="8" s="1"/>
  <c r="C265" i="8"/>
  <c r="D265" i="8" s="1"/>
  <c r="E281" i="8"/>
  <c r="E284" i="8"/>
  <c r="C273" i="8"/>
  <c r="D273" i="8" s="1"/>
  <c r="E298" i="8"/>
  <c r="C287" i="8"/>
  <c r="D287" i="8" s="1"/>
  <c r="E302" i="8"/>
  <c r="C291" i="8"/>
  <c r="D291" i="8" s="1"/>
  <c r="E316" i="8"/>
  <c r="C305" i="8"/>
  <c r="D305" i="8" s="1"/>
  <c r="E330" i="8"/>
  <c r="C319" i="8"/>
  <c r="D319" i="8" s="1"/>
  <c r="E334" i="8"/>
  <c r="C323" i="8"/>
  <c r="D323" i="8" s="1"/>
  <c r="E348" i="8"/>
  <c r="C337" i="8"/>
  <c r="D337" i="8" s="1"/>
  <c r="E362" i="8"/>
  <c r="C351" i="8"/>
  <c r="D351" i="8" s="1"/>
  <c r="E387" i="8"/>
  <c r="C376" i="8"/>
  <c r="D376" i="8" s="1"/>
  <c r="C375" i="8"/>
  <c r="D375" i="8" s="1"/>
  <c r="C393" i="8"/>
  <c r="D393" i="8" s="1"/>
  <c r="E419" i="8"/>
  <c r="C408" i="8"/>
  <c r="D408" i="8" s="1"/>
  <c r="C407" i="8"/>
  <c r="D407" i="8" s="1"/>
  <c r="C425" i="8"/>
  <c r="D425" i="8" s="1"/>
  <c r="E451" i="8"/>
  <c r="C440" i="8"/>
  <c r="D440" i="8" s="1"/>
  <c r="C439" i="8"/>
  <c r="D439" i="8" s="1"/>
  <c r="C457" i="8"/>
  <c r="D457" i="8" s="1"/>
  <c r="E481" i="8"/>
  <c r="C532" i="8"/>
  <c r="D532" i="8" s="1"/>
  <c r="E543" i="8"/>
  <c r="C547" i="8"/>
  <c r="D547" i="8" s="1"/>
  <c r="C559" i="8"/>
  <c r="D559" i="8" s="1"/>
  <c r="C563" i="8"/>
  <c r="D563" i="8" s="1"/>
  <c r="E580" i="8"/>
  <c r="C569" i="8"/>
  <c r="D569" i="8" s="1"/>
  <c r="C580" i="8"/>
  <c r="D580" i="8" s="1"/>
  <c r="E591" i="8"/>
  <c r="E579" i="8"/>
  <c r="C579" i="8"/>
  <c r="D579" i="8" s="1"/>
  <c r="E583" i="8"/>
  <c r="C606" i="8"/>
  <c r="D606" i="8" s="1"/>
  <c r="E617" i="8"/>
  <c r="C624" i="8"/>
  <c r="D624" i="8" s="1"/>
  <c r="E635" i="8"/>
  <c r="E623" i="8"/>
  <c r="C641" i="8"/>
  <c r="D641" i="8" s="1"/>
  <c r="E678" i="8"/>
  <c r="C15" i="8"/>
  <c r="D15" i="8" s="1"/>
  <c r="C51" i="8"/>
  <c r="D51" i="8" s="1"/>
  <c r="E76" i="8"/>
  <c r="C65" i="8"/>
  <c r="D65" i="8" s="1"/>
  <c r="C71" i="8"/>
  <c r="D71" i="8" s="1"/>
  <c r="E131" i="8"/>
  <c r="C120" i="8"/>
  <c r="D120" i="8" s="1"/>
  <c r="E179" i="8"/>
  <c r="C168" i="8"/>
  <c r="D168" i="8" s="1"/>
  <c r="E314" i="8"/>
  <c r="C303" i="8"/>
  <c r="D303" i="8" s="1"/>
  <c r="E332" i="8"/>
  <c r="C321" i="8"/>
  <c r="D321" i="8" s="1"/>
  <c r="C82" i="8"/>
  <c r="D82" i="8" s="1"/>
  <c r="E109" i="8"/>
  <c r="E183" i="8"/>
  <c r="C172" i="8"/>
  <c r="D172" i="8" s="1"/>
  <c r="E211" i="8"/>
  <c r="C200" i="8"/>
  <c r="D200" i="8" s="1"/>
  <c r="E261" i="8"/>
  <c r="C250" i="8"/>
  <c r="D250" i="8" s="1"/>
  <c r="E55" i="8"/>
  <c r="E60" i="8"/>
  <c r="C49" i="8"/>
  <c r="D49" i="8" s="1"/>
  <c r="E65" i="8"/>
  <c r="C55" i="8"/>
  <c r="D55" i="8" s="1"/>
  <c r="C68" i="8"/>
  <c r="D68" i="8" s="1"/>
  <c r="E85" i="8"/>
  <c r="C78" i="8"/>
  <c r="D78" i="8" s="1"/>
  <c r="C98" i="8"/>
  <c r="D98" i="8" s="1"/>
  <c r="E115" i="8"/>
  <c r="C104" i="8"/>
  <c r="D104" i="8" s="1"/>
  <c r="C108" i="8"/>
  <c r="D108" i="8" s="1"/>
  <c r="E125" i="8"/>
  <c r="C118" i="8"/>
  <c r="D118" i="8" s="1"/>
  <c r="C128" i="8"/>
  <c r="D128" i="8" s="1"/>
  <c r="C138" i="8"/>
  <c r="D138" i="8" s="1"/>
  <c r="E153" i="8"/>
  <c r="E158" i="8"/>
  <c r="C153" i="8"/>
  <c r="D153" i="8" s="1"/>
  <c r="E172" i="8"/>
  <c r="C161" i="8"/>
  <c r="D161" i="8" s="1"/>
  <c r="E162" i="8"/>
  <c r="C166" i="8"/>
  <c r="D166" i="8" s="1"/>
  <c r="E181" i="8"/>
  <c r="C170" i="8"/>
  <c r="D170" i="8" s="1"/>
  <c r="C194" i="8"/>
  <c r="D194" i="8" s="1"/>
  <c r="C203" i="8"/>
  <c r="D203" i="8" s="1"/>
  <c r="E222" i="8"/>
  <c r="C211" i="8"/>
  <c r="D211" i="8" s="1"/>
  <c r="E212" i="8"/>
  <c r="E231" i="8"/>
  <c r="C220" i="8"/>
  <c r="D220" i="8" s="1"/>
  <c r="C222" i="8"/>
  <c r="D222" i="8" s="1"/>
  <c r="C231" i="8"/>
  <c r="D231" i="8" s="1"/>
  <c r="C244" i="8"/>
  <c r="D244" i="8" s="1"/>
  <c r="E259" i="8"/>
  <c r="C248" i="8"/>
  <c r="D248" i="8" s="1"/>
  <c r="E272" i="8"/>
  <c r="C261" i="8"/>
  <c r="D261" i="8" s="1"/>
  <c r="C272" i="8"/>
  <c r="D272" i="8" s="1"/>
  <c r="E288" i="8"/>
  <c r="E291" i="8"/>
  <c r="C280" i="8"/>
  <c r="D280" i="8" s="1"/>
  <c r="E295" i="8"/>
  <c r="C284" i="8"/>
  <c r="D284" i="8" s="1"/>
  <c r="C286" i="8"/>
  <c r="D286" i="8" s="1"/>
  <c r="C290" i="8"/>
  <c r="D290" i="8" s="1"/>
  <c r="E305" i="8"/>
  <c r="C294" i="8"/>
  <c r="D294" i="8" s="1"/>
  <c r="E309" i="8"/>
  <c r="C298" i="8"/>
  <c r="D298" i="8" s="1"/>
  <c r="C304" i="8"/>
  <c r="D304" i="8" s="1"/>
  <c r="E320" i="8"/>
  <c r="E323" i="8"/>
  <c r="C312" i="8"/>
  <c r="D312" i="8" s="1"/>
  <c r="E327" i="8"/>
  <c r="C316" i="8"/>
  <c r="D316" i="8" s="1"/>
  <c r="C318" i="8"/>
  <c r="D318" i="8" s="1"/>
  <c r="C322" i="8"/>
  <c r="D322" i="8" s="1"/>
  <c r="E337" i="8"/>
  <c r="C326" i="8"/>
  <c r="D326" i="8" s="1"/>
  <c r="E341" i="8"/>
  <c r="C330" i="8"/>
  <c r="D330" i="8" s="1"/>
  <c r="C336" i="8"/>
  <c r="D336" i="8" s="1"/>
  <c r="E352" i="8"/>
  <c r="E355" i="8"/>
  <c r="C344" i="8"/>
  <c r="D344" i="8" s="1"/>
  <c r="E359" i="8"/>
  <c r="C348" i="8"/>
  <c r="D348" i="8" s="1"/>
  <c r="C350" i="8"/>
  <c r="D350" i="8" s="1"/>
  <c r="C354" i="8"/>
  <c r="D354" i="8" s="1"/>
  <c r="E369" i="8"/>
  <c r="C358" i="8"/>
  <c r="D358" i="8" s="1"/>
  <c r="E373" i="8"/>
  <c r="C362" i="8"/>
  <c r="D362" i="8" s="1"/>
  <c r="E381" i="8"/>
  <c r="C370" i="8"/>
  <c r="D370" i="8" s="1"/>
  <c r="E413" i="8"/>
  <c r="C402" i="8"/>
  <c r="D402" i="8" s="1"/>
  <c r="E445" i="8"/>
  <c r="C434" i="8"/>
  <c r="D434" i="8" s="1"/>
  <c r="C469" i="8"/>
  <c r="D469" i="8" s="1"/>
  <c r="E490" i="8"/>
  <c r="E506" i="8"/>
  <c r="C531" i="8"/>
  <c r="D531" i="8" s="1"/>
  <c r="C557" i="8"/>
  <c r="D557" i="8" s="1"/>
  <c r="E572" i="8"/>
  <c r="E596" i="8"/>
  <c r="C585" i="8"/>
  <c r="D585" i="8" s="1"/>
  <c r="C605" i="8"/>
  <c r="D605" i="8" s="1"/>
  <c r="C620" i="8"/>
  <c r="D620" i="8" s="1"/>
  <c r="E631" i="8"/>
  <c r="C623" i="8"/>
  <c r="D623" i="8" s="1"/>
  <c r="C638" i="8"/>
  <c r="D638" i="8" s="1"/>
  <c r="E649" i="8"/>
  <c r="E297" i="8"/>
  <c r="E313" i="8"/>
  <c r="E329" i="8"/>
  <c r="E345" i="8"/>
  <c r="E361" i="8"/>
  <c r="E375" i="8"/>
  <c r="E383" i="8"/>
  <c r="E391" i="8"/>
  <c r="E399" i="8"/>
  <c r="E407" i="8"/>
  <c r="E415" i="8"/>
  <c r="E423" i="8"/>
  <c r="E431" i="8"/>
  <c r="E439" i="8"/>
  <c r="E447" i="8"/>
  <c r="E455" i="8"/>
  <c r="E463" i="8"/>
  <c r="C466" i="8"/>
  <c r="D466" i="8" s="1"/>
  <c r="E477" i="8"/>
  <c r="E486" i="8"/>
  <c r="C475" i="8"/>
  <c r="D475" i="8" s="1"/>
  <c r="E514" i="8"/>
  <c r="C503" i="8"/>
  <c r="D503" i="8" s="1"/>
  <c r="C516" i="8"/>
  <c r="D516" i="8" s="1"/>
  <c r="E527" i="8"/>
  <c r="C544" i="8"/>
  <c r="D544" i="8" s="1"/>
  <c r="E555" i="8"/>
  <c r="E564" i="8"/>
  <c r="C553" i="8"/>
  <c r="D553" i="8" s="1"/>
  <c r="C556" i="8"/>
  <c r="D556" i="8" s="1"/>
  <c r="E567" i="8"/>
  <c r="E674" i="8"/>
  <c r="C663" i="8"/>
  <c r="D663" i="8" s="1"/>
  <c r="E724" i="8"/>
  <c r="C713" i="8"/>
  <c r="D713" i="8" s="1"/>
  <c r="C738" i="8"/>
  <c r="D738" i="8" s="1"/>
  <c r="E749" i="8"/>
  <c r="E737" i="8"/>
  <c r="C737" i="8"/>
  <c r="D737" i="8" s="1"/>
  <c r="C18" i="9"/>
  <c r="C747" i="8"/>
  <c r="D747" i="8" s="1"/>
  <c r="E746" i="8"/>
  <c r="E758" i="8"/>
  <c r="C57" i="9"/>
  <c r="C354" i="9"/>
  <c r="C353" i="9"/>
  <c r="C412" i="9"/>
  <c r="C411" i="9"/>
  <c r="C433" i="9"/>
  <c r="C432" i="9"/>
  <c r="C79" i="9"/>
  <c r="C78" i="9"/>
  <c r="C690" i="8"/>
  <c r="D690" i="8" s="1"/>
  <c r="E701" i="8"/>
  <c r="E689" i="8"/>
  <c r="C720" i="8"/>
  <c r="D720" i="8" s="1"/>
  <c r="E731" i="8"/>
  <c r="E741" i="8"/>
  <c r="C314" i="9"/>
  <c r="C313" i="9"/>
  <c r="C277" i="8"/>
  <c r="D277" i="8" s="1"/>
  <c r="C293" i="8"/>
  <c r="D293" i="8" s="1"/>
  <c r="C309" i="8"/>
  <c r="D309" i="8" s="1"/>
  <c r="C325" i="8"/>
  <c r="D325" i="8" s="1"/>
  <c r="C341" i="8"/>
  <c r="D341" i="8" s="1"/>
  <c r="E367" i="8"/>
  <c r="C468" i="8"/>
  <c r="D468" i="8" s="1"/>
  <c r="E479" i="8"/>
  <c r="C496" i="8"/>
  <c r="D496" i="8" s="1"/>
  <c r="E507" i="8"/>
  <c r="E516" i="8"/>
  <c r="C505" i="8"/>
  <c r="D505" i="8" s="1"/>
  <c r="E519" i="8"/>
  <c r="C546" i="8"/>
  <c r="D546" i="8" s="1"/>
  <c r="E557" i="8"/>
  <c r="E566" i="8"/>
  <c r="C555" i="8"/>
  <c r="D555" i="8" s="1"/>
  <c r="E594" i="8"/>
  <c r="C583" i="8"/>
  <c r="D583" i="8" s="1"/>
  <c r="C650" i="8"/>
  <c r="D650" i="8" s="1"/>
  <c r="E661" i="8"/>
  <c r="C658" i="8"/>
  <c r="D658" i="8" s="1"/>
  <c r="E669" i="8"/>
  <c r="C674" i="8"/>
  <c r="D674" i="8" s="1"/>
  <c r="E685" i="8"/>
  <c r="E673" i="8"/>
  <c r="C673" i="8"/>
  <c r="D673" i="8" s="1"/>
  <c r="C686" i="8"/>
  <c r="D686" i="8" s="1"/>
  <c r="E697" i="8"/>
  <c r="C689" i="8"/>
  <c r="D689" i="8" s="1"/>
  <c r="C707" i="8"/>
  <c r="D707" i="8" s="1"/>
  <c r="E718" i="8"/>
  <c r="C719" i="8"/>
  <c r="D719" i="8" s="1"/>
  <c r="E738" i="8"/>
  <c r="C727" i="8"/>
  <c r="D727" i="8" s="1"/>
  <c r="E754" i="8"/>
  <c r="C743" i="8"/>
  <c r="D743" i="8" s="1"/>
  <c r="C276" i="9"/>
  <c r="C275" i="9"/>
  <c r="C345" i="9"/>
  <c r="C344" i="9"/>
  <c r="C481" i="9"/>
  <c r="C480" i="9"/>
  <c r="E173" i="8"/>
  <c r="E189" i="8"/>
  <c r="E205" i="8"/>
  <c r="E221" i="8"/>
  <c r="E237" i="8"/>
  <c r="E253" i="8"/>
  <c r="E269" i="8"/>
  <c r="E285" i="8"/>
  <c r="E301" i="8"/>
  <c r="E317" i="8"/>
  <c r="E333" i="8"/>
  <c r="E349" i="8"/>
  <c r="E377" i="8"/>
  <c r="E385" i="8"/>
  <c r="E393" i="8"/>
  <c r="E401" i="8"/>
  <c r="E409" i="8"/>
  <c r="E417" i="8"/>
  <c r="E425" i="8"/>
  <c r="E433" i="8"/>
  <c r="E441" i="8"/>
  <c r="E449" i="8"/>
  <c r="E457" i="8"/>
  <c r="E468" i="8"/>
  <c r="C467" i="8"/>
  <c r="D467" i="8" s="1"/>
  <c r="E482" i="8"/>
  <c r="C471" i="8"/>
  <c r="D471" i="8" s="1"/>
  <c r="E470" i="8"/>
  <c r="C484" i="8"/>
  <c r="D484" i="8" s="1"/>
  <c r="E495" i="8"/>
  <c r="C495" i="8"/>
  <c r="D495" i="8" s="1"/>
  <c r="C512" i="8"/>
  <c r="D512" i="8" s="1"/>
  <c r="E523" i="8"/>
  <c r="E532" i="8"/>
  <c r="C521" i="8"/>
  <c r="D521" i="8" s="1"/>
  <c r="E535" i="8"/>
  <c r="C545" i="8"/>
  <c r="D545" i="8" s="1"/>
  <c r="C562" i="8"/>
  <c r="D562" i="8" s="1"/>
  <c r="E573" i="8"/>
  <c r="E582" i="8"/>
  <c r="C571" i="8"/>
  <c r="D571" i="8" s="1"/>
  <c r="E585" i="8"/>
  <c r="C590" i="8"/>
  <c r="D590" i="8" s="1"/>
  <c r="E601" i="8"/>
  <c r="C594" i="8"/>
  <c r="D594" i="8" s="1"/>
  <c r="E605" i="8"/>
  <c r="C608" i="8"/>
  <c r="D608" i="8" s="1"/>
  <c r="E619" i="8"/>
  <c r="E607" i="8"/>
  <c r="C622" i="8"/>
  <c r="D622" i="8" s="1"/>
  <c r="E633" i="8"/>
  <c r="C626" i="8"/>
  <c r="D626" i="8" s="1"/>
  <c r="E637" i="8"/>
  <c r="C636" i="8"/>
  <c r="D636" i="8" s="1"/>
  <c r="E647" i="8"/>
  <c r="C640" i="8"/>
  <c r="D640" i="8" s="1"/>
  <c r="E651" i="8"/>
  <c r="E639" i="8"/>
  <c r="C657" i="8"/>
  <c r="D657" i="8" s="1"/>
  <c r="C670" i="8"/>
  <c r="D670" i="8" s="1"/>
  <c r="E681" i="8"/>
  <c r="C704" i="8"/>
  <c r="D704" i="8" s="1"/>
  <c r="E715" i="8"/>
  <c r="E703" i="8"/>
  <c r="E719" i="8"/>
  <c r="C754" i="8"/>
  <c r="D754" i="8" s="1"/>
  <c r="E753" i="8"/>
  <c r="C753" i="8"/>
  <c r="D753" i="8" s="1"/>
  <c r="C372" i="9"/>
  <c r="C371" i="9"/>
  <c r="C9" i="8"/>
  <c r="D9" i="8" s="1"/>
  <c r="B4" i="8" s="1"/>
  <c r="E23" i="8"/>
  <c r="E43" i="8"/>
  <c r="E59" i="8"/>
  <c r="E75" i="8"/>
  <c r="E91" i="8"/>
  <c r="E107" i="8"/>
  <c r="E123" i="8"/>
  <c r="E139" i="8"/>
  <c r="E155" i="8"/>
  <c r="E171" i="8"/>
  <c r="E187" i="8"/>
  <c r="E203" i="8"/>
  <c r="E219" i="8"/>
  <c r="E235" i="8"/>
  <c r="E251" i="8"/>
  <c r="E267" i="8"/>
  <c r="E283" i="8"/>
  <c r="E299" i="8"/>
  <c r="E315" i="8"/>
  <c r="E331" i="8"/>
  <c r="E347" i="8"/>
  <c r="E363" i="8"/>
  <c r="C365" i="8"/>
  <c r="D365" i="8" s="1"/>
  <c r="C373" i="8"/>
  <c r="D373" i="8" s="1"/>
  <c r="C381" i="8"/>
  <c r="D381" i="8" s="1"/>
  <c r="C389" i="8"/>
  <c r="D389" i="8" s="1"/>
  <c r="C397" i="8"/>
  <c r="D397" i="8" s="1"/>
  <c r="C405" i="8"/>
  <c r="D405" i="8" s="1"/>
  <c r="C413" i="8"/>
  <c r="D413" i="8" s="1"/>
  <c r="C421" i="8"/>
  <c r="D421" i="8" s="1"/>
  <c r="C429" i="8"/>
  <c r="D429" i="8" s="1"/>
  <c r="C437" i="8"/>
  <c r="D437" i="8" s="1"/>
  <c r="C445" i="8"/>
  <c r="D445" i="8" s="1"/>
  <c r="C461" i="8"/>
  <c r="D461" i="8" s="1"/>
  <c r="E473" i="8"/>
  <c r="C483" i="8"/>
  <c r="D483" i="8" s="1"/>
  <c r="E498" i="8"/>
  <c r="C487" i="8"/>
  <c r="D487" i="8" s="1"/>
  <c r="E492" i="8"/>
  <c r="C500" i="8"/>
  <c r="D500" i="8" s="1"/>
  <c r="E511" i="8"/>
  <c r="C511" i="8"/>
  <c r="D511" i="8" s="1"/>
  <c r="C528" i="8"/>
  <c r="D528" i="8" s="1"/>
  <c r="E539" i="8"/>
  <c r="E548" i="8"/>
  <c r="C537" i="8"/>
  <c r="D537" i="8" s="1"/>
  <c r="C540" i="8"/>
  <c r="D540" i="8" s="1"/>
  <c r="E551" i="8"/>
  <c r="E554" i="8"/>
  <c r="C561" i="8"/>
  <c r="D561" i="8" s="1"/>
  <c r="C578" i="8"/>
  <c r="D578" i="8" s="1"/>
  <c r="E589" i="8"/>
  <c r="E598" i="8"/>
  <c r="C587" i="8"/>
  <c r="D587" i="8" s="1"/>
  <c r="C589" i="8"/>
  <c r="D589" i="8" s="1"/>
  <c r="C593" i="8"/>
  <c r="D593" i="8" s="1"/>
  <c r="E608" i="8"/>
  <c r="C597" i="8"/>
  <c r="D597" i="8" s="1"/>
  <c r="E612" i="8"/>
  <c r="C601" i="8"/>
  <c r="D601" i="8" s="1"/>
  <c r="C607" i="8"/>
  <c r="D607" i="8" s="1"/>
  <c r="E626" i="8"/>
  <c r="C615" i="8"/>
  <c r="D615" i="8" s="1"/>
  <c r="E630" i="8"/>
  <c r="C619" i="8"/>
  <c r="D619" i="8" s="1"/>
  <c r="C621" i="8"/>
  <c r="D621" i="8" s="1"/>
  <c r="C625" i="8"/>
  <c r="D625" i="8" s="1"/>
  <c r="E640" i="8"/>
  <c r="C629" i="8"/>
  <c r="D629" i="8" s="1"/>
  <c r="E644" i="8"/>
  <c r="C633" i="8"/>
  <c r="D633" i="8" s="1"/>
  <c r="C639" i="8"/>
  <c r="D639" i="8" s="1"/>
  <c r="E658" i="8"/>
  <c r="C647" i="8"/>
  <c r="D647" i="8" s="1"/>
  <c r="C703" i="8"/>
  <c r="D703" i="8" s="1"/>
  <c r="C596" i="8"/>
  <c r="D596" i="8" s="1"/>
  <c r="C612" i="8"/>
  <c r="D612" i="8" s="1"/>
  <c r="C628" i="8"/>
  <c r="D628" i="8" s="1"/>
  <c r="C644" i="8"/>
  <c r="D644" i="8" s="1"/>
  <c r="E655" i="8"/>
  <c r="C659" i="8"/>
  <c r="D659" i="8" s="1"/>
  <c r="C666" i="8"/>
  <c r="D666" i="8" s="1"/>
  <c r="C682" i="8"/>
  <c r="D682" i="8" s="1"/>
  <c r="E706" i="8"/>
  <c r="C695" i="8"/>
  <c r="D695" i="8" s="1"/>
  <c r="C706" i="8"/>
  <c r="D706" i="8" s="1"/>
  <c r="E717" i="8"/>
  <c r="E705" i="8"/>
  <c r="E740" i="8"/>
  <c r="C729" i="8"/>
  <c r="D729" i="8" s="1"/>
  <c r="C746" i="8"/>
  <c r="D746" i="8" s="1"/>
  <c r="C45" i="9"/>
  <c r="C82" i="9"/>
  <c r="C90" i="9"/>
  <c r="C102" i="9"/>
  <c r="C131" i="9"/>
  <c r="C173" i="9"/>
  <c r="C210" i="9"/>
  <c r="C218" i="9"/>
  <c r="C230" i="9"/>
  <c r="C259" i="9"/>
  <c r="C258" i="9"/>
  <c r="C293" i="9"/>
  <c r="C307" i="9"/>
  <c r="C327" i="9"/>
  <c r="C373" i="9"/>
  <c r="C382" i="9"/>
  <c r="C400" i="9"/>
  <c r="C472" i="9"/>
  <c r="C569" i="9"/>
  <c r="C688" i="9"/>
  <c r="C750" i="8"/>
  <c r="D750" i="8" s="1"/>
  <c r="E761" i="8"/>
  <c r="C66" i="9"/>
  <c r="C115" i="9"/>
  <c r="C194" i="9"/>
  <c r="C243" i="9"/>
  <c r="C242" i="9"/>
  <c r="C268" i="9"/>
  <c r="C277" i="9"/>
  <c r="C395" i="9"/>
  <c r="C394" i="9"/>
  <c r="C444" i="9"/>
  <c r="C443" i="9"/>
  <c r="C564" i="9"/>
  <c r="C563" i="9"/>
  <c r="C642" i="9"/>
  <c r="C641" i="9"/>
  <c r="C178" i="9"/>
  <c r="C273" i="9"/>
  <c r="C272" i="9"/>
  <c r="C351" i="9"/>
  <c r="C350" i="9"/>
  <c r="C364" i="9"/>
  <c r="C390" i="9"/>
  <c r="C396" i="9"/>
  <c r="C401" i="9"/>
  <c r="C405" i="9"/>
  <c r="C409" i="9"/>
  <c r="C610" i="9"/>
  <c r="C609" i="9"/>
  <c r="C734" i="9"/>
  <c r="C734" i="8"/>
  <c r="D734" i="8" s="1"/>
  <c r="E745" i="8"/>
  <c r="C13" i="9"/>
  <c r="C34" i="9"/>
  <c r="C111" i="9"/>
  <c r="C140" i="9"/>
  <c r="C162" i="9"/>
  <c r="C206" i="9"/>
  <c r="C239" i="9"/>
  <c r="C319" i="9"/>
  <c r="C333" i="9"/>
  <c r="C450" i="9"/>
  <c r="C449" i="9"/>
  <c r="C489" i="9"/>
  <c r="C524" i="9"/>
  <c r="C523" i="9"/>
  <c r="C550" i="9"/>
  <c r="C549" i="9"/>
  <c r="C748" i="9"/>
  <c r="C747" i="9"/>
  <c r="C891" i="9"/>
  <c r="C890" i="9"/>
  <c r="C910" i="9"/>
  <c r="C909" i="9"/>
  <c r="C146" i="9"/>
  <c r="C315" i="9"/>
  <c r="C387" i="9"/>
  <c r="C440" i="9"/>
  <c r="C663" i="9"/>
  <c r="C662" i="9"/>
  <c r="C780" i="9"/>
  <c r="C779" i="9"/>
  <c r="C812" i="9"/>
  <c r="C811" i="9"/>
  <c r="C850" i="9"/>
  <c r="C849" i="9"/>
  <c r="C474" i="8"/>
  <c r="D474" i="8" s="1"/>
  <c r="C490" i="8"/>
  <c r="D490" i="8" s="1"/>
  <c r="C506" i="8"/>
  <c r="D506" i="8" s="1"/>
  <c r="C522" i="8"/>
  <c r="D522" i="8" s="1"/>
  <c r="C538" i="8"/>
  <c r="D538" i="8" s="1"/>
  <c r="C554" i="8"/>
  <c r="D554" i="8" s="1"/>
  <c r="C570" i="8"/>
  <c r="D570" i="8" s="1"/>
  <c r="C586" i="8"/>
  <c r="D586" i="8" s="1"/>
  <c r="C602" i="8"/>
  <c r="D602" i="8" s="1"/>
  <c r="C618" i="8"/>
  <c r="D618" i="8" s="1"/>
  <c r="C634" i="8"/>
  <c r="D634" i="8" s="1"/>
  <c r="E664" i="8"/>
  <c r="C653" i="8"/>
  <c r="D653" i="8" s="1"/>
  <c r="C688" i="8"/>
  <c r="D688" i="8" s="1"/>
  <c r="E699" i="8"/>
  <c r="C718" i="8"/>
  <c r="D718" i="8" s="1"/>
  <c r="E729" i="8"/>
  <c r="E726" i="8"/>
  <c r="C130" i="9"/>
  <c r="C296" i="9"/>
  <c r="C298" i="9"/>
  <c r="C330" i="9"/>
  <c r="C347" i="9"/>
  <c r="C380" i="9"/>
  <c r="C379" i="9"/>
  <c r="C384" i="9"/>
  <c r="C414" i="9"/>
  <c r="C445" i="9"/>
  <c r="C495" i="9"/>
  <c r="C494" i="9"/>
  <c r="C578" i="9"/>
  <c r="C577" i="9"/>
  <c r="C879" i="9"/>
  <c r="C878" i="9"/>
  <c r="C472" i="8"/>
  <c r="D472" i="8" s="1"/>
  <c r="C488" i="8"/>
  <c r="D488" i="8" s="1"/>
  <c r="C504" i="8"/>
  <c r="D504" i="8" s="1"/>
  <c r="C520" i="8"/>
  <c r="D520" i="8" s="1"/>
  <c r="C536" i="8"/>
  <c r="D536" i="8" s="1"/>
  <c r="C552" i="8"/>
  <c r="D552" i="8" s="1"/>
  <c r="C568" i="8"/>
  <c r="D568" i="8" s="1"/>
  <c r="C584" i="8"/>
  <c r="D584" i="8" s="1"/>
  <c r="C600" i="8"/>
  <c r="D600" i="8" s="1"/>
  <c r="C616" i="8"/>
  <c r="D616" i="8" s="1"/>
  <c r="C632" i="8"/>
  <c r="D632" i="8" s="1"/>
  <c r="C648" i="8"/>
  <c r="D648" i="8" s="1"/>
  <c r="C656" i="8"/>
  <c r="D656" i="8" s="1"/>
  <c r="E667" i="8"/>
  <c r="E676" i="8"/>
  <c r="C665" i="8"/>
  <c r="D665" i="8" s="1"/>
  <c r="E692" i="8"/>
  <c r="C681" i="8"/>
  <c r="D681" i="8" s="1"/>
  <c r="E696" i="8"/>
  <c r="C687" i="8"/>
  <c r="D687" i="8" s="1"/>
  <c r="C698" i="8"/>
  <c r="D698" i="8" s="1"/>
  <c r="E722" i="8"/>
  <c r="C711" i="8"/>
  <c r="D711" i="8" s="1"/>
  <c r="C722" i="8"/>
  <c r="D722" i="8" s="1"/>
  <c r="E733" i="8"/>
  <c r="E721" i="8"/>
  <c r="E756" i="8"/>
  <c r="C745" i="8"/>
  <c r="D745" i="8" s="1"/>
  <c r="E760" i="8"/>
  <c r="C751" i="8"/>
  <c r="D751" i="8" s="1"/>
  <c r="C77" i="9"/>
  <c r="C114" i="9"/>
  <c r="C122" i="9"/>
  <c r="C205" i="9"/>
  <c r="C250" i="9"/>
  <c r="C292" i="9"/>
  <c r="C295" i="9"/>
  <c r="C322" i="9"/>
  <c r="C326" i="9"/>
  <c r="C329" i="9"/>
  <c r="C461" i="9"/>
  <c r="C521" i="9"/>
  <c r="C520" i="9"/>
  <c r="C530" i="9"/>
  <c r="C529" i="9"/>
  <c r="C541" i="9"/>
  <c r="C692" i="9"/>
  <c r="C691" i="9"/>
  <c r="C721" i="9"/>
  <c r="C720" i="9"/>
  <c r="C762" i="9"/>
  <c r="C761" i="9"/>
  <c r="C875" i="9"/>
  <c r="C874" i="9"/>
  <c r="C470" i="8"/>
  <c r="D470" i="8" s="1"/>
  <c r="C486" i="8"/>
  <c r="D486" i="8" s="1"/>
  <c r="C502" i="8"/>
  <c r="D502" i="8" s="1"/>
  <c r="C518" i="8"/>
  <c r="D518" i="8" s="1"/>
  <c r="C534" i="8"/>
  <c r="D534" i="8" s="1"/>
  <c r="C550" i="8"/>
  <c r="D550" i="8" s="1"/>
  <c r="C566" i="8"/>
  <c r="D566" i="8" s="1"/>
  <c r="C582" i="8"/>
  <c r="D582" i="8" s="1"/>
  <c r="C598" i="8"/>
  <c r="D598" i="8" s="1"/>
  <c r="C614" i="8"/>
  <c r="D614" i="8" s="1"/>
  <c r="C630" i="8"/>
  <c r="D630" i="8" s="1"/>
  <c r="C646" i="8"/>
  <c r="D646" i="8" s="1"/>
  <c r="E652" i="8"/>
  <c r="E680" i="8"/>
  <c r="C669" i="8"/>
  <c r="D669" i="8" s="1"/>
  <c r="C672" i="8"/>
  <c r="D672" i="8" s="1"/>
  <c r="E683" i="8"/>
  <c r="E687" i="8"/>
  <c r="E693" i="8"/>
  <c r="C702" i="8"/>
  <c r="D702" i="8" s="1"/>
  <c r="E713" i="8"/>
  <c r="C721" i="8"/>
  <c r="D721" i="8" s="1"/>
  <c r="C736" i="8"/>
  <c r="D736" i="8" s="1"/>
  <c r="E747" i="8"/>
  <c r="E751" i="8"/>
  <c r="E757" i="8"/>
  <c r="C61" i="9"/>
  <c r="C98" i="9"/>
  <c r="C106" i="9"/>
  <c r="C189" i="9"/>
  <c r="C226" i="9"/>
  <c r="C234" i="9"/>
  <c r="C284" i="9"/>
  <c r="C283" i="9"/>
  <c r="C291" i="9"/>
  <c r="C471" i="9"/>
  <c r="C558" i="9"/>
  <c r="C557" i="9"/>
  <c r="C574" i="9"/>
  <c r="C573" i="9"/>
  <c r="C502" i="9"/>
  <c r="C515" i="9"/>
  <c r="C613" i="9"/>
  <c r="C637" i="9"/>
  <c r="C687" i="9"/>
  <c r="C777" i="9"/>
  <c r="C776" i="9"/>
  <c r="C902" i="9"/>
  <c r="C916" i="9"/>
  <c r="C465" i="9"/>
  <c r="C469" i="9"/>
  <c r="C492" i="9"/>
  <c r="C512" i="9"/>
  <c r="C704" i="9"/>
  <c r="C707" i="9"/>
  <c r="C744" i="9"/>
  <c r="C758" i="9"/>
  <c r="C783" i="9"/>
  <c r="C816" i="9"/>
  <c r="C820" i="9"/>
  <c r="C819" i="9"/>
  <c r="C841" i="9"/>
  <c r="C872" i="9"/>
  <c r="C975" i="9"/>
  <c r="C974" i="9"/>
  <c r="C652" i="8"/>
  <c r="D652" i="8" s="1"/>
  <c r="E657" i="8"/>
  <c r="C668" i="8"/>
  <c r="D668" i="8" s="1"/>
  <c r="C684" i="8"/>
  <c r="D684" i="8" s="1"/>
  <c r="C685" i="8"/>
  <c r="D685" i="8" s="1"/>
  <c r="C700" i="8"/>
  <c r="D700" i="8" s="1"/>
  <c r="C701" i="8"/>
  <c r="D701" i="8" s="1"/>
  <c r="C716" i="8"/>
  <c r="D716" i="8" s="1"/>
  <c r="C717" i="8"/>
  <c r="D717" i="8" s="1"/>
  <c r="C732" i="8"/>
  <c r="D732" i="8" s="1"/>
  <c r="C733" i="8"/>
  <c r="D733" i="8" s="1"/>
  <c r="C748" i="8"/>
  <c r="D748" i="8" s="1"/>
  <c r="C749" i="8"/>
  <c r="D749" i="8" s="1"/>
  <c r="C300" i="9"/>
  <c r="C324" i="9"/>
  <c r="C464" i="9"/>
  <c r="C488" i="9"/>
  <c r="C491" i="9"/>
  <c r="C499" i="9"/>
  <c r="C508" i="9"/>
  <c r="C511" i="9"/>
  <c r="C555" i="9"/>
  <c r="C585" i="9"/>
  <c r="C625" i="9"/>
  <c r="C651" i="9"/>
  <c r="C666" i="9"/>
  <c r="C703" i="9"/>
  <c r="C706" i="9"/>
  <c r="C732" i="9"/>
  <c r="C757" i="9"/>
  <c r="C774" i="9"/>
  <c r="C837" i="9"/>
  <c r="C840" i="9"/>
  <c r="C701" i="9"/>
  <c r="C788" i="9"/>
  <c r="C787" i="9"/>
  <c r="C954" i="9"/>
  <c r="C953" i="9"/>
  <c r="C976" i="9"/>
  <c r="C977" i="9"/>
  <c r="C991" i="9"/>
  <c r="C990" i="9"/>
  <c r="C664" i="8"/>
  <c r="D664" i="8" s="1"/>
  <c r="C680" i="8"/>
  <c r="D680" i="8" s="1"/>
  <c r="C696" i="8"/>
  <c r="D696" i="8" s="1"/>
  <c r="C712" i="8"/>
  <c r="D712" i="8" s="1"/>
  <c r="C728" i="8"/>
  <c r="D728" i="8" s="1"/>
  <c r="C744" i="8"/>
  <c r="D744" i="8" s="1"/>
  <c r="C760" i="8"/>
  <c r="D760" i="8" s="1"/>
  <c r="C424" i="9"/>
  <c r="C526" i="9"/>
  <c r="C622" i="9"/>
  <c r="C636" i="9"/>
  <c r="C656" i="9"/>
  <c r="C659" i="9"/>
  <c r="C697" i="9"/>
  <c r="C723" i="9"/>
  <c r="C736" i="9"/>
  <c r="C808" i="9"/>
  <c r="C833" i="9"/>
  <c r="C847" i="9"/>
  <c r="C846" i="9"/>
  <c r="C859" i="9"/>
  <c r="C913" i="9"/>
  <c r="C949" i="9"/>
  <c r="C962" i="9"/>
  <c r="C662" i="8"/>
  <c r="D662" i="8" s="1"/>
  <c r="C678" i="8"/>
  <c r="D678" i="8" s="1"/>
  <c r="C694" i="8"/>
  <c r="D694" i="8" s="1"/>
  <c r="C710" i="8"/>
  <c r="D710" i="8" s="1"/>
  <c r="C726" i="8"/>
  <c r="D726" i="8" s="1"/>
  <c r="C742" i="8"/>
  <c r="D742" i="8" s="1"/>
  <c r="C758" i="8"/>
  <c r="D758" i="8" s="1"/>
  <c r="C264" i="9"/>
  <c r="C267" i="9"/>
  <c r="C332" i="9"/>
  <c r="C356" i="9"/>
  <c r="C459" i="9"/>
  <c r="C501" i="9"/>
  <c r="C536" i="9"/>
  <c r="C540" i="9"/>
  <c r="C568" i="9"/>
  <c r="C572" i="9"/>
  <c r="C580" i="9"/>
  <c r="C612" i="9"/>
  <c r="C628" i="9"/>
  <c r="C627" i="9"/>
  <c r="C635" i="9"/>
  <c r="C644" i="9"/>
  <c r="C673" i="9"/>
  <c r="C686" i="9"/>
  <c r="C725" i="9"/>
  <c r="C771" i="9"/>
  <c r="C831" i="9"/>
  <c r="C848" i="9"/>
  <c r="C857" i="9"/>
  <c r="C861" i="9"/>
  <c r="C897" i="9"/>
  <c r="C936" i="9"/>
  <c r="C21" i="9"/>
  <c r="C24" i="9"/>
  <c r="C37" i="9"/>
  <c r="C40" i="9"/>
  <c r="C53" i="9"/>
  <c r="C56" i="9"/>
  <c r="C69" i="9"/>
  <c r="C72" i="9"/>
  <c r="C85" i="9"/>
  <c r="C88" i="9"/>
  <c r="C101" i="9"/>
  <c r="C104" i="9"/>
  <c r="C117" i="9"/>
  <c r="C120" i="9"/>
  <c r="C133" i="9"/>
  <c r="C136" i="9"/>
  <c r="C149" i="9"/>
  <c r="C152" i="9"/>
  <c r="C165" i="9"/>
  <c r="C168" i="9"/>
  <c r="C181" i="9"/>
  <c r="C184" i="9"/>
  <c r="C197" i="9"/>
  <c r="C200" i="9"/>
  <c r="C213" i="9"/>
  <c r="C216" i="9"/>
  <c r="C229" i="9"/>
  <c r="C232" i="9"/>
  <c r="C245" i="9"/>
  <c r="C248" i="9"/>
  <c r="C261" i="9"/>
  <c r="C302" i="9"/>
  <c r="C340" i="9"/>
  <c r="C360" i="9"/>
  <c r="C363" i="9"/>
  <c r="C418" i="9"/>
  <c r="C421" i="9"/>
  <c r="C428" i="9"/>
  <c r="C452" i="9"/>
  <c r="C518" i="9"/>
  <c r="C532" i="9"/>
  <c r="C553" i="9"/>
  <c r="C561" i="9"/>
  <c r="C588" i="9"/>
  <c r="C593" i="9"/>
  <c r="C596" i="9"/>
  <c r="C601" i="9"/>
  <c r="C649" i="9"/>
  <c r="C654" i="9"/>
  <c r="C677" i="9"/>
  <c r="C710" i="9"/>
  <c r="C742" i="9"/>
  <c r="C741" i="9"/>
  <c r="C756" i="9"/>
  <c r="C755" i="9"/>
  <c r="C768" i="9"/>
  <c r="C790" i="9"/>
  <c r="C797" i="9"/>
  <c r="C885" i="9"/>
  <c r="C901" i="9"/>
  <c r="C960" i="9"/>
  <c r="C959" i="9"/>
  <c r="C648" i="9"/>
  <c r="C668" i="9"/>
  <c r="C675" i="9"/>
  <c r="C781" i="9"/>
  <c r="C884" i="9"/>
  <c r="C948" i="9"/>
  <c r="C947" i="9"/>
  <c r="C476" i="9"/>
  <c r="C504" i="9"/>
  <c r="C822" i="9"/>
  <c r="C836" i="9"/>
  <c r="C870" i="9"/>
  <c r="C883" i="9"/>
  <c r="C904" i="9"/>
  <c r="C923" i="9"/>
  <c r="C939" i="9"/>
  <c r="C945" i="9"/>
  <c r="C713" i="9"/>
  <c r="C716" i="9"/>
  <c r="C739" i="9"/>
  <c r="C764" i="9"/>
  <c r="C796" i="9"/>
  <c r="C800" i="9"/>
  <c r="C889" i="9"/>
  <c r="C920" i="9"/>
  <c r="C941" i="9"/>
  <c r="C944" i="9"/>
  <c r="C966" i="9"/>
  <c r="C988" i="9"/>
  <c r="C1005" i="9"/>
  <c r="C992" i="9"/>
  <c r="C835" i="9"/>
  <c r="C928" i="9"/>
  <c r="C611" i="9"/>
  <c r="C700" i="9"/>
  <c r="C867" i="9"/>
  <c r="C751" i="9"/>
  <c r="C804" i="9"/>
  <c r="C852" i="9"/>
  <c r="C899" i="9"/>
  <c r="C922" i="9"/>
  <c r="C925" i="9"/>
  <c r="C932" i="9"/>
  <c r="C956" i="9"/>
  <c r="C980" i="9"/>
  <c r="C1001" i="9"/>
</calcChain>
</file>

<file path=xl/sharedStrings.xml><?xml version="1.0" encoding="utf-8"?>
<sst xmlns="http://schemas.openxmlformats.org/spreadsheetml/2006/main" count="92" uniqueCount="68">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</sst>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Rate'!$A$8:$A$867</c:f>
              <c:numCache>
                <c:formatCode>yyyy\-mm\-dd</c:formatCode>
                <c:ptCount val="860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</c:numCache>
            </c:numRef>
          </c:cat>
          <c:val>
            <c:numRef>
              <c:f>'Discount Rate'!$B$8:$B$867</c:f>
              <c:numCache>
                <c:formatCode>0.00</c:formatCode>
                <c:ptCount val="8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D-6046-8615-7D7307F68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Rate'!$A$8:$A$817</c:f>
              <c:numCache>
                <c:formatCode>yyyy\-mm\-dd</c:formatCode>
                <c:ptCount val="810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</c:numCache>
            </c:numRef>
          </c:cat>
          <c:val>
            <c:numRef>
              <c:f>'Fed Funds Rate'!$B$8:$B$817</c:f>
              <c:numCache>
                <c:formatCode>0.00</c:formatCode>
                <c:ptCount val="810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8-204D-8832-C17BCF9FA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new'!$A$7:$A$762</c:f>
              <c:numCache>
                <c:formatCode>m/d/yy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'M2 new'!$B$7:$B$762</c:f>
              <c:numCache>
                <c:formatCode>0.0</c:formatCode>
                <c:ptCount val="756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6D-8842-8DAD-B8E55F34C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new'!$A$692:$A$762</c:f>
              <c:numCache>
                <c:formatCode>m/d/yy</c:formatCode>
                <c:ptCount val="71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</c:numCache>
            </c:numRef>
          </c:cat>
          <c:val>
            <c:numRef>
              <c:f>'M2 new'!$D$692:$D$762</c:f>
              <c:numCache>
                <c:formatCode>0.00%</c:formatCode>
                <c:ptCount val="71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0.18198835341069985</c:v>
                </c:pt>
                <c:pt idx="61">
                  <c:v>0.16221306873878327</c:v>
                </c:pt>
                <c:pt idx="62">
                  <c:v>0.14474933329750761</c:v>
                </c:pt>
                <c:pt idx="63">
                  <c:v>0.16916068116533944</c:v>
                </c:pt>
                <c:pt idx="64">
                  <c:v>1.5817249666471245E-2</c:v>
                </c:pt>
                <c:pt idx="65">
                  <c:v>9.1372558115386804E-2</c:v>
                </c:pt>
                <c:pt idx="66">
                  <c:v>0.15832599951976434</c:v>
                </c:pt>
                <c:pt idx="67">
                  <c:v>9.7600297315256102E-2</c:v>
                </c:pt>
                <c:pt idx="68">
                  <c:v>0.11587535151506634</c:v>
                </c:pt>
                <c:pt idx="69">
                  <c:v>0.15063763698528754</c:v>
                </c:pt>
                <c:pt idx="70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53-5B4D-B426-68829E0C7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F81-7040-8BE4-AA8E802CB0CF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F81-7040-8BE4-AA8E802CB0CF}"/>
              </c:ext>
            </c:extLst>
          </c:dPt>
          <c:cat>
            <c:numRef>
              <c:f>'Fed Weekly Change'!$A$12:$A$1010</c:f>
              <c:numCache>
                <c:formatCode>m/d/yy</c:formatCode>
                <c:ptCount val="99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</c:numCache>
            </c:numRef>
          </c:cat>
          <c:val>
            <c:numRef>
              <c:f>'Fed Weekly Change'!$C$12:$C$1010</c:f>
              <c:numCache>
                <c:formatCode>0</c:formatCode>
                <c:ptCount val="99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81-7040-8BE4-AA8E802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402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Sheet'!$A$12:$A$1010</c:f>
              <c:numCache>
                <c:formatCode>m/d/yy</c:formatCode>
                <c:ptCount val="99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</c:numCache>
            </c:numRef>
          </c:cat>
          <c:val>
            <c:numRef>
              <c:f>'Fed Balance Sheet'!$B$12:$B$1010</c:f>
              <c:numCache>
                <c:formatCode>0</c:formatCode>
                <c:ptCount val="999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E-854C-A358-BEE3B3930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E8-5848-8C8E-CB47A2647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Sheet'!$A$6:$A$291</c:f>
              <c:numCache>
                <c:formatCode>yyyy\-mm\-dd</c:formatCode>
                <c:ptCount val="286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</c:numCache>
            </c:numRef>
          </c:cat>
          <c:val>
            <c:numRef>
              <c:f>'BOJ Balance Sheet'!$B$6:$B$291</c:f>
              <c:numCache>
                <c:formatCode>0</c:formatCode>
                <c:ptCount val="286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73-BB43-A873-F27AEB6A7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Sheet'!$A$6:$A$291</c:f>
              <c:numCache>
                <c:formatCode>yyyy\-mm\-dd</c:formatCode>
                <c:ptCount val="286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</c:numCache>
            </c:numRef>
          </c:cat>
          <c:val>
            <c:numRef>
              <c:f>'BOJ Balance Sheet'!$C$6:$C$291</c:f>
              <c:numCache>
                <c:formatCode>General</c:formatCode>
                <c:ptCount val="286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27131.33984375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73-BB43-A873-F27AEB6A7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Sheet'!$A$6:$A$291</c:f>
              <c:numCache>
                <c:formatCode>yyyy\-mm\-dd</c:formatCode>
                <c:ptCount val="286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</c:numCache>
            </c:numRef>
          </c:cat>
          <c:val>
            <c:numRef>
              <c:f>'BOJ Balance Sheet'!$B$6:$B$291</c:f>
              <c:numCache>
                <c:formatCode>0</c:formatCode>
                <c:ptCount val="286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C-3648-B869-80BEBC9CF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Sheet'!$A$6:$A$291</c:f>
              <c:numCache>
                <c:formatCode>yyyy\-mm\-dd</c:formatCode>
                <c:ptCount val="286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</c:numCache>
            </c:numRef>
          </c:cat>
          <c:val>
            <c:numRef>
              <c:f>'BOJ Balance Sheet'!$D$6:$D$291</c:f>
              <c:numCache>
                <c:formatCode>0.0%</c:formatCode>
                <c:ptCount val="286"/>
                <c:pt idx="0">
                  <c:v>0.14970671095373958</c:v>
                </c:pt>
                <c:pt idx="1">
                  <c:v>0.14458223999002012</c:v>
                </c:pt>
                <c:pt idx="2">
                  <c:v>0.14122489790207327</c:v>
                </c:pt>
                <c:pt idx="3">
                  <c:v>0.1356825861948506</c:v>
                </c:pt>
                <c:pt idx="4">
                  <c:v>0.14162537003782155</c:v>
                </c:pt>
                <c:pt idx="5">
                  <c:v>0.14532018516911405</c:v>
                </c:pt>
                <c:pt idx="6">
                  <c:v>0.14378125062584698</c:v>
                </c:pt>
                <c:pt idx="7">
                  <c:v>0.16688031971037681</c:v>
                </c:pt>
                <c:pt idx="8">
                  <c:v>0.17243095207991851</c:v>
                </c:pt>
                <c:pt idx="9">
                  <c:v>0.15066045343582632</c:v>
                </c:pt>
                <c:pt idx="10">
                  <c:v>0.1428815267572664</c:v>
                </c:pt>
                <c:pt idx="11">
                  <c:v>0.1507359779342716</c:v>
                </c:pt>
                <c:pt idx="12">
                  <c:v>0.14954551434529417</c:v>
                </c:pt>
                <c:pt idx="13">
                  <c:v>0.14090076809007454</c:v>
                </c:pt>
                <c:pt idx="14">
                  <c:v>0.13890836536704218</c:v>
                </c:pt>
                <c:pt idx="15">
                  <c:v>0.12984937503523739</c:v>
                </c:pt>
                <c:pt idx="16">
                  <c:v>0.12886852426306741</c:v>
                </c:pt>
                <c:pt idx="17">
                  <c:v>0.13038090463951998</c:v>
                </c:pt>
                <c:pt idx="18">
                  <c:v>0.12883821224249464</c:v>
                </c:pt>
                <c:pt idx="19">
                  <c:v>0.15725664788450239</c:v>
                </c:pt>
                <c:pt idx="20">
                  <c:v>0.20808099004779509</c:v>
                </c:pt>
                <c:pt idx="21">
                  <c:v>0.16916860891886196</c:v>
                </c:pt>
                <c:pt idx="22">
                  <c:v>0.17577534018141514</c:v>
                </c:pt>
                <c:pt idx="23">
                  <c:v>0.19836295281876343</c:v>
                </c:pt>
                <c:pt idx="24">
                  <c:v>0.14891720216335433</c:v>
                </c:pt>
                <c:pt idx="25">
                  <c:v>0.15690466451124932</c:v>
                </c:pt>
                <c:pt idx="26">
                  <c:v>0.15665897088614747</c:v>
                </c:pt>
                <c:pt idx="27">
                  <c:v>0.15116613716852412</c:v>
                </c:pt>
                <c:pt idx="28">
                  <c:v>0.16462191795594544</c:v>
                </c:pt>
                <c:pt idx="29">
                  <c:v>0.15867192976258429</c:v>
                </c:pt>
                <c:pt idx="30">
                  <c:v>0.17124051517850336</c:v>
                </c:pt>
                <c:pt idx="31">
                  <c:v>0.19427530368849513</c:v>
                </c:pt>
                <c:pt idx="32">
                  <c:v>0.19683069193610517</c:v>
                </c:pt>
                <c:pt idx="33">
                  <c:v>0.19877050162280516</c:v>
                </c:pt>
                <c:pt idx="34">
                  <c:v>0.20628331614243312</c:v>
                </c:pt>
                <c:pt idx="35">
                  <c:v>0.21541667204759624</c:v>
                </c:pt>
                <c:pt idx="36">
                  <c:v>0.21023226337993872</c:v>
                </c:pt>
                <c:pt idx="37">
                  <c:v>0.21598075323208463</c:v>
                </c:pt>
                <c:pt idx="38">
                  <c:v>0.2218982083108145</c:v>
                </c:pt>
                <c:pt idx="39">
                  <c:v>0.22084501023215142</c:v>
                </c:pt>
                <c:pt idx="40">
                  <c:v>0.21641364883899364</c:v>
                </c:pt>
                <c:pt idx="41">
                  <c:v>0.22066488275419799</c:v>
                </c:pt>
                <c:pt idx="42">
                  <c:v>0.21133465154540007</c:v>
                </c:pt>
                <c:pt idx="43">
                  <c:v>0.21579317659045708</c:v>
                </c:pt>
                <c:pt idx="44">
                  <c:v>0.22362169330947942</c:v>
                </c:pt>
                <c:pt idx="45">
                  <c:v>0.23300537055619824</c:v>
                </c:pt>
                <c:pt idx="46">
                  <c:v>0.25053768937385412</c:v>
                </c:pt>
                <c:pt idx="47">
                  <c:v>0.26429521301959791</c:v>
                </c:pt>
                <c:pt idx="48">
                  <c:v>0.25331749956702559</c:v>
                </c:pt>
                <c:pt idx="49">
                  <c:v>0.24410091630398367</c:v>
                </c:pt>
                <c:pt idx="50">
                  <c:v>0.23680146797896476</c:v>
                </c:pt>
                <c:pt idx="51">
                  <c:v>0.24142381596690407</c:v>
                </c:pt>
                <c:pt idx="52">
                  <c:v>0.2449886505262098</c:v>
                </c:pt>
                <c:pt idx="53">
                  <c:v>0.23734186628672371</c:v>
                </c:pt>
                <c:pt idx="54">
                  <c:v>0.23767384602242131</c:v>
                </c:pt>
                <c:pt idx="55">
                  <c:v>0.23991436575458752</c:v>
                </c:pt>
                <c:pt idx="56">
                  <c:v>0.23999050980455339</c:v>
                </c:pt>
                <c:pt idx="57">
                  <c:v>0.23886330934699859</c:v>
                </c:pt>
                <c:pt idx="58">
                  <c:v>0.25264266985814127</c:v>
                </c:pt>
                <c:pt idx="59">
                  <c:v>0.26911367569498645</c:v>
                </c:pt>
                <c:pt idx="60">
                  <c:v>0.24460323445633536</c:v>
                </c:pt>
                <c:pt idx="61">
                  <c:v>0.2492232364626116</c:v>
                </c:pt>
                <c:pt idx="62">
                  <c:v>0.23888482463795535</c:v>
                </c:pt>
                <c:pt idx="63">
                  <c:v>0.24101429717870634</c:v>
                </c:pt>
                <c:pt idx="64">
                  <c:v>0.24378019758455419</c:v>
                </c:pt>
                <c:pt idx="65">
                  <c:v>0.25443148039475877</c:v>
                </c:pt>
                <c:pt idx="66">
                  <c:v>0.25124485336177371</c:v>
                </c:pt>
                <c:pt idx="67">
                  <c:v>0.25457733008521127</c:v>
                </c:pt>
                <c:pt idx="68">
                  <c:v>0.24817812656152147</c:v>
                </c:pt>
                <c:pt idx="69">
                  <c:v>0.25585101207844235</c:v>
                </c:pt>
                <c:pt idx="70">
                  <c:v>0.26635490108830534</c:v>
                </c:pt>
                <c:pt idx="71">
                  <c:v>0.28309033381417775</c:v>
                </c:pt>
                <c:pt idx="72">
                  <c:v>0.26199716951168389</c:v>
                </c:pt>
                <c:pt idx="73">
                  <c:v>0.26214654993984832</c:v>
                </c:pt>
                <c:pt idx="74">
                  <c:v>0.25398337619290162</c:v>
                </c:pt>
                <c:pt idx="75">
                  <c:v>0.24784209833810941</c:v>
                </c:pt>
                <c:pt idx="76">
                  <c:v>0.26086576609458989</c:v>
                </c:pt>
                <c:pt idx="77">
                  <c:v>0.26318954099359354</c:v>
                </c:pt>
                <c:pt idx="78">
                  <c:v>0.26119867756391846</c:v>
                </c:pt>
                <c:pt idx="79">
                  <c:v>0.27907448096802556</c:v>
                </c:pt>
                <c:pt idx="80">
                  <c:v>0.27278361320948241</c:v>
                </c:pt>
                <c:pt idx="81">
                  <c:v>0.27808541728353403</c:v>
                </c:pt>
                <c:pt idx="82">
                  <c:v>0.28493327685171299</c:v>
                </c:pt>
                <c:pt idx="83">
                  <c:v>0.28325614157641305</c:v>
                </c:pt>
                <c:pt idx="84">
                  <c:v>0.27729809592829868</c:v>
                </c:pt>
                <c:pt idx="85">
                  <c:v>0.27636946171679416</c:v>
                </c:pt>
                <c:pt idx="86">
                  <c:v>0.26973020844341239</c:v>
                </c:pt>
                <c:pt idx="87">
                  <c:v>0.27616072839698985</c:v>
                </c:pt>
                <c:pt idx="88">
                  <c:v>0.28314580976663734</c:v>
                </c:pt>
                <c:pt idx="89">
                  <c:v>0.27706896887101312</c:v>
                </c:pt>
                <c:pt idx="90">
                  <c:v>0.27635616983582617</c:v>
                </c:pt>
                <c:pt idx="91">
                  <c:v>0.28432889855132115</c:v>
                </c:pt>
                <c:pt idx="92">
                  <c:v>0.29113355423050513</c:v>
                </c:pt>
                <c:pt idx="93">
                  <c:v>0.28600433686881066</c:v>
                </c:pt>
                <c:pt idx="94">
                  <c:v>0.28523020681234001</c:v>
                </c:pt>
                <c:pt idx="95">
                  <c:v>0.27121692632337302</c:v>
                </c:pt>
                <c:pt idx="96">
                  <c:v>0.24335250061830455</c:v>
                </c:pt>
                <c:pt idx="97">
                  <c:v>0.23064750012209187</c:v>
                </c:pt>
                <c:pt idx="98">
                  <c:v>0.21381629118722131</c:v>
                </c:pt>
                <c:pt idx="99">
                  <c:v>0.21782597588967403</c:v>
                </c:pt>
                <c:pt idx="100">
                  <c:v>0.20987622981301896</c:v>
                </c:pt>
                <c:pt idx="101">
                  <c:v>0.21763092852006269</c:v>
                </c:pt>
                <c:pt idx="102">
                  <c:v>0.21345627649574558</c:v>
                </c:pt>
                <c:pt idx="103">
                  <c:v>0.21875897913436024</c:v>
                </c:pt>
                <c:pt idx="104">
                  <c:v>0.2132267712504565</c:v>
                </c:pt>
                <c:pt idx="105">
                  <c:v>0.21152658340488958</c:v>
                </c:pt>
                <c:pt idx="106">
                  <c:v>0.21704225396267479</c:v>
                </c:pt>
                <c:pt idx="107">
                  <c:v>0.2079068900280176</c:v>
                </c:pt>
                <c:pt idx="108">
                  <c:v>0.19548568664510407</c:v>
                </c:pt>
                <c:pt idx="109">
                  <c:v>0.200320481467507</c:v>
                </c:pt>
                <c:pt idx="110">
                  <c:v>0.1864590990185255</c:v>
                </c:pt>
                <c:pt idx="111">
                  <c:v>0.20070543188138459</c:v>
                </c:pt>
                <c:pt idx="112">
                  <c:v>0.20652985213740857</c:v>
                </c:pt>
                <c:pt idx="113">
                  <c:v>0.20697854762100051</c:v>
                </c:pt>
                <c:pt idx="114">
                  <c:v>0.20010886504462722</c:v>
                </c:pt>
                <c:pt idx="115">
                  <c:v>0.20744679861377024</c:v>
                </c:pt>
                <c:pt idx="116">
                  <c:v>0.20705700056823065</c:v>
                </c:pt>
                <c:pt idx="117">
                  <c:v>0.21036144605213655</c:v>
                </c:pt>
                <c:pt idx="118">
                  <c:v>0.21397950138120228</c:v>
                </c:pt>
                <c:pt idx="119">
                  <c:v>0.21244087819329865</c:v>
                </c:pt>
                <c:pt idx="120">
                  <c:v>0.2008216978271419</c:v>
                </c:pt>
                <c:pt idx="121">
                  <c:v>0.21039124790687766</c:v>
                </c:pt>
                <c:pt idx="122">
                  <c:v>0.19375631041159405</c:v>
                </c:pt>
                <c:pt idx="123">
                  <c:v>0.20702486720076113</c:v>
                </c:pt>
                <c:pt idx="124">
                  <c:v>0.21272567511610796</c:v>
                </c:pt>
                <c:pt idx="125">
                  <c:v>0.21783963232628042</c:v>
                </c:pt>
                <c:pt idx="126">
                  <c:v>0.22611368483489161</c:v>
                </c:pt>
                <c:pt idx="127">
                  <c:v>0.24689336952842766</c:v>
                </c:pt>
                <c:pt idx="128">
                  <c:v>0.24942190648354581</c:v>
                </c:pt>
                <c:pt idx="129">
                  <c:v>0.24280435592601216</c:v>
                </c:pt>
                <c:pt idx="130">
                  <c:v>0.24529470178863774</c:v>
                </c:pt>
                <c:pt idx="131">
                  <c:v>0.24873922382205418</c:v>
                </c:pt>
                <c:pt idx="132">
                  <c:v>0.23048803552620115</c:v>
                </c:pt>
                <c:pt idx="133">
                  <c:v>0.24061162921877421</c:v>
                </c:pt>
                <c:pt idx="134">
                  <c:v>0.22247541928238179</c:v>
                </c:pt>
                <c:pt idx="135">
                  <c:v>0.23238365869639407</c:v>
                </c:pt>
                <c:pt idx="136">
                  <c:v>0.23616828573927617</c:v>
                </c:pt>
                <c:pt idx="137">
                  <c:v>0.23443628582150283</c:v>
                </c:pt>
                <c:pt idx="138">
                  <c:v>0.22451104356521925</c:v>
                </c:pt>
                <c:pt idx="139">
                  <c:v>0.23389425142868309</c:v>
                </c:pt>
                <c:pt idx="140">
                  <c:v>0.24433746173677695</c:v>
                </c:pt>
                <c:pt idx="141">
                  <c:v>0.24413925370488498</c:v>
                </c:pt>
                <c:pt idx="142">
                  <c:v>0.2509354095314183</c:v>
                </c:pt>
                <c:pt idx="143">
                  <c:v>0.24114998263984427</c:v>
                </c:pt>
                <c:pt idx="144">
                  <c:v>0.22606070155615882</c:v>
                </c:pt>
                <c:pt idx="145">
                  <c:v>0.23670277978304732</c:v>
                </c:pt>
                <c:pt idx="146">
                  <c:v>0.22158579782538546</c:v>
                </c:pt>
                <c:pt idx="147">
                  <c:v>0.22968850015469222</c:v>
                </c:pt>
                <c:pt idx="148">
                  <c:v>0.24361478731269257</c:v>
                </c:pt>
                <c:pt idx="149">
                  <c:v>0.23824973953868153</c:v>
                </c:pt>
                <c:pt idx="150">
                  <c:v>0.24039876815952943</c:v>
                </c:pt>
                <c:pt idx="151">
                  <c:v>0.25477920193353981</c:v>
                </c:pt>
                <c:pt idx="152">
                  <c:v>0.25811761431159558</c:v>
                </c:pt>
                <c:pt idx="153">
                  <c:v>0.25669216617179741</c:v>
                </c:pt>
                <c:pt idx="154">
                  <c:v>0.2650748228004346</c:v>
                </c:pt>
                <c:pt idx="155">
                  <c:v>0.29002017018247689</c:v>
                </c:pt>
                <c:pt idx="156">
                  <c:v>0.27424868056530294</c:v>
                </c:pt>
                <c:pt idx="157">
                  <c:v>0.26964263370928043</c:v>
                </c:pt>
                <c:pt idx="158">
                  <c:v>0.25859590662845533</c:v>
                </c:pt>
                <c:pt idx="159">
                  <c:v>0.26835289100526694</c:v>
                </c:pt>
                <c:pt idx="160">
                  <c:v>0.28292449302401851</c:v>
                </c:pt>
                <c:pt idx="161">
                  <c:v>0.27533780068110059</c:v>
                </c:pt>
                <c:pt idx="162">
                  <c:v>0.265932773815023</c:v>
                </c:pt>
                <c:pt idx="163">
                  <c:v>0.28223385668717316</c:v>
                </c:pt>
                <c:pt idx="164">
                  <c:v>0.28187181526230265</c:v>
                </c:pt>
                <c:pt idx="165">
                  <c:v>0.26981920593298586</c:v>
                </c:pt>
                <c:pt idx="166">
                  <c:v>0.28829469298949528</c:v>
                </c:pt>
                <c:pt idx="167">
                  <c:v>0.27872632867133568</c:v>
                </c:pt>
                <c:pt idx="168">
                  <c:v>0.28222317669135738</c:v>
                </c:pt>
                <c:pt idx="169">
                  <c:v>0.28698968389688279</c:v>
                </c:pt>
                <c:pt idx="170">
                  <c:v>0.28864931218275286</c:v>
                </c:pt>
                <c:pt idx="171">
                  <c:v>0.29240528130779836</c:v>
                </c:pt>
                <c:pt idx="172">
                  <c:v>0.30168331853420649</c:v>
                </c:pt>
                <c:pt idx="173">
                  <c:v>0.30158997741708232</c:v>
                </c:pt>
                <c:pt idx="174">
                  <c:v>0.30925601899330801</c:v>
                </c:pt>
                <c:pt idx="175">
                  <c:v>0.31084791487948915</c:v>
                </c:pt>
                <c:pt idx="176">
                  <c:v>0.3148335651072704</c:v>
                </c:pt>
                <c:pt idx="177">
                  <c:v>0.31767171069046102</c:v>
                </c:pt>
                <c:pt idx="178">
                  <c:v>0.32214037564937292</c:v>
                </c:pt>
                <c:pt idx="179">
                  <c:v>0.32466222365454817</c:v>
                </c:pt>
                <c:pt idx="180">
                  <c:v>0.34412193909270206</c:v>
                </c:pt>
                <c:pt idx="181">
                  <c:v>0.35930976904953349</c:v>
                </c:pt>
                <c:pt idx="182">
                  <c:v>0.36473452745739238</c:v>
                </c:pt>
                <c:pt idx="183">
                  <c:v>0.3836269120114052</c:v>
                </c:pt>
                <c:pt idx="184">
                  <c:v>0.40147237127583912</c:v>
                </c:pt>
                <c:pt idx="185">
                  <c:v>0.40766099156893926</c:v>
                </c:pt>
                <c:pt idx="186">
                  <c:v>0.42064388039589057</c:v>
                </c:pt>
                <c:pt idx="187">
                  <c:v>0.43366827382885331</c:v>
                </c:pt>
                <c:pt idx="188">
                  <c:v>0.43386354074459976</c:v>
                </c:pt>
                <c:pt idx="189">
                  <c:v>0.44932291342108799</c:v>
                </c:pt>
                <c:pt idx="190">
                  <c:v>0.46421466797433064</c:v>
                </c:pt>
                <c:pt idx="191">
                  <c:v>0.46639548083680199</c:v>
                </c:pt>
                <c:pt idx="192">
                  <c:v>0.47526970569837751</c:v>
                </c:pt>
                <c:pt idx="193">
                  <c:v>0.49003899504313381</c:v>
                </c:pt>
                <c:pt idx="194">
                  <c:v>0.49734849142630017</c:v>
                </c:pt>
                <c:pt idx="195">
                  <c:v>0.51897096306758428</c:v>
                </c:pt>
                <c:pt idx="196">
                  <c:v>0.52854252834808124</c:v>
                </c:pt>
                <c:pt idx="197">
                  <c:v>0.53084888111526396</c:v>
                </c:pt>
                <c:pt idx="198">
                  <c:v>0.54950545313826049</c:v>
                </c:pt>
                <c:pt idx="199">
                  <c:v>0.5561340123956996</c:v>
                </c:pt>
                <c:pt idx="200">
                  <c:v>0.56143961570750323</c:v>
                </c:pt>
                <c:pt idx="201">
                  <c:v>0.58193903063242525</c:v>
                </c:pt>
                <c:pt idx="202">
                  <c:v>0.59521611941108044</c:v>
                </c:pt>
                <c:pt idx="203">
                  <c:v>0.60107072916165527</c:v>
                </c:pt>
                <c:pt idx="204">
                  <c:v>0.6182058506718805</c:v>
                </c:pt>
                <c:pt idx="205">
                  <c:v>0.63558688025267873</c:v>
                </c:pt>
                <c:pt idx="206">
                  <c:v>0.63984579516199269</c:v>
                </c:pt>
                <c:pt idx="207">
                  <c:v>0.65624686851301761</c:v>
                </c:pt>
                <c:pt idx="208">
                  <c:v>0.67029172022807704</c:v>
                </c:pt>
                <c:pt idx="209">
                  <c:v>0.67894938289095874</c:v>
                </c:pt>
                <c:pt idx="210">
                  <c:v>0.69272001222424062</c:v>
                </c:pt>
                <c:pt idx="211">
                  <c:v>0.69943836406058346</c:v>
                </c:pt>
                <c:pt idx="212">
                  <c:v>0.70283856021304525</c:v>
                </c:pt>
                <c:pt idx="213">
                  <c:v>0.72731578968610833</c:v>
                </c:pt>
                <c:pt idx="214">
                  <c:v>0.74272497550865302</c:v>
                </c:pt>
                <c:pt idx="215">
                  <c:v>0.74614107236599836</c:v>
                </c:pt>
                <c:pt idx="216">
                  <c:v>0.76226912559913207</c:v>
                </c:pt>
                <c:pt idx="217">
                  <c:v>0.78313175653300171</c:v>
                </c:pt>
                <c:pt idx="218">
                  <c:v>0.79617365899607762</c:v>
                </c:pt>
                <c:pt idx="219">
                  <c:v>0.81517142920220476</c:v>
                </c:pt>
                <c:pt idx="220">
                  <c:v>0.8318977114099666</c:v>
                </c:pt>
                <c:pt idx="221">
                  <c:v>0.83892342221315397</c:v>
                </c:pt>
                <c:pt idx="222">
                  <c:v>0.85101933962064913</c:v>
                </c:pt>
                <c:pt idx="223">
                  <c:v>0.86078366171655751</c:v>
                </c:pt>
                <c:pt idx="224">
                  <c:v>0.8705894819925164</c:v>
                </c:pt>
                <c:pt idx="225">
                  <c:v>0.88060851993685685</c:v>
                </c:pt>
                <c:pt idx="226">
                  <c:v>0.88534668348682455</c:v>
                </c:pt>
                <c:pt idx="227">
                  <c:v>0.88931739724993319</c:v>
                </c:pt>
                <c:pt idx="228">
                  <c:v>0.90321181059611877</c:v>
                </c:pt>
                <c:pt idx="229">
                  <c:v>0.89899773042928333</c:v>
                </c:pt>
                <c:pt idx="230">
                  <c:v>0.90134502985913512</c:v>
                </c:pt>
                <c:pt idx="231">
                  <c:v>0.90754142644215929</c:v>
                </c:pt>
                <c:pt idx="232">
                  <c:v>0.91885605062410824</c:v>
                </c:pt>
                <c:pt idx="233">
                  <c:v>0.92219553619281758</c:v>
                </c:pt>
                <c:pt idx="234">
                  <c:v>0.93046171939771793</c:v>
                </c:pt>
                <c:pt idx="235">
                  <c:v>0.93530505038918765</c:v>
                </c:pt>
                <c:pt idx="236">
                  <c:v>0.93450946936771118</c:v>
                </c:pt>
                <c:pt idx="237">
                  <c:v>0.94398600609007499</c:v>
                </c:pt>
                <c:pt idx="238">
                  <c:v>0.95316082928227153</c:v>
                </c:pt>
                <c:pt idx="239">
                  <c:v>0.94441257384737143</c:v>
                </c:pt>
                <c:pt idx="240">
                  <c:v>0.95650703341073451</c:v>
                </c:pt>
                <c:pt idx="241">
                  <c:v>0.97510575896368301</c:v>
                </c:pt>
                <c:pt idx="242">
                  <c:v>0.96827790040644768</c:v>
                </c:pt>
                <c:pt idx="243">
                  <c:v>0.98503561600561984</c:v>
                </c:pt>
                <c:pt idx="244">
                  <c:v>0.99632925056346133</c:v>
                </c:pt>
                <c:pt idx="245">
                  <c:v>0.98679014861851388</c:v>
                </c:pt>
                <c:pt idx="246">
                  <c:v>0.99790095631540521</c:v>
                </c:pt>
                <c:pt idx="247">
                  <c:v>0.99469241676874709</c:v>
                </c:pt>
                <c:pt idx="248">
                  <c:v>0.98857439793462476</c:v>
                </c:pt>
                <c:pt idx="249">
                  <c:v>0.99722972841096069</c:v>
                </c:pt>
                <c:pt idx="250">
                  <c:v>0.99980197050908526</c:v>
                </c:pt>
                <c:pt idx="251">
                  <c:v>0.99108031047750378</c:v>
                </c:pt>
                <c:pt idx="252">
                  <c:v>0.99999679736672376</c:v>
                </c:pt>
                <c:pt idx="253">
                  <c:v>1.009629779954321</c:v>
                </c:pt>
                <c:pt idx="254">
                  <c:v>1.0055532116771428</c:v>
                </c:pt>
                <c:pt idx="255">
                  <c:v>1.0116906721353207</c:v>
                </c:pt>
                <c:pt idx="256">
                  <c:v>1.0389364056907933</c:v>
                </c:pt>
                <c:pt idx="257">
                  <c:v>1.0336455722058364</c:v>
                </c:pt>
                <c:pt idx="258">
                  <c:v>1.0442896422038936</c:v>
                </c:pt>
                <c:pt idx="259">
                  <c:v>1.0443911015248706</c:v>
                </c:pt>
                <c:pt idx="260">
                  <c:v>1.034499995577155</c:v>
                </c:pt>
                <c:pt idx="261">
                  <c:v>1.0440354686888755</c:v>
                </c:pt>
                <c:pt idx="262">
                  <c:v>1.1425513050581637</c:v>
                </c:pt>
                <c:pt idx="263">
                  <c:v>1.1807661287093263</c:v>
                </c:pt>
                <c:pt idx="264">
                  <c:v>1.2091794648111986</c:v>
                </c:pt>
                <c:pt idx="265">
                  <c:v>1.1865171654119147</c:v>
                </c:pt>
                <c:pt idx="266">
                  <c:v>1.2057551058857805</c:v>
                </c:pt>
                <c:pt idx="267">
                  <c:v>1.2372281089461254</c:v>
                </c:pt>
                <c:pt idx="268">
                  <c:v>1.246997997203974</c:v>
                </c:pt>
                <c:pt idx="269">
                  <c:v>1.2600137975262329</c:v>
                </c:pt>
                <c:pt idx="270">
                  <c:v>1.2749945949341386</c:v>
                </c:pt>
                <c:pt idx="271">
                  <c:v>1.297638306660448</c:v>
                </c:pt>
                <c:pt idx="272">
                  <c:v>1.292629378902157</c:v>
                </c:pt>
                <c:pt idx="273">
                  <c:v>1.3053449720760326</c:v>
                </c:pt>
                <c:pt idx="274">
                  <c:v>1.3103961960005635</c:v>
                </c:pt>
                <c:pt idx="275">
                  <c:v>1.3139903046413928</c:v>
                </c:pt>
                <c:pt idx="276">
                  <c:v>1.3244259999786689</c:v>
                </c:pt>
                <c:pt idx="277">
                  <c:v>1.3465382392674174</c:v>
                </c:pt>
                <c:pt idx="278">
                  <c:v>1.3321551014492214</c:v>
                </c:pt>
                <c:pt idx="279">
                  <c:v>1.3433829910192492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6C-3648-B869-80BEBC9CF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Sheet'!$A$6:$A$291</c:f>
              <c:numCache>
                <c:formatCode>yyyy\-mm\-dd</c:formatCode>
                <c:ptCount val="286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</c:numCache>
            </c:numRef>
          </c:cat>
          <c:val>
            <c:numRef>
              <c:f>'BOJ Balance Sheet'!$B$6:$B$291</c:f>
              <c:numCache>
                <c:formatCode>0</c:formatCode>
                <c:ptCount val="286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13-934B-A73A-13775B055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Sheet'!$A$7:$A$364</c:f>
              <c:numCache>
                <c:formatCode>yyyy\-mm\-dd</c:formatCode>
                <c:ptCount val="358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</c:numCache>
            </c:numRef>
          </c:cat>
          <c:val>
            <c:numRef>
              <c:f>'ECB Balance Sheet'!$B$7:$B$364</c:f>
              <c:numCache>
                <c:formatCode>0</c:formatCode>
                <c:ptCount val="358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058-8F43-8085-42B50B7FD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5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310090</xdr:colOff>
      <xdr:row>841</xdr:row>
      <xdr:rowOff>134760</xdr:rowOff>
    </xdr:from>
    <xdr:to>
      <xdr:col>13</xdr:col>
      <xdr:colOff>63500</xdr:colOff>
      <xdr:row>867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164167</xdr:colOff>
      <xdr:row>795</xdr:row>
      <xdr:rowOff>167342</xdr:rowOff>
    </xdr:from>
    <xdr:to>
      <xdr:col>11</xdr:col>
      <xdr:colOff>373718</xdr:colOff>
      <xdr:row>816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717</xdr:row>
      <xdr:rowOff>108857</xdr:rowOff>
    </xdr:from>
    <xdr:to>
      <xdr:col>15</xdr:col>
      <xdr:colOff>127000</xdr:colOff>
      <xdr:row>738</xdr:row>
      <xdr:rowOff>190046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15</xdr:col>
      <xdr:colOff>81642</xdr:colOff>
      <xdr:row>759</xdr:row>
      <xdr:rowOff>27214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194733</xdr:colOff>
      <xdr:row>981</xdr:row>
      <xdr:rowOff>120651</xdr:rowOff>
    </xdr:from>
    <xdr:to>
      <xdr:col>15</xdr:col>
      <xdr:colOff>470958</xdr:colOff>
      <xdr:row>1008</xdr:row>
      <xdr:rowOff>53977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167123</xdr:colOff>
      <xdr:row>963</xdr:row>
      <xdr:rowOff>146538</xdr:rowOff>
    </xdr:from>
    <xdr:to>
      <xdr:col>13</xdr:col>
      <xdr:colOff>29308</xdr:colOff>
      <xdr:row>986</xdr:row>
      <xdr:rowOff>156344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194339</xdr:colOff>
      <xdr:row>987</xdr:row>
      <xdr:rowOff>144097</xdr:rowOff>
    </xdr:from>
    <xdr:to>
      <xdr:col>13</xdr:col>
      <xdr:colOff>48846</xdr:colOff>
      <xdr:row>1008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622300</xdr:colOff>
      <xdr:row>236</xdr:row>
      <xdr:rowOff>38100</xdr:rowOff>
    </xdr:from>
    <xdr:to>
      <xdr:col>15</xdr:col>
      <xdr:colOff>158750</xdr:colOff>
      <xdr:row>258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282574</xdr:colOff>
      <xdr:row>236</xdr:row>
      <xdr:rowOff>31750</xdr:rowOff>
    </xdr:from>
    <xdr:to>
      <xdr:col>24</xdr:col>
      <xdr:colOff>571499</xdr:colOff>
      <xdr:row>259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644525</xdr:colOff>
      <xdr:row>260</xdr:row>
      <xdr:rowOff>98425</xdr:rowOff>
    </xdr:from>
    <xdr:to>
      <xdr:col>15</xdr:col>
      <xdr:colOff>31750</xdr:colOff>
      <xdr:row>285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222250</xdr:colOff>
      <xdr:row>338</xdr:row>
      <xdr:rowOff>25400</xdr:rowOff>
    </xdr:from>
    <xdr:to>
      <xdr:col>12</xdr:col>
      <xdr:colOff>231775</xdr:colOff>
      <xdr:row>359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7" totalsRowShown="0" headerRowDxfId="47" dataDxfId="45" headerRowBorderDxfId="46" tableBorderDxfId="44" totalsRowBorderDxfId="43" headerRowCellStyle="Normal 2" dataCellStyle="Normal 2">
  <autoFilter ref="A7:B867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17" totalsRowShown="0" headerRowDxfId="40" dataDxfId="38" headerRowBorderDxfId="39" tableBorderDxfId="37" totalsRowBorderDxfId="36" headerRowCellStyle="Normal 2" dataCellStyle="Normal 2">
  <autoFilter ref="A7:B817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62" totalsRowShown="0" headerRowDxfId="33" dataDxfId="31" headerRowBorderDxfId="32" dataCellStyle="Normal 2">
  <autoFilter ref="A6:E762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10" totalsRowShown="0" headerRowDxfId="25" dataDxfId="23" headerRowBorderDxfId="24">
  <autoFilter ref="A11:C1010" xr:uid="{00000000-0009-0000-0100-000004000000}"/>
  <tableColumns count="3">
    <tableColumn id="1" xr3:uid="{00000000-0010-0000-0300-000001000000}" name="Date" dataDxfId="22">
      <calculatedColumnFormula>'Database FED'!$A2</calculatedColumnFormula>
    </tableColumn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10" totalsRowShown="0" headerRowDxfId="19">
  <tableColumns count="3">
    <tableColumn id="1" xr3:uid="{00000000-0010-0000-0400-000001000000}" name="Date" dataDxfId="18">
      <calculatedColumnFormula>'Database FED'!$A2</calculatedColumnFormula>
    </tableColumn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291" totalsRowShown="0" headerRowDxfId="15" dataDxfId="13" headerRowBorderDxfId="14" tableBorderDxfId="12" totalsRowBorderDxfId="11" headerRowCellStyle="Normal 2" dataCellStyle="Normal 2">
  <autoFilter ref="A5:D291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BOJ'!$A$1:$C$1100,2,FALSE)</calculatedColumnFormula>
    </tableColumn>
    <tableColumn id="3" xr3:uid="{00000000-0010-0000-0500-000003000000}" name="Nikkei 225" dataDxfId="8" dataCellStyle="Normal 2">
      <calculatedColumnFormula>VLOOKUP(A6,'Database BOJ'!$A$1:$D$1100,4,FALSE)</calculatedColumnFormula>
    </tableColumn>
    <tableColumn id="4" xr3:uid="{00000000-0010-0000-0500-000004000000}" name="BOJ Balance sheet as % of Japanese GDP" dataDxfId="0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364" totalsRowShown="0" headerRowDxfId="7" dataDxfId="5" headerRowBorderDxfId="6" tableBorderDxfId="4" totalsRowBorderDxfId="3" headerRowCellStyle="Normal 2" dataCellStyle="Normal 2">
  <autoFilter ref="A6:B364" xr:uid="{00000000-0009-0000-0100-000007000000}"/>
  <tableColumns count="2">
    <tableColumn id="1" xr3:uid="{00000000-0010-0000-0600-000001000000}" name="Month" dataDxfId="2" dataCellStyle="Normal 2"/>
    <tableColumn id="2" xr3:uid="{00000000-0010-0000-0600-000002000000}" name="Central Bank Assets for Euro Area (11-19 Countries), Millions of Euros. Source: FRED" dataDxfId="1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="160" zoomScaleNormal="160" workbookViewId="0">
      <selection activeCell="A1200" sqref="A1200"/>
    </sheetView>
  </sheetViews>
  <sheetFormatPr baseColWidth="10" defaultColWidth="9.1640625" defaultRowHeight="15" x14ac:dyDescent="0.2"/>
  <cols>
    <col min="1" max="1" width="9.1640625" style="52" customWidth="1"/>
    <col min="2" max="2" width="30.33203125" style="52" customWidth="1"/>
    <col min="3" max="9" width="9.1640625" style="52" customWidth="1"/>
    <col min="10" max="10" width="101.33203125" style="52" customWidth="1"/>
    <col min="11" max="22" width="9.1640625" style="52" customWidth="1"/>
    <col min="23" max="16384" width="9.1640625" style="52"/>
  </cols>
  <sheetData>
    <row r="1" spans="2:10" x14ac:dyDescent="0.2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25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25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2">
      <c r="B5" s="7" t="s">
        <v>1</v>
      </c>
      <c r="C5" s="1" t="s">
        <v>2</v>
      </c>
    </row>
    <row r="6" spans="2:10" x14ac:dyDescent="0.2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2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2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2" t="s">
        <v>21</v>
      </c>
    </row>
    <row r="20" spans="2:8" x14ac:dyDescent="0.2">
      <c r="C20" s="2" t="s">
        <v>22</v>
      </c>
    </row>
    <row r="21" spans="2:8" x14ac:dyDescent="0.2">
      <c r="C21" s="52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2" t="s">
        <v>32</v>
      </c>
      <c r="C32" s="2" t="s">
        <v>33</v>
      </c>
    </row>
    <row r="36" spans="2:10" x14ac:dyDescent="0.2">
      <c r="B36" s="7"/>
    </row>
    <row r="37" spans="2:10" x14ac:dyDescent="0.2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2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90"/>
  <sheetViews>
    <sheetView zoomScale="180" zoomScaleNormal="180" workbookViewId="0">
      <pane ySplit="1" topLeftCell="A851" activePane="bottomLeft" state="frozen"/>
      <selection pane="bottomLeft" activeCell="H872" sqref="H872"/>
    </sheetView>
  </sheetViews>
  <sheetFormatPr baseColWidth="10" defaultRowHeight="15" x14ac:dyDescent="0.2"/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3">
        <v>17533</v>
      </c>
      <c r="B2">
        <v>0</v>
      </c>
    </row>
    <row r="3" spans="1:4" x14ac:dyDescent="0.2">
      <c r="A3" s="53">
        <v>17564</v>
      </c>
      <c r="B3">
        <v>0</v>
      </c>
    </row>
    <row r="4" spans="1:4" x14ac:dyDescent="0.2">
      <c r="A4" s="53">
        <v>17593</v>
      </c>
      <c r="B4">
        <v>0</v>
      </c>
    </row>
    <row r="5" spans="1:4" x14ac:dyDescent="0.2">
      <c r="A5" s="53">
        <v>17624</v>
      </c>
      <c r="B5">
        <v>0</v>
      </c>
    </row>
    <row r="6" spans="1:4" x14ac:dyDescent="0.2">
      <c r="A6" s="53">
        <v>17654</v>
      </c>
      <c r="B6">
        <v>0</v>
      </c>
    </row>
    <row r="7" spans="1:4" x14ac:dyDescent="0.2">
      <c r="A7" s="53">
        <v>17685</v>
      </c>
      <c r="B7">
        <v>0</v>
      </c>
    </row>
    <row r="8" spans="1:4" x14ac:dyDescent="0.2">
      <c r="A8" s="53">
        <v>17715</v>
      </c>
      <c r="B8">
        <v>0</v>
      </c>
    </row>
    <row r="9" spans="1:4" x14ac:dyDescent="0.2">
      <c r="A9" s="53">
        <v>17746</v>
      </c>
      <c r="B9">
        <v>0</v>
      </c>
    </row>
    <row r="10" spans="1:4" x14ac:dyDescent="0.2">
      <c r="A10" s="53">
        <v>17777</v>
      </c>
      <c r="B10">
        <v>0</v>
      </c>
    </row>
    <row r="11" spans="1:4" x14ac:dyDescent="0.2">
      <c r="A11" s="53">
        <v>17807</v>
      </c>
      <c r="B11">
        <v>0</v>
      </c>
    </row>
    <row r="12" spans="1:4" x14ac:dyDescent="0.2">
      <c r="A12" s="53">
        <v>17838</v>
      </c>
      <c r="B12">
        <v>0</v>
      </c>
    </row>
    <row r="13" spans="1:4" x14ac:dyDescent="0.2">
      <c r="A13" s="53">
        <v>17868</v>
      </c>
      <c r="B13">
        <v>0</v>
      </c>
    </row>
    <row r="14" spans="1:4" x14ac:dyDescent="0.2">
      <c r="A14" s="53">
        <v>17899</v>
      </c>
      <c r="B14">
        <v>0</v>
      </c>
    </row>
    <row r="15" spans="1:4" x14ac:dyDescent="0.2">
      <c r="A15" s="53">
        <v>17930</v>
      </c>
      <c r="B15">
        <v>0</v>
      </c>
    </row>
    <row r="16" spans="1:4" x14ac:dyDescent="0.2">
      <c r="A16" s="53">
        <v>17958</v>
      </c>
      <c r="B16">
        <v>0</v>
      </c>
    </row>
    <row r="17" spans="1:2" x14ac:dyDescent="0.2">
      <c r="A17" s="53">
        <v>17989</v>
      </c>
      <c r="B17">
        <v>0</v>
      </c>
    </row>
    <row r="18" spans="1:2" x14ac:dyDescent="0.2">
      <c r="A18" s="53">
        <v>18019</v>
      </c>
      <c r="B18">
        <v>0</v>
      </c>
    </row>
    <row r="19" spans="1:2" x14ac:dyDescent="0.2">
      <c r="A19" s="53">
        <v>18050</v>
      </c>
      <c r="B19">
        <v>0</v>
      </c>
    </row>
    <row r="20" spans="1:2" x14ac:dyDescent="0.2">
      <c r="A20" s="53">
        <v>18080</v>
      </c>
      <c r="B20">
        <v>0</v>
      </c>
    </row>
    <row r="21" spans="1:2" x14ac:dyDescent="0.2">
      <c r="A21" s="53">
        <v>18111</v>
      </c>
      <c r="B21">
        <v>0</v>
      </c>
    </row>
    <row r="22" spans="1:2" x14ac:dyDescent="0.2">
      <c r="A22" s="53">
        <v>18142</v>
      </c>
      <c r="B22">
        <v>0</v>
      </c>
    </row>
    <row r="23" spans="1:2" x14ac:dyDescent="0.2">
      <c r="A23" s="53">
        <v>18172</v>
      </c>
      <c r="B23">
        <v>0</v>
      </c>
    </row>
    <row r="24" spans="1:2" x14ac:dyDescent="0.2">
      <c r="A24" s="53">
        <v>18203</v>
      </c>
      <c r="B24">
        <v>0</v>
      </c>
    </row>
    <row r="25" spans="1:2" x14ac:dyDescent="0.2">
      <c r="A25" s="53">
        <v>18233</v>
      </c>
      <c r="B25">
        <v>0</v>
      </c>
    </row>
    <row r="26" spans="1:2" x14ac:dyDescent="0.2">
      <c r="A26" s="53">
        <v>18264</v>
      </c>
      <c r="B26">
        <v>1.5</v>
      </c>
    </row>
    <row r="27" spans="1:2" x14ac:dyDescent="0.2">
      <c r="A27" s="53">
        <v>18295</v>
      </c>
      <c r="B27">
        <v>1.5</v>
      </c>
    </row>
    <row r="28" spans="1:2" x14ac:dyDescent="0.2">
      <c r="A28" s="53">
        <v>18323</v>
      </c>
      <c r="B28">
        <v>1.5</v>
      </c>
    </row>
    <row r="29" spans="1:2" x14ac:dyDescent="0.2">
      <c r="A29" s="53">
        <v>18354</v>
      </c>
      <c r="B29">
        <v>1.5</v>
      </c>
    </row>
    <row r="30" spans="1:2" x14ac:dyDescent="0.2">
      <c r="A30" s="53">
        <v>18384</v>
      </c>
      <c r="B30">
        <v>1.5</v>
      </c>
    </row>
    <row r="31" spans="1:2" x14ac:dyDescent="0.2">
      <c r="A31" s="53">
        <v>18415</v>
      </c>
      <c r="B31">
        <v>1.5</v>
      </c>
    </row>
    <row r="32" spans="1:2" x14ac:dyDescent="0.2">
      <c r="A32" s="53">
        <v>18445</v>
      </c>
      <c r="B32">
        <v>1.5</v>
      </c>
    </row>
    <row r="33" spans="1:2" x14ac:dyDescent="0.2">
      <c r="A33" s="53">
        <v>18476</v>
      </c>
      <c r="B33">
        <v>1.59</v>
      </c>
    </row>
    <row r="34" spans="1:2" x14ac:dyDescent="0.2">
      <c r="A34" s="53">
        <v>18507</v>
      </c>
      <c r="B34">
        <v>1.75</v>
      </c>
    </row>
    <row r="35" spans="1:2" x14ac:dyDescent="0.2">
      <c r="A35" s="53">
        <v>18537</v>
      </c>
      <c r="B35">
        <v>1.75</v>
      </c>
    </row>
    <row r="36" spans="1:2" x14ac:dyDescent="0.2">
      <c r="A36" s="53">
        <v>18568</v>
      </c>
      <c r="B36">
        <v>1.75</v>
      </c>
    </row>
    <row r="37" spans="1:2" x14ac:dyDescent="0.2">
      <c r="A37" s="53">
        <v>18598</v>
      </c>
      <c r="B37">
        <v>1.75</v>
      </c>
    </row>
    <row r="38" spans="1:2" x14ac:dyDescent="0.2">
      <c r="A38" s="53">
        <v>18629</v>
      </c>
      <c r="B38">
        <v>1.75</v>
      </c>
    </row>
    <row r="39" spans="1:2" x14ac:dyDescent="0.2">
      <c r="A39" s="53">
        <v>18660</v>
      </c>
      <c r="B39">
        <v>1.75</v>
      </c>
    </row>
    <row r="40" spans="1:2" x14ac:dyDescent="0.2">
      <c r="A40" s="53">
        <v>18688</v>
      </c>
      <c r="B40">
        <v>1.75</v>
      </c>
    </row>
    <row r="41" spans="1:2" x14ac:dyDescent="0.2">
      <c r="A41" s="53">
        <v>18719</v>
      </c>
      <c r="B41">
        <v>1.75</v>
      </c>
    </row>
    <row r="42" spans="1:2" x14ac:dyDescent="0.2">
      <c r="A42" s="53">
        <v>18749</v>
      </c>
      <c r="B42">
        <v>1.75</v>
      </c>
    </row>
    <row r="43" spans="1:2" x14ac:dyDescent="0.2">
      <c r="A43" s="53">
        <v>18780</v>
      </c>
      <c r="B43">
        <v>1.75</v>
      </c>
    </row>
    <row r="44" spans="1:2" x14ac:dyDescent="0.2">
      <c r="A44" s="53">
        <v>18810</v>
      </c>
      <c r="B44">
        <v>1.75</v>
      </c>
    </row>
    <row r="45" spans="1:2" x14ac:dyDescent="0.2">
      <c r="A45" s="53">
        <v>18841</v>
      </c>
      <c r="B45">
        <v>1.75</v>
      </c>
    </row>
    <row r="46" spans="1:2" x14ac:dyDescent="0.2">
      <c r="A46" s="53">
        <v>18872</v>
      </c>
      <c r="B46">
        <v>1.75</v>
      </c>
    </row>
    <row r="47" spans="1:2" x14ac:dyDescent="0.2">
      <c r="A47" s="53">
        <v>18902</v>
      </c>
      <c r="B47">
        <v>1.75</v>
      </c>
    </row>
    <row r="48" spans="1:2" x14ac:dyDescent="0.2">
      <c r="A48" s="53">
        <v>18933</v>
      </c>
      <c r="B48">
        <v>1.75</v>
      </c>
    </row>
    <row r="49" spans="1:2" x14ac:dyDescent="0.2">
      <c r="A49" s="53">
        <v>18963</v>
      </c>
      <c r="B49">
        <v>1.75</v>
      </c>
    </row>
    <row r="50" spans="1:2" x14ac:dyDescent="0.2">
      <c r="A50" s="53">
        <v>18994</v>
      </c>
      <c r="B50">
        <v>1.75</v>
      </c>
    </row>
    <row r="51" spans="1:2" x14ac:dyDescent="0.2">
      <c r="A51" s="53">
        <v>19025</v>
      </c>
      <c r="B51">
        <v>1.75</v>
      </c>
    </row>
    <row r="52" spans="1:2" x14ac:dyDescent="0.2">
      <c r="A52" s="53">
        <v>19054</v>
      </c>
      <c r="B52">
        <v>1.75</v>
      </c>
    </row>
    <row r="53" spans="1:2" x14ac:dyDescent="0.2">
      <c r="A53" s="53">
        <v>19085</v>
      </c>
      <c r="B53">
        <v>1.75</v>
      </c>
    </row>
    <row r="54" spans="1:2" x14ac:dyDescent="0.2">
      <c r="A54" s="53">
        <v>19115</v>
      </c>
      <c r="B54">
        <v>1.75</v>
      </c>
    </row>
    <row r="55" spans="1:2" x14ac:dyDescent="0.2">
      <c r="A55" s="53">
        <v>19146</v>
      </c>
      <c r="B55">
        <v>1.75</v>
      </c>
    </row>
    <row r="56" spans="1:2" x14ac:dyDescent="0.2">
      <c r="A56" s="53">
        <v>19176</v>
      </c>
      <c r="B56">
        <v>1.75</v>
      </c>
    </row>
    <row r="57" spans="1:2" x14ac:dyDescent="0.2">
      <c r="A57" s="53">
        <v>19207</v>
      </c>
      <c r="B57">
        <v>1.75</v>
      </c>
    </row>
    <row r="58" spans="1:2" x14ac:dyDescent="0.2">
      <c r="A58" s="53">
        <v>19238</v>
      </c>
      <c r="B58">
        <v>1.75</v>
      </c>
    </row>
    <row r="59" spans="1:2" x14ac:dyDescent="0.2">
      <c r="A59" s="53">
        <v>19268</v>
      </c>
      <c r="B59">
        <v>1.75</v>
      </c>
    </row>
    <row r="60" spans="1:2" x14ac:dyDescent="0.2">
      <c r="A60" s="53">
        <v>19299</v>
      </c>
      <c r="B60">
        <v>1.75</v>
      </c>
    </row>
    <row r="61" spans="1:2" x14ac:dyDescent="0.2">
      <c r="A61" s="53">
        <v>19329</v>
      </c>
      <c r="B61">
        <v>1.75</v>
      </c>
    </row>
    <row r="62" spans="1:2" x14ac:dyDescent="0.2">
      <c r="A62" s="53">
        <v>19360</v>
      </c>
      <c r="B62">
        <v>1.88</v>
      </c>
    </row>
    <row r="63" spans="1:2" x14ac:dyDescent="0.2">
      <c r="A63" s="53">
        <v>19391</v>
      </c>
      <c r="B63">
        <v>2</v>
      </c>
    </row>
    <row r="64" spans="1:2" x14ac:dyDescent="0.2">
      <c r="A64" s="53">
        <v>19419</v>
      </c>
      <c r="B64">
        <v>2</v>
      </c>
    </row>
    <row r="65" spans="1:3" x14ac:dyDescent="0.2">
      <c r="A65" s="53">
        <v>19450</v>
      </c>
      <c r="B65">
        <v>2</v>
      </c>
    </row>
    <row r="66" spans="1:3" x14ac:dyDescent="0.2">
      <c r="A66" s="53">
        <v>19480</v>
      </c>
      <c r="B66">
        <v>2</v>
      </c>
    </row>
    <row r="67" spans="1:3" x14ac:dyDescent="0.2">
      <c r="A67" s="53">
        <v>19511</v>
      </c>
      <c r="B67">
        <v>2</v>
      </c>
    </row>
    <row r="68" spans="1:3" x14ac:dyDescent="0.2">
      <c r="A68" s="53">
        <v>19541</v>
      </c>
      <c r="B68">
        <v>2</v>
      </c>
    </row>
    <row r="69" spans="1:3" x14ac:dyDescent="0.2">
      <c r="A69" s="53">
        <v>19572</v>
      </c>
      <c r="B69">
        <v>2</v>
      </c>
    </row>
    <row r="70" spans="1:3" x14ac:dyDescent="0.2">
      <c r="A70" s="53">
        <v>19603</v>
      </c>
      <c r="B70">
        <v>2</v>
      </c>
    </row>
    <row r="71" spans="1:3" x14ac:dyDescent="0.2">
      <c r="A71" s="53">
        <v>19633</v>
      </c>
      <c r="B71">
        <v>2</v>
      </c>
    </row>
    <row r="72" spans="1:3" x14ac:dyDescent="0.2">
      <c r="A72" s="53">
        <v>19664</v>
      </c>
      <c r="B72">
        <v>2</v>
      </c>
    </row>
    <row r="73" spans="1:3" x14ac:dyDescent="0.2">
      <c r="A73" s="53">
        <v>19694</v>
      </c>
      <c r="B73">
        <v>2</v>
      </c>
    </row>
    <row r="74" spans="1:3" x14ac:dyDescent="0.2">
      <c r="A74" s="53">
        <v>19725</v>
      </c>
      <c r="B74">
        <v>2</v>
      </c>
    </row>
    <row r="75" spans="1:3" x14ac:dyDescent="0.2">
      <c r="A75" s="53">
        <v>19756</v>
      </c>
      <c r="B75">
        <v>1.79</v>
      </c>
    </row>
    <row r="76" spans="1:3" x14ac:dyDescent="0.2">
      <c r="A76" s="53">
        <v>19784</v>
      </c>
      <c r="B76">
        <v>1.75</v>
      </c>
    </row>
    <row r="77" spans="1:3" x14ac:dyDescent="0.2">
      <c r="A77" s="53">
        <v>19815</v>
      </c>
      <c r="B77">
        <v>1.63</v>
      </c>
    </row>
    <row r="78" spans="1:3" x14ac:dyDescent="0.2">
      <c r="A78" s="53">
        <v>19845</v>
      </c>
      <c r="B78">
        <v>1.5</v>
      </c>
    </row>
    <row r="79" spans="1:3" x14ac:dyDescent="0.2">
      <c r="A79" s="53">
        <v>19876</v>
      </c>
      <c r="B79">
        <v>1.5</v>
      </c>
    </row>
    <row r="80" spans="1:3" x14ac:dyDescent="0.2">
      <c r="A80" s="53">
        <v>19906</v>
      </c>
      <c r="B80">
        <v>1.5</v>
      </c>
      <c r="C80">
        <v>0.8</v>
      </c>
    </row>
    <row r="81" spans="1:3" x14ac:dyDescent="0.2">
      <c r="A81" s="53">
        <v>19937</v>
      </c>
      <c r="B81">
        <v>1.5</v>
      </c>
      <c r="C81">
        <v>1.22</v>
      </c>
    </row>
    <row r="82" spans="1:3" x14ac:dyDescent="0.2">
      <c r="A82" s="53">
        <v>19968</v>
      </c>
      <c r="B82">
        <v>1.5</v>
      </c>
      <c r="C82">
        <v>1.07</v>
      </c>
    </row>
    <row r="83" spans="1:3" x14ac:dyDescent="0.2">
      <c r="A83" s="53">
        <v>19998</v>
      </c>
      <c r="B83">
        <v>1.5</v>
      </c>
      <c r="C83">
        <v>0.85</v>
      </c>
    </row>
    <row r="84" spans="1:3" x14ac:dyDescent="0.2">
      <c r="A84" s="53">
        <v>20029</v>
      </c>
      <c r="B84">
        <v>1.5</v>
      </c>
      <c r="C84">
        <v>0.83</v>
      </c>
    </row>
    <row r="85" spans="1:3" x14ac:dyDescent="0.2">
      <c r="A85" s="53">
        <v>20059</v>
      </c>
      <c r="B85">
        <v>1.5</v>
      </c>
      <c r="C85">
        <v>1.28</v>
      </c>
    </row>
    <row r="86" spans="1:3" x14ac:dyDescent="0.2">
      <c r="A86" s="53">
        <v>20090</v>
      </c>
      <c r="B86">
        <v>1.5</v>
      </c>
      <c r="C86">
        <v>1.39</v>
      </c>
    </row>
    <row r="87" spans="1:3" x14ac:dyDescent="0.2">
      <c r="A87" s="53">
        <v>20121</v>
      </c>
      <c r="B87">
        <v>1.5</v>
      </c>
      <c r="C87">
        <v>1.29</v>
      </c>
    </row>
    <row r="88" spans="1:3" x14ac:dyDescent="0.2">
      <c r="A88" s="53">
        <v>20149</v>
      </c>
      <c r="B88">
        <v>1.5</v>
      </c>
      <c r="C88">
        <v>1.35</v>
      </c>
    </row>
    <row r="89" spans="1:3" x14ac:dyDescent="0.2">
      <c r="A89" s="53">
        <v>20180</v>
      </c>
      <c r="B89">
        <v>1.63</v>
      </c>
      <c r="C89">
        <v>1.43</v>
      </c>
    </row>
    <row r="90" spans="1:3" x14ac:dyDescent="0.2">
      <c r="A90" s="53">
        <v>20210</v>
      </c>
      <c r="B90">
        <v>1.75</v>
      </c>
      <c r="C90">
        <v>1.43</v>
      </c>
    </row>
    <row r="91" spans="1:3" x14ac:dyDescent="0.2">
      <c r="A91" s="53">
        <v>20241</v>
      </c>
      <c r="B91">
        <v>1.75</v>
      </c>
      <c r="C91">
        <v>1.64</v>
      </c>
    </row>
    <row r="92" spans="1:3" x14ac:dyDescent="0.2">
      <c r="A92" s="53">
        <v>20271</v>
      </c>
      <c r="B92">
        <v>1.75</v>
      </c>
      <c r="C92">
        <v>1.68</v>
      </c>
    </row>
    <row r="93" spans="1:3" x14ac:dyDescent="0.2">
      <c r="A93" s="53">
        <v>20302</v>
      </c>
      <c r="B93">
        <v>1.97</v>
      </c>
      <c r="C93">
        <v>1.96</v>
      </c>
    </row>
    <row r="94" spans="1:3" x14ac:dyDescent="0.2">
      <c r="A94" s="53">
        <v>20333</v>
      </c>
      <c r="B94">
        <v>2.1800000000000002</v>
      </c>
      <c r="C94">
        <v>2.1800000000000002</v>
      </c>
    </row>
    <row r="95" spans="1:3" x14ac:dyDescent="0.2">
      <c r="A95" s="53">
        <v>20363</v>
      </c>
      <c r="B95">
        <v>2.25</v>
      </c>
      <c r="C95">
        <v>2.2400000000000002</v>
      </c>
    </row>
    <row r="96" spans="1:3" x14ac:dyDescent="0.2">
      <c r="A96" s="53">
        <v>20394</v>
      </c>
      <c r="B96">
        <v>2.36</v>
      </c>
      <c r="C96">
        <v>2.35</v>
      </c>
    </row>
    <row r="97" spans="1:3" x14ac:dyDescent="0.2">
      <c r="A97" s="53">
        <v>20424</v>
      </c>
      <c r="B97">
        <v>2.5</v>
      </c>
      <c r="C97">
        <v>2.48</v>
      </c>
    </row>
    <row r="98" spans="1:3" x14ac:dyDescent="0.2">
      <c r="A98" s="53">
        <v>20455</v>
      </c>
      <c r="B98">
        <v>2.5</v>
      </c>
      <c r="C98">
        <v>2.4500000000000002</v>
      </c>
    </row>
    <row r="99" spans="1:3" x14ac:dyDescent="0.2">
      <c r="A99" s="53">
        <v>20486</v>
      </c>
      <c r="B99">
        <v>2.5</v>
      </c>
      <c r="C99">
        <v>2.5</v>
      </c>
    </row>
    <row r="100" spans="1:3" x14ac:dyDescent="0.2">
      <c r="A100" s="53">
        <v>20515</v>
      </c>
      <c r="B100">
        <v>2.5</v>
      </c>
      <c r="C100">
        <v>2.5</v>
      </c>
    </row>
    <row r="101" spans="1:3" x14ac:dyDescent="0.2">
      <c r="A101" s="53">
        <v>20546</v>
      </c>
      <c r="B101">
        <v>2.65</v>
      </c>
      <c r="C101">
        <v>2.62</v>
      </c>
    </row>
    <row r="102" spans="1:3" x14ac:dyDescent="0.2">
      <c r="A102" s="53">
        <v>20576</v>
      </c>
      <c r="B102">
        <v>2.75</v>
      </c>
      <c r="C102">
        <v>2.75</v>
      </c>
    </row>
    <row r="103" spans="1:3" x14ac:dyDescent="0.2">
      <c r="A103" s="53">
        <v>20607</v>
      </c>
      <c r="B103">
        <v>2.75</v>
      </c>
      <c r="C103">
        <v>2.71</v>
      </c>
    </row>
    <row r="104" spans="1:3" x14ac:dyDescent="0.2">
      <c r="A104" s="53">
        <v>20637</v>
      </c>
      <c r="B104">
        <v>2.75</v>
      </c>
      <c r="C104">
        <v>2.75</v>
      </c>
    </row>
    <row r="105" spans="1:3" x14ac:dyDescent="0.2">
      <c r="A105" s="53">
        <v>20668</v>
      </c>
      <c r="B105">
        <v>2.81</v>
      </c>
      <c r="C105">
        <v>2.73</v>
      </c>
    </row>
    <row r="106" spans="1:3" x14ac:dyDescent="0.2">
      <c r="A106" s="53">
        <v>20699</v>
      </c>
      <c r="B106">
        <v>3</v>
      </c>
      <c r="C106">
        <v>2.95</v>
      </c>
    </row>
    <row r="107" spans="1:3" x14ac:dyDescent="0.2">
      <c r="A107" s="53">
        <v>20729</v>
      </c>
      <c r="B107">
        <v>3</v>
      </c>
      <c r="C107">
        <v>2.96</v>
      </c>
    </row>
    <row r="108" spans="1:3" x14ac:dyDescent="0.2">
      <c r="A108" s="53">
        <v>20760</v>
      </c>
      <c r="B108">
        <v>3</v>
      </c>
      <c r="C108">
        <v>2.88</v>
      </c>
    </row>
    <row r="109" spans="1:3" x14ac:dyDescent="0.2">
      <c r="A109" s="53">
        <v>20790</v>
      </c>
      <c r="B109">
        <v>3</v>
      </c>
      <c r="C109">
        <v>2.94</v>
      </c>
    </row>
    <row r="110" spans="1:3" x14ac:dyDescent="0.2">
      <c r="A110" s="53">
        <v>20821</v>
      </c>
      <c r="B110">
        <v>3</v>
      </c>
      <c r="C110">
        <v>2.84</v>
      </c>
    </row>
    <row r="111" spans="1:3" x14ac:dyDescent="0.2">
      <c r="A111" s="53">
        <v>20852</v>
      </c>
      <c r="B111">
        <v>3</v>
      </c>
      <c r="C111">
        <v>3</v>
      </c>
    </row>
    <row r="112" spans="1:3" x14ac:dyDescent="0.2">
      <c r="A112" s="53">
        <v>20880</v>
      </c>
      <c r="B112">
        <v>3</v>
      </c>
      <c r="C112">
        <v>2.96</v>
      </c>
    </row>
    <row r="113" spans="1:3" x14ac:dyDescent="0.2">
      <c r="A113" s="53">
        <v>20911</v>
      </c>
      <c r="B113">
        <v>3</v>
      </c>
      <c r="C113">
        <v>3</v>
      </c>
    </row>
    <row r="114" spans="1:3" x14ac:dyDescent="0.2">
      <c r="A114" s="53">
        <v>20941</v>
      </c>
      <c r="B114">
        <v>3</v>
      </c>
      <c r="C114">
        <v>3</v>
      </c>
    </row>
    <row r="115" spans="1:3" x14ac:dyDescent="0.2">
      <c r="A115" s="53">
        <v>20972</v>
      </c>
      <c r="B115">
        <v>3</v>
      </c>
      <c r="C115">
        <v>3</v>
      </c>
    </row>
    <row r="116" spans="1:3" x14ac:dyDescent="0.2">
      <c r="A116" s="53">
        <v>21002</v>
      </c>
      <c r="B116">
        <v>3</v>
      </c>
      <c r="C116">
        <v>2.99</v>
      </c>
    </row>
    <row r="117" spans="1:3" x14ac:dyDescent="0.2">
      <c r="A117" s="53">
        <v>21033</v>
      </c>
      <c r="B117">
        <v>3.15</v>
      </c>
      <c r="C117">
        <v>3.24</v>
      </c>
    </row>
    <row r="118" spans="1:3" x14ac:dyDescent="0.2">
      <c r="A118" s="53">
        <v>21064</v>
      </c>
      <c r="B118">
        <v>3.5</v>
      </c>
      <c r="C118">
        <v>3.47</v>
      </c>
    </row>
    <row r="119" spans="1:3" x14ac:dyDescent="0.2">
      <c r="A119" s="53">
        <v>21094</v>
      </c>
      <c r="B119">
        <v>3.5</v>
      </c>
      <c r="C119">
        <v>3.5</v>
      </c>
    </row>
    <row r="120" spans="1:3" x14ac:dyDescent="0.2">
      <c r="A120" s="53">
        <v>21125</v>
      </c>
      <c r="B120">
        <v>3.23</v>
      </c>
      <c r="C120">
        <v>3.28</v>
      </c>
    </row>
    <row r="121" spans="1:3" x14ac:dyDescent="0.2">
      <c r="A121" s="53">
        <v>21155</v>
      </c>
      <c r="B121">
        <v>3</v>
      </c>
      <c r="C121">
        <v>2.98</v>
      </c>
    </row>
    <row r="122" spans="1:3" x14ac:dyDescent="0.2">
      <c r="A122" s="53">
        <v>21186</v>
      </c>
      <c r="B122">
        <v>2.94</v>
      </c>
      <c r="C122">
        <v>2.72</v>
      </c>
    </row>
    <row r="123" spans="1:3" x14ac:dyDescent="0.2">
      <c r="A123" s="53">
        <v>21217</v>
      </c>
      <c r="B123">
        <v>2.75</v>
      </c>
      <c r="C123">
        <v>1.67</v>
      </c>
    </row>
    <row r="124" spans="1:3" x14ac:dyDescent="0.2">
      <c r="A124" s="53">
        <v>21245</v>
      </c>
      <c r="B124">
        <v>2.35</v>
      </c>
      <c r="C124">
        <v>1.2</v>
      </c>
    </row>
    <row r="125" spans="1:3" x14ac:dyDescent="0.2">
      <c r="A125" s="53">
        <v>21276</v>
      </c>
      <c r="B125">
        <v>2.0299999999999998</v>
      </c>
      <c r="C125">
        <v>1.26</v>
      </c>
    </row>
    <row r="126" spans="1:3" x14ac:dyDescent="0.2">
      <c r="A126" s="53">
        <v>21306</v>
      </c>
      <c r="B126">
        <v>1.75</v>
      </c>
      <c r="C126">
        <v>0.63</v>
      </c>
    </row>
    <row r="127" spans="1:3" x14ac:dyDescent="0.2">
      <c r="A127" s="53">
        <v>21337</v>
      </c>
      <c r="B127">
        <v>1.75</v>
      </c>
      <c r="C127">
        <v>0.93</v>
      </c>
    </row>
    <row r="128" spans="1:3" x14ac:dyDescent="0.2">
      <c r="A128" s="53">
        <v>21367</v>
      </c>
      <c r="B128">
        <v>1.75</v>
      </c>
      <c r="C128">
        <v>0.68</v>
      </c>
    </row>
    <row r="129" spans="1:4" x14ac:dyDescent="0.2">
      <c r="A129" s="53">
        <v>21398</v>
      </c>
      <c r="B129">
        <v>1.75</v>
      </c>
      <c r="C129">
        <v>1.53</v>
      </c>
    </row>
    <row r="130" spans="1:4" x14ac:dyDescent="0.2">
      <c r="A130" s="53">
        <v>21429</v>
      </c>
      <c r="B130">
        <v>1.91</v>
      </c>
      <c r="C130">
        <v>1.76</v>
      </c>
    </row>
    <row r="131" spans="1:4" x14ac:dyDescent="0.2">
      <c r="A131" s="53">
        <v>21459</v>
      </c>
      <c r="B131">
        <v>2</v>
      </c>
      <c r="C131">
        <v>1.8</v>
      </c>
    </row>
    <row r="132" spans="1:4" x14ac:dyDescent="0.2">
      <c r="A132" s="53">
        <v>21490</v>
      </c>
      <c r="B132">
        <v>2.4</v>
      </c>
      <c r="C132">
        <v>2.27</v>
      </c>
    </row>
    <row r="133" spans="1:4" x14ac:dyDescent="0.2">
      <c r="A133" s="53">
        <v>21520</v>
      </c>
      <c r="B133">
        <v>2.5</v>
      </c>
      <c r="C133">
        <v>2.42</v>
      </c>
    </row>
    <row r="134" spans="1:4" x14ac:dyDescent="0.2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3">
        <v>21610</v>
      </c>
      <c r="B136">
        <v>2.92</v>
      </c>
      <c r="C136">
        <v>2.8</v>
      </c>
      <c r="D136">
        <v>289.2</v>
      </c>
    </row>
    <row r="137" spans="1:4" x14ac:dyDescent="0.2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3">
        <v>21671</v>
      </c>
      <c r="B138">
        <v>3.05</v>
      </c>
      <c r="C138">
        <v>2.9</v>
      </c>
      <c r="D138">
        <v>292.2</v>
      </c>
    </row>
    <row r="139" spans="1:4" x14ac:dyDescent="0.2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3">
        <v>21732</v>
      </c>
      <c r="B140">
        <v>3.5</v>
      </c>
      <c r="C140">
        <v>3.47</v>
      </c>
      <c r="D140">
        <v>295.2</v>
      </c>
    </row>
    <row r="141" spans="1:4" x14ac:dyDescent="0.2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3">
        <v>21794</v>
      </c>
      <c r="B142">
        <v>3.83</v>
      </c>
      <c r="C142">
        <v>3.76</v>
      </c>
      <c r="D142">
        <v>296.7</v>
      </c>
    </row>
    <row r="143" spans="1:4" x14ac:dyDescent="0.2">
      <c r="A143" s="53">
        <v>21824</v>
      </c>
      <c r="B143">
        <v>4</v>
      </c>
      <c r="C143">
        <v>3.98</v>
      </c>
      <c r="D143">
        <v>296.5</v>
      </c>
    </row>
    <row r="144" spans="1:4" x14ac:dyDescent="0.2">
      <c r="A144" s="53">
        <v>21855</v>
      </c>
      <c r="B144">
        <v>4</v>
      </c>
      <c r="C144">
        <v>4</v>
      </c>
      <c r="D144">
        <v>297.10000000000002</v>
      </c>
    </row>
    <row r="145" spans="1:4" x14ac:dyDescent="0.2">
      <c r="A145" s="53">
        <v>21885</v>
      </c>
      <c r="B145">
        <v>4</v>
      </c>
      <c r="C145">
        <v>3.99</v>
      </c>
      <c r="D145">
        <v>297.8</v>
      </c>
    </row>
    <row r="146" spans="1:4" x14ac:dyDescent="0.2">
      <c r="A146" s="53">
        <v>21916</v>
      </c>
      <c r="B146">
        <v>4</v>
      </c>
      <c r="C146">
        <v>3.99</v>
      </c>
      <c r="D146">
        <v>298.2</v>
      </c>
    </row>
    <row r="147" spans="1:4" x14ac:dyDescent="0.2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3">
        <v>21976</v>
      </c>
      <c r="B148">
        <v>4</v>
      </c>
      <c r="C148">
        <v>3.84</v>
      </c>
      <c r="D148">
        <v>299.3</v>
      </c>
    </row>
    <row r="149" spans="1:4" x14ac:dyDescent="0.2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3">
        <v>22068</v>
      </c>
      <c r="B151">
        <v>3.65</v>
      </c>
      <c r="C151">
        <v>3.32</v>
      </c>
      <c r="D151">
        <v>302.3</v>
      </c>
    </row>
    <row r="152" spans="1:4" x14ac:dyDescent="0.2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3">
        <v>22313</v>
      </c>
      <c r="B159">
        <v>3</v>
      </c>
      <c r="C159">
        <v>2.54</v>
      </c>
      <c r="D159">
        <v>316.5</v>
      </c>
    </row>
    <row r="160" spans="1:4" x14ac:dyDescent="0.2">
      <c r="A160" s="53">
        <v>22341</v>
      </c>
      <c r="B160">
        <v>3</v>
      </c>
      <c r="C160">
        <v>2.02</v>
      </c>
      <c r="D160">
        <v>318.3</v>
      </c>
    </row>
    <row r="161" spans="1:4" x14ac:dyDescent="0.2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3">
        <v>22402</v>
      </c>
      <c r="B162">
        <v>3</v>
      </c>
      <c r="C162">
        <v>1.98</v>
      </c>
      <c r="D162">
        <v>322.2</v>
      </c>
    </row>
    <row r="163" spans="1:4" x14ac:dyDescent="0.2">
      <c r="A163" s="53">
        <v>22433</v>
      </c>
      <c r="B163">
        <v>3</v>
      </c>
      <c r="C163">
        <v>1.73</v>
      </c>
      <c r="D163">
        <v>324.3</v>
      </c>
    </row>
    <row r="164" spans="1:4" x14ac:dyDescent="0.2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3">
        <v>22494</v>
      </c>
      <c r="B165">
        <v>3</v>
      </c>
      <c r="C165">
        <v>2</v>
      </c>
      <c r="D165">
        <v>327.60000000000002</v>
      </c>
    </row>
    <row r="166" spans="1:4" x14ac:dyDescent="0.2">
      <c r="A166" s="53">
        <v>22525</v>
      </c>
      <c r="B166">
        <v>3</v>
      </c>
      <c r="C166">
        <v>1.88</v>
      </c>
      <c r="D166">
        <v>329.5</v>
      </c>
    </row>
    <row r="167" spans="1:4" x14ac:dyDescent="0.2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3">
        <v>22586</v>
      </c>
      <c r="B168">
        <v>3</v>
      </c>
      <c r="C168">
        <v>2.61</v>
      </c>
      <c r="D168">
        <v>333.4</v>
      </c>
    </row>
    <row r="169" spans="1:4" x14ac:dyDescent="0.2">
      <c r="A169" s="53">
        <v>22616</v>
      </c>
      <c r="B169">
        <v>3</v>
      </c>
      <c r="C169">
        <v>2.33</v>
      </c>
      <c r="D169">
        <v>335.5</v>
      </c>
    </row>
    <row r="170" spans="1:4" x14ac:dyDescent="0.2">
      <c r="A170" s="53">
        <v>22647</v>
      </c>
      <c r="B170">
        <v>3</v>
      </c>
      <c r="C170">
        <v>2.15</v>
      </c>
      <c r="D170">
        <v>337.5</v>
      </c>
    </row>
    <row r="171" spans="1:4" x14ac:dyDescent="0.2">
      <c r="A171" s="53">
        <v>22678</v>
      </c>
      <c r="B171">
        <v>3</v>
      </c>
      <c r="C171">
        <v>2.37</v>
      </c>
      <c r="D171">
        <v>340.1</v>
      </c>
    </row>
    <row r="172" spans="1:4" x14ac:dyDescent="0.2">
      <c r="A172" s="53">
        <v>22706</v>
      </c>
      <c r="B172">
        <v>3</v>
      </c>
      <c r="C172">
        <v>2.85</v>
      </c>
      <c r="D172">
        <v>343.1</v>
      </c>
    </row>
    <row r="173" spans="1:4" x14ac:dyDescent="0.2">
      <c r="A173" s="53">
        <v>22737</v>
      </c>
      <c r="B173">
        <v>3</v>
      </c>
      <c r="C173">
        <v>2.78</v>
      </c>
      <c r="D173">
        <v>345.5</v>
      </c>
    </row>
    <row r="174" spans="1:4" x14ac:dyDescent="0.2">
      <c r="A174" s="53">
        <v>22767</v>
      </c>
      <c r="B174">
        <v>3</v>
      </c>
      <c r="C174">
        <v>2.36</v>
      </c>
      <c r="D174">
        <v>347.5</v>
      </c>
    </row>
    <row r="175" spans="1:4" x14ac:dyDescent="0.2">
      <c r="A175" s="53">
        <v>22798</v>
      </c>
      <c r="B175">
        <v>3</v>
      </c>
      <c r="C175">
        <v>2.68</v>
      </c>
      <c r="D175">
        <v>349.3</v>
      </c>
    </row>
    <row r="176" spans="1:4" x14ac:dyDescent="0.2">
      <c r="A176" s="53">
        <v>22828</v>
      </c>
      <c r="B176">
        <v>3</v>
      </c>
      <c r="C176">
        <v>2.71</v>
      </c>
      <c r="D176">
        <v>350.8</v>
      </c>
    </row>
    <row r="177" spans="1:4" x14ac:dyDescent="0.2">
      <c r="A177" s="53">
        <v>22859</v>
      </c>
      <c r="B177">
        <v>3</v>
      </c>
      <c r="C177">
        <v>2.93</v>
      </c>
      <c r="D177">
        <v>352.8</v>
      </c>
    </row>
    <row r="178" spans="1:4" x14ac:dyDescent="0.2">
      <c r="A178" s="53">
        <v>22890</v>
      </c>
      <c r="B178">
        <v>3</v>
      </c>
      <c r="C178">
        <v>2.9</v>
      </c>
      <c r="D178">
        <v>354.9</v>
      </c>
    </row>
    <row r="179" spans="1:4" x14ac:dyDescent="0.2">
      <c r="A179" s="53">
        <v>22920</v>
      </c>
      <c r="B179">
        <v>3</v>
      </c>
      <c r="C179">
        <v>2.9</v>
      </c>
      <c r="D179">
        <v>357.2</v>
      </c>
    </row>
    <row r="180" spans="1:4" x14ac:dyDescent="0.2">
      <c r="A180" s="53">
        <v>22951</v>
      </c>
      <c r="B180">
        <v>3</v>
      </c>
      <c r="C180">
        <v>2.94</v>
      </c>
      <c r="D180">
        <v>359.8</v>
      </c>
    </row>
    <row r="181" spans="1:4" x14ac:dyDescent="0.2">
      <c r="A181" s="53">
        <v>22981</v>
      </c>
      <c r="B181">
        <v>3</v>
      </c>
      <c r="C181">
        <v>2.93</v>
      </c>
      <c r="D181">
        <v>362.7</v>
      </c>
    </row>
    <row r="182" spans="1:4" x14ac:dyDescent="0.2">
      <c r="A182" s="53">
        <v>23012</v>
      </c>
      <c r="B182">
        <v>3</v>
      </c>
      <c r="C182">
        <v>2.92</v>
      </c>
      <c r="D182">
        <v>365.2</v>
      </c>
    </row>
    <row r="183" spans="1:4" x14ac:dyDescent="0.2">
      <c r="A183" s="53">
        <v>23043</v>
      </c>
      <c r="B183">
        <v>3</v>
      </c>
      <c r="C183">
        <v>3</v>
      </c>
      <c r="D183">
        <v>367.9</v>
      </c>
    </row>
    <row r="184" spans="1:4" x14ac:dyDescent="0.2">
      <c r="A184" s="53">
        <v>23071</v>
      </c>
      <c r="B184">
        <v>3</v>
      </c>
      <c r="C184">
        <v>2.98</v>
      </c>
      <c r="D184">
        <v>370.7</v>
      </c>
    </row>
    <row r="185" spans="1:4" x14ac:dyDescent="0.2">
      <c r="A185" s="53">
        <v>23102</v>
      </c>
      <c r="B185">
        <v>3</v>
      </c>
      <c r="C185">
        <v>2.9</v>
      </c>
      <c r="D185">
        <v>373.3</v>
      </c>
    </row>
    <row r="186" spans="1:4" x14ac:dyDescent="0.2">
      <c r="A186" s="53">
        <v>23132</v>
      </c>
      <c r="B186">
        <v>3</v>
      </c>
      <c r="C186">
        <v>3</v>
      </c>
      <c r="D186">
        <v>376.1</v>
      </c>
    </row>
    <row r="187" spans="1:4" x14ac:dyDescent="0.2">
      <c r="A187" s="53">
        <v>23163</v>
      </c>
      <c r="B187">
        <v>3</v>
      </c>
      <c r="C187">
        <v>2.99</v>
      </c>
      <c r="D187">
        <v>378.4</v>
      </c>
    </row>
    <row r="188" spans="1:4" x14ac:dyDescent="0.2">
      <c r="A188" s="53">
        <v>23193</v>
      </c>
      <c r="B188">
        <v>3.24</v>
      </c>
      <c r="C188">
        <v>3.02</v>
      </c>
      <c r="D188">
        <v>381.1</v>
      </c>
    </row>
    <row r="189" spans="1:4" x14ac:dyDescent="0.2">
      <c r="A189" s="53">
        <v>23224</v>
      </c>
      <c r="B189">
        <v>3.5</v>
      </c>
      <c r="C189">
        <v>3.49</v>
      </c>
      <c r="D189">
        <v>383.6</v>
      </c>
    </row>
    <row r="190" spans="1:4" x14ac:dyDescent="0.2">
      <c r="A190" s="53">
        <v>23255</v>
      </c>
      <c r="B190">
        <v>3.5</v>
      </c>
      <c r="C190">
        <v>3.48</v>
      </c>
      <c r="D190">
        <v>386</v>
      </c>
    </row>
    <row r="191" spans="1:4" x14ac:dyDescent="0.2">
      <c r="A191" s="53">
        <v>23285</v>
      </c>
      <c r="B191">
        <v>3.5</v>
      </c>
      <c r="C191">
        <v>3.5</v>
      </c>
      <c r="D191">
        <v>388.3</v>
      </c>
    </row>
    <row r="192" spans="1:4" x14ac:dyDescent="0.2">
      <c r="A192" s="53">
        <v>23316</v>
      </c>
      <c r="B192">
        <v>3.5</v>
      </c>
      <c r="C192">
        <v>3.48</v>
      </c>
      <c r="D192">
        <v>391.5</v>
      </c>
    </row>
    <row r="193" spans="1:4" x14ac:dyDescent="0.2">
      <c r="A193" s="53">
        <v>23346</v>
      </c>
      <c r="B193">
        <v>3.5</v>
      </c>
      <c r="C193">
        <v>3.38</v>
      </c>
      <c r="D193">
        <v>393.2</v>
      </c>
    </row>
    <row r="194" spans="1:4" x14ac:dyDescent="0.2">
      <c r="A194" s="53">
        <v>23377</v>
      </c>
      <c r="B194">
        <v>3.5</v>
      </c>
      <c r="C194">
        <v>3.48</v>
      </c>
      <c r="D194">
        <v>395.2</v>
      </c>
    </row>
    <row r="195" spans="1:4" x14ac:dyDescent="0.2">
      <c r="A195" s="53">
        <v>23408</v>
      </c>
      <c r="B195">
        <v>3.5</v>
      </c>
      <c r="C195">
        <v>3.48</v>
      </c>
      <c r="D195">
        <v>397.6</v>
      </c>
    </row>
    <row r="196" spans="1:4" x14ac:dyDescent="0.2">
      <c r="A196" s="53">
        <v>23437</v>
      </c>
      <c r="B196">
        <v>3.5</v>
      </c>
      <c r="C196">
        <v>3.43</v>
      </c>
      <c r="D196">
        <v>399.8</v>
      </c>
    </row>
    <row r="197" spans="1:4" x14ac:dyDescent="0.2">
      <c r="A197" s="53">
        <v>23468</v>
      </c>
      <c r="B197">
        <v>3.5</v>
      </c>
      <c r="C197">
        <v>3.47</v>
      </c>
      <c r="D197">
        <v>401.7</v>
      </c>
    </row>
    <row r="198" spans="1:4" x14ac:dyDescent="0.2">
      <c r="A198" s="53">
        <v>23498</v>
      </c>
      <c r="B198">
        <v>3.5</v>
      </c>
      <c r="C198">
        <v>3.5</v>
      </c>
      <c r="D198">
        <v>404.2</v>
      </c>
    </row>
    <row r="199" spans="1:4" x14ac:dyDescent="0.2">
      <c r="A199" s="53">
        <v>23529</v>
      </c>
      <c r="B199">
        <v>3.5</v>
      </c>
      <c r="C199">
        <v>3.5</v>
      </c>
      <c r="D199">
        <v>407.1</v>
      </c>
    </row>
    <row r="200" spans="1:4" x14ac:dyDescent="0.2">
      <c r="A200" s="53">
        <v>23559</v>
      </c>
      <c r="B200">
        <v>3.5</v>
      </c>
      <c r="C200">
        <v>3.42</v>
      </c>
      <c r="D200">
        <v>410.1</v>
      </c>
    </row>
    <row r="201" spans="1:4" x14ac:dyDescent="0.2">
      <c r="A201" s="53">
        <v>23590</v>
      </c>
      <c r="B201">
        <v>3.5</v>
      </c>
      <c r="C201">
        <v>3.5</v>
      </c>
      <c r="D201">
        <v>413.4</v>
      </c>
    </row>
    <row r="202" spans="1:4" x14ac:dyDescent="0.2">
      <c r="A202" s="53">
        <v>23621</v>
      </c>
      <c r="B202">
        <v>3.5</v>
      </c>
      <c r="C202">
        <v>3.45</v>
      </c>
      <c r="D202">
        <v>416.9</v>
      </c>
    </row>
    <row r="203" spans="1:4" x14ac:dyDescent="0.2">
      <c r="A203" s="53">
        <v>23651</v>
      </c>
      <c r="B203">
        <v>3.5</v>
      </c>
      <c r="C203">
        <v>3.36</v>
      </c>
      <c r="D203">
        <v>419.1</v>
      </c>
    </row>
    <row r="204" spans="1:4" x14ac:dyDescent="0.2">
      <c r="A204" s="53">
        <v>23682</v>
      </c>
      <c r="B204">
        <v>3.62</v>
      </c>
      <c r="C204">
        <v>3.52</v>
      </c>
      <c r="D204">
        <v>422</v>
      </c>
    </row>
    <row r="205" spans="1:4" x14ac:dyDescent="0.2">
      <c r="A205" s="53">
        <v>23712</v>
      </c>
      <c r="B205">
        <v>4</v>
      </c>
      <c r="C205">
        <v>3.85</v>
      </c>
      <c r="D205">
        <v>424.7</v>
      </c>
    </row>
    <row r="206" spans="1:4" x14ac:dyDescent="0.2">
      <c r="A206" s="53">
        <v>23743</v>
      </c>
      <c r="B206">
        <v>4</v>
      </c>
      <c r="C206">
        <v>3.9</v>
      </c>
      <c r="D206">
        <v>427.5</v>
      </c>
    </row>
    <row r="207" spans="1:4" x14ac:dyDescent="0.2">
      <c r="A207" s="53">
        <v>23774</v>
      </c>
      <c r="B207">
        <v>4</v>
      </c>
      <c r="C207">
        <v>3.98</v>
      </c>
      <c r="D207">
        <v>430.4</v>
      </c>
    </row>
    <row r="208" spans="1:4" x14ac:dyDescent="0.2">
      <c r="A208" s="53">
        <v>23802</v>
      </c>
      <c r="B208">
        <v>4</v>
      </c>
      <c r="C208">
        <v>4.05</v>
      </c>
      <c r="D208">
        <v>433.2</v>
      </c>
    </row>
    <row r="209" spans="1:4" x14ac:dyDescent="0.2">
      <c r="A209" s="53">
        <v>23833</v>
      </c>
      <c r="B209">
        <v>4</v>
      </c>
      <c r="C209">
        <v>4.09</v>
      </c>
      <c r="D209">
        <v>435.4</v>
      </c>
    </row>
    <row r="210" spans="1:4" x14ac:dyDescent="0.2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3">
        <v>23894</v>
      </c>
      <c r="B211">
        <v>4</v>
      </c>
      <c r="C211">
        <v>4.05</v>
      </c>
      <c r="D211">
        <v>440.1</v>
      </c>
    </row>
    <row r="212" spans="1:4" x14ac:dyDescent="0.2">
      <c r="A212" s="53">
        <v>23924</v>
      </c>
      <c r="B212">
        <v>4</v>
      </c>
      <c r="C212">
        <v>4.09</v>
      </c>
      <c r="D212">
        <v>442.9</v>
      </c>
    </row>
    <row r="213" spans="1:4" x14ac:dyDescent="0.2">
      <c r="A213" s="53">
        <v>23955</v>
      </c>
      <c r="B213">
        <v>4</v>
      </c>
      <c r="C213">
        <v>4.12</v>
      </c>
      <c r="D213">
        <v>445.8</v>
      </c>
    </row>
    <row r="214" spans="1:4" x14ac:dyDescent="0.2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3">
        <v>24016</v>
      </c>
      <c r="B215">
        <v>4</v>
      </c>
      <c r="C215">
        <v>4.08</v>
      </c>
      <c r="D215">
        <v>452.6</v>
      </c>
    </row>
    <row r="216" spans="1:4" x14ac:dyDescent="0.2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3">
        <v>24077</v>
      </c>
      <c r="B217">
        <v>4.42</v>
      </c>
      <c r="C217">
        <v>4.32</v>
      </c>
      <c r="D217">
        <v>459.2</v>
      </c>
    </row>
    <row r="218" spans="1:4" x14ac:dyDescent="0.2">
      <c r="A218" s="53">
        <v>24108</v>
      </c>
      <c r="B218">
        <v>4.5</v>
      </c>
      <c r="C218">
        <v>4.42</v>
      </c>
      <c r="D218">
        <v>462</v>
      </c>
    </row>
    <row r="219" spans="1:4" x14ac:dyDescent="0.2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3">
        <v>24167</v>
      </c>
      <c r="B220">
        <v>4.5</v>
      </c>
      <c r="C220">
        <v>4.66</v>
      </c>
      <c r="D220">
        <v>467.2</v>
      </c>
    </row>
    <row r="221" spans="1:4" x14ac:dyDescent="0.2">
      <c r="A221" s="53">
        <v>24198</v>
      </c>
      <c r="B221">
        <v>4.5</v>
      </c>
      <c r="C221">
        <v>4.67</v>
      </c>
      <c r="D221">
        <v>469.3</v>
      </c>
    </row>
    <row r="222" spans="1:4" x14ac:dyDescent="0.2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3">
        <v>24259</v>
      </c>
      <c r="B223">
        <v>4.5</v>
      </c>
      <c r="C223">
        <v>5.17</v>
      </c>
      <c r="D223">
        <v>471.2</v>
      </c>
    </row>
    <row r="224" spans="1:4" x14ac:dyDescent="0.2">
      <c r="A224" s="53">
        <v>24289</v>
      </c>
      <c r="B224">
        <v>4.5</v>
      </c>
      <c r="C224">
        <v>5.3</v>
      </c>
      <c r="D224">
        <v>470.9</v>
      </c>
    </row>
    <row r="225" spans="1:4" x14ac:dyDescent="0.2">
      <c r="A225" s="53">
        <v>24320</v>
      </c>
      <c r="B225">
        <v>4.5</v>
      </c>
      <c r="C225">
        <v>5.53</v>
      </c>
      <c r="D225">
        <v>472.6</v>
      </c>
    </row>
    <row r="226" spans="1:4" x14ac:dyDescent="0.2">
      <c r="A226" s="53">
        <v>24351</v>
      </c>
      <c r="B226">
        <v>4.5</v>
      </c>
      <c r="C226">
        <v>5.4</v>
      </c>
      <c r="D226">
        <v>475.4</v>
      </c>
    </row>
    <row r="227" spans="1:4" x14ac:dyDescent="0.2">
      <c r="A227" s="53">
        <v>24381</v>
      </c>
      <c r="B227">
        <v>4.5</v>
      </c>
      <c r="C227">
        <v>5.53</v>
      </c>
      <c r="D227">
        <v>475.7</v>
      </c>
    </row>
    <row r="228" spans="1:4" x14ac:dyDescent="0.2">
      <c r="A228" s="53">
        <v>24412</v>
      </c>
      <c r="B228">
        <v>4.5</v>
      </c>
      <c r="C228">
        <v>5.76</v>
      </c>
      <c r="D228">
        <v>477.3</v>
      </c>
    </row>
    <row r="229" spans="1:4" x14ac:dyDescent="0.2">
      <c r="A229" s="53">
        <v>24442</v>
      </c>
      <c r="B229">
        <v>4.5</v>
      </c>
      <c r="C229">
        <v>5.4</v>
      </c>
      <c r="D229">
        <v>480.2</v>
      </c>
    </row>
    <row r="230" spans="1:4" x14ac:dyDescent="0.2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3">
        <v>24504</v>
      </c>
      <c r="B231">
        <v>4.5</v>
      </c>
      <c r="C231">
        <v>5</v>
      </c>
      <c r="D231">
        <v>485.1</v>
      </c>
    </row>
    <row r="232" spans="1:4" x14ac:dyDescent="0.2">
      <c r="A232" s="53">
        <v>24532</v>
      </c>
      <c r="B232">
        <v>4.5</v>
      </c>
      <c r="C232">
        <v>4.53</v>
      </c>
      <c r="D232">
        <v>489.7</v>
      </c>
    </row>
    <row r="233" spans="1:4" x14ac:dyDescent="0.2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3">
        <v>24593</v>
      </c>
      <c r="B234">
        <v>4</v>
      </c>
      <c r="C234">
        <v>3.94</v>
      </c>
      <c r="D234">
        <v>497.2</v>
      </c>
    </row>
    <row r="235" spans="1:4" x14ac:dyDescent="0.2">
      <c r="A235" s="53">
        <v>24624</v>
      </c>
      <c r="B235">
        <v>4</v>
      </c>
      <c r="C235">
        <v>3.98</v>
      </c>
      <c r="D235">
        <v>502</v>
      </c>
    </row>
    <row r="236" spans="1:4" x14ac:dyDescent="0.2">
      <c r="A236" s="53">
        <v>24654</v>
      </c>
      <c r="B236">
        <v>4</v>
      </c>
      <c r="C236">
        <v>3.79</v>
      </c>
      <c r="D236">
        <v>506.3</v>
      </c>
    </row>
    <row r="237" spans="1:4" x14ac:dyDescent="0.2">
      <c r="A237" s="53">
        <v>24685</v>
      </c>
      <c r="B237">
        <v>4</v>
      </c>
      <c r="C237">
        <v>3.9</v>
      </c>
      <c r="D237">
        <v>510.8</v>
      </c>
    </row>
    <row r="238" spans="1:4" x14ac:dyDescent="0.2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3">
        <v>24869</v>
      </c>
      <c r="B243">
        <v>4.5</v>
      </c>
      <c r="C243">
        <v>4.71</v>
      </c>
      <c r="D243">
        <v>530.4</v>
      </c>
    </row>
    <row r="244" spans="1:4" x14ac:dyDescent="0.2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3">
        <v>24959</v>
      </c>
      <c r="B246">
        <v>5.5</v>
      </c>
      <c r="C246">
        <v>6.12</v>
      </c>
      <c r="D246">
        <v>538.9</v>
      </c>
    </row>
    <row r="247" spans="1:4" x14ac:dyDescent="0.2">
      <c r="A247" s="53">
        <v>24990</v>
      </c>
      <c r="B247">
        <v>5.5</v>
      </c>
      <c r="C247">
        <v>6.07</v>
      </c>
      <c r="D247">
        <v>542.6</v>
      </c>
    </row>
    <row r="248" spans="1:4" x14ac:dyDescent="0.2">
      <c r="A248" s="53">
        <v>25020</v>
      </c>
      <c r="B248">
        <v>5.5</v>
      </c>
      <c r="C248">
        <v>6.03</v>
      </c>
      <c r="D248">
        <v>545.6</v>
      </c>
    </row>
    <row r="249" spans="1:4" x14ac:dyDescent="0.2">
      <c r="A249" s="53">
        <v>25051</v>
      </c>
      <c r="B249">
        <v>5.48</v>
      </c>
      <c r="C249">
        <v>6.03</v>
      </c>
      <c r="D249">
        <v>549.4</v>
      </c>
    </row>
    <row r="250" spans="1:4" x14ac:dyDescent="0.2">
      <c r="A250" s="53">
        <v>25082</v>
      </c>
      <c r="B250">
        <v>5.25</v>
      </c>
      <c r="C250">
        <v>5.78</v>
      </c>
      <c r="D250">
        <v>553.6</v>
      </c>
    </row>
    <row r="251" spans="1:4" x14ac:dyDescent="0.2">
      <c r="A251" s="53">
        <v>25112</v>
      </c>
      <c r="B251">
        <v>5.25</v>
      </c>
      <c r="C251">
        <v>5.91</v>
      </c>
      <c r="D251">
        <v>557.6</v>
      </c>
    </row>
    <row r="252" spans="1:4" x14ac:dyDescent="0.2">
      <c r="A252" s="53">
        <v>25143</v>
      </c>
      <c r="B252">
        <v>5.25</v>
      </c>
      <c r="C252">
        <v>5.82</v>
      </c>
      <c r="D252">
        <v>562.4</v>
      </c>
    </row>
    <row r="253" spans="1:4" x14ac:dyDescent="0.2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3">
        <v>25235</v>
      </c>
      <c r="B255">
        <v>5.5</v>
      </c>
      <c r="C255">
        <v>6.61</v>
      </c>
      <c r="D255">
        <v>571.9</v>
      </c>
    </row>
    <row r="256" spans="1:4" x14ac:dyDescent="0.2">
      <c r="A256" s="53">
        <v>25263</v>
      </c>
      <c r="B256">
        <v>5.5</v>
      </c>
      <c r="C256">
        <v>6.79</v>
      </c>
      <c r="D256">
        <v>574.4</v>
      </c>
    </row>
    <row r="257" spans="1:4" x14ac:dyDescent="0.2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3">
        <v>25324</v>
      </c>
      <c r="B258">
        <v>6</v>
      </c>
      <c r="C258">
        <v>8.67</v>
      </c>
      <c r="D258">
        <v>576.5</v>
      </c>
    </row>
    <row r="259" spans="1:4" x14ac:dyDescent="0.2">
      <c r="A259" s="53">
        <v>25355</v>
      </c>
      <c r="B259">
        <v>6</v>
      </c>
      <c r="C259">
        <v>8.9</v>
      </c>
      <c r="D259">
        <v>578.5</v>
      </c>
    </row>
    <row r="260" spans="1:4" x14ac:dyDescent="0.2">
      <c r="A260" s="53">
        <v>25385</v>
      </c>
      <c r="B260">
        <v>6</v>
      </c>
      <c r="C260">
        <v>8.61</v>
      </c>
      <c r="D260">
        <v>579.5</v>
      </c>
    </row>
    <row r="261" spans="1:4" x14ac:dyDescent="0.2">
      <c r="A261" s="53">
        <v>25416</v>
      </c>
      <c r="B261">
        <v>6</v>
      </c>
      <c r="C261">
        <v>9.19</v>
      </c>
      <c r="D261">
        <v>580.1</v>
      </c>
    </row>
    <row r="262" spans="1:4" x14ac:dyDescent="0.2">
      <c r="A262" s="53">
        <v>25447</v>
      </c>
      <c r="B262">
        <v>6</v>
      </c>
      <c r="C262">
        <v>9.15</v>
      </c>
      <c r="D262">
        <v>582.1</v>
      </c>
    </row>
    <row r="263" spans="1:4" x14ac:dyDescent="0.2">
      <c r="A263" s="53">
        <v>25477</v>
      </c>
      <c r="B263">
        <v>6</v>
      </c>
      <c r="C263">
        <v>9</v>
      </c>
      <c r="D263">
        <v>583.4</v>
      </c>
    </row>
    <row r="264" spans="1:4" x14ac:dyDescent="0.2">
      <c r="A264" s="53">
        <v>25508</v>
      </c>
      <c r="B264">
        <v>6</v>
      </c>
      <c r="C264">
        <v>8.85</v>
      </c>
      <c r="D264">
        <v>585.4</v>
      </c>
    </row>
    <row r="265" spans="1:4" x14ac:dyDescent="0.2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3">
        <v>25569</v>
      </c>
      <c r="B266">
        <v>6</v>
      </c>
      <c r="C266">
        <v>8.98</v>
      </c>
      <c r="D266">
        <v>589.6</v>
      </c>
    </row>
    <row r="267" spans="1:4" x14ac:dyDescent="0.2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3">
        <v>25659</v>
      </c>
      <c r="B269">
        <v>6</v>
      </c>
      <c r="C269">
        <v>8.1</v>
      </c>
      <c r="D269">
        <v>588.4</v>
      </c>
    </row>
    <row r="270" spans="1:4" x14ac:dyDescent="0.2">
      <c r="A270" s="53">
        <v>25689</v>
      </c>
      <c r="B270">
        <v>6</v>
      </c>
      <c r="C270">
        <v>7.95</v>
      </c>
      <c r="D270">
        <v>591.5</v>
      </c>
    </row>
    <row r="271" spans="1:4" x14ac:dyDescent="0.2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3">
        <v>25750</v>
      </c>
      <c r="B272">
        <v>6</v>
      </c>
      <c r="C272">
        <v>7.21</v>
      </c>
      <c r="D272">
        <v>599.1</v>
      </c>
    </row>
    <row r="273" spans="1:4" x14ac:dyDescent="0.2">
      <c r="A273" s="53">
        <v>25781</v>
      </c>
      <c r="B273">
        <v>6</v>
      </c>
      <c r="C273">
        <v>6.62</v>
      </c>
      <c r="D273">
        <v>604.9</v>
      </c>
    </row>
    <row r="274" spans="1:4" x14ac:dyDescent="0.2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3">
        <v>25842</v>
      </c>
      <c r="B275">
        <v>6</v>
      </c>
      <c r="C275">
        <v>6.2</v>
      </c>
      <c r="D275">
        <v>616.4</v>
      </c>
    </row>
    <row r="276" spans="1:4" x14ac:dyDescent="0.2">
      <c r="A276" s="53">
        <v>25873</v>
      </c>
      <c r="B276">
        <v>5.85</v>
      </c>
      <c r="C276">
        <v>5.6</v>
      </c>
      <c r="D276">
        <v>621.1</v>
      </c>
    </row>
    <row r="277" spans="1:4" x14ac:dyDescent="0.2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3">
        <v>25965</v>
      </c>
      <c r="B279">
        <v>4.91</v>
      </c>
      <c r="C279">
        <v>3.72</v>
      </c>
      <c r="D279">
        <v>641</v>
      </c>
    </row>
    <row r="280" spans="1:4" x14ac:dyDescent="0.2">
      <c r="A280" s="53">
        <v>25993</v>
      </c>
      <c r="B280">
        <v>4.75</v>
      </c>
      <c r="C280">
        <v>3.71</v>
      </c>
      <c r="D280">
        <v>649.9</v>
      </c>
    </row>
    <row r="281" spans="1:4" x14ac:dyDescent="0.2">
      <c r="A281" s="53">
        <v>26024</v>
      </c>
      <c r="B281">
        <v>4.75</v>
      </c>
      <c r="C281">
        <v>4.16</v>
      </c>
      <c r="D281">
        <v>658.4</v>
      </c>
    </row>
    <row r="282" spans="1:4" x14ac:dyDescent="0.2">
      <c r="A282" s="53">
        <v>26054</v>
      </c>
      <c r="B282">
        <v>4.75</v>
      </c>
      <c r="C282">
        <v>4.63</v>
      </c>
      <c r="D282">
        <v>666.7</v>
      </c>
    </row>
    <row r="283" spans="1:4" x14ac:dyDescent="0.2">
      <c r="A283" s="53">
        <v>26085</v>
      </c>
      <c r="B283">
        <v>4.75</v>
      </c>
      <c r="C283">
        <v>4.91</v>
      </c>
      <c r="D283">
        <v>673</v>
      </c>
    </row>
    <row r="284" spans="1:4" x14ac:dyDescent="0.2">
      <c r="A284" s="53">
        <v>26115</v>
      </c>
      <c r="B284">
        <v>4.88</v>
      </c>
      <c r="C284">
        <v>5.31</v>
      </c>
      <c r="D284">
        <v>679.6</v>
      </c>
    </row>
    <row r="285" spans="1:4" x14ac:dyDescent="0.2">
      <c r="A285" s="53">
        <v>26146</v>
      </c>
      <c r="B285">
        <v>5</v>
      </c>
      <c r="C285">
        <v>5.57</v>
      </c>
      <c r="D285">
        <v>685.5</v>
      </c>
    </row>
    <row r="286" spans="1:4" x14ac:dyDescent="0.2">
      <c r="A286" s="53">
        <v>26177</v>
      </c>
      <c r="B286">
        <v>5</v>
      </c>
      <c r="C286">
        <v>5.55</v>
      </c>
      <c r="D286">
        <v>692.5</v>
      </c>
    </row>
    <row r="287" spans="1:4" x14ac:dyDescent="0.2">
      <c r="A287" s="53">
        <v>26207</v>
      </c>
      <c r="B287">
        <v>5</v>
      </c>
      <c r="C287">
        <v>5.2</v>
      </c>
      <c r="D287">
        <v>698.4</v>
      </c>
    </row>
    <row r="288" spans="1:4" x14ac:dyDescent="0.2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3">
        <v>26299</v>
      </c>
      <c r="B290">
        <v>4.5</v>
      </c>
      <c r="C290">
        <v>3.51</v>
      </c>
      <c r="D290">
        <v>717.7</v>
      </c>
    </row>
    <row r="291" spans="1:4" x14ac:dyDescent="0.2">
      <c r="A291" s="53">
        <v>26330</v>
      </c>
      <c r="B291">
        <v>4.5</v>
      </c>
      <c r="C291">
        <v>3.3</v>
      </c>
      <c r="D291">
        <v>725.7</v>
      </c>
    </row>
    <row r="292" spans="1:4" x14ac:dyDescent="0.2">
      <c r="A292" s="53">
        <v>26359</v>
      </c>
      <c r="B292">
        <v>4.5</v>
      </c>
      <c r="C292">
        <v>3.83</v>
      </c>
      <c r="D292">
        <v>733.5</v>
      </c>
    </row>
    <row r="293" spans="1:4" x14ac:dyDescent="0.2">
      <c r="A293" s="53">
        <v>26390</v>
      </c>
      <c r="B293">
        <v>4.5</v>
      </c>
      <c r="C293">
        <v>4.17</v>
      </c>
      <c r="D293">
        <v>738.4</v>
      </c>
    </row>
    <row r="294" spans="1:4" x14ac:dyDescent="0.2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3">
        <v>26451</v>
      </c>
      <c r="B295">
        <v>4.5</v>
      </c>
      <c r="C295">
        <v>4.46</v>
      </c>
      <c r="D295">
        <v>749.7</v>
      </c>
    </row>
    <row r="296" spans="1:4" x14ac:dyDescent="0.2">
      <c r="A296" s="53">
        <v>26481</v>
      </c>
      <c r="B296">
        <v>4.5</v>
      </c>
      <c r="C296">
        <v>4.55</v>
      </c>
      <c r="D296">
        <v>759.5</v>
      </c>
    </row>
    <row r="297" spans="1:4" x14ac:dyDescent="0.2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3">
        <v>26543</v>
      </c>
      <c r="B298">
        <v>4.5</v>
      </c>
      <c r="C298">
        <v>4.87</v>
      </c>
      <c r="D298">
        <v>778.3</v>
      </c>
    </row>
    <row r="299" spans="1:4" x14ac:dyDescent="0.2">
      <c r="A299" s="53">
        <v>26573</v>
      </c>
      <c r="B299">
        <v>4.5</v>
      </c>
      <c r="C299">
        <v>5.05</v>
      </c>
      <c r="D299">
        <v>786.9</v>
      </c>
    </row>
    <row r="300" spans="1:4" x14ac:dyDescent="0.2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3">
        <v>26634</v>
      </c>
      <c r="B301">
        <v>4.5</v>
      </c>
      <c r="C301">
        <v>5.33</v>
      </c>
      <c r="D301">
        <v>802.3</v>
      </c>
    </row>
    <row r="302" spans="1:4" x14ac:dyDescent="0.2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3">
        <v>26696</v>
      </c>
      <c r="B303">
        <v>5.05</v>
      </c>
      <c r="C303">
        <v>6.58</v>
      </c>
      <c r="D303">
        <v>814.1</v>
      </c>
    </row>
    <row r="304" spans="1:4" x14ac:dyDescent="0.2">
      <c r="A304" s="53">
        <v>26724</v>
      </c>
      <c r="B304">
        <v>5.5</v>
      </c>
      <c r="C304">
        <v>7.09</v>
      </c>
      <c r="D304">
        <v>815.3</v>
      </c>
    </row>
    <row r="305" spans="1:4" x14ac:dyDescent="0.2">
      <c r="A305" s="53">
        <v>26755</v>
      </c>
      <c r="B305">
        <v>5.5</v>
      </c>
      <c r="C305">
        <v>7.12</v>
      </c>
      <c r="D305">
        <v>819.7</v>
      </c>
    </row>
    <row r="306" spans="1:4" x14ac:dyDescent="0.2">
      <c r="A306" s="53">
        <v>26785</v>
      </c>
      <c r="B306">
        <v>5.9</v>
      </c>
      <c r="C306">
        <v>7.84</v>
      </c>
      <c r="D306">
        <v>826.8</v>
      </c>
    </row>
    <row r="307" spans="1:4" x14ac:dyDescent="0.2">
      <c r="A307" s="53">
        <v>26816</v>
      </c>
      <c r="B307">
        <v>6.33</v>
      </c>
      <c r="C307">
        <v>8.49</v>
      </c>
      <c r="D307">
        <v>833.3</v>
      </c>
    </row>
    <row r="308" spans="1:4" x14ac:dyDescent="0.2">
      <c r="A308" s="53">
        <v>26846</v>
      </c>
      <c r="B308">
        <v>6.98</v>
      </c>
      <c r="C308">
        <v>10.4</v>
      </c>
      <c r="D308">
        <v>836.5</v>
      </c>
    </row>
    <row r="309" spans="1:4" x14ac:dyDescent="0.2">
      <c r="A309" s="53">
        <v>26877</v>
      </c>
      <c r="B309">
        <v>7.29</v>
      </c>
      <c r="C309">
        <v>10.5</v>
      </c>
      <c r="D309">
        <v>838.8</v>
      </c>
    </row>
    <row r="310" spans="1:4" x14ac:dyDescent="0.2">
      <c r="A310" s="53">
        <v>26908</v>
      </c>
      <c r="B310">
        <v>7.5</v>
      </c>
      <c r="C310">
        <v>10.78</v>
      </c>
      <c r="D310">
        <v>839.3</v>
      </c>
    </row>
    <row r="311" spans="1:4" x14ac:dyDescent="0.2">
      <c r="A311" s="53">
        <v>26938</v>
      </c>
      <c r="B311">
        <v>7.5</v>
      </c>
      <c r="C311">
        <v>10.01</v>
      </c>
      <c r="D311">
        <v>842.6</v>
      </c>
    </row>
    <row r="312" spans="1:4" x14ac:dyDescent="0.2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3">
        <v>27030</v>
      </c>
      <c r="B314">
        <v>7.5</v>
      </c>
      <c r="C314">
        <v>9.65</v>
      </c>
      <c r="D314">
        <v>859.7</v>
      </c>
    </row>
    <row r="315" spans="1:4" x14ac:dyDescent="0.2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3">
        <v>27089</v>
      </c>
      <c r="B316">
        <v>7.5</v>
      </c>
      <c r="C316">
        <v>9.35</v>
      </c>
      <c r="D316">
        <v>870.1</v>
      </c>
    </row>
    <row r="317" spans="1:4" x14ac:dyDescent="0.2">
      <c r="A317" s="53">
        <v>27120</v>
      </c>
      <c r="B317">
        <v>7.6</v>
      </c>
      <c r="C317">
        <v>10.51</v>
      </c>
      <c r="D317">
        <v>872.9</v>
      </c>
    </row>
    <row r="318" spans="1:4" x14ac:dyDescent="0.2">
      <c r="A318" s="53">
        <v>27150</v>
      </c>
      <c r="B318">
        <v>8</v>
      </c>
      <c r="C318">
        <v>11.31</v>
      </c>
      <c r="D318">
        <v>874.6</v>
      </c>
    </row>
    <row r="319" spans="1:4" x14ac:dyDescent="0.2">
      <c r="A319" s="53">
        <v>27181</v>
      </c>
      <c r="B319">
        <v>8</v>
      </c>
      <c r="C319">
        <v>11.93</v>
      </c>
      <c r="D319">
        <v>877.8</v>
      </c>
    </row>
    <row r="320" spans="1:4" x14ac:dyDescent="0.2">
      <c r="A320" s="53">
        <v>27211</v>
      </c>
      <c r="B320">
        <v>8</v>
      </c>
      <c r="C320">
        <v>12.92</v>
      </c>
      <c r="D320">
        <v>881.4</v>
      </c>
    </row>
    <row r="321" spans="1:4" x14ac:dyDescent="0.2">
      <c r="A321" s="53">
        <v>27242</v>
      </c>
      <c r="B321">
        <v>8</v>
      </c>
      <c r="C321">
        <v>12.01</v>
      </c>
      <c r="D321">
        <v>884.1</v>
      </c>
    </row>
    <row r="322" spans="1:4" x14ac:dyDescent="0.2">
      <c r="A322" s="53">
        <v>27273</v>
      </c>
      <c r="B322">
        <v>8</v>
      </c>
      <c r="C322">
        <v>11.34</v>
      </c>
      <c r="D322">
        <v>887.9</v>
      </c>
    </row>
    <row r="323" spans="1:4" x14ac:dyDescent="0.2">
      <c r="A323" s="53">
        <v>27303</v>
      </c>
      <c r="B323">
        <v>8</v>
      </c>
      <c r="C323">
        <v>10.06</v>
      </c>
      <c r="D323">
        <v>893.3</v>
      </c>
    </row>
    <row r="324" spans="1:4" x14ac:dyDescent="0.2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3">
        <v>27395</v>
      </c>
      <c r="B326">
        <v>7.4</v>
      </c>
      <c r="C326">
        <v>7.13</v>
      </c>
      <c r="D326">
        <v>906.3</v>
      </c>
    </row>
    <row r="327" spans="1:4" x14ac:dyDescent="0.2">
      <c r="A327" s="53">
        <v>27426</v>
      </c>
      <c r="B327">
        <v>6.82</v>
      </c>
      <c r="C327">
        <v>6.24</v>
      </c>
      <c r="D327">
        <v>914.1</v>
      </c>
    </row>
    <row r="328" spans="1:4" x14ac:dyDescent="0.2">
      <c r="A328" s="53">
        <v>27454</v>
      </c>
      <c r="B328">
        <v>6.4</v>
      </c>
      <c r="C328">
        <v>5.54</v>
      </c>
      <c r="D328">
        <v>925</v>
      </c>
    </row>
    <row r="329" spans="1:4" x14ac:dyDescent="0.2">
      <c r="A329" s="53">
        <v>27485</v>
      </c>
      <c r="B329">
        <v>6.25</v>
      </c>
      <c r="C329">
        <v>5.49</v>
      </c>
      <c r="D329">
        <v>935.1</v>
      </c>
    </row>
    <row r="330" spans="1:4" x14ac:dyDescent="0.2">
      <c r="A330" s="53">
        <v>27515</v>
      </c>
      <c r="B330">
        <v>6.12</v>
      </c>
      <c r="C330">
        <v>5.22</v>
      </c>
      <c r="D330">
        <v>947.9</v>
      </c>
    </row>
    <row r="331" spans="1:4" x14ac:dyDescent="0.2">
      <c r="A331" s="53">
        <v>27546</v>
      </c>
      <c r="B331">
        <v>6</v>
      </c>
      <c r="C331">
        <v>5.55</v>
      </c>
      <c r="D331">
        <v>963</v>
      </c>
    </row>
    <row r="332" spans="1:4" x14ac:dyDescent="0.2">
      <c r="A332" s="53">
        <v>27576</v>
      </c>
      <c r="B332">
        <v>6</v>
      </c>
      <c r="C332">
        <v>6.1</v>
      </c>
      <c r="D332">
        <v>975.1</v>
      </c>
    </row>
    <row r="333" spans="1:4" x14ac:dyDescent="0.2">
      <c r="A333" s="53">
        <v>27607</v>
      </c>
      <c r="B333">
        <v>6</v>
      </c>
      <c r="C333">
        <v>6.14</v>
      </c>
      <c r="D333">
        <v>983.1</v>
      </c>
    </row>
    <row r="334" spans="1:4" x14ac:dyDescent="0.2">
      <c r="A334" s="53">
        <v>27638</v>
      </c>
      <c r="B334">
        <v>6</v>
      </c>
      <c r="C334">
        <v>6.24</v>
      </c>
      <c r="D334">
        <v>991.5</v>
      </c>
    </row>
    <row r="335" spans="1:4" x14ac:dyDescent="0.2">
      <c r="A335" s="53">
        <v>27668</v>
      </c>
      <c r="B335">
        <v>6</v>
      </c>
      <c r="C335">
        <v>5.82</v>
      </c>
      <c r="D335">
        <v>997.8</v>
      </c>
    </row>
    <row r="336" spans="1:4" x14ac:dyDescent="0.2">
      <c r="A336" s="53">
        <v>27699</v>
      </c>
      <c r="B336">
        <v>6</v>
      </c>
      <c r="C336">
        <v>5.22</v>
      </c>
      <c r="D336">
        <v>1006.9</v>
      </c>
    </row>
    <row r="337" spans="1:4" x14ac:dyDescent="0.2">
      <c r="A337" s="53">
        <v>27729</v>
      </c>
      <c r="B337">
        <v>6</v>
      </c>
      <c r="C337">
        <v>5.2</v>
      </c>
      <c r="D337">
        <v>1016.2</v>
      </c>
    </row>
    <row r="338" spans="1:4" x14ac:dyDescent="0.2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3">
        <v>27820</v>
      </c>
      <c r="B340">
        <v>5.5</v>
      </c>
      <c r="C340">
        <v>4.84</v>
      </c>
      <c r="D340">
        <v>1050</v>
      </c>
    </row>
    <row r="341" spans="1:4" x14ac:dyDescent="0.2">
      <c r="A341" s="53">
        <v>27851</v>
      </c>
      <c r="B341">
        <v>5.5</v>
      </c>
      <c r="C341">
        <v>4.82</v>
      </c>
      <c r="D341">
        <v>1060.8</v>
      </c>
    </row>
    <row r="342" spans="1:4" x14ac:dyDescent="0.2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3">
        <v>27942</v>
      </c>
      <c r="B344">
        <v>5.5</v>
      </c>
      <c r="C344">
        <v>5.31</v>
      </c>
      <c r="D344">
        <v>1086.3</v>
      </c>
    </row>
    <row r="345" spans="1:4" x14ac:dyDescent="0.2">
      <c r="A345" s="53">
        <v>27973</v>
      </c>
      <c r="B345">
        <v>5.5</v>
      </c>
      <c r="C345">
        <v>5.29</v>
      </c>
      <c r="D345">
        <v>1098.7</v>
      </c>
    </row>
    <row r="346" spans="1:4" x14ac:dyDescent="0.2">
      <c r="A346" s="53">
        <v>28004</v>
      </c>
      <c r="B346">
        <v>5.5</v>
      </c>
      <c r="C346">
        <v>5.25</v>
      </c>
      <c r="D346">
        <v>1110.8</v>
      </c>
    </row>
    <row r="347" spans="1:4" x14ac:dyDescent="0.2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3">
        <v>28065</v>
      </c>
      <c r="B348">
        <v>5.43</v>
      </c>
      <c r="C348">
        <v>4.95</v>
      </c>
      <c r="D348">
        <v>1138.2</v>
      </c>
    </row>
    <row r="349" spans="1:4" x14ac:dyDescent="0.2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3">
        <v>28246</v>
      </c>
      <c r="B354">
        <v>5.25</v>
      </c>
      <c r="C354">
        <v>5.35</v>
      </c>
      <c r="D354">
        <v>1209</v>
      </c>
    </row>
    <row r="355" spans="1:4" x14ac:dyDescent="0.2">
      <c r="A355" s="53">
        <v>28277</v>
      </c>
      <c r="B355">
        <v>5.25</v>
      </c>
      <c r="C355">
        <v>5.39</v>
      </c>
      <c r="D355">
        <v>1217.8</v>
      </c>
    </row>
    <row r="356" spans="1:4" x14ac:dyDescent="0.2">
      <c r="A356" s="53">
        <v>28307</v>
      </c>
      <c r="B356">
        <v>5.25</v>
      </c>
      <c r="C356">
        <v>5.42</v>
      </c>
      <c r="D356">
        <v>1226.7</v>
      </c>
    </row>
    <row r="357" spans="1:4" x14ac:dyDescent="0.2">
      <c r="A357" s="53">
        <v>28338</v>
      </c>
      <c r="B357">
        <v>5.27</v>
      </c>
      <c r="C357">
        <v>5.9</v>
      </c>
      <c r="D357">
        <v>1237</v>
      </c>
    </row>
    <row r="358" spans="1:4" x14ac:dyDescent="0.2">
      <c r="A358" s="53">
        <v>28369</v>
      </c>
      <c r="B358">
        <v>5.75</v>
      </c>
      <c r="C358">
        <v>6.14</v>
      </c>
      <c r="D358">
        <v>1246.2</v>
      </c>
    </row>
    <row r="359" spans="1:4" x14ac:dyDescent="0.2">
      <c r="A359" s="53">
        <v>28399</v>
      </c>
      <c r="B359">
        <v>5.8</v>
      </c>
      <c r="C359">
        <v>6.47</v>
      </c>
      <c r="D359">
        <v>1254</v>
      </c>
    </row>
    <row r="360" spans="1:4" x14ac:dyDescent="0.2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3">
        <v>28460</v>
      </c>
      <c r="B361">
        <v>6</v>
      </c>
      <c r="C361">
        <v>6.56</v>
      </c>
      <c r="D361">
        <v>1270.3</v>
      </c>
    </row>
    <row r="362" spans="1:4" x14ac:dyDescent="0.2">
      <c r="A362" s="53">
        <v>28491</v>
      </c>
      <c r="B362">
        <v>6.37</v>
      </c>
      <c r="C362">
        <v>6.7</v>
      </c>
      <c r="D362">
        <v>1279.7</v>
      </c>
    </row>
    <row r="363" spans="1:4" x14ac:dyDescent="0.2">
      <c r="A363" s="53">
        <v>28522</v>
      </c>
      <c r="B363">
        <v>6.5</v>
      </c>
      <c r="C363">
        <v>6.78</v>
      </c>
      <c r="D363">
        <v>1285.5</v>
      </c>
    </row>
    <row r="364" spans="1:4" x14ac:dyDescent="0.2">
      <c r="A364" s="53">
        <v>28550</v>
      </c>
      <c r="B364">
        <v>6.5</v>
      </c>
      <c r="C364">
        <v>6.79</v>
      </c>
      <c r="D364">
        <v>1292.2</v>
      </c>
    </row>
    <row r="365" spans="1:4" x14ac:dyDescent="0.2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3">
        <v>28611</v>
      </c>
      <c r="B366">
        <v>6.84</v>
      </c>
      <c r="C366">
        <v>7.36</v>
      </c>
      <c r="D366">
        <v>1310.5</v>
      </c>
    </row>
    <row r="367" spans="1:4" x14ac:dyDescent="0.2">
      <c r="A367" s="53">
        <v>28642</v>
      </c>
      <c r="B367">
        <v>7</v>
      </c>
      <c r="C367">
        <v>7.6</v>
      </c>
      <c r="D367">
        <v>1318.5</v>
      </c>
    </row>
    <row r="368" spans="1:4" x14ac:dyDescent="0.2">
      <c r="A368" s="53">
        <v>28672</v>
      </c>
      <c r="B368">
        <v>7.23</v>
      </c>
      <c r="C368">
        <v>7.81</v>
      </c>
      <c r="D368">
        <v>1324.1</v>
      </c>
    </row>
    <row r="369" spans="1:4" x14ac:dyDescent="0.2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3">
        <v>28795</v>
      </c>
      <c r="B372">
        <v>9.5</v>
      </c>
      <c r="C372">
        <v>9.76</v>
      </c>
      <c r="D372">
        <v>1359.1</v>
      </c>
    </row>
    <row r="373" spans="1:4" x14ac:dyDescent="0.2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3">
        <v>28856</v>
      </c>
      <c r="B374">
        <v>9.5</v>
      </c>
      <c r="C374">
        <v>10.07</v>
      </c>
      <c r="D374">
        <v>1371.6</v>
      </c>
    </row>
    <row r="375" spans="1:4" x14ac:dyDescent="0.2">
      <c r="A375" s="53">
        <v>28887</v>
      </c>
      <c r="B375">
        <v>9.5</v>
      </c>
      <c r="C375">
        <v>10.06</v>
      </c>
      <c r="D375">
        <v>1377.8</v>
      </c>
    </row>
    <row r="376" spans="1:4" x14ac:dyDescent="0.2">
      <c r="A376" s="53">
        <v>28915</v>
      </c>
      <c r="B376">
        <v>9.5</v>
      </c>
      <c r="C376">
        <v>10.09</v>
      </c>
      <c r="D376">
        <v>1387.8</v>
      </c>
    </row>
    <row r="377" spans="1:4" x14ac:dyDescent="0.2">
      <c r="A377" s="53">
        <v>28946</v>
      </c>
      <c r="B377">
        <v>9.5</v>
      </c>
      <c r="C377">
        <v>10.01</v>
      </c>
      <c r="D377">
        <v>1402.1</v>
      </c>
    </row>
    <row r="378" spans="1:4" x14ac:dyDescent="0.2">
      <c r="A378" s="53">
        <v>28976</v>
      </c>
      <c r="B378">
        <v>9.5</v>
      </c>
      <c r="C378">
        <v>10.24</v>
      </c>
      <c r="D378">
        <v>1410.2</v>
      </c>
    </row>
    <row r="379" spans="1:4" x14ac:dyDescent="0.2">
      <c r="A379" s="53">
        <v>29007</v>
      </c>
      <c r="B379">
        <v>9.5</v>
      </c>
      <c r="C379">
        <v>10.29</v>
      </c>
      <c r="D379">
        <v>1423</v>
      </c>
    </row>
    <row r="380" spans="1:4" x14ac:dyDescent="0.2">
      <c r="A380" s="53">
        <v>29037</v>
      </c>
      <c r="B380">
        <v>9.69</v>
      </c>
      <c r="C380">
        <v>10.47</v>
      </c>
      <c r="D380">
        <v>1434.8</v>
      </c>
    </row>
    <row r="381" spans="1:4" x14ac:dyDescent="0.2">
      <c r="A381" s="53">
        <v>29068</v>
      </c>
      <c r="B381">
        <v>10.24</v>
      </c>
      <c r="C381">
        <v>10.94</v>
      </c>
      <c r="D381">
        <v>1446.6</v>
      </c>
    </row>
    <row r="382" spans="1:4" x14ac:dyDescent="0.2">
      <c r="A382" s="53">
        <v>29099</v>
      </c>
      <c r="B382">
        <v>10.7</v>
      </c>
      <c r="C382">
        <v>11.43</v>
      </c>
      <c r="D382">
        <v>1454.1</v>
      </c>
    </row>
    <row r="383" spans="1:4" x14ac:dyDescent="0.2">
      <c r="A383" s="53">
        <v>29129</v>
      </c>
      <c r="B383">
        <v>11.77</v>
      </c>
      <c r="C383">
        <v>13.77</v>
      </c>
      <c r="D383">
        <v>1460.4</v>
      </c>
    </row>
    <row r="384" spans="1:4" x14ac:dyDescent="0.2">
      <c r="A384" s="53">
        <v>29160</v>
      </c>
      <c r="B384">
        <v>12</v>
      </c>
      <c r="C384">
        <v>13.18</v>
      </c>
      <c r="D384">
        <v>1465.9</v>
      </c>
    </row>
    <row r="385" spans="1:4" x14ac:dyDescent="0.2">
      <c r="A385" s="53">
        <v>29190</v>
      </c>
      <c r="B385">
        <v>12</v>
      </c>
      <c r="C385">
        <v>13.78</v>
      </c>
      <c r="D385">
        <v>1473.7</v>
      </c>
    </row>
    <row r="386" spans="1:4" x14ac:dyDescent="0.2">
      <c r="A386" s="53">
        <v>29221</v>
      </c>
      <c r="B386">
        <v>12</v>
      </c>
      <c r="C386">
        <v>13.82</v>
      </c>
      <c r="D386">
        <v>1482.7</v>
      </c>
    </row>
    <row r="387" spans="1:4" x14ac:dyDescent="0.2">
      <c r="A387" s="53">
        <v>29252</v>
      </c>
      <c r="B387">
        <v>12.52</v>
      </c>
      <c r="C387">
        <v>14.13</v>
      </c>
      <c r="D387">
        <v>1494.6</v>
      </c>
    </row>
    <row r="388" spans="1:4" x14ac:dyDescent="0.2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3">
        <v>29312</v>
      </c>
      <c r="B389">
        <v>13</v>
      </c>
      <c r="C389">
        <v>17.61</v>
      </c>
      <c r="D389">
        <v>1502.2</v>
      </c>
    </row>
    <row r="390" spans="1:4" x14ac:dyDescent="0.2">
      <c r="A390" s="53">
        <v>29342</v>
      </c>
      <c r="B390">
        <v>12.94</v>
      </c>
      <c r="C390">
        <v>10.98</v>
      </c>
      <c r="D390">
        <v>1512.3</v>
      </c>
    </row>
    <row r="391" spans="1:4" x14ac:dyDescent="0.2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3">
        <v>29434</v>
      </c>
      <c r="B393">
        <v>10</v>
      </c>
      <c r="C393">
        <v>9.61</v>
      </c>
      <c r="D393">
        <v>1561.5</v>
      </c>
    </row>
    <row r="394" spans="1:4" x14ac:dyDescent="0.2">
      <c r="A394" s="53">
        <v>29465</v>
      </c>
      <c r="B394">
        <v>10.17</v>
      </c>
      <c r="C394">
        <v>10.87</v>
      </c>
      <c r="D394">
        <v>1574</v>
      </c>
    </row>
    <row r="395" spans="1:4" x14ac:dyDescent="0.2">
      <c r="A395" s="53">
        <v>29495</v>
      </c>
      <c r="B395">
        <v>11</v>
      </c>
      <c r="C395">
        <v>12.81</v>
      </c>
      <c r="D395">
        <v>1584.8</v>
      </c>
    </row>
    <row r="396" spans="1:4" x14ac:dyDescent="0.2">
      <c r="A396" s="53">
        <v>29526</v>
      </c>
      <c r="B396">
        <v>11.47</v>
      </c>
      <c r="C396">
        <v>15.85</v>
      </c>
      <c r="D396">
        <v>1595.8</v>
      </c>
    </row>
    <row r="397" spans="1:4" x14ac:dyDescent="0.2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3">
        <v>29618</v>
      </c>
      <c r="B399">
        <v>13</v>
      </c>
      <c r="C399">
        <v>15.93</v>
      </c>
      <c r="D399">
        <v>1618.7</v>
      </c>
    </row>
    <row r="400" spans="1:4" x14ac:dyDescent="0.2">
      <c r="A400" s="53">
        <v>29646</v>
      </c>
      <c r="B400">
        <v>13</v>
      </c>
      <c r="C400">
        <v>14.7</v>
      </c>
      <c r="D400">
        <v>1636.6</v>
      </c>
    </row>
    <row r="401" spans="1:4" x14ac:dyDescent="0.2">
      <c r="A401" s="53">
        <v>29677</v>
      </c>
      <c r="B401">
        <v>13</v>
      </c>
      <c r="C401">
        <v>15.72</v>
      </c>
      <c r="D401">
        <v>1659.2</v>
      </c>
    </row>
    <row r="402" spans="1:4" x14ac:dyDescent="0.2">
      <c r="A402" s="53">
        <v>29707</v>
      </c>
      <c r="B402">
        <v>13.87</v>
      </c>
      <c r="C402">
        <v>18.52</v>
      </c>
      <c r="D402">
        <v>1664.2</v>
      </c>
    </row>
    <row r="403" spans="1:4" x14ac:dyDescent="0.2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3">
        <v>29768</v>
      </c>
      <c r="B404">
        <v>14</v>
      </c>
      <c r="C404">
        <v>19.04</v>
      </c>
      <c r="D404">
        <v>1681.9</v>
      </c>
    </row>
    <row r="405" spans="1:4" x14ac:dyDescent="0.2">
      <c r="A405" s="53">
        <v>29799</v>
      </c>
      <c r="B405">
        <v>14</v>
      </c>
      <c r="C405">
        <v>17.82</v>
      </c>
      <c r="D405">
        <v>1694.3</v>
      </c>
    </row>
    <row r="406" spans="1:4" x14ac:dyDescent="0.2">
      <c r="A406" s="53">
        <v>29830</v>
      </c>
      <c r="B406">
        <v>14</v>
      </c>
      <c r="C406">
        <v>15.87</v>
      </c>
      <c r="D406">
        <v>1706</v>
      </c>
    </row>
    <row r="407" spans="1:4" x14ac:dyDescent="0.2">
      <c r="A407" s="53">
        <v>29860</v>
      </c>
      <c r="B407">
        <v>14</v>
      </c>
      <c r="C407">
        <v>15.08</v>
      </c>
      <c r="D407">
        <v>1721.8</v>
      </c>
    </row>
    <row r="408" spans="1:4" x14ac:dyDescent="0.2">
      <c r="A408" s="53">
        <v>29891</v>
      </c>
      <c r="B408">
        <v>13.03</v>
      </c>
      <c r="C408">
        <v>13.31</v>
      </c>
      <c r="D408">
        <v>1736.1</v>
      </c>
    </row>
    <row r="409" spans="1:4" x14ac:dyDescent="0.2">
      <c r="A409" s="53">
        <v>29921</v>
      </c>
      <c r="B409">
        <v>12.1</v>
      </c>
      <c r="C409">
        <v>12.37</v>
      </c>
      <c r="D409">
        <v>1755.5</v>
      </c>
    </row>
    <row r="410" spans="1:4" x14ac:dyDescent="0.2">
      <c r="A410" s="53">
        <v>29952</v>
      </c>
      <c r="B410">
        <v>12</v>
      </c>
      <c r="C410">
        <v>13.22</v>
      </c>
      <c r="D410">
        <v>1770.4</v>
      </c>
    </row>
    <row r="411" spans="1:4" x14ac:dyDescent="0.2">
      <c r="A411" s="53">
        <v>29983</v>
      </c>
      <c r="B411">
        <v>12</v>
      </c>
      <c r="C411">
        <v>14.78</v>
      </c>
      <c r="D411">
        <v>1774.5</v>
      </c>
    </row>
    <row r="412" spans="1:4" x14ac:dyDescent="0.2">
      <c r="A412" s="53">
        <v>30011</v>
      </c>
      <c r="B412">
        <v>12</v>
      </c>
      <c r="C412">
        <v>14.68</v>
      </c>
      <c r="D412">
        <v>1786.5</v>
      </c>
    </row>
    <row r="413" spans="1:4" x14ac:dyDescent="0.2">
      <c r="A413" s="53">
        <v>30042</v>
      </c>
      <c r="B413">
        <v>12</v>
      </c>
      <c r="C413">
        <v>14.94</v>
      </c>
      <c r="D413">
        <v>1803.9</v>
      </c>
    </row>
    <row r="414" spans="1:4" x14ac:dyDescent="0.2">
      <c r="A414" s="53">
        <v>30072</v>
      </c>
      <c r="B414">
        <v>12</v>
      </c>
      <c r="C414">
        <v>14.45</v>
      </c>
      <c r="D414">
        <v>1815.4</v>
      </c>
    </row>
    <row r="415" spans="1:4" x14ac:dyDescent="0.2">
      <c r="A415" s="53">
        <v>30103</v>
      </c>
      <c r="B415">
        <v>12</v>
      </c>
      <c r="C415">
        <v>14.15</v>
      </c>
      <c r="D415">
        <v>1826</v>
      </c>
    </row>
    <row r="416" spans="1:4" x14ac:dyDescent="0.2">
      <c r="A416" s="53">
        <v>30133</v>
      </c>
      <c r="B416">
        <v>11.81</v>
      </c>
      <c r="C416">
        <v>12.59</v>
      </c>
      <c r="D416">
        <v>1831.5</v>
      </c>
    </row>
    <row r="417" spans="1:4" x14ac:dyDescent="0.2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3">
        <v>30195</v>
      </c>
      <c r="B418">
        <v>10</v>
      </c>
      <c r="C418">
        <v>10.31</v>
      </c>
      <c r="D418">
        <v>1858.4</v>
      </c>
    </row>
    <row r="419" spans="1:4" x14ac:dyDescent="0.2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3">
        <v>30317</v>
      </c>
      <c r="B422">
        <v>8.5</v>
      </c>
      <c r="C422">
        <v>8.68</v>
      </c>
      <c r="D422">
        <v>1959.4</v>
      </c>
    </row>
    <row r="423" spans="1:4" x14ac:dyDescent="0.2">
      <c r="A423" s="53">
        <v>30348</v>
      </c>
      <c r="B423">
        <v>8.5</v>
      </c>
      <c r="C423">
        <v>8.51</v>
      </c>
      <c r="D423">
        <v>1996.8</v>
      </c>
    </row>
    <row r="424" spans="1:4" x14ac:dyDescent="0.2">
      <c r="A424" s="53">
        <v>30376</v>
      </c>
      <c r="B424">
        <v>8.5</v>
      </c>
      <c r="C424">
        <v>8.77</v>
      </c>
      <c r="D424">
        <v>2015.2</v>
      </c>
    </row>
    <row r="425" spans="1:4" x14ac:dyDescent="0.2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3">
        <v>30468</v>
      </c>
      <c r="B427">
        <v>8.5</v>
      </c>
      <c r="C427">
        <v>8.98</v>
      </c>
      <c r="D427">
        <v>2053.5</v>
      </c>
    </row>
    <row r="428" spans="1:4" x14ac:dyDescent="0.2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3">
        <v>30529</v>
      </c>
      <c r="B429">
        <v>8.5</v>
      </c>
      <c r="C429">
        <v>9.56</v>
      </c>
      <c r="D429">
        <v>2074</v>
      </c>
    </row>
    <row r="430" spans="1:4" x14ac:dyDescent="0.2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3">
        <v>30803</v>
      </c>
      <c r="B438">
        <v>9</v>
      </c>
      <c r="C438">
        <v>10.32</v>
      </c>
      <c r="D438">
        <v>2204.1</v>
      </c>
    </row>
    <row r="439" spans="1:4" x14ac:dyDescent="0.2">
      <c r="A439" s="53">
        <v>30834</v>
      </c>
      <c r="B439">
        <v>9</v>
      </c>
      <c r="C439">
        <v>11.06</v>
      </c>
      <c r="D439">
        <v>2215.1</v>
      </c>
    </row>
    <row r="440" spans="1:4" x14ac:dyDescent="0.2">
      <c r="A440" s="53">
        <v>30864</v>
      </c>
      <c r="B440">
        <v>9</v>
      </c>
      <c r="C440">
        <v>11.23</v>
      </c>
      <c r="D440">
        <v>2223.5</v>
      </c>
    </row>
    <row r="441" spans="1:4" x14ac:dyDescent="0.2">
      <c r="A441" s="53">
        <v>30895</v>
      </c>
      <c r="B441">
        <v>9</v>
      </c>
      <c r="C441">
        <v>11.64</v>
      </c>
      <c r="D441">
        <v>2230.4</v>
      </c>
    </row>
    <row r="442" spans="1:4" x14ac:dyDescent="0.2">
      <c r="A442" s="53">
        <v>30926</v>
      </c>
      <c r="B442">
        <v>9</v>
      </c>
      <c r="C442">
        <v>11.3</v>
      </c>
      <c r="D442">
        <v>2244.4</v>
      </c>
    </row>
    <row r="443" spans="1:4" x14ac:dyDescent="0.2">
      <c r="A443" s="53">
        <v>30956</v>
      </c>
      <c r="B443">
        <v>9</v>
      </c>
      <c r="C443">
        <v>9.99</v>
      </c>
      <c r="D443">
        <v>2258.9</v>
      </c>
    </row>
    <row r="444" spans="1:4" x14ac:dyDescent="0.2">
      <c r="A444" s="53">
        <v>30987</v>
      </c>
      <c r="B444">
        <v>8.83</v>
      </c>
      <c r="C444">
        <v>9.43</v>
      </c>
      <c r="D444">
        <v>2281.4</v>
      </c>
    </row>
    <row r="445" spans="1:4" x14ac:dyDescent="0.2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3">
        <v>31048</v>
      </c>
      <c r="B446">
        <v>8</v>
      </c>
      <c r="C446">
        <v>8.35</v>
      </c>
      <c r="D446">
        <v>2332.4</v>
      </c>
    </row>
    <row r="447" spans="1:4" x14ac:dyDescent="0.2">
      <c r="A447" s="53">
        <v>31079</v>
      </c>
      <c r="B447">
        <v>8</v>
      </c>
      <c r="C447">
        <v>8.5</v>
      </c>
      <c r="D447">
        <v>2354.1</v>
      </c>
    </row>
    <row r="448" spans="1:4" x14ac:dyDescent="0.2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3">
        <v>31138</v>
      </c>
      <c r="B449">
        <v>8</v>
      </c>
      <c r="C449">
        <v>8.27</v>
      </c>
      <c r="D449">
        <v>2375.4</v>
      </c>
    </row>
    <row r="450" spans="1:4" x14ac:dyDescent="0.2">
      <c r="A450" s="53">
        <v>31168</v>
      </c>
      <c r="B450">
        <v>7.81</v>
      </c>
      <c r="C450">
        <v>7.97</v>
      </c>
      <c r="D450">
        <v>2389.5</v>
      </c>
    </row>
    <row r="451" spans="1:4" x14ac:dyDescent="0.2">
      <c r="A451" s="53">
        <v>31199</v>
      </c>
      <c r="B451">
        <v>7.5</v>
      </c>
      <c r="C451">
        <v>7.53</v>
      </c>
      <c r="D451">
        <v>2412.6</v>
      </c>
    </row>
    <row r="452" spans="1:4" x14ac:dyDescent="0.2">
      <c r="A452" s="53">
        <v>31229</v>
      </c>
      <c r="B452">
        <v>7.5</v>
      </c>
      <c r="C452">
        <v>7.88</v>
      </c>
      <c r="D452">
        <v>2429.5</v>
      </c>
    </row>
    <row r="453" spans="1:4" x14ac:dyDescent="0.2">
      <c r="A453" s="53">
        <v>31260</v>
      </c>
      <c r="B453">
        <v>7.5</v>
      </c>
      <c r="C453">
        <v>7.9</v>
      </c>
      <c r="D453">
        <v>2444</v>
      </c>
    </row>
    <row r="454" spans="1:4" x14ac:dyDescent="0.2">
      <c r="A454" s="53">
        <v>31291</v>
      </c>
      <c r="B454">
        <v>7.5</v>
      </c>
      <c r="C454">
        <v>7.92</v>
      </c>
      <c r="D454">
        <v>2456.4</v>
      </c>
    </row>
    <row r="455" spans="1:4" x14ac:dyDescent="0.2">
      <c r="A455" s="53">
        <v>31321</v>
      </c>
      <c r="B455">
        <v>7.5</v>
      </c>
      <c r="C455">
        <v>7.99</v>
      </c>
      <c r="D455">
        <v>2468</v>
      </c>
    </row>
    <row r="456" spans="1:4" x14ac:dyDescent="0.2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3">
        <v>31382</v>
      </c>
      <c r="B457">
        <v>7.5</v>
      </c>
      <c r="C457">
        <v>8.27</v>
      </c>
      <c r="D457">
        <v>2492.1</v>
      </c>
    </row>
    <row r="458" spans="1:4" x14ac:dyDescent="0.2">
      <c r="A458" s="53">
        <v>31413</v>
      </c>
      <c r="B458">
        <v>7.5</v>
      </c>
      <c r="C458">
        <v>8.14</v>
      </c>
      <c r="D458">
        <v>2502.1</v>
      </c>
    </row>
    <row r="459" spans="1:4" x14ac:dyDescent="0.2">
      <c r="A459" s="53">
        <v>31444</v>
      </c>
      <c r="B459">
        <v>7.5</v>
      </c>
      <c r="C459">
        <v>7.86</v>
      </c>
      <c r="D459">
        <v>2512.9</v>
      </c>
    </row>
    <row r="460" spans="1:4" x14ac:dyDescent="0.2">
      <c r="A460" s="53">
        <v>31472</v>
      </c>
      <c r="B460">
        <v>7.1</v>
      </c>
      <c r="C460">
        <v>7.48</v>
      </c>
      <c r="D460">
        <v>2533.1</v>
      </c>
    </row>
    <row r="461" spans="1:4" x14ac:dyDescent="0.2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3">
        <v>31564</v>
      </c>
      <c r="B463">
        <v>6.5</v>
      </c>
      <c r="C463">
        <v>6.92</v>
      </c>
      <c r="D463">
        <v>2605</v>
      </c>
    </row>
    <row r="464" spans="1:4" x14ac:dyDescent="0.2">
      <c r="A464" s="53">
        <v>31594</v>
      </c>
      <c r="B464">
        <v>6.16</v>
      </c>
      <c r="C464">
        <v>6.56</v>
      </c>
      <c r="D464">
        <v>2626.6</v>
      </c>
    </row>
    <row r="465" spans="1:4" x14ac:dyDescent="0.2">
      <c r="A465" s="53">
        <v>31625</v>
      </c>
      <c r="B465">
        <v>5.82</v>
      </c>
      <c r="C465">
        <v>6.17</v>
      </c>
      <c r="D465">
        <v>2646.5</v>
      </c>
    </row>
    <row r="466" spans="1:4" x14ac:dyDescent="0.2">
      <c r="A466" s="53">
        <v>31656</v>
      </c>
      <c r="B466">
        <v>5.5</v>
      </c>
      <c r="C466">
        <v>5.89</v>
      </c>
      <c r="D466">
        <v>2667.8</v>
      </c>
    </row>
    <row r="467" spans="1:4" x14ac:dyDescent="0.2">
      <c r="A467" s="53">
        <v>31686</v>
      </c>
      <c r="B467">
        <v>5.5</v>
      </c>
      <c r="C467">
        <v>5.85</v>
      </c>
      <c r="D467">
        <v>2687.4</v>
      </c>
    </row>
    <row r="468" spans="1:4" x14ac:dyDescent="0.2">
      <c r="A468" s="53">
        <v>31717</v>
      </c>
      <c r="B468">
        <v>5.5</v>
      </c>
      <c r="C468">
        <v>6.04</v>
      </c>
      <c r="D468">
        <v>2701.3</v>
      </c>
    </row>
    <row r="469" spans="1:4" x14ac:dyDescent="0.2">
      <c r="A469" s="53">
        <v>31747</v>
      </c>
      <c r="B469">
        <v>5.5</v>
      </c>
      <c r="C469">
        <v>6.91</v>
      </c>
      <c r="D469">
        <v>2728</v>
      </c>
    </row>
    <row r="470" spans="1:4" x14ac:dyDescent="0.2">
      <c r="A470" s="53">
        <v>31778</v>
      </c>
      <c r="B470">
        <v>5.5</v>
      </c>
      <c r="C470">
        <v>6.43</v>
      </c>
      <c r="D470">
        <v>2743.9</v>
      </c>
    </row>
    <row r="471" spans="1:4" x14ac:dyDescent="0.2">
      <c r="A471" s="53">
        <v>31809</v>
      </c>
      <c r="B471">
        <v>5.5</v>
      </c>
      <c r="C471">
        <v>6.1</v>
      </c>
      <c r="D471">
        <v>2747.5</v>
      </c>
    </row>
    <row r="472" spans="1:4" x14ac:dyDescent="0.2">
      <c r="A472" s="53">
        <v>31837</v>
      </c>
      <c r="B472">
        <v>5.5</v>
      </c>
      <c r="C472">
        <v>6.13</v>
      </c>
      <c r="D472">
        <v>2753.7</v>
      </c>
    </row>
    <row r="473" spans="1:4" x14ac:dyDescent="0.2">
      <c r="A473" s="53">
        <v>31868</v>
      </c>
      <c r="B473">
        <v>5.5</v>
      </c>
      <c r="C473">
        <v>6.37</v>
      </c>
      <c r="D473">
        <v>2767.7</v>
      </c>
    </row>
    <row r="474" spans="1:4" x14ac:dyDescent="0.2">
      <c r="A474" s="53">
        <v>31898</v>
      </c>
      <c r="B474">
        <v>5.5</v>
      </c>
      <c r="C474">
        <v>6.85</v>
      </c>
      <c r="D474">
        <v>2772.9</v>
      </c>
    </row>
    <row r="475" spans="1:4" x14ac:dyDescent="0.2">
      <c r="A475" s="53">
        <v>31929</v>
      </c>
      <c r="B475">
        <v>5.5</v>
      </c>
      <c r="C475">
        <v>6.73</v>
      </c>
      <c r="D475">
        <v>2774.6</v>
      </c>
    </row>
    <row r="476" spans="1:4" x14ac:dyDescent="0.2">
      <c r="A476" s="53">
        <v>31959</v>
      </c>
      <c r="B476">
        <v>5.5</v>
      </c>
      <c r="C476">
        <v>6.58</v>
      </c>
      <c r="D476">
        <v>2779</v>
      </c>
    </row>
    <row r="477" spans="1:4" x14ac:dyDescent="0.2">
      <c r="A477" s="53">
        <v>31990</v>
      </c>
      <c r="B477">
        <v>5.5</v>
      </c>
      <c r="C477">
        <v>6.73</v>
      </c>
      <c r="D477">
        <v>2788.2</v>
      </c>
    </row>
    <row r="478" spans="1:4" x14ac:dyDescent="0.2">
      <c r="A478" s="53">
        <v>32021</v>
      </c>
      <c r="B478">
        <v>5.95</v>
      </c>
      <c r="C478">
        <v>7.22</v>
      </c>
      <c r="D478">
        <v>2799.5</v>
      </c>
    </row>
    <row r="479" spans="1:4" x14ac:dyDescent="0.2">
      <c r="A479" s="53">
        <v>32051</v>
      </c>
      <c r="B479">
        <v>6</v>
      </c>
      <c r="C479">
        <v>7.29</v>
      </c>
      <c r="D479">
        <v>2814.8</v>
      </c>
    </row>
    <row r="480" spans="1:4" x14ac:dyDescent="0.2">
      <c r="A480" s="53">
        <v>32082</v>
      </c>
      <c r="B480">
        <v>6</v>
      </c>
      <c r="C480">
        <v>6.69</v>
      </c>
      <c r="D480">
        <v>2818.9</v>
      </c>
    </row>
    <row r="481" spans="1:4" x14ac:dyDescent="0.2">
      <c r="A481" s="53">
        <v>32112</v>
      </c>
      <c r="B481">
        <v>6</v>
      </c>
      <c r="C481">
        <v>6.77</v>
      </c>
      <c r="D481">
        <v>2826.4</v>
      </c>
    </row>
    <row r="482" spans="1:4" x14ac:dyDescent="0.2">
      <c r="A482" s="53">
        <v>32143</v>
      </c>
      <c r="B482">
        <v>6</v>
      </c>
      <c r="C482">
        <v>6.83</v>
      </c>
      <c r="D482">
        <v>2847.4</v>
      </c>
    </row>
    <row r="483" spans="1:4" x14ac:dyDescent="0.2">
      <c r="A483" s="53">
        <v>32174</v>
      </c>
      <c r="B483">
        <v>6</v>
      </c>
      <c r="C483">
        <v>6.58</v>
      </c>
      <c r="D483">
        <v>2870.4</v>
      </c>
    </row>
    <row r="484" spans="1:4" x14ac:dyDescent="0.2">
      <c r="A484" s="53">
        <v>32203</v>
      </c>
      <c r="B484">
        <v>6</v>
      </c>
      <c r="C484">
        <v>6.58</v>
      </c>
      <c r="D484">
        <v>2890.7</v>
      </c>
    </row>
    <row r="485" spans="1:4" x14ac:dyDescent="0.2">
      <c r="A485" s="53">
        <v>32234</v>
      </c>
      <c r="B485">
        <v>6</v>
      </c>
      <c r="C485">
        <v>6.87</v>
      </c>
      <c r="D485">
        <v>2910.7</v>
      </c>
    </row>
    <row r="486" spans="1:4" x14ac:dyDescent="0.2">
      <c r="A486" s="53">
        <v>32264</v>
      </c>
      <c r="B486">
        <v>6</v>
      </c>
      <c r="C486">
        <v>7.09</v>
      </c>
      <c r="D486">
        <v>2926</v>
      </c>
    </row>
    <row r="487" spans="1:4" x14ac:dyDescent="0.2">
      <c r="A487" s="53">
        <v>32295</v>
      </c>
      <c r="B487">
        <v>6</v>
      </c>
      <c r="C487">
        <v>7.51</v>
      </c>
      <c r="D487">
        <v>2938.4</v>
      </c>
    </row>
    <row r="488" spans="1:4" x14ac:dyDescent="0.2">
      <c r="A488" s="53">
        <v>32325</v>
      </c>
      <c r="B488">
        <v>6</v>
      </c>
      <c r="C488">
        <v>7.75</v>
      </c>
      <c r="D488">
        <v>2947.2</v>
      </c>
    </row>
    <row r="489" spans="1:4" x14ac:dyDescent="0.2">
      <c r="A489" s="53">
        <v>32356</v>
      </c>
      <c r="B489">
        <v>6.37</v>
      </c>
      <c r="C489">
        <v>8.01</v>
      </c>
      <c r="D489">
        <v>2952</v>
      </c>
    </row>
    <row r="490" spans="1:4" x14ac:dyDescent="0.2">
      <c r="A490" s="53">
        <v>32387</v>
      </c>
      <c r="B490">
        <v>6.5</v>
      </c>
      <c r="C490">
        <v>8.19</v>
      </c>
      <c r="D490">
        <v>2956.9</v>
      </c>
    </row>
    <row r="491" spans="1:4" x14ac:dyDescent="0.2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3">
        <v>32448</v>
      </c>
      <c r="B492">
        <v>6.5</v>
      </c>
      <c r="C492">
        <v>8.35</v>
      </c>
      <c r="D492">
        <v>2980.2</v>
      </c>
    </row>
    <row r="493" spans="1:4" x14ac:dyDescent="0.2">
      <c r="A493" s="53">
        <v>32478</v>
      </c>
      <c r="B493">
        <v>6.5</v>
      </c>
      <c r="C493">
        <v>8.76</v>
      </c>
      <c r="D493">
        <v>2988.2</v>
      </c>
    </row>
    <row r="494" spans="1:4" x14ac:dyDescent="0.2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3">
        <v>32540</v>
      </c>
      <c r="B495">
        <v>6.59</v>
      </c>
      <c r="C495">
        <v>9.36</v>
      </c>
      <c r="D495">
        <v>2992.2</v>
      </c>
    </row>
    <row r="496" spans="1:4" x14ac:dyDescent="0.2">
      <c r="A496" s="53">
        <v>32568</v>
      </c>
      <c r="B496">
        <v>7</v>
      </c>
      <c r="C496">
        <v>9.85</v>
      </c>
      <c r="D496">
        <v>2999.7</v>
      </c>
    </row>
    <row r="497" spans="1:4" x14ac:dyDescent="0.2">
      <c r="A497" s="53">
        <v>32599</v>
      </c>
      <c r="B497">
        <v>7</v>
      </c>
      <c r="C497">
        <v>9.84</v>
      </c>
      <c r="D497">
        <v>3006</v>
      </c>
    </row>
    <row r="498" spans="1:4" x14ac:dyDescent="0.2">
      <c r="A498" s="53">
        <v>32629</v>
      </c>
      <c r="B498">
        <v>7</v>
      </c>
      <c r="C498">
        <v>9.81</v>
      </c>
      <c r="D498">
        <v>3011.6</v>
      </c>
    </row>
    <row r="499" spans="1:4" x14ac:dyDescent="0.2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3">
        <v>32690</v>
      </c>
      <c r="B500">
        <v>7</v>
      </c>
      <c r="C500">
        <v>9.24</v>
      </c>
      <c r="D500">
        <v>3052.4</v>
      </c>
    </row>
    <row r="501" spans="1:4" x14ac:dyDescent="0.2">
      <c r="A501" s="53">
        <v>32721</v>
      </c>
      <c r="B501">
        <v>7</v>
      </c>
      <c r="C501">
        <v>8.99</v>
      </c>
      <c r="D501">
        <v>3074.4</v>
      </c>
    </row>
    <row r="502" spans="1:4" x14ac:dyDescent="0.2">
      <c r="A502" s="53">
        <v>32752</v>
      </c>
      <c r="B502">
        <v>7</v>
      </c>
      <c r="C502">
        <v>9.02</v>
      </c>
      <c r="D502">
        <v>3092.5</v>
      </c>
    </row>
    <row r="503" spans="1:4" x14ac:dyDescent="0.2">
      <c r="A503" s="53">
        <v>32782</v>
      </c>
      <c r="B503">
        <v>7</v>
      </c>
      <c r="C503">
        <v>8.84</v>
      </c>
      <c r="D503">
        <v>3114.1</v>
      </c>
    </row>
    <row r="504" spans="1:4" x14ac:dyDescent="0.2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3">
        <v>32874</v>
      </c>
      <c r="B506">
        <v>7</v>
      </c>
      <c r="C506">
        <v>8.23</v>
      </c>
      <c r="D506">
        <v>3166.8</v>
      </c>
    </row>
    <row r="507" spans="1:4" x14ac:dyDescent="0.2">
      <c r="A507" s="53">
        <v>32905</v>
      </c>
      <c r="B507">
        <v>7</v>
      </c>
      <c r="C507">
        <v>8.24</v>
      </c>
      <c r="D507">
        <v>3179.2</v>
      </c>
    </row>
    <row r="508" spans="1:4" x14ac:dyDescent="0.2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3">
        <v>32964</v>
      </c>
      <c r="B509">
        <v>7</v>
      </c>
      <c r="C509">
        <v>8.26</v>
      </c>
      <c r="D509">
        <v>3201.6</v>
      </c>
    </row>
    <row r="510" spans="1:4" x14ac:dyDescent="0.2">
      <c r="A510" s="53">
        <v>32994</v>
      </c>
      <c r="B510">
        <v>7</v>
      </c>
      <c r="C510">
        <v>8.18</v>
      </c>
      <c r="D510">
        <v>3200.6</v>
      </c>
    </row>
    <row r="511" spans="1:4" x14ac:dyDescent="0.2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3">
        <v>33055</v>
      </c>
      <c r="B512">
        <v>7</v>
      </c>
      <c r="C512">
        <v>8.15</v>
      </c>
      <c r="D512">
        <v>3224.5</v>
      </c>
    </row>
    <row r="513" spans="1:4" x14ac:dyDescent="0.2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3">
        <v>33147</v>
      </c>
      <c r="B515">
        <v>7</v>
      </c>
      <c r="C515">
        <v>8.11</v>
      </c>
      <c r="D515">
        <v>3259.3</v>
      </c>
    </row>
    <row r="516" spans="1:4" x14ac:dyDescent="0.2">
      <c r="A516" s="53">
        <v>33178</v>
      </c>
      <c r="B516">
        <v>7</v>
      </c>
      <c r="C516">
        <v>7.81</v>
      </c>
      <c r="D516">
        <v>3262.6</v>
      </c>
    </row>
    <row r="517" spans="1:4" x14ac:dyDescent="0.2">
      <c r="A517" s="53">
        <v>33208</v>
      </c>
      <c r="B517">
        <v>6.79</v>
      </c>
      <c r="C517">
        <v>7.31</v>
      </c>
      <c r="D517">
        <v>3271.8</v>
      </c>
    </row>
    <row r="518" spans="1:4" x14ac:dyDescent="0.2">
      <c r="A518" s="53">
        <v>33239</v>
      </c>
      <c r="B518">
        <v>6.5</v>
      </c>
      <c r="C518">
        <v>6.91</v>
      </c>
      <c r="D518">
        <v>3287.7</v>
      </c>
    </row>
    <row r="519" spans="1:4" x14ac:dyDescent="0.2">
      <c r="A519" s="53">
        <v>33270</v>
      </c>
      <c r="B519">
        <v>6</v>
      </c>
      <c r="C519">
        <v>6.25</v>
      </c>
      <c r="D519">
        <v>3304.5</v>
      </c>
    </row>
    <row r="520" spans="1:4" x14ac:dyDescent="0.2">
      <c r="A520" s="53">
        <v>33298</v>
      </c>
      <c r="B520">
        <v>6</v>
      </c>
      <c r="C520">
        <v>6.12</v>
      </c>
      <c r="D520">
        <v>3321.9</v>
      </c>
    </row>
    <row r="521" spans="1:4" x14ac:dyDescent="0.2">
      <c r="A521" s="53">
        <v>33329</v>
      </c>
      <c r="B521">
        <v>5.98</v>
      </c>
      <c r="C521">
        <v>5.91</v>
      </c>
      <c r="D521">
        <v>3332.4</v>
      </c>
    </row>
    <row r="522" spans="1:4" x14ac:dyDescent="0.2">
      <c r="A522" s="53">
        <v>33359</v>
      </c>
      <c r="B522">
        <v>5.5</v>
      </c>
      <c r="C522">
        <v>5.78</v>
      </c>
      <c r="D522">
        <v>3343</v>
      </c>
    </row>
    <row r="523" spans="1:4" x14ac:dyDescent="0.2">
      <c r="A523" s="53">
        <v>33390</v>
      </c>
      <c r="B523">
        <v>5.5</v>
      </c>
      <c r="C523">
        <v>5.9</v>
      </c>
      <c r="D523">
        <v>3351.9</v>
      </c>
    </row>
    <row r="524" spans="1:4" x14ac:dyDescent="0.2">
      <c r="A524" s="53">
        <v>33420</v>
      </c>
      <c r="B524">
        <v>5.5</v>
      </c>
      <c r="C524">
        <v>5.82</v>
      </c>
      <c r="D524">
        <v>3356.1</v>
      </c>
    </row>
    <row r="525" spans="1:4" x14ac:dyDescent="0.2">
      <c r="A525" s="53">
        <v>33451</v>
      </c>
      <c r="B525">
        <v>5.5</v>
      </c>
      <c r="C525">
        <v>5.66</v>
      </c>
      <c r="D525">
        <v>3355</v>
      </c>
    </row>
    <row r="526" spans="1:4" x14ac:dyDescent="0.2">
      <c r="A526" s="53">
        <v>33482</v>
      </c>
      <c r="B526">
        <v>5.2</v>
      </c>
      <c r="C526">
        <v>5.45</v>
      </c>
      <c r="D526">
        <v>3354.9</v>
      </c>
    </row>
    <row r="527" spans="1:4" x14ac:dyDescent="0.2">
      <c r="A527" s="53">
        <v>33512</v>
      </c>
      <c r="B527">
        <v>5</v>
      </c>
      <c r="C527">
        <v>5.21</v>
      </c>
      <c r="D527">
        <v>3360.1</v>
      </c>
    </row>
    <row r="528" spans="1:4" x14ac:dyDescent="0.2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3">
        <v>33604</v>
      </c>
      <c r="B530">
        <v>3.5</v>
      </c>
      <c r="C530">
        <v>4.03</v>
      </c>
      <c r="D530">
        <v>3381.2</v>
      </c>
    </row>
    <row r="531" spans="1:4" x14ac:dyDescent="0.2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3">
        <v>33664</v>
      </c>
      <c r="B532">
        <v>3.5</v>
      </c>
      <c r="C532">
        <v>3.98</v>
      </c>
      <c r="D532">
        <v>3403.9</v>
      </c>
    </row>
    <row r="533" spans="1:4" x14ac:dyDescent="0.2">
      <c r="A533" s="53">
        <v>33695</v>
      </c>
      <c r="B533">
        <v>3.5</v>
      </c>
      <c r="C533">
        <v>3.73</v>
      </c>
      <c r="D533">
        <v>3399.7</v>
      </c>
    </row>
    <row r="534" spans="1:4" x14ac:dyDescent="0.2">
      <c r="A534" s="53">
        <v>33725</v>
      </c>
      <c r="B534">
        <v>3.5</v>
      </c>
      <c r="C534">
        <v>3.82</v>
      </c>
      <c r="D534">
        <v>3398.6</v>
      </c>
    </row>
    <row r="535" spans="1:4" x14ac:dyDescent="0.2">
      <c r="A535" s="53">
        <v>33756</v>
      </c>
      <c r="B535">
        <v>3.5</v>
      </c>
      <c r="C535">
        <v>3.76</v>
      </c>
      <c r="D535">
        <v>3393.4</v>
      </c>
    </row>
    <row r="536" spans="1:4" x14ac:dyDescent="0.2">
      <c r="A536" s="53">
        <v>33786</v>
      </c>
      <c r="B536">
        <v>3.02</v>
      </c>
      <c r="C536">
        <v>3.25</v>
      </c>
      <c r="D536">
        <v>3393.9</v>
      </c>
    </row>
    <row r="537" spans="1:4" x14ac:dyDescent="0.2">
      <c r="A537" s="53">
        <v>33817</v>
      </c>
      <c r="B537">
        <v>3</v>
      </c>
      <c r="C537">
        <v>3.3</v>
      </c>
      <c r="D537">
        <v>3398.8</v>
      </c>
    </row>
    <row r="538" spans="1:4" x14ac:dyDescent="0.2">
      <c r="A538" s="53">
        <v>33848</v>
      </c>
      <c r="B538">
        <v>3</v>
      </c>
      <c r="C538">
        <v>3.22</v>
      </c>
      <c r="D538">
        <v>3410.3</v>
      </c>
    </row>
    <row r="539" spans="1:4" x14ac:dyDescent="0.2">
      <c r="A539" s="53">
        <v>33878</v>
      </c>
      <c r="B539">
        <v>3</v>
      </c>
      <c r="C539">
        <v>3.1</v>
      </c>
      <c r="D539">
        <v>3423.8</v>
      </c>
    </row>
    <row r="540" spans="1:4" x14ac:dyDescent="0.2">
      <c r="A540" s="53">
        <v>33909</v>
      </c>
      <c r="B540">
        <v>3</v>
      </c>
      <c r="C540">
        <v>3.09</v>
      </c>
      <c r="D540">
        <v>3426.5</v>
      </c>
    </row>
    <row r="541" spans="1:4" x14ac:dyDescent="0.2">
      <c r="A541" s="53">
        <v>33939</v>
      </c>
      <c r="B541">
        <v>3</v>
      </c>
      <c r="C541">
        <v>2.92</v>
      </c>
      <c r="D541">
        <v>3424.7</v>
      </c>
    </row>
    <row r="542" spans="1:4" x14ac:dyDescent="0.2">
      <c r="A542" s="53">
        <v>33970</v>
      </c>
      <c r="B542">
        <v>3</v>
      </c>
      <c r="C542">
        <v>3.02</v>
      </c>
      <c r="D542">
        <v>3419.1</v>
      </c>
    </row>
    <row r="543" spans="1:4" x14ac:dyDescent="0.2">
      <c r="A543" s="53">
        <v>34001</v>
      </c>
      <c r="B543">
        <v>3</v>
      </c>
      <c r="C543">
        <v>3.03</v>
      </c>
      <c r="D543">
        <v>3414.5</v>
      </c>
    </row>
    <row r="544" spans="1:4" x14ac:dyDescent="0.2">
      <c r="A544" s="53">
        <v>34029</v>
      </c>
      <c r="B544">
        <v>3</v>
      </c>
      <c r="C544">
        <v>3.07</v>
      </c>
      <c r="D544">
        <v>3411.7</v>
      </c>
    </row>
    <row r="545" spans="1:4" x14ac:dyDescent="0.2">
      <c r="A545" s="53">
        <v>34060</v>
      </c>
      <c r="B545">
        <v>3</v>
      </c>
      <c r="C545">
        <v>2.96</v>
      </c>
      <c r="D545">
        <v>3411.3</v>
      </c>
    </row>
    <row r="546" spans="1:4" x14ac:dyDescent="0.2">
      <c r="A546" s="53">
        <v>34090</v>
      </c>
      <c r="B546">
        <v>3</v>
      </c>
      <c r="C546">
        <v>3</v>
      </c>
      <c r="D546">
        <v>3436.9</v>
      </c>
    </row>
    <row r="547" spans="1:4" x14ac:dyDescent="0.2">
      <c r="A547" s="53">
        <v>34121</v>
      </c>
      <c r="B547">
        <v>3</v>
      </c>
      <c r="C547">
        <v>3.04</v>
      </c>
      <c r="D547">
        <v>3442.4</v>
      </c>
    </row>
    <row r="548" spans="1:4" x14ac:dyDescent="0.2">
      <c r="A548" s="53">
        <v>34151</v>
      </c>
      <c r="B548">
        <v>3</v>
      </c>
      <c r="C548">
        <v>3.06</v>
      </c>
      <c r="D548">
        <v>3442</v>
      </c>
    </row>
    <row r="549" spans="1:4" x14ac:dyDescent="0.2">
      <c r="A549" s="53">
        <v>34182</v>
      </c>
      <c r="B549">
        <v>3</v>
      </c>
      <c r="C549">
        <v>3.03</v>
      </c>
      <c r="D549">
        <v>3445.7</v>
      </c>
    </row>
    <row r="550" spans="1:4" x14ac:dyDescent="0.2">
      <c r="A550" s="53">
        <v>34213</v>
      </c>
      <c r="B550">
        <v>3</v>
      </c>
      <c r="C550">
        <v>3.09</v>
      </c>
      <c r="D550">
        <v>3452.2</v>
      </c>
    </row>
    <row r="551" spans="1:4" x14ac:dyDescent="0.2">
      <c r="A551" s="53">
        <v>34243</v>
      </c>
      <c r="B551">
        <v>3</v>
      </c>
      <c r="C551">
        <v>2.99</v>
      </c>
      <c r="D551">
        <v>3456.7</v>
      </c>
    </row>
    <row r="552" spans="1:4" x14ac:dyDescent="0.2">
      <c r="A552" s="53">
        <v>34274</v>
      </c>
      <c r="B552">
        <v>3</v>
      </c>
      <c r="C552">
        <v>3.02</v>
      </c>
      <c r="D552">
        <v>3470.1</v>
      </c>
    </row>
    <row r="553" spans="1:4" x14ac:dyDescent="0.2">
      <c r="A553" s="53">
        <v>34304</v>
      </c>
      <c r="B553">
        <v>3</v>
      </c>
      <c r="C553">
        <v>2.96</v>
      </c>
      <c r="D553">
        <v>3474.5</v>
      </c>
    </row>
    <row r="554" spans="1:4" x14ac:dyDescent="0.2">
      <c r="A554" s="53">
        <v>34335</v>
      </c>
      <c r="B554">
        <v>3</v>
      </c>
      <c r="C554">
        <v>3.05</v>
      </c>
      <c r="D554">
        <v>3474.9</v>
      </c>
    </row>
    <row r="555" spans="1:4" x14ac:dyDescent="0.2">
      <c r="A555" s="53">
        <v>34366</v>
      </c>
      <c r="B555">
        <v>3</v>
      </c>
      <c r="C555">
        <v>3.25</v>
      </c>
      <c r="D555">
        <v>3475.7</v>
      </c>
    </row>
    <row r="556" spans="1:4" x14ac:dyDescent="0.2">
      <c r="A556" s="53">
        <v>34394</v>
      </c>
      <c r="B556">
        <v>3</v>
      </c>
      <c r="C556">
        <v>3.34</v>
      </c>
      <c r="D556">
        <v>3480.1</v>
      </c>
    </row>
    <row r="557" spans="1:4" x14ac:dyDescent="0.2">
      <c r="A557" s="53">
        <v>34425</v>
      </c>
      <c r="B557">
        <v>3</v>
      </c>
      <c r="C557">
        <v>3.56</v>
      </c>
      <c r="D557">
        <v>3481.3</v>
      </c>
    </row>
    <row r="558" spans="1:4" x14ac:dyDescent="0.2">
      <c r="A558" s="53">
        <v>34455</v>
      </c>
      <c r="B558">
        <v>3.24</v>
      </c>
      <c r="C558">
        <v>4.01</v>
      </c>
      <c r="D558">
        <v>3490.8</v>
      </c>
    </row>
    <row r="559" spans="1:4" x14ac:dyDescent="0.2">
      <c r="A559" s="53">
        <v>34486</v>
      </c>
      <c r="B559">
        <v>3.5</v>
      </c>
      <c r="C559">
        <v>4.25</v>
      </c>
      <c r="D559">
        <v>3479.5</v>
      </c>
    </row>
    <row r="560" spans="1:4" x14ac:dyDescent="0.2">
      <c r="A560" s="53">
        <v>34516</v>
      </c>
      <c r="B560">
        <v>3.5</v>
      </c>
      <c r="C560">
        <v>4.26</v>
      </c>
      <c r="D560">
        <v>3488.2</v>
      </c>
    </row>
    <row r="561" spans="1:4" x14ac:dyDescent="0.2">
      <c r="A561" s="53">
        <v>34547</v>
      </c>
      <c r="B561">
        <v>3.76</v>
      </c>
      <c r="C561">
        <v>4.47</v>
      </c>
      <c r="D561">
        <v>3485.7</v>
      </c>
    </row>
    <row r="562" spans="1:4" x14ac:dyDescent="0.2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3">
        <v>34608</v>
      </c>
      <c r="B563">
        <v>4</v>
      </c>
      <c r="C563">
        <v>4.76</v>
      </c>
      <c r="D563">
        <v>3484.3</v>
      </c>
    </row>
    <row r="564" spans="1:4" x14ac:dyDescent="0.2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3">
        <v>34669</v>
      </c>
      <c r="B565">
        <v>4.75</v>
      </c>
      <c r="C565">
        <v>5.45</v>
      </c>
      <c r="D565">
        <v>3486.4</v>
      </c>
    </row>
    <row r="566" spans="1:4" x14ac:dyDescent="0.2">
      <c r="A566" s="53">
        <v>34700</v>
      </c>
      <c r="B566">
        <v>4.75</v>
      </c>
      <c r="C566">
        <v>5.53</v>
      </c>
      <c r="D566">
        <v>3492.4</v>
      </c>
    </row>
    <row r="567" spans="1:4" x14ac:dyDescent="0.2">
      <c r="A567" s="53">
        <v>34731</v>
      </c>
      <c r="B567">
        <v>5.25</v>
      </c>
      <c r="C567">
        <v>5.92</v>
      </c>
      <c r="D567">
        <v>3489.9</v>
      </c>
    </row>
    <row r="568" spans="1:4" x14ac:dyDescent="0.2">
      <c r="A568" s="53">
        <v>34759</v>
      </c>
      <c r="B568">
        <v>5.25</v>
      </c>
      <c r="C568">
        <v>5.98</v>
      </c>
      <c r="D568">
        <v>3491.1</v>
      </c>
    </row>
    <row r="569" spans="1:4" x14ac:dyDescent="0.2">
      <c r="A569" s="53">
        <v>34790</v>
      </c>
      <c r="B569">
        <v>5.25</v>
      </c>
      <c r="C569">
        <v>6.05</v>
      </c>
      <c r="D569">
        <v>3499.2</v>
      </c>
    </row>
    <row r="570" spans="1:4" x14ac:dyDescent="0.2">
      <c r="A570" s="53">
        <v>34820</v>
      </c>
      <c r="B570">
        <v>5.25</v>
      </c>
      <c r="C570">
        <v>6.01</v>
      </c>
      <c r="D570">
        <v>3524.2</v>
      </c>
    </row>
    <row r="571" spans="1:4" x14ac:dyDescent="0.2">
      <c r="A571" s="53">
        <v>34851</v>
      </c>
      <c r="B571">
        <v>5.25</v>
      </c>
      <c r="C571">
        <v>6</v>
      </c>
      <c r="D571">
        <v>3548.9</v>
      </c>
    </row>
    <row r="572" spans="1:4" x14ac:dyDescent="0.2">
      <c r="A572" s="53">
        <v>34881</v>
      </c>
      <c r="B572">
        <v>5.25</v>
      </c>
      <c r="C572">
        <v>5.85</v>
      </c>
      <c r="D572">
        <v>3567.4</v>
      </c>
    </row>
    <row r="573" spans="1:4" x14ac:dyDescent="0.2">
      <c r="A573" s="53">
        <v>34912</v>
      </c>
      <c r="B573">
        <v>5.25</v>
      </c>
      <c r="C573">
        <v>5.74</v>
      </c>
      <c r="D573">
        <v>3589</v>
      </c>
    </row>
    <row r="574" spans="1:4" x14ac:dyDescent="0.2">
      <c r="A574" s="53">
        <v>34943</v>
      </c>
      <c r="B574">
        <v>5.25</v>
      </c>
      <c r="C574">
        <v>5.8</v>
      </c>
      <c r="D574">
        <v>3602.1</v>
      </c>
    </row>
    <row r="575" spans="1:4" x14ac:dyDescent="0.2">
      <c r="A575" s="53">
        <v>34973</v>
      </c>
      <c r="B575">
        <v>5.25</v>
      </c>
      <c r="C575">
        <v>5.76</v>
      </c>
      <c r="D575">
        <v>3613.4</v>
      </c>
    </row>
    <row r="576" spans="1:4" x14ac:dyDescent="0.2">
      <c r="A576" s="53">
        <v>35004</v>
      </c>
      <c r="B576">
        <v>5.25</v>
      </c>
      <c r="C576">
        <v>5.8</v>
      </c>
      <c r="D576">
        <v>3619.9</v>
      </c>
    </row>
    <row r="577" spans="1:4" x14ac:dyDescent="0.2">
      <c r="A577" s="53">
        <v>35034</v>
      </c>
      <c r="B577">
        <v>5.25</v>
      </c>
      <c r="C577">
        <v>5.6</v>
      </c>
      <c r="D577">
        <v>3629.5</v>
      </c>
    </row>
    <row r="578" spans="1:4" x14ac:dyDescent="0.2">
      <c r="A578" s="53">
        <v>35065</v>
      </c>
      <c r="B578">
        <v>5.24</v>
      </c>
      <c r="C578">
        <v>5.56</v>
      </c>
      <c r="D578">
        <v>3647.9</v>
      </c>
    </row>
    <row r="579" spans="1:4" x14ac:dyDescent="0.2">
      <c r="A579" s="53">
        <v>35096</v>
      </c>
      <c r="B579">
        <v>5</v>
      </c>
      <c r="C579">
        <v>5.22</v>
      </c>
      <c r="D579">
        <v>3661.8</v>
      </c>
    </row>
    <row r="580" spans="1:4" x14ac:dyDescent="0.2">
      <c r="A580" s="53">
        <v>35125</v>
      </c>
      <c r="B580">
        <v>5</v>
      </c>
      <c r="C580">
        <v>5.31</v>
      </c>
      <c r="D580">
        <v>3686.9</v>
      </c>
    </row>
    <row r="581" spans="1:4" x14ac:dyDescent="0.2">
      <c r="A581" s="53">
        <v>35156</v>
      </c>
      <c r="B581">
        <v>5</v>
      </c>
      <c r="C581">
        <v>5.22</v>
      </c>
      <c r="D581">
        <v>3697.7</v>
      </c>
    </row>
    <row r="582" spans="1:4" x14ac:dyDescent="0.2">
      <c r="A582" s="53">
        <v>35186</v>
      </c>
      <c r="B582">
        <v>5</v>
      </c>
      <c r="C582">
        <v>5.24</v>
      </c>
      <c r="D582">
        <v>3709.6</v>
      </c>
    </row>
    <row r="583" spans="1:4" x14ac:dyDescent="0.2">
      <c r="A583" s="53">
        <v>35217</v>
      </c>
      <c r="B583">
        <v>5</v>
      </c>
      <c r="C583">
        <v>5.27</v>
      </c>
      <c r="D583">
        <v>3722.5</v>
      </c>
    </row>
    <row r="584" spans="1:4" x14ac:dyDescent="0.2">
      <c r="A584" s="53">
        <v>35247</v>
      </c>
      <c r="B584">
        <v>5</v>
      </c>
      <c r="C584">
        <v>5.4</v>
      </c>
      <c r="D584">
        <v>3737.1</v>
      </c>
    </row>
    <row r="585" spans="1:4" x14ac:dyDescent="0.2">
      <c r="A585" s="53">
        <v>35278</v>
      </c>
      <c r="B585">
        <v>5</v>
      </c>
      <c r="C585">
        <v>5.22</v>
      </c>
      <c r="D585">
        <v>3744</v>
      </c>
    </row>
    <row r="586" spans="1:4" x14ac:dyDescent="0.2">
      <c r="A586" s="53">
        <v>35309</v>
      </c>
      <c r="B586">
        <v>5</v>
      </c>
      <c r="C586">
        <v>5.3</v>
      </c>
      <c r="D586">
        <v>3753.4</v>
      </c>
    </row>
    <row r="587" spans="1:4" x14ac:dyDescent="0.2">
      <c r="A587" s="53">
        <v>35339</v>
      </c>
      <c r="B587">
        <v>5</v>
      </c>
      <c r="C587">
        <v>5.24</v>
      </c>
      <c r="D587">
        <v>3772.8</v>
      </c>
    </row>
    <row r="588" spans="1:4" x14ac:dyDescent="0.2">
      <c r="A588" s="53">
        <v>35370</v>
      </c>
      <c r="B588">
        <v>5</v>
      </c>
      <c r="C588">
        <v>5.31</v>
      </c>
      <c r="D588">
        <v>3795.1</v>
      </c>
    </row>
    <row r="589" spans="1:4" x14ac:dyDescent="0.2">
      <c r="A589" s="53">
        <v>35400</v>
      </c>
      <c r="B589">
        <v>5</v>
      </c>
      <c r="C589">
        <v>5.29</v>
      </c>
      <c r="D589">
        <v>3818.6</v>
      </c>
    </row>
    <row r="590" spans="1:4" x14ac:dyDescent="0.2">
      <c r="A590" s="53">
        <v>35431</v>
      </c>
      <c r="B590">
        <v>5</v>
      </c>
      <c r="C590">
        <v>5.25</v>
      </c>
      <c r="D590">
        <v>3834.6</v>
      </c>
    </row>
    <row r="591" spans="1:4" x14ac:dyDescent="0.2">
      <c r="A591" s="53">
        <v>35462</v>
      </c>
      <c r="B591">
        <v>5</v>
      </c>
      <c r="C591">
        <v>5.19</v>
      </c>
      <c r="D591">
        <v>3846.3</v>
      </c>
    </row>
    <row r="592" spans="1:4" x14ac:dyDescent="0.2">
      <c r="A592" s="53">
        <v>35490</v>
      </c>
      <c r="B592">
        <v>5</v>
      </c>
      <c r="C592">
        <v>5.39</v>
      </c>
      <c r="D592">
        <v>3861.2</v>
      </c>
    </row>
    <row r="593" spans="1:4" x14ac:dyDescent="0.2">
      <c r="A593" s="53">
        <v>35521</v>
      </c>
      <c r="B593">
        <v>5</v>
      </c>
      <c r="C593">
        <v>5.51</v>
      </c>
      <c r="D593">
        <v>3877</v>
      </c>
    </row>
    <row r="594" spans="1:4" x14ac:dyDescent="0.2">
      <c r="A594" s="53">
        <v>35551</v>
      </c>
      <c r="B594">
        <v>5</v>
      </c>
      <c r="C594">
        <v>5.5</v>
      </c>
      <c r="D594">
        <v>3889.2</v>
      </c>
    </row>
    <row r="595" spans="1:4" x14ac:dyDescent="0.2">
      <c r="A595" s="53">
        <v>35582</v>
      </c>
      <c r="B595">
        <v>5</v>
      </c>
      <c r="C595">
        <v>5.56</v>
      </c>
      <c r="D595">
        <v>3906</v>
      </c>
    </row>
    <row r="596" spans="1:4" x14ac:dyDescent="0.2">
      <c r="A596" s="53">
        <v>35612</v>
      </c>
      <c r="B596">
        <v>5</v>
      </c>
      <c r="C596">
        <v>5.52</v>
      </c>
      <c r="D596">
        <v>3923.9</v>
      </c>
    </row>
    <row r="597" spans="1:4" x14ac:dyDescent="0.2">
      <c r="A597" s="53">
        <v>35643</v>
      </c>
      <c r="B597">
        <v>5</v>
      </c>
      <c r="C597">
        <v>5.54</v>
      </c>
      <c r="D597">
        <v>3957.4</v>
      </c>
    </row>
    <row r="598" spans="1:4" x14ac:dyDescent="0.2">
      <c r="A598" s="53">
        <v>35674</v>
      </c>
      <c r="B598">
        <v>5</v>
      </c>
      <c r="C598">
        <v>5.54</v>
      </c>
      <c r="D598">
        <v>3973.1</v>
      </c>
    </row>
    <row r="599" spans="1:4" x14ac:dyDescent="0.2">
      <c r="A599" s="53">
        <v>35704</v>
      </c>
      <c r="B599">
        <v>5</v>
      </c>
      <c r="C599">
        <v>5.5</v>
      </c>
      <c r="D599">
        <v>3992.3</v>
      </c>
    </row>
    <row r="600" spans="1:4" x14ac:dyDescent="0.2">
      <c r="A600" s="53">
        <v>35735</v>
      </c>
      <c r="B600">
        <v>5</v>
      </c>
      <c r="C600">
        <v>5.52</v>
      </c>
      <c r="D600">
        <v>4014.8</v>
      </c>
    </row>
    <row r="601" spans="1:4" x14ac:dyDescent="0.2">
      <c r="A601" s="53">
        <v>35765</v>
      </c>
      <c r="B601">
        <v>5</v>
      </c>
      <c r="C601">
        <v>5.5</v>
      </c>
      <c r="D601">
        <v>4032.9</v>
      </c>
    </row>
    <row r="602" spans="1:4" x14ac:dyDescent="0.2">
      <c r="A602" s="53">
        <v>35796</v>
      </c>
      <c r="B602">
        <v>5</v>
      </c>
      <c r="C602">
        <v>5.56</v>
      </c>
      <c r="D602">
        <v>4056.2</v>
      </c>
    </row>
    <row r="603" spans="1:4" x14ac:dyDescent="0.2">
      <c r="A603" s="53">
        <v>35827</v>
      </c>
      <c r="B603">
        <v>5</v>
      </c>
      <c r="C603">
        <v>5.51</v>
      </c>
      <c r="D603">
        <v>4088.9</v>
      </c>
    </row>
    <row r="604" spans="1:4" x14ac:dyDescent="0.2">
      <c r="A604" s="53">
        <v>35855</v>
      </c>
      <c r="B604">
        <v>5</v>
      </c>
      <c r="C604">
        <v>5.49</v>
      </c>
      <c r="D604">
        <v>4114.3</v>
      </c>
    </row>
    <row r="605" spans="1:4" x14ac:dyDescent="0.2">
      <c r="A605" s="53">
        <v>35886</v>
      </c>
      <c r="B605">
        <v>5</v>
      </c>
      <c r="C605">
        <v>5.45</v>
      </c>
      <c r="D605">
        <v>4140.2</v>
      </c>
    </row>
    <row r="606" spans="1:4" x14ac:dyDescent="0.2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3">
        <v>35977</v>
      </c>
      <c r="B608">
        <v>5</v>
      </c>
      <c r="C608">
        <v>5.54</v>
      </c>
      <c r="D608">
        <v>4203.8</v>
      </c>
    </row>
    <row r="609" spans="1:4" x14ac:dyDescent="0.2">
      <c r="A609" s="53">
        <v>36008</v>
      </c>
      <c r="B609">
        <v>5</v>
      </c>
      <c r="C609">
        <v>5.55</v>
      </c>
      <c r="D609">
        <v>4228.7</v>
      </c>
    </row>
    <row r="610" spans="1:4" x14ac:dyDescent="0.2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3">
        <v>36130</v>
      </c>
      <c r="B613">
        <v>4.5</v>
      </c>
      <c r="C613">
        <v>4.68</v>
      </c>
      <c r="D613">
        <v>4375.2</v>
      </c>
    </row>
    <row r="614" spans="1:4" x14ac:dyDescent="0.2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3">
        <v>36192</v>
      </c>
      <c r="B615">
        <v>4.5</v>
      </c>
      <c r="C615">
        <v>4.76</v>
      </c>
      <c r="D615">
        <v>4425.3</v>
      </c>
    </row>
    <row r="616" spans="1:4" x14ac:dyDescent="0.2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3">
        <v>36251</v>
      </c>
      <c r="B617">
        <v>4.5</v>
      </c>
      <c r="C617">
        <v>4.74</v>
      </c>
      <c r="D617">
        <v>4460.7</v>
      </c>
    </row>
    <row r="618" spans="1:4" x14ac:dyDescent="0.2">
      <c r="A618" s="53">
        <v>36281</v>
      </c>
      <c r="B618">
        <v>4.5</v>
      </c>
      <c r="C618">
        <v>4.74</v>
      </c>
      <c r="D618">
        <v>4485.3</v>
      </c>
    </row>
    <row r="619" spans="1:4" x14ac:dyDescent="0.2">
      <c r="A619" s="53">
        <v>36312</v>
      </c>
      <c r="B619">
        <v>4.5</v>
      </c>
      <c r="C619">
        <v>4.76</v>
      </c>
      <c r="D619">
        <v>4507.2</v>
      </c>
    </row>
    <row r="620" spans="1:4" x14ac:dyDescent="0.2">
      <c r="A620" s="53">
        <v>36342</v>
      </c>
      <c r="B620">
        <v>4.5</v>
      </c>
      <c r="C620">
        <v>4.99</v>
      </c>
      <c r="D620">
        <v>4534.5</v>
      </c>
    </row>
    <row r="621" spans="1:4" x14ac:dyDescent="0.2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3">
        <v>36404</v>
      </c>
      <c r="B622">
        <v>4.75</v>
      </c>
      <c r="C622">
        <v>5.22</v>
      </c>
      <c r="D622">
        <v>4567.7</v>
      </c>
    </row>
    <row r="623" spans="1:4" x14ac:dyDescent="0.2">
      <c r="A623" s="53">
        <v>36434</v>
      </c>
      <c r="B623">
        <v>4.75</v>
      </c>
      <c r="C623">
        <v>5.2</v>
      </c>
      <c r="D623">
        <v>4591.5</v>
      </c>
    </row>
    <row r="624" spans="1:4" x14ac:dyDescent="0.2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3">
        <v>36495</v>
      </c>
      <c r="B625">
        <v>5</v>
      </c>
      <c r="C625">
        <v>5.3</v>
      </c>
      <c r="D625">
        <v>4638</v>
      </c>
    </row>
    <row r="626" spans="1:4" x14ac:dyDescent="0.2">
      <c r="A626" s="53">
        <v>36526</v>
      </c>
      <c r="B626">
        <v>5</v>
      </c>
      <c r="C626">
        <v>5.45</v>
      </c>
      <c r="D626">
        <v>4666.2</v>
      </c>
    </row>
    <row r="627" spans="1:4" x14ac:dyDescent="0.2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3">
        <v>36586</v>
      </c>
      <c r="B628">
        <v>5.34</v>
      </c>
      <c r="C628">
        <v>5.85</v>
      </c>
      <c r="D628">
        <v>4710.2</v>
      </c>
    </row>
    <row r="629" spans="1:4" x14ac:dyDescent="0.2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3">
        <v>36678</v>
      </c>
      <c r="B631">
        <v>6</v>
      </c>
      <c r="C631">
        <v>6.53</v>
      </c>
      <c r="D631">
        <v>4771.8</v>
      </c>
    </row>
    <row r="632" spans="1:4" x14ac:dyDescent="0.2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3">
        <v>36739</v>
      </c>
      <c r="B633">
        <v>6</v>
      </c>
      <c r="C633">
        <v>6.5</v>
      </c>
      <c r="D633">
        <v>4817.5</v>
      </c>
    </row>
    <row r="634" spans="1:4" x14ac:dyDescent="0.2">
      <c r="A634" s="53">
        <v>36770</v>
      </c>
      <c r="B634">
        <v>6</v>
      </c>
      <c r="C634">
        <v>6.52</v>
      </c>
      <c r="D634">
        <v>4853.2</v>
      </c>
    </row>
    <row r="635" spans="1:4" x14ac:dyDescent="0.2">
      <c r="A635" s="53">
        <v>36800</v>
      </c>
      <c r="B635">
        <v>6</v>
      </c>
      <c r="C635">
        <v>6.51</v>
      </c>
      <c r="D635">
        <v>4869.2</v>
      </c>
    </row>
    <row r="636" spans="1:4" x14ac:dyDescent="0.2">
      <c r="A636" s="53">
        <v>36831</v>
      </c>
      <c r="B636">
        <v>6</v>
      </c>
      <c r="C636">
        <v>6.51</v>
      </c>
      <c r="D636">
        <v>4880.1000000000004</v>
      </c>
    </row>
    <row r="637" spans="1:4" x14ac:dyDescent="0.2">
      <c r="A637" s="53">
        <v>36861</v>
      </c>
      <c r="B637">
        <v>6</v>
      </c>
      <c r="C637">
        <v>6.4</v>
      </c>
      <c r="D637">
        <v>4924.7</v>
      </c>
    </row>
    <row r="638" spans="1:4" x14ac:dyDescent="0.2">
      <c r="A638" s="53">
        <v>36892</v>
      </c>
      <c r="B638">
        <v>5.52</v>
      </c>
      <c r="C638">
        <v>5.98</v>
      </c>
      <c r="D638">
        <v>4975.3</v>
      </c>
    </row>
    <row r="639" spans="1:4" x14ac:dyDescent="0.2">
      <c r="A639" s="53">
        <v>36923</v>
      </c>
      <c r="B639">
        <v>5</v>
      </c>
      <c r="C639">
        <v>5.49</v>
      </c>
      <c r="D639">
        <v>5013.5</v>
      </c>
    </row>
    <row r="640" spans="1:4" x14ac:dyDescent="0.2">
      <c r="A640" s="53">
        <v>36951</v>
      </c>
      <c r="B640">
        <v>4.8099999999999996</v>
      </c>
      <c r="C640">
        <v>5.31</v>
      </c>
      <c r="D640">
        <v>5071.2</v>
      </c>
    </row>
    <row r="641" spans="1:4" x14ac:dyDescent="0.2">
      <c r="A641" s="53">
        <v>36982</v>
      </c>
      <c r="B641">
        <v>4.28</v>
      </c>
      <c r="C641">
        <v>4.8</v>
      </c>
      <c r="D641">
        <v>5135.2</v>
      </c>
    </row>
    <row r="642" spans="1:4" x14ac:dyDescent="0.2">
      <c r="A642" s="53">
        <v>37012</v>
      </c>
      <c r="B642">
        <v>3.73</v>
      </c>
      <c r="C642">
        <v>4.21</v>
      </c>
      <c r="D642">
        <v>5132.2</v>
      </c>
    </row>
    <row r="643" spans="1:4" x14ac:dyDescent="0.2">
      <c r="A643" s="53">
        <v>37043</v>
      </c>
      <c r="B643">
        <v>3.47</v>
      </c>
      <c r="C643">
        <v>3.97</v>
      </c>
      <c r="D643">
        <v>5172.5</v>
      </c>
    </row>
    <row r="644" spans="1:4" x14ac:dyDescent="0.2">
      <c r="A644" s="53">
        <v>37073</v>
      </c>
      <c r="B644">
        <v>3.25</v>
      </c>
      <c r="C644">
        <v>3.77</v>
      </c>
      <c r="D644">
        <v>5202.3999999999996</v>
      </c>
    </row>
    <row r="645" spans="1:4" x14ac:dyDescent="0.2">
      <c r="A645" s="53">
        <v>37104</v>
      </c>
      <c r="B645">
        <v>3.16</v>
      </c>
      <c r="C645">
        <v>3.65</v>
      </c>
      <c r="D645">
        <v>5236.3</v>
      </c>
    </row>
    <row r="646" spans="1:4" x14ac:dyDescent="0.2">
      <c r="A646" s="53">
        <v>37135</v>
      </c>
      <c r="B646">
        <v>2.77</v>
      </c>
      <c r="C646">
        <v>3.07</v>
      </c>
      <c r="D646">
        <v>5347.4</v>
      </c>
    </row>
    <row r="647" spans="1:4" x14ac:dyDescent="0.2">
      <c r="A647" s="53">
        <v>37165</v>
      </c>
      <c r="B647">
        <v>2.02</v>
      </c>
      <c r="C647">
        <v>2.4900000000000002</v>
      </c>
      <c r="D647">
        <v>5336</v>
      </c>
    </row>
    <row r="648" spans="1:4" x14ac:dyDescent="0.2">
      <c r="A648" s="53">
        <v>37196</v>
      </c>
      <c r="B648">
        <v>1.58</v>
      </c>
      <c r="C648">
        <v>2.09</v>
      </c>
      <c r="D648">
        <v>5379.6</v>
      </c>
    </row>
    <row r="649" spans="1:4" x14ac:dyDescent="0.2">
      <c r="A649" s="53">
        <v>37226</v>
      </c>
      <c r="B649">
        <v>1.33</v>
      </c>
      <c r="C649">
        <v>1.82</v>
      </c>
      <c r="D649">
        <v>5432.7</v>
      </c>
    </row>
    <row r="650" spans="1:4" x14ac:dyDescent="0.2">
      <c r="A650" s="53">
        <v>37257</v>
      </c>
      <c r="B650">
        <v>1.25</v>
      </c>
      <c r="C650">
        <v>1.73</v>
      </c>
      <c r="D650">
        <v>5453</v>
      </c>
    </row>
    <row r="651" spans="1:4" x14ac:dyDescent="0.2">
      <c r="A651" s="53">
        <v>37288</v>
      </c>
      <c r="B651">
        <v>1.25</v>
      </c>
      <c r="C651">
        <v>1.74</v>
      </c>
      <c r="D651">
        <v>5482.4</v>
      </c>
    </row>
    <row r="652" spans="1:4" x14ac:dyDescent="0.2">
      <c r="A652" s="53">
        <v>37316</v>
      </c>
      <c r="B652">
        <v>1.25</v>
      </c>
      <c r="C652">
        <v>1.73</v>
      </c>
      <c r="D652">
        <v>5494.2</v>
      </c>
    </row>
    <row r="653" spans="1:4" x14ac:dyDescent="0.2">
      <c r="A653" s="53">
        <v>37347</v>
      </c>
      <c r="B653">
        <v>1.25</v>
      </c>
      <c r="C653">
        <v>1.75</v>
      </c>
      <c r="D653">
        <v>5494.4</v>
      </c>
    </row>
    <row r="654" spans="1:4" x14ac:dyDescent="0.2">
      <c r="A654" s="53">
        <v>37377</v>
      </c>
      <c r="B654">
        <v>1.25</v>
      </c>
      <c r="C654">
        <v>1.75</v>
      </c>
      <c r="D654">
        <v>5520.6</v>
      </c>
    </row>
    <row r="655" spans="1:4" x14ac:dyDescent="0.2">
      <c r="A655" s="53">
        <v>37408</v>
      </c>
      <c r="B655">
        <v>1.25</v>
      </c>
      <c r="C655">
        <v>1.75</v>
      </c>
      <c r="D655">
        <v>5545.6</v>
      </c>
    </row>
    <row r="656" spans="1:4" x14ac:dyDescent="0.2">
      <c r="A656" s="53">
        <v>37438</v>
      </c>
      <c r="B656">
        <v>1.25</v>
      </c>
      <c r="C656">
        <v>1.73</v>
      </c>
      <c r="D656">
        <v>5588.2</v>
      </c>
    </row>
    <row r="657" spans="1:4" x14ac:dyDescent="0.2">
      <c r="A657" s="53">
        <v>37469</v>
      </c>
      <c r="B657">
        <v>1.25</v>
      </c>
      <c r="C657">
        <v>1.74</v>
      </c>
      <c r="D657">
        <v>5630.6</v>
      </c>
    </row>
    <row r="658" spans="1:4" x14ac:dyDescent="0.2">
      <c r="A658" s="53">
        <v>37500</v>
      </c>
      <c r="B658">
        <v>1.25</v>
      </c>
      <c r="C658">
        <v>1.75</v>
      </c>
      <c r="D658">
        <v>5655</v>
      </c>
    </row>
    <row r="659" spans="1:4" x14ac:dyDescent="0.2">
      <c r="A659" s="53">
        <v>37530</v>
      </c>
      <c r="B659">
        <v>1.25</v>
      </c>
      <c r="C659">
        <v>1.75</v>
      </c>
      <c r="D659">
        <v>5699.6</v>
      </c>
    </row>
    <row r="660" spans="1:4" x14ac:dyDescent="0.2">
      <c r="A660" s="53">
        <v>37561</v>
      </c>
      <c r="B660">
        <v>0.83</v>
      </c>
      <c r="C660">
        <v>1.34</v>
      </c>
      <c r="D660">
        <v>5749.7</v>
      </c>
    </row>
    <row r="661" spans="1:4" x14ac:dyDescent="0.2">
      <c r="A661" s="53">
        <v>37591</v>
      </c>
      <c r="B661">
        <v>0.75</v>
      </c>
      <c r="C661">
        <v>1.24</v>
      </c>
      <c r="D661">
        <v>5770.9</v>
      </c>
    </row>
    <row r="662" spans="1:4" x14ac:dyDescent="0.2">
      <c r="A662" s="53">
        <v>37622</v>
      </c>
      <c r="B662">
        <v>2.25</v>
      </c>
      <c r="C662">
        <v>1.24</v>
      </c>
      <c r="D662">
        <v>5803.5</v>
      </c>
    </row>
    <row r="663" spans="1:4" x14ac:dyDescent="0.2">
      <c r="A663" s="53">
        <v>37653</v>
      </c>
      <c r="B663">
        <v>2.25</v>
      </c>
      <c r="C663">
        <v>1.26</v>
      </c>
      <c r="D663">
        <v>5839.5</v>
      </c>
    </row>
    <row r="664" spans="1:4" x14ac:dyDescent="0.2">
      <c r="A664" s="53">
        <v>37681</v>
      </c>
      <c r="B664">
        <v>2.25</v>
      </c>
      <c r="C664">
        <v>1.25</v>
      </c>
      <c r="D664">
        <v>5860.3</v>
      </c>
    </row>
    <row r="665" spans="1:4" x14ac:dyDescent="0.2">
      <c r="A665" s="53">
        <v>37712</v>
      </c>
      <c r="B665">
        <v>2.25</v>
      </c>
      <c r="C665">
        <v>1.26</v>
      </c>
      <c r="D665">
        <v>5897.7</v>
      </c>
    </row>
    <row r="666" spans="1:4" x14ac:dyDescent="0.2">
      <c r="A666" s="53">
        <v>37742</v>
      </c>
      <c r="B666">
        <v>2.25</v>
      </c>
      <c r="C666">
        <v>1.26</v>
      </c>
      <c r="D666">
        <v>5958</v>
      </c>
    </row>
    <row r="667" spans="1:4" x14ac:dyDescent="0.2">
      <c r="A667" s="53">
        <v>37773</v>
      </c>
      <c r="B667">
        <v>2</v>
      </c>
      <c r="C667">
        <v>1.22</v>
      </c>
      <c r="D667">
        <v>5994.7</v>
      </c>
    </row>
    <row r="668" spans="1:4" x14ac:dyDescent="0.2">
      <c r="A668" s="53">
        <v>37803</v>
      </c>
      <c r="B668">
        <v>2</v>
      </c>
      <c r="C668">
        <v>1.01</v>
      </c>
      <c r="D668">
        <v>6041.4</v>
      </c>
    </row>
    <row r="669" spans="1:4" x14ac:dyDescent="0.2">
      <c r="A669" s="53">
        <v>37834</v>
      </c>
      <c r="B669">
        <v>2</v>
      </c>
      <c r="C669">
        <v>1.03</v>
      </c>
      <c r="D669">
        <v>6099.5</v>
      </c>
    </row>
    <row r="670" spans="1:4" x14ac:dyDescent="0.2">
      <c r="A670" s="53">
        <v>37865</v>
      </c>
      <c r="B670">
        <v>2</v>
      </c>
      <c r="C670">
        <v>1.01</v>
      </c>
      <c r="D670">
        <v>6071.6</v>
      </c>
    </row>
    <row r="671" spans="1:4" x14ac:dyDescent="0.2">
      <c r="A671" s="53">
        <v>37895</v>
      </c>
      <c r="B671">
        <v>2</v>
      </c>
      <c r="C671">
        <v>1.01</v>
      </c>
      <c r="D671">
        <v>6062.5</v>
      </c>
    </row>
    <row r="672" spans="1:4" x14ac:dyDescent="0.2">
      <c r="A672" s="53">
        <v>37926</v>
      </c>
      <c r="B672">
        <v>2</v>
      </c>
      <c r="C672">
        <v>1</v>
      </c>
      <c r="D672">
        <v>6067.7</v>
      </c>
    </row>
    <row r="673" spans="1:4" x14ac:dyDescent="0.2">
      <c r="A673" s="53">
        <v>37956</v>
      </c>
      <c r="B673">
        <v>2</v>
      </c>
      <c r="C673">
        <v>0.98</v>
      </c>
      <c r="D673">
        <v>6065.9</v>
      </c>
    </row>
    <row r="674" spans="1:4" x14ac:dyDescent="0.2">
      <c r="A674" s="53">
        <v>37987</v>
      </c>
      <c r="B674">
        <v>2</v>
      </c>
      <c r="C674">
        <v>1</v>
      </c>
      <c r="D674">
        <v>6074.4</v>
      </c>
    </row>
    <row r="675" spans="1:4" x14ac:dyDescent="0.2">
      <c r="A675" s="53">
        <v>38018</v>
      </c>
      <c r="B675">
        <v>2</v>
      </c>
      <c r="C675">
        <v>1.01</v>
      </c>
      <c r="D675">
        <v>6113.2</v>
      </c>
    </row>
    <row r="676" spans="1:4" x14ac:dyDescent="0.2">
      <c r="A676" s="53">
        <v>38047</v>
      </c>
      <c r="B676">
        <v>2</v>
      </c>
      <c r="C676">
        <v>1</v>
      </c>
      <c r="D676">
        <v>6149</v>
      </c>
    </row>
    <row r="677" spans="1:4" x14ac:dyDescent="0.2">
      <c r="A677" s="53">
        <v>38078</v>
      </c>
      <c r="B677">
        <v>2</v>
      </c>
      <c r="C677">
        <v>1</v>
      </c>
      <c r="D677">
        <v>6190.2</v>
      </c>
    </row>
    <row r="678" spans="1:4" x14ac:dyDescent="0.2">
      <c r="A678" s="53">
        <v>38108</v>
      </c>
      <c r="B678">
        <v>2</v>
      </c>
      <c r="C678">
        <v>1</v>
      </c>
      <c r="D678">
        <v>6267</v>
      </c>
    </row>
    <row r="679" spans="1:4" x14ac:dyDescent="0.2">
      <c r="A679" s="53">
        <v>38139</v>
      </c>
      <c r="B679">
        <v>2.25</v>
      </c>
      <c r="C679">
        <v>1.03</v>
      </c>
      <c r="D679">
        <v>6269.4</v>
      </c>
    </row>
    <row r="680" spans="1:4" x14ac:dyDescent="0.2">
      <c r="A680" s="53">
        <v>38169</v>
      </c>
      <c r="B680">
        <v>2.25</v>
      </c>
      <c r="C680">
        <v>1.26</v>
      </c>
      <c r="D680">
        <v>6283.1</v>
      </c>
    </row>
    <row r="681" spans="1:4" x14ac:dyDescent="0.2">
      <c r="A681" s="53">
        <v>38200</v>
      </c>
      <c r="B681">
        <v>2.5</v>
      </c>
      <c r="C681">
        <v>1.43</v>
      </c>
      <c r="D681">
        <v>6309.2</v>
      </c>
    </row>
    <row r="682" spans="1:4" x14ac:dyDescent="0.2">
      <c r="A682" s="53">
        <v>38231</v>
      </c>
      <c r="B682">
        <v>2.75</v>
      </c>
      <c r="C682">
        <v>1.61</v>
      </c>
      <c r="D682">
        <v>6343.9</v>
      </c>
    </row>
    <row r="683" spans="1:4" x14ac:dyDescent="0.2">
      <c r="A683" s="53">
        <v>38261</v>
      </c>
      <c r="B683">
        <v>2.75</v>
      </c>
      <c r="C683">
        <v>1.76</v>
      </c>
      <c r="D683">
        <v>6372.1</v>
      </c>
    </row>
    <row r="684" spans="1:4" x14ac:dyDescent="0.2">
      <c r="A684" s="53">
        <v>38292</v>
      </c>
      <c r="B684">
        <v>3</v>
      </c>
      <c r="C684">
        <v>1.93</v>
      </c>
      <c r="D684">
        <v>6398.7</v>
      </c>
    </row>
    <row r="685" spans="1:4" x14ac:dyDescent="0.2">
      <c r="A685" s="53">
        <v>38322</v>
      </c>
      <c r="B685">
        <v>3.25</v>
      </c>
      <c r="C685">
        <v>2.16</v>
      </c>
      <c r="D685">
        <v>6417.2</v>
      </c>
    </row>
    <row r="686" spans="1:4" x14ac:dyDescent="0.2">
      <c r="A686" s="53">
        <v>38353</v>
      </c>
      <c r="B686">
        <v>3.25</v>
      </c>
      <c r="C686">
        <v>2.2799999999999998</v>
      </c>
      <c r="D686">
        <v>6423.4</v>
      </c>
    </row>
    <row r="687" spans="1:4" x14ac:dyDescent="0.2">
      <c r="A687" s="53">
        <v>38384</v>
      </c>
      <c r="B687">
        <v>3.5</v>
      </c>
      <c r="C687">
        <v>2.5</v>
      </c>
      <c r="D687">
        <v>6431.8</v>
      </c>
    </row>
    <row r="688" spans="1:4" x14ac:dyDescent="0.2">
      <c r="A688" s="53">
        <v>38412</v>
      </c>
      <c r="B688">
        <v>3.75</v>
      </c>
      <c r="C688">
        <v>2.63</v>
      </c>
      <c r="D688">
        <v>6440.8</v>
      </c>
    </row>
    <row r="689" spans="1:4" x14ac:dyDescent="0.2">
      <c r="A689" s="53">
        <v>38443</v>
      </c>
      <c r="B689">
        <v>3.75</v>
      </c>
      <c r="C689">
        <v>2.79</v>
      </c>
      <c r="D689">
        <v>6454.7</v>
      </c>
    </row>
    <row r="690" spans="1:4" x14ac:dyDescent="0.2">
      <c r="A690" s="53">
        <v>38473</v>
      </c>
      <c r="B690">
        <v>4</v>
      </c>
      <c r="C690">
        <v>3</v>
      </c>
      <c r="D690">
        <v>6472</v>
      </c>
    </row>
    <row r="691" spans="1:4" x14ac:dyDescent="0.2">
      <c r="A691" s="53">
        <v>38504</v>
      </c>
      <c r="B691">
        <v>4.25</v>
      </c>
      <c r="C691">
        <v>3.04</v>
      </c>
      <c r="D691">
        <v>6504.4</v>
      </c>
    </row>
    <row r="692" spans="1:4" x14ac:dyDescent="0.2">
      <c r="A692" s="53">
        <v>38534</v>
      </c>
      <c r="B692">
        <v>4.25</v>
      </c>
      <c r="C692">
        <v>3.26</v>
      </c>
      <c r="D692">
        <v>6536</v>
      </c>
    </row>
    <row r="693" spans="1:4" x14ac:dyDescent="0.2">
      <c r="A693" s="53">
        <v>38565</v>
      </c>
      <c r="B693">
        <v>4.5</v>
      </c>
      <c r="C693">
        <v>3.5</v>
      </c>
      <c r="D693">
        <v>6568.7</v>
      </c>
    </row>
    <row r="694" spans="1:4" x14ac:dyDescent="0.2">
      <c r="A694" s="53">
        <v>38596</v>
      </c>
      <c r="B694">
        <v>4.75</v>
      </c>
      <c r="C694">
        <v>3.62</v>
      </c>
      <c r="D694">
        <v>6602.9</v>
      </c>
    </row>
    <row r="695" spans="1:4" x14ac:dyDescent="0.2">
      <c r="A695" s="53">
        <v>38626</v>
      </c>
      <c r="B695">
        <v>4.75</v>
      </c>
      <c r="C695">
        <v>3.78</v>
      </c>
      <c r="D695">
        <v>6637</v>
      </c>
    </row>
    <row r="696" spans="1:4" x14ac:dyDescent="0.2">
      <c r="A696" s="53">
        <v>38657</v>
      </c>
      <c r="B696">
        <v>5</v>
      </c>
      <c r="C696">
        <v>4</v>
      </c>
      <c r="D696">
        <v>6653.4</v>
      </c>
    </row>
    <row r="697" spans="1:4" x14ac:dyDescent="0.2">
      <c r="A697" s="53">
        <v>38687</v>
      </c>
      <c r="B697">
        <v>5.25</v>
      </c>
      <c r="C697">
        <v>4.16</v>
      </c>
      <c r="D697">
        <v>6680.1</v>
      </c>
    </row>
    <row r="698" spans="1:4" x14ac:dyDescent="0.2">
      <c r="A698" s="53">
        <v>38718</v>
      </c>
      <c r="B698">
        <v>5.5</v>
      </c>
      <c r="C698">
        <v>4.29</v>
      </c>
      <c r="D698">
        <v>6722.5</v>
      </c>
    </row>
    <row r="699" spans="1:4" x14ac:dyDescent="0.2">
      <c r="A699" s="53">
        <v>38749</v>
      </c>
      <c r="B699">
        <v>5.5</v>
      </c>
      <c r="C699">
        <v>4.49</v>
      </c>
      <c r="D699">
        <v>6746.8</v>
      </c>
    </row>
    <row r="700" spans="1:4" x14ac:dyDescent="0.2">
      <c r="A700" s="53">
        <v>38777</v>
      </c>
      <c r="B700">
        <v>5.75</v>
      </c>
      <c r="C700">
        <v>4.59</v>
      </c>
      <c r="D700">
        <v>6761.1</v>
      </c>
    </row>
    <row r="701" spans="1:4" x14ac:dyDescent="0.2">
      <c r="A701" s="53">
        <v>38808</v>
      </c>
      <c r="B701">
        <v>5.75</v>
      </c>
      <c r="C701">
        <v>4.79</v>
      </c>
      <c r="D701">
        <v>6798.5</v>
      </c>
    </row>
    <row r="702" spans="1:4" x14ac:dyDescent="0.2">
      <c r="A702" s="53">
        <v>38838</v>
      </c>
      <c r="B702">
        <v>6</v>
      </c>
      <c r="C702">
        <v>4.9400000000000004</v>
      </c>
      <c r="D702">
        <v>6805.2</v>
      </c>
    </row>
    <row r="703" spans="1:4" x14ac:dyDescent="0.2">
      <c r="A703" s="53">
        <v>38869</v>
      </c>
      <c r="B703">
        <v>6.25</v>
      </c>
      <c r="C703">
        <v>4.99</v>
      </c>
      <c r="D703">
        <v>6843.2</v>
      </c>
    </row>
    <row r="704" spans="1:4" x14ac:dyDescent="0.2">
      <c r="A704" s="53">
        <v>38899</v>
      </c>
      <c r="B704">
        <v>6.25</v>
      </c>
      <c r="C704">
        <v>5.24</v>
      </c>
      <c r="D704">
        <v>6884.6</v>
      </c>
    </row>
    <row r="705" spans="1:4" x14ac:dyDescent="0.2">
      <c r="A705" s="53">
        <v>38930</v>
      </c>
      <c r="B705">
        <v>6.25</v>
      </c>
      <c r="C705">
        <v>5.25</v>
      </c>
      <c r="D705">
        <v>6915.4</v>
      </c>
    </row>
    <row r="706" spans="1:4" x14ac:dyDescent="0.2">
      <c r="A706" s="53">
        <v>38961</v>
      </c>
      <c r="B706">
        <v>6.25</v>
      </c>
      <c r="C706">
        <v>5.25</v>
      </c>
      <c r="D706">
        <v>6942.6</v>
      </c>
    </row>
    <row r="707" spans="1:4" x14ac:dyDescent="0.2">
      <c r="A707" s="53">
        <v>38991</v>
      </c>
      <c r="B707">
        <v>6.25</v>
      </c>
      <c r="C707">
        <v>5.25</v>
      </c>
      <c r="D707">
        <v>6991.6</v>
      </c>
    </row>
    <row r="708" spans="1:4" x14ac:dyDescent="0.2">
      <c r="A708" s="53">
        <v>39022</v>
      </c>
      <c r="B708">
        <v>6.25</v>
      </c>
      <c r="C708">
        <v>5.25</v>
      </c>
      <c r="D708">
        <v>7026.5</v>
      </c>
    </row>
    <row r="709" spans="1:4" x14ac:dyDescent="0.2">
      <c r="A709" s="53">
        <v>39052</v>
      </c>
      <c r="B709">
        <v>6.25</v>
      </c>
      <c r="C709">
        <v>5.24</v>
      </c>
      <c r="D709">
        <v>7069.5</v>
      </c>
    </row>
    <row r="710" spans="1:4" x14ac:dyDescent="0.2">
      <c r="A710" s="53">
        <v>39083</v>
      </c>
      <c r="B710">
        <v>6.25</v>
      </c>
      <c r="C710">
        <v>5.25</v>
      </c>
      <c r="D710">
        <v>7107.4</v>
      </c>
    </row>
    <row r="711" spans="1:4" x14ac:dyDescent="0.2">
      <c r="A711" s="53">
        <v>39114</v>
      </c>
      <c r="B711">
        <v>6.25</v>
      </c>
      <c r="C711">
        <v>5.26</v>
      </c>
      <c r="D711">
        <v>7123.2</v>
      </c>
    </row>
    <row r="712" spans="1:4" x14ac:dyDescent="0.2">
      <c r="A712" s="53">
        <v>39142</v>
      </c>
      <c r="B712">
        <v>6.25</v>
      </c>
      <c r="C712">
        <v>5.26</v>
      </c>
      <c r="D712">
        <v>7156.9</v>
      </c>
    </row>
    <row r="713" spans="1:4" x14ac:dyDescent="0.2">
      <c r="A713" s="53">
        <v>39173</v>
      </c>
      <c r="B713">
        <v>6.25</v>
      </c>
      <c r="C713">
        <v>5.25</v>
      </c>
      <c r="D713">
        <v>7229.3</v>
      </c>
    </row>
    <row r="714" spans="1:4" x14ac:dyDescent="0.2">
      <c r="A714" s="53">
        <v>39203</v>
      </c>
      <c r="B714">
        <v>6.25</v>
      </c>
      <c r="C714">
        <v>5.25</v>
      </c>
      <c r="D714">
        <v>7243.2</v>
      </c>
    </row>
    <row r="715" spans="1:4" x14ac:dyDescent="0.2">
      <c r="A715" s="53">
        <v>39234</v>
      </c>
      <c r="B715">
        <v>6.25</v>
      </c>
      <c r="C715">
        <v>5.25</v>
      </c>
      <c r="D715">
        <v>7276.3</v>
      </c>
    </row>
    <row r="716" spans="1:4" x14ac:dyDescent="0.2">
      <c r="A716" s="53">
        <v>39264</v>
      </c>
      <c r="B716">
        <v>6.25</v>
      </c>
      <c r="C716">
        <v>5.26</v>
      </c>
      <c r="D716">
        <v>7306.6</v>
      </c>
    </row>
    <row r="717" spans="1:4" x14ac:dyDescent="0.2">
      <c r="A717" s="53">
        <v>39295</v>
      </c>
      <c r="B717">
        <v>5.75</v>
      </c>
      <c r="C717">
        <v>5.0199999999999996</v>
      </c>
      <c r="D717">
        <v>7382.8</v>
      </c>
    </row>
    <row r="718" spans="1:4" x14ac:dyDescent="0.2">
      <c r="A718" s="53">
        <v>39326</v>
      </c>
      <c r="B718">
        <v>5.25</v>
      </c>
      <c r="C718">
        <v>4.9400000000000004</v>
      </c>
      <c r="D718">
        <v>7401.1</v>
      </c>
    </row>
    <row r="719" spans="1:4" x14ac:dyDescent="0.2">
      <c r="A719" s="53">
        <v>39356</v>
      </c>
      <c r="B719">
        <v>5</v>
      </c>
      <c r="C719">
        <v>4.76</v>
      </c>
      <c r="D719">
        <v>7414.8</v>
      </c>
    </row>
    <row r="720" spans="1:4" x14ac:dyDescent="0.2">
      <c r="A720" s="53">
        <v>39387</v>
      </c>
      <c r="B720">
        <v>5</v>
      </c>
      <c r="C720">
        <v>4.49</v>
      </c>
      <c r="D720">
        <v>7439.6</v>
      </c>
    </row>
    <row r="721" spans="1:4" x14ac:dyDescent="0.2">
      <c r="A721" s="53">
        <v>39417</v>
      </c>
      <c r="B721">
        <v>4.75</v>
      </c>
      <c r="C721">
        <v>4.24</v>
      </c>
      <c r="D721">
        <v>7469.4</v>
      </c>
    </row>
    <row r="722" spans="1:4" x14ac:dyDescent="0.2">
      <c r="A722" s="53">
        <v>39448</v>
      </c>
      <c r="B722">
        <v>3.5</v>
      </c>
      <c r="C722">
        <v>3.94</v>
      </c>
      <c r="D722">
        <v>7503.1</v>
      </c>
    </row>
    <row r="723" spans="1:4" x14ac:dyDescent="0.2">
      <c r="A723" s="53">
        <v>39479</v>
      </c>
      <c r="B723">
        <v>3.5</v>
      </c>
      <c r="C723">
        <v>2.98</v>
      </c>
      <c r="D723">
        <v>7587.6</v>
      </c>
    </row>
    <row r="724" spans="1:4" x14ac:dyDescent="0.2">
      <c r="A724" s="53">
        <v>39508</v>
      </c>
      <c r="B724">
        <v>2.5</v>
      </c>
      <c r="C724">
        <v>2.61</v>
      </c>
      <c r="D724">
        <v>7653.3</v>
      </c>
    </row>
    <row r="725" spans="1:4" x14ac:dyDescent="0.2">
      <c r="A725" s="53">
        <v>39539</v>
      </c>
      <c r="B725">
        <v>2.25</v>
      </c>
      <c r="C725">
        <v>2.2799999999999998</v>
      </c>
      <c r="D725">
        <v>7696.1</v>
      </c>
    </row>
    <row r="726" spans="1:4" x14ac:dyDescent="0.2">
      <c r="A726" s="53">
        <v>39569</v>
      </c>
      <c r="B726">
        <v>2.25</v>
      </c>
      <c r="C726">
        <v>1.98</v>
      </c>
      <c r="D726">
        <v>7708.3</v>
      </c>
    </row>
    <row r="727" spans="1:4" x14ac:dyDescent="0.2">
      <c r="A727" s="53">
        <v>39600</v>
      </c>
      <c r="B727">
        <v>2.25</v>
      </c>
      <c r="C727">
        <v>2</v>
      </c>
      <c r="D727">
        <v>7725.8</v>
      </c>
    </row>
    <row r="728" spans="1:4" x14ac:dyDescent="0.2">
      <c r="A728" s="53">
        <v>39630</v>
      </c>
      <c r="B728">
        <v>2.25</v>
      </c>
      <c r="C728">
        <v>2.0099999999999998</v>
      </c>
      <c r="D728">
        <v>7772.1</v>
      </c>
    </row>
    <row r="729" spans="1:4" x14ac:dyDescent="0.2">
      <c r="A729" s="53">
        <v>39661</v>
      </c>
      <c r="B729">
        <v>2.25</v>
      </c>
      <c r="C729">
        <v>2</v>
      </c>
      <c r="D729">
        <v>7787</v>
      </c>
    </row>
    <row r="730" spans="1:4" x14ac:dyDescent="0.2">
      <c r="A730" s="53">
        <v>39692</v>
      </c>
      <c r="B730">
        <v>2.25</v>
      </c>
      <c r="C730">
        <v>1.81</v>
      </c>
      <c r="D730">
        <v>7856.5</v>
      </c>
    </row>
    <row r="731" spans="1:4" x14ac:dyDescent="0.2">
      <c r="A731" s="53">
        <v>39722</v>
      </c>
      <c r="B731">
        <v>1.25</v>
      </c>
      <c r="C731">
        <v>0.97</v>
      </c>
      <c r="D731">
        <v>7963.1</v>
      </c>
    </row>
    <row r="732" spans="1:4" x14ac:dyDescent="0.2">
      <c r="A732" s="53">
        <v>39753</v>
      </c>
      <c r="B732">
        <v>1.25</v>
      </c>
      <c r="C732">
        <v>0.39</v>
      </c>
      <c r="D732">
        <v>8013.5</v>
      </c>
    </row>
    <row r="733" spans="1:4" x14ac:dyDescent="0.2">
      <c r="A733" s="53">
        <v>39783</v>
      </c>
      <c r="B733">
        <v>0.5</v>
      </c>
      <c r="C733">
        <v>0.16</v>
      </c>
      <c r="D733">
        <v>8189.7</v>
      </c>
    </row>
    <row r="734" spans="1:4" x14ac:dyDescent="0.2">
      <c r="A734" s="53">
        <v>39814</v>
      </c>
      <c r="B734">
        <v>0.5</v>
      </c>
      <c r="C734">
        <v>0.15</v>
      </c>
      <c r="D734">
        <v>8271.2000000000007</v>
      </c>
    </row>
    <row r="735" spans="1:4" x14ac:dyDescent="0.2">
      <c r="A735" s="53">
        <v>39845</v>
      </c>
      <c r="B735">
        <v>0.5</v>
      </c>
      <c r="C735">
        <v>0.22</v>
      </c>
      <c r="D735">
        <v>8300.5</v>
      </c>
    </row>
    <row r="736" spans="1:4" x14ac:dyDescent="0.2">
      <c r="A736" s="53">
        <v>39873</v>
      </c>
      <c r="B736">
        <v>0.5</v>
      </c>
      <c r="C736">
        <v>0.18</v>
      </c>
      <c r="D736">
        <v>8366.5</v>
      </c>
    </row>
    <row r="737" spans="1:4" x14ac:dyDescent="0.2">
      <c r="A737" s="53">
        <v>39904</v>
      </c>
      <c r="B737">
        <v>0.5</v>
      </c>
      <c r="C737">
        <v>0.15</v>
      </c>
      <c r="D737">
        <v>8369.9</v>
      </c>
    </row>
    <row r="738" spans="1:4" x14ac:dyDescent="0.2">
      <c r="A738" s="53">
        <v>39934</v>
      </c>
      <c r="B738">
        <v>0.5</v>
      </c>
      <c r="C738">
        <v>0.18</v>
      </c>
      <c r="D738">
        <v>8427.6</v>
      </c>
    </row>
    <row r="739" spans="1:4" x14ac:dyDescent="0.2">
      <c r="A739" s="53">
        <v>39965</v>
      </c>
      <c r="B739">
        <v>0.5</v>
      </c>
      <c r="C739">
        <v>0.21</v>
      </c>
      <c r="D739">
        <v>8437.2000000000007</v>
      </c>
    </row>
    <row r="740" spans="1:4" x14ac:dyDescent="0.2">
      <c r="A740" s="53">
        <v>39995</v>
      </c>
      <c r="B740">
        <v>0.5</v>
      </c>
      <c r="C740">
        <v>0.16</v>
      </c>
      <c r="D740">
        <v>8442</v>
      </c>
    </row>
    <row r="741" spans="1:4" x14ac:dyDescent="0.2">
      <c r="A741" s="53">
        <v>40026</v>
      </c>
      <c r="B741">
        <v>0.5</v>
      </c>
      <c r="C741">
        <v>0.16</v>
      </c>
      <c r="D741">
        <v>8441.7999999999993</v>
      </c>
    </row>
    <row r="742" spans="1:4" x14ac:dyDescent="0.2">
      <c r="A742" s="53">
        <v>40057</v>
      </c>
      <c r="B742">
        <v>0.5</v>
      </c>
      <c r="C742">
        <v>0.15</v>
      </c>
      <c r="D742">
        <v>8441.1</v>
      </c>
    </row>
    <row r="743" spans="1:4" x14ac:dyDescent="0.2">
      <c r="A743" s="53">
        <v>40087</v>
      </c>
      <c r="B743">
        <v>0.5</v>
      </c>
      <c r="C743">
        <v>0.12</v>
      </c>
      <c r="D743">
        <v>8468.1</v>
      </c>
    </row>
    <row r="744" spans="1:4" x14ac:dyDescent="0.2">
      <c r="A744" s="53">
        <v>40118</v>
      </c>
      <c r="B744">
        <v>0.5</v>
      </c>
      <c r="C744">
        <v>0.12</v>
      </c>
      <c r="D744">
        <v>8498.2000000000007</v>
      </c>
    </row>
    <row r="745" spans="1:4" x14ac:dyDescent="0.2">
      <c r="A745" s="53">
        <v>40148</v>
      </c>
      <c r="B745">
        <v>0.5</v>
      </c>
      <c r="C745">
        <v>0.12</v>
      </c>
      <c r="D745">
        <v>8493.1</v>
      </c>
    </row>
    <row r="746" spans="1:4" x14ac:dyDescent="0.2">
      <c r="A746" s="53">
        <v>40179</v>
      </c>
      <c r="B746">
        <v>0.5</v>
      </c>
      <c r="C746">
        <v>0.11</v>
      </c>
      <c r="D746">
        <v>8455.4</v>
      </c>
    </row>
    <row r="747" spans="1:4" x14ac:dyDescent="0.2">
      <c r="A747" s="53">
        <v>40210</v>
      </c>
      <c r="B747">
        <v>0.75</v>
      </c>
      <c r="C747">
        <v>0.13</v>
      </c>
      <c r="D747">
        <v>8505.1</v>
      </c>
    </row>
    <row r="748" spans="1:4" x14ac:dyDescent="0.2">
      <c r="A748" s="53">
        <v>40238</v>
      </c>
      <c r="B748">
        <v>0.75</v>
      </c>
      <c r="C748">
        <v>0.16</v>
      </c>
      <c r="D748">
        <v>8502.2000000000007</v>
      </c>
    </row>
    <row r="749" spans="1:4" x14ac:dyDescent="0.2">
      <c r="A749" s="53">
        <v>40269</v>
      </c>
      <c r="B749">
        <v>0.75</v>
      </c>
      <c r="C749">
        <v>0.2</v>
      </c>
      <c r="D749">
        <v>8532.7999999999993</v>
      </c>
    </row>
    <row r="750" spans="1:4" x14ac:dyDescent="0.2">
      <c r="A750" s="53">
        <v>40299</v>
      </c>
      <c r="B750">
        <v>0.75</v>
      </c>
      <c r="C750">
        <v>0.2</v>
      </c>
      <c r="D750">
        <v>8587.7000000000007</v>
      </c>
    </row>
    <row r="751" spans="1:4" x14ac:dyDescent="0.2">
      <c r="A751" s="53">
        <v>40330</v>
      </c>
      <c r="B751">
        <v>0.75</v>
      </c>
      <c r="C751">
        <v>0.18</v>
      </c>
      <c r="D751">
        <v>8606.7000000000007</v>
      </c>
    </row>
    <row r="752" spans="1:4" x14ac:dyDescent="0.2">
      <c r="A752" s="53">
        <v>40360</v>
      </c>
      <c r="B752">
        <v>0.75</v>
      </c>
      <c r="C752">
        <v>0.18</v>
      </c>
      <c r="D752">
        <v>8616.2999999999993</v>
      </c>
    </row>
    <row r="753" spans="1:4" x14ac:dyDescent="0.2">
      <c r="A753" s="53">
        <v>40391</v>
      </c>
      <c r="B753">
        <v>0.75</v>
      </c>
      <c r="C753">
        <v>0.19</v>
      </c>
      <c r="D753">
        <v>8666.7000000000007</v>
      </c>
    </row>
    <row r="754" spans="1:4" x14ac:dyDescent="0.2">
      <c r="A754" s="53">
        <v>40422</v>
      </c>
      <c r="B754">
        <v>0.75</v>
      </c>
      <c r="C754">
        <v>0.19</v>
      </c>
      <c r="D754">
        <v>8697.7999999999993</v>
      </c>
    </row>
    <row r="755" spans="1:4" x14ac:dyDescent="0.2">
      <c r="A755" s="53">
        <v>40452</v>
      </c>
      <c r="B755">
        <v>0.75</v>
      </c>
      <c r="C755">
        <v>0.19</v>
      </c>
      <c r="D755">
        <v>8746.9</v>
      </c>
    </row>
    <row r="756" spans="1:4" x14ac:dyDescent="0.2">
      <c r="A756" s="53">
        <v>40483</v>
      </c>
      <c r="B756">
        <v>0.75</v>
      </c>
      <c r="C756">
        <v>0.19</v>
      </c>
      <c r="D756">
        <v>8767.7000000000007</v>
      </c>
    </row>
    <row r="757" spans="1:4" x14ac:dyDescent="0.2">
      <c r="A757" s="53">
        <v>40513</v>
      </c>
      <c r="B757">
        <v>0.75</v>
      </c>
      <c r="C757">
        <v>0.18</v>
      </c>
      <c r="D757">
        <v>8799.4</v>
      </c>
    </row>
    <row r="758" spans="1:4" x14ac:dyDescent="0.2">
      <c r="A758" s="53">
        <v>40544</v>
      </c>
      <c r="B758">
        <v>0.75</v>
      </c>
      <c r="C758">
        <v>0.17</v>
      </c>
      <c r="D758">
        <v>8820.4</v>
      </c>
    </row>
    <row r="759" spans="1:4" x14ac:dyDescent="0.2">
      <c r="A759" s="53">
        <v>40575</v>
      </c>
      <c r="B759">
        <v>0.75</v>
      </c>
      <c r="C759">
        <v>0.16</v>
      </c>
      <c r="D759">
        <v>8884.2000000000007</v>
      </c>
    </row>
    <row r="760" spans="1:4" x14ac:dyDescent="0.2">
      <c r="A760" s="53">
        <v>40603</v>
      </c>
      <c r="B760">
        <v>0.75</v>
      </c>
      <c r="C760">
        <v>0.14000000000000001</v>
      </c>
      <c r="D760">
        <v>8940.6</v>
      </c>
    </row>
    <row r="761" spans="1:4" x14ac:dyDescent="0.2">
      <c r="A761" s="53">
        <v>40634</v>
      </c>
      <c r="B761">
        <v>0.75</v>
      </c>
      <c r="C761">
        <v>0.1</v>
      </c>
      <c r="D761">
        <v>9002.1</v>
      </c>
    </row>
    <row r="762" spans="1:4" x14ac:dyDescent="0.2">
      <c r="A762" s="53">
        <v>40664</v>
      </c>
      <c r="B762">
        <v>0.75</v>
      </c>
      <c r="C762">
        <v>0.09</v>
      </c>
      <c r="D762">
        <v>9072.7000000000007</v>
      </c>
    </row>
    <row r="763" spans="1:4" x14ac:dyDescent="0.2">
      <c r="A763" s="53">
        <v>40695</v>
      </c>
      <c r="B763">
        <v>0.75</v>
      </c>
      <c r="C763">
        <v>0.09</v>
      </c>
      <c r="D763">
        <v>9148.4</v>
      </c>
    </row>
    <row r="764" spans="1:4" x14ac:dyDescent="0.2">
      <c r="A764" s="53">
        <v>40725</v>
      </c>
      <c r="B764">
        <v>0.75</v>
      </c>
      <c r="C764">
        <v>7.0000000000000007E-2</v>
      </c>
      <c r="D764">
        <v>9313.7999999999993</v>
      </c>
    </row>
    <row r="765" spans="1:4" x14ac:dyDescent="0.2">
      <c r="A765" s="53">
        <v>40756</v>
      </c>
      <c r="B765">
        <v>0.75</v>
      </c>
      <c r="C765">
        <v>0.1</v>
      </c>
      <c r="D765">
        <v>9505</v>
      </c>
    </row>
    <row r="766" spans="1:4" x14ac:dyDescent="0.2">
      <c r="A766" s="53">
        <v>40787</v>
      </c>
      <c r="B766">
        <v>0.75</v>
      </c>
      <c r="C766">
        <v>0.08</v>
      </c>
      <c r="D766">
        <v>9525.7999999999993</v>
      </c>
    </row>
    <row r="767" spans="1:4" x14ac:dyDescent="0.2">
      <c r="A767" s="53">
        <v>40817</v>
      </c>
      <c r="B767">
        <v>0.75</v>
      </c>
      <c r="C767">
        <v>7.0000000000000007E-2</v>
      </c>
      <c r="D767">
        <v>9559.5</v>
      </c>
    </row>
    <row r="768" spans="1:4" x14ac:dyDescent="0.2">
      <c r="A768" s="53">
        <v>40848</v>
      </c>
      <c r="B768">
        <v>0.75</v>
      </c>
      <c r="C768">
        <v>0.08</v>
      </c>
      <c r="D768">
        <v>9610.1</v>
      </c>
    </row>
    <row r="769" spans="1:4" x14ac:dyDescent="0.2">
      <c r="A769" s="53">
        <v>40878</v>
      </c>
      <c r="B769">
        <v>0.75</v>
      </c>
      <c r="C769">
        <v>7.0000000000000007E-2</v>
      </c>
      <c r="D769">
        <v>9657.7000000000007</v>
      </c>
    </row>
    <row r="770" spans="1:4" x14ac:dyDescent="0.2">
      <c r="A770" s="53">
        <v>40909</v>
      </c>
      <c r="B770">
        <v>0.75</v>
      </c>
      <c r="C770">
        <v>0.08</v>
      </c>
      <c r="D770">
        <v>9731.5</v>
      </c>
    </row>
    <row r="771" spans="1:4" x14ac:dyDescent="0.2">
      <c r="A771" s="53">
        <v>40940</v>
      </c>
      <c r="B771">
        <v>0.75</v>
      </c>
      <c r="C771">
        <v>0.1</v>
      </c>
      <c r="D771">
        <v>9789.2999999999993</v>
      </c>
    </row>
    <row r="772" spans="1:4" x14ac:dyDescent="0.2">
      <c r="A772" s="53">
        <v>40969</v>
      </c>
      <c r="B772">
        <v>0.75</v>
      </c>
      <c r="C772">
        <v>0.13</v>
      </c>
      <c r="D772">
        <v>9837.1</v>
      </c>
    </row>
    <row r="773" spans="1:4" x14ac:dyDescent="0.2">
      <c r="A773" s="53">
        <v>41000</v>
      </c>
      <c r="B773">
        <v>0.75</v>
      </c>
      <c r="C773">
        <v>0.14000000000000001</v>
      </c>
      <c r="D773">
        <v>9889.9</v>
      </c>
    </row>
    <row r="774" spans="1:4" x14ac:dyDescent="0.2">
      <c r="A774" s="53">
        <v>41030</v>
      </c>
      <c r="B774">
        <v>0.75</v>
      </c>
      <c r="C774">
        <v>0.16</v>
      </c>
      <c r="D774">
        <v>9934.6</v>
      </c>
    </row>
    <row r="775" spans="1:4" x14ac:dyDescent="0.2">
      <c r="A775" s="53">
        <v>41061</v>
      </c>
      <c r="B775">
        <v>0.75</v>
      </c>
      <c r="C775">
        <v>0.16</v>
      </c>
      <c r="D775">
        <v>9998.1</v>
      </c>
    </row>
    <row r="776" spans="1:4" x14ac:dyDescent="0.2">
      <c r="A776" s="53">
        <v>41091</v>
      </c>
      <c r="B776">
        <v>0.75</v>
      </c>
      <c r="C776">
        <v>0.16</v>
      </c>
      <c r="D776">
        <v>10055.299999999999</v>
      </c>
    </row>
    <row r="777" spans="1:4" x14ac:dyDescent="0.2">
      <c r="A777" s="53">
        <v>41122</v>
      </c>
      <c r="B777">
        <v>0.75</v>
      </c>
      <c r="C777">
        <v>0.13</v>
      </c>
      <c r="D777">
        <v>10115.200000000001</v>
      </c>
    </row>
    <row r="778" spans="1:4" x14ac:dyDescent="0.2">
      <c r="A778" s="53">
        <v>41153</v>
      </c>
      <c r="B778">
        <v>0.75</v>
      </c>
      <c r="C778">
        <v>0.14000000000000001</v>
      </c>
      <c r="D778">
        <v>10193.1</v>
      </c>
    </row>
    <row r="779" spans="1:4" x14ac:dyDescent="0.2">
      <c r="A779" s="53">
        <v>41183</v>
      </c>
      <c r="B779">
        <v>0.75</v>
      </c>
      <c r="C779">
        <v>0.16</v>
      </c>
      <c r="D779">
        <v>10256.5</v>
      </c>
    </row>
    <row r="780" spans="1:4" x14ac:dyDescent="0.2">
      <c r="A780" s="53">
        <v>41214</v>
      </c>
      <c r="B780">
        <v>0.75</v>
      </c>
      <c r="C780">
        <v>0.16</v>
      </c>
      <c r="D780">
        <v>10319.799999999999</v>
      </c>
    </row>
    <row r="781" spans="1:4" x14ac:dyDescent="0.2">
      <c r="A781" s="53">
        <v>41244</v>
      </c>
      <c r="B781">
        <v>0.75</v>
      </c>
      <c r="C781">
        <v>0.16</v>
      </c>
      <c r="D781">
        <v>10451.5</v>
      </c>
    </row>
    <row r="782" spans="1:4" x14ac:dyDescent="0.2">
      <c r="A782" s="53">
        <v>41275</v>
      </c>
      <c r="B782">
        <v>0.75</v>
      </c>
      <c r="C782">
        <v>0.14000000000000001</v>
      </c>
      <c r="D782">
        <v>10477</v>
      </c>
    </row>
    <row r="783" spans="1:4" x14ac:dyDescent="0.2">
      <c r="A783" s="53">
        <v>41306</v>
      </c>
      <c r="B783">
        <v>0.75</v>
      </c>
      <c r="C783">
        <v>0.15</v>
      </c>
      <c r="D783">
        <v>10489.1</v>
      </c>
    </row>
    <row r="784" spans="1:4" x14ac:dyDescent="0.2">
      <c r="A784" s="53">
        <v>41334</v>
      </c>
      <c r="B784">
        <v>0.75</v>
      </c>
      <c r="C784">
        <v>0.14000000000000001</v>
      </c>
      <c r="D784">
        <v>10555.8</v>
      </c>
    </row>
    <row r="785" spans="1:4" x14ac:dyDescent="0.2">
      <c r="A785" s="53">
        <v>41365</v>
      </c>
      <c r="B785">
        <v>0.75</v>
      </c>
      <c r="C785">
        <v>0.15</v>
      </c>
      <c r="D785">
        <v>10590.3</v>
      </c>
    </row>
    <row r="786" spans="1:4" x14ac:dyDescent="0.2">
      <c r="A786" s="53">
        <v>41395</v>
      </c>
      <c r="B786">
        <v>0.75</v>
      </c>
      <c r="C786">
        <v>0.11</v>
      </c>
      <c r="D786">
        <v>10630.1</v>
      </c>
    </row>
    <row r="787" spans="1:4" x14ac:dyDescent="0.2">
      <c r="A787" s="53">
        <v>41426</v>
      </c>
      <c r="B787">
        <v>0.75</v>
      </c>
      <c r="C787">
        <v>0.09</v>
      </c>
      <c r="D787">
        <v>10682.5</v>
      </c>
    </row>
    <row r="788" spans="1:4" x14ac:dyDescent="0.2">
      <c r="A788" s="53">
        <v>41456</v>
      </c>
      <c r="B788">
        <v>0.75</v>
      </c>
      <c r="C788">
        <v>0.09</v>
      </c>
      <c r="D788">
        <v>10728.9</v>
      </c>
    </row>
    <row r="789" spans="1:4" x14ac:dyDescent="0.2">
      <c r="A789" s="53">
        <v>41487</v>
      </c>
      <c r="B789">
        <v>0.75</v>
      </c>
      <c r="C789">
        <v>0.08</v>
      </c>
      <c r="D789">
        <v>10783.5</v>
      </c>
    </row>
    <row r="790" spans="1:4" x14ac:dyDescent="0.2">
      <c r="A790" s="53">
        <v>41518</v>
      </c>
      <c r="B790">
        <v>0.75</v>
      </c>
      <c r="C790">
        <v>0.08</v>
      </c>
      <c r="D790">
        <v>10835.3</v>
      </c>
    </row>
    <row r="791" spans="1:4" x14ac:dyDescent="0.2">
      <c r="A791" s="53">
        <v>41548</v>
      </c>
      <c r="B791">
        <v>0.75</v>
      </c>
      <c r="C791">
        <v>0.09</v>
      </c>
      <c r="D791">
        <v>10948.7</v>
      </c>
    </row>
    <row r="792" spans="1:4" x14ac:dyDescent="0.2">
      <c r="A792" s="53">
        <v>41579</v>
      </c>
      <c r="B792">
        <v>0.75</v>
      </c>
      <c r="C792">
        <v>0.08</v>
      </c>
      <c r="D792">
        <v>10954.1</v>
      </c>
    </row>
    <row r="793" spans="1:4" x14ac:dyDescent="0.2">
      <c r="A793" s="53">
        <v>41609</v>
      </c>
      <c r="B793">
        <v>0.75</v>
      </c>
      <c r="C793">
        <v>0.09</v>
      </c>
      <c r="D793">
        <v>11020.3</v>
      </c>
    </row>
    <row r="794" spans="1:4" x14ac:dyDescent="0.2">
      <c r="A794" s="53">
        <v>41640</v>
      </c>
      <c r="B794">
        <v>0.75</v>
      </c>
      <c r="C794">
        <v>7.0000000000000007E-2</v>
      </c>
      <c r="D794">
        <v>11076.6</v>
      </c>
    </row>
    <row r="795" spans="1:4" x14ac:dyDescent="0.2">
      <c r="A795" s="53">
        <v>41671</v>
      </c>
      <c r="B795">
        <v>0.75</v>
      </c>
      <c r="C795">
        <v>7.0000000000000007E-2</v>
      </c>
      <c r="D795">
        <v>11169.3</v>
      </c>
    </row>
    <row r="796" spans="1:4" x14ac:dyDescent="0.2">
      <c r="A796" s="53">
        <v>41699</v>
      </c>
      <c r="B796">
        <v>0.75</v>
      </c>
      <c r="C796">
        <v>0.08</v>
      </c>
      <c r="D796">
        <v>11207.6</v>
      </c>
    </row>
    <row r="797" spans="1:4" x14ac:dyDescent="0.2">
      <c r="A797" s="53">
        <v>41730</v>
      </c>
      <c r="B797">
        <v>0.75</v>
      </c>
      <c r="C797">
        <v>0.09</v>
      </c>
      <c r="D797">
        <v>11259.8</v>
      </c>
    </row>
    <row r="798" spans="1:4" x14ac:dyDescent="0.2">
      <c r="A798" s="53">
        <v>41760</v>
      </c>
      <c r="B798">
        <v>0.75</v>
      </c>
      <c r="C798">
        <v>0.09</v>
      </c>
      <c r="D798">
        <v>11326.3</v>
      </c>
    </row>
    <row r="799" spans="1:4" x14ac:dyDescent="0.2">
      <c r="A799" s="53">
        <v>41791</v>
      </c>
      <c r="B799">
        <v>0.75</v>
      </c>
      <c r="C799">
        <v>0.1</v>
      </c>
      <c r="D799">
        <v>11377.2</v>
      </c>
    </row>
    <row r="800" spans="1:4" x14ac:dyDescent="0.2">
      <c r="A800" s="53">
        <v>41821</v>
      </c>
      <c r="B800">
        <v>0.75</v>
      </c>
      <c r="C800">
        <v>0.09</v>
      </c>
      <c r="D800">
        <v>11434</v>
      </c>
    </row>
    <row r="801" spans="1:4" x14ac:dyDescent="0.2">
      <c r="A801" s="53">
        <v>41852</v>
      </c>
      <c r="B801">
        <v>0.75</v>
      </c>
      <c r="C801">
        <v>0.09</v>
      </c>
      <c r="D801">
        <v>11462.9</v>
      </c>
    </row>
    <row r="802" spans="1:4" x14ac:dyDescent="0.2">
      <c r="A802" s="53">
        <v>41883</v>
      </c>
      <c r="B802">
        <v>0.75</v>
      </c>
      <c r="C802">
        <v>0.09</v>
      </c>
      <c r="D802">
        <v>11496.7</v>
      </c>
    </row>
    <row r="803" spans="1:4" x14ac:dyDescent="0.2">
      <c r="A803" s="53">
        <v>41913</v>
      </c>
      <c r="B803">
        <v>0.75</v>
      </c>
      <c r="C803">
        <v>0.09</v>
      </c>
      <c r="D803">
        <v>11558.6</v>
      </c>
    </row>
    <row r="804" spans="1:4" x14ac:dyDescent="0.2">
      <c r="A804" s="53">
        <v>41944</v>
      </c>
      <c r="B804">
        <v>0.75</v>
      </c>
      <c r="C804">
        <v>0.09</v>
      </c>
      <c r="D804">
        <v>11594.7</v>
      </c>
    </row>
    <row r="805" spans="1:4" x14ac:dyDescent="0.2">
      <c r="A805" s="53">
        <v>41974</v>
      </c>
      <c r="B805">
        <v>0.75</v>
      </c>
      <c r="C805">
        <v>0.12</v>
      </c>
      <c r="D805">
        <v>11674</v>
      </c>
    </row>
    <row r="806" spans="1:4" x14ac:dyDescent="0.2">
      <c r="A806" s="53">
        <v>42005</v>
      </c>
      <c r="B806">
        <v>0.75</v>
      </c>
      <c r="C806">
        <v>0.11</v>
      </c>
      <c r="D806">
        <v>11743.9</v>
      </c>
    </row>
    <row r="807" spans="1:4" x14ac:dyDescent="0.2">
      <c r="A807" s="53">
        <v>42036</v>
      </c>
      <c r="B807">
        <v>0.75</v>
      </c>
      <c r="C807">
        <v>0.11</v>
      </c>
      <c r="D807">
        <v>11871.7</v>
      </c>
    </row>
    <row r="808" spans="1:4" x14ac:dyDescent="0.2">
      <c r="A808" s="53">
        <v>42064</v>
      </c>
      <c r="B808">
        <v>0.75</v>
      </c>
      <c r="C808">
        <v>0.11</v>
      </c>
      <c r="D808">
        <v>11888.1</v>
      </c>
    </row>
    <row r="809" spans="1:4" x14ac:dyDescent="0.2">
      <c r="A809" s="53">
        <v>42095</v>
      </c>
      <c r="B809">
        <v>0.75</v>
      </c>
      <c r="C809">
        <v>0.12</v>
      </c>
      <c r="D809">
        <v>11927.6</v>
      </c>
    </row>
    <row r="810" spans="1:4" x14ac:dyDescent="0.2">
      <c r="A810" s="53">
        <v>42125</v>
      </c>
      <c r="B810">
        <v>0.75</v>
      </c>
      <c r="C810">
        <v>0.12</v>
      </c>
      <c r="D810">
        <v>11957.9</v>
      </c>
    </row>
    <row r="811" spans="1:4" x14ac:dyDescent="0.2">
      <c r="A811" s="53">
        <v>42156</v>
      </c>
      <c r="B811">
        <v>0.75</v>
      </c>
      <c r="C811">
        <v>0.13</v>
      </c>
      <c r="D811">
        <v>12002.9</v>
      </c>
    </row>
    <row r="812" spans="1:4" x14ac:dyDescent="0.2">
      <c r="A812" s="53">
        <v>42186</v>
      </c>
      <c r="B812">
        <v>0.75</v>
      </c>
      <c r="C812">
        <v>0.13</v>
      </c>
      <c r="D812">
        <v>12052</v>
      </c>
    </row>
    <row r="813" spans="1:4" x14ac:dyDescent="0.2">
      <c r="A813" s="53">
        <v>42217</v>
      </c>
      <c r="B813">
        <v>0.75</v>
      </c>
      <c r="C813">
        <v>0.14000000000000001</v>
      </c>
      <c r="D813">
        <v>12100.6</v>
      </c>
    </row>
    <row r="814" spans="1:4" x14ac:dyDescent="0.2">
      <c r="A814" s="53">
        <v>42248</v>
      </c>
      <c r="B814">
        <v>0.75</v>
      </c>
      <c r="C814">
        <v>0.14000000000000001</v>
      </c>
      <c r="D814">
        <v>12154.6</v>
      </c>
    </row>
    <row r="815" spans="1:4" x14ac:dyDescent="0.2">
      <c r="A815" s="53">
        <v>42278</v>
      </c>
      <c r="B815">
        <v>0.75</v>
      </c>
      <c r="C815">
        <v>0.12</v>
      </c>
      <c r="D815">
        <v>12192.5</v>
      </c>
    </row>
    <row r="816" spans="1:4" x14ac:dyDescent="0.2">
      <c r="A816" s="53">
        <v>42309</v>
      </c>
      <c r="B816">
        <v>0.75</v>
      </c>
      <c r="C816">
        <v>0.12</v>
      </c>
      <c r="D816">
        <v>12277</v>
      </c>
    </row>
    <row r="817" spans="1:4" x14ac:dyDescent="0.2">
      <c r="A817" s="53">
        <v>42339</v>
      </c>
      <c r="B817">
        <v>1</v>
      </c>
      <c r="C817">
        <v>0.24</v>
      </c>
      <c r="D817">
        <v>12340.1</v>
      </c>
    </row>
    <row r="818" spans="1:4" x14ac:dyDescent="0.2">
      <c r="A818" s="53">
        <v>42370</v>
      </c>
      <c r="B818">
        <v>1</v>
      </c>
      <c r="C818">
        <v>0.34</v>
      </c>
      <c r="D818">
        <v>12471.4</v>
      </c>
    </row>
    <row r="819" spans="1:4" x14ac:dyDescent="0.2">
      <c r="A819" s="53">
        <v>42401</v>
      </c>
      <c r="B819">
        <v>1</v>
      </c>
      <c r="C819">
        <v>0.38</v>
      </c>
      <c r="D819">
        <v>12552.3</v>
      </c>
    </row>
    <row r="820" spans="1:4" x14ac:dyDescent="0.2">
      <c r="A820" s="53">
        <v>42430</v>
      </c>
      <c r="B820">
        <v>1</v>
      </c>
      <c r="C820">
        <v>0.36</v>
      </c>
      <c r="D820">
        <v>12616.6</v>
      </c>
    </row>
    <row r="821" spans="1:4" x14ac:dyDescent="0.2">
      <c r="A821" s="53">
        <v>42461</v>
      </c>
      <c r="B821">
        <v>1</v>
      </c>
      <c r="C821">
        <v>0.37</v>
      </c>
      <c r="D821">
        <v>12697</v>
      </c>
    </row>
    <row r="822" spans="1:4" x14ac:dyDescent="0.2">
      <c r="A822" s="53">
        <v>42491</v>
      </c>
      <c r="B822">
        <v>1</v>
      </c>
      <c r="C822">
        <v>0.37</v>
      </c>
      <c r="D822">
        <v>12763.7</v>
      </c>
    </row>
    <row r="823" spans="1:4" x14ac:dyDescent="0.2">
      <c r="A823" s="53">
        <v>42522</v>
      </c>
      <c r="B823">
        <v>1</v>
      </c>
      <c r="C823">
        <v>0.38</v>
      </c>
      <c r="D823">
        <v>12830.6</v>
      </c>
    </row>
    <row r="824" spans="1:4" x14ac:dyDescent="0.2">
      <c r="A824" s="53">
        <v>42552</v>
      </c>
      <c r="B824">
        <v>1</v>
      </c>
      <c r="C824">
        <v>0.39</v>
      </c>
      <c r="D824">
        <v>12889.1</v>
      </c>
    </row>
    <row r="825" spans="1:4" x14ac:dyDescent="0.2">
      <c r="A825" s="53">
        <v>42583</v>
      </c>
      <c r="B825">
        <v>1</v>
      </c>
      <c r="C825">
        <v>0.4</v>
      </c>
      <c r="D825">
        <v>12968.2</v>
      </c>
    </row>
    <row r="826" spans="1:4" x14ac:dyDescent="0.2">
      <c r="A826" s="53">
        <v>42614</v>
      </c>
      <c r="B826">
        <v>1</v>
      </c>
      <c r="C826">
        <v>0.4</v>
      </c>
      <c r="D826">
        <v>13027.4</v>
      </c>
    </row>
    <row r="827" spans="1:4" x14ac:dyDescent="0.2">
      <c r="A827" s="53">
        <v>42644</v>
      </c>
      <c r="B827">
        <v>1</v>
      </c>
      <c r="C827">
        <v>0.4</v>
      </c>
      <c r="D827">
        <v>13099.7</v>
      </c>
    </row>
    <row r="828" spans="1:4" x14ac:dyDescent="0.2">
      <c r="A828" s="53">
        <v>42675</v>
      </c>
      <c r="B828">
        <v>1</v>
      </c>
      <c r="C828">
        <v>0.41</v>
      </c>
      <c r="D828">
        <v>13174.1</v>
      </c>
    </row>
    <row r="829" spans="1:4" x14ac:dyDescent="0.2">
      <c r="A829" s="53">
        <v>42705</v>
      </c>
      <c r="B829">
        <v>1.25</v>
      </c>
      <c r="C829">
        <v>0.54</v>
      </c>
      <c r="D829">
        <v>13214.2</v>
      </c>
    </row>
    <row r="830" spans="1:4" x14ac:dyDescent="0.2">
      <c r="A830" s="53">
        <v>42736</v>
      </c>
      <c r="B830">
        <v>1.25</v>
      </c>
      <c r="C830">
        <v>0.65</v>
      </c>
      <c r="D830">
        <v>13288.7</v>
      </c>
    </row>
    <row r="831" spans="1:4" x14ac:dyDescent="0.2">
      <c r="A831" s="53">
        <v>42767</v>
      </c>
      <c r="B831">
        <v>1.25</v>
      </c>
      <c r="C831">
        <v>0.66</v>
      </c>
      <c r="D831">
        <v>13359.2</v>
      </c>
    </row>
    <row r="832" spans="1:4" x14ac:dyDescent="0.2">
      <c r="A832" s="53">
        <v>42795</v>
      </c>
      <c r="B832">
        <v>1.5</v>
      </c>
      <c r="C832">
        <v>0.79</v>
      </c>
      <c r="D832">
        <v>13428.6</v>
      </c>
    </row>
    <row r="833" spans="1:4" x14ac:dyDescent="0.2">
      <c r="A833" s="53">
        <v>42826</v>
      </c>
      <c r="B833">
        <v>1.5</v>
      </c>
      <c r="C833">
        <v>0.9</v>
      </c>
      <c r="D833">
        <v>13486.6</v>
      </c>
    </row>
    <row r="834" spans="1:4" x14ac:dyDescent="0.2">
      <c r="A834" s="53">
        <v>42856</v>
      </c>
      <c r="B834">
        <v>1.5</v>
      </c>
      <c r="C834">
        <v>0.91</v>
      </c>
      <c r="D834">
        <v>13537.3</v>
      </c>
    </row>
    <row r="835" spans="1:4" x14ac:dyDescent="0.2">
      <c r="A835" s="53">
        <v>42887</v>
      </c>
      <c r="B835">
        <v>1.75</v>
      </c>
      <c r="C835">
        <v>1.04</v>
      </c>
      <c r="D835">
        <v>13564.7</v>
      </c>
    </row>
    <row r="836" spans="1:4" x14ac:dyDescent="0.2">
      <c r="A836" s="53">
        <v>42917</v>
      </c>
      <c r="B836">
        <v>1.75</v>
      </c>
      <c r="C836">
        <v>1.1499999999999999</v>
      </c>
      <c r="D836">
        <v>13621.8</v>
      </c>
    </row>
    <row r="837" spans="1:4" x14ac:dyDescent="0.2">
      <c r="A837" s="53">
        <v>42948</v>
      </c>
      <c r="B837">
        <v>1.75</v>
      </c>
      <c r="C837">
        <v>1.1599999999999999</v>
      </c>
      <c r="D837">
        <v>13671.4</v>
      </c>
    </row>
    <row r="838" spans="1:4" x14ac:dyDescent="0.2">
      <c r="A838" s="53">
        <v>42979</v>
      </c>
      <c r="B838">
        <v>1.75</v>
      </c>
      <c r="C838">
        <v>1.1499999999999999</v>
      </c>
      <c r="D838">
        <v>13714.4</v>
      </c>
    </row>
    <row r="839" spans="1:4" x14ac:dyDescent="0.2">
      <c r="A839" s="53">
        <v>43009</v>
      </c>
      <c r="B839">
        <v>1.75</v>
      </c>
      <c r="C839">
        <v>1.1499999999999999</v>
      </c>
      <c r="D839">
        <v>13767.6</v>
      </c>
    </row>
    <row r="840" spans="1:4" x14ac:dyDescent="0.2">
      <c r="A840" s="53">
        <v>43040</v>
      </c>
      <c r="B840">
        <v>1.75</v>
      </c>
      <c r="C840">
        <v>1.1599999999999999</v>
      </c>
      <c r="D840">
        <v>13802.4</v>
      </c>
    </row>
    <row r="841" spans="1:4" x14ac:dyDescent="0.2">
      <c r="A841" s="53">
        <v>43070</v>
      </c>
      <c r="B841">
        <v>2</v>
      </c>
      <c r="C841">
        <v>1.3</v>
      </c>
      <c r="D841">
        <v>13854.8</v>
      </c>
    </row>
    <row r="842" spans="1:4" x14ac:dyDescent="0.2">
      <c r="A842" s="53">
        <v>43101</v>
      </c>
      <c r="B842">
        <v>2</v>
      </c>
      <c r="C842">
        <v>1.41</v>
      </c>
      <c r="D842">
        <v>13872</v>
      </c>
    </row>
    <row r="843" spans="1:4" x14ac:dyDescent="0.2">
      <c r="A843" s="53">
        <v>43132</v>
      </c>
      <c r="B843">
        <v>2</v>
      </c>
      <c r="C843">
        <v>1.42</v>
      </c>
      <c r="D843">
        <v>13914.6</v>
      </c>
    </row>
    <row r="844" spans="1:4" x14ac:dyDescent="0.2">
      <c r="A844" s="53">
        <v>43160</v>
      </c>
      <c r="B844">
        <v>2.25</v>
      </c>
      <c r="C844">
        <v>1.51</v>
      </c>
      <c r="D844">
        <v>13971.2</v>
      </c>
    </row>
    <row r="845" spans="1:4" x14ac:dyDescent="0.2">
      <c r="A845" s="53">
        <v>43191</v>
      </c>
      <c r="B845">
        <v>2.25</v>
      </c>
      <c r="C845">
        <v>1.69</v>
      </c>
      <c r="D845">
        <v>14001.3</v>
      </c>
    </row>
    <row r="846" spans="1:4" x14ac:dyDescent="0.2">
      <c r="A846" s="53">
        <v>43221</v>
      </c>
      <c r="B846">
        <v>2.25</v>
      </c>
      <c r="C846">
        <v>1.7</v>
      </c>
      <c r="D846">
        <v>14066</v>
      </c>
    </row>
    <row r="847" spans="1:4" x14ac:dyDescent="0.2">
      <c r="A847" s="53">
        <v>43252</v>
      </c>
      <c r="B847">
        <v>2.5</v>
      </c>
      <c r="C847">
        <v>1.82</v>
      </c>
      <c r="D847">
        <v>14125.8</v>
      </c>
    </row>
    <row r="848" spans="1:4" x14ac:dyDescent="0.2">
      <c r="A848" s="53">
        <v>43282</v>
      </c>
      <c r="B848">
        <v>2.5</v>
      </c>
      <c r="C848">
        <v>1.91</v>
      </c>
      <c r="D848">
        <v>14155.2</v>
      </c>
    </row>
    <row r="849" spans="1:4" x14ac:dyDescent="0.2">
      <c r="A849" s="53">
        <v>43313</v>
      </c>
      <c r="B849">
        <v>2.5</v>
      </c>
      <c r="C849">
        <v>1.91</v>
      </c>
      <c r="D849">
        <v>14197.7</v>
      </c>
    </row>
    <row r="850" spans="1:4" x14ac:dyDescent="0.2">
      <c r="A850" s="53">
        <v>43344</v>
      </c>
      <c r="B850">
        <v>2.75</v>
      </c>
      <c r="C850">
        <v>1.95</v>
      </c>
      <c r="D850">
        <v>14228.4</v>
      </c>
    </row>
    <row r="851" spans="1:4" x14ac:dyDescent="0.2">
      <c r="A851" s="53">
        <v>43374</v>
      </c>
      <c r="B851">
        <v>2.75</v>
      </c>
      <c r="C851">
        <v>2.19</v>
      </c>
      <c r="D851">
        <v>14235.8</v>
      </c>
    </row>
    <row r="852" spans="1:4" x14ac:dyDescent="0.2">
      <c r="A852" s="53">
        <v>43405</v>
      </c>
      <c r="B852">
        <v>2.75</v>
      </c>
      <c r="C852">
        <v>2.2000000000000002</v>
      </c>
      <c r="D852">
        <v>14254.9</v>
      </c>
    </row>
    <row r="853" spans="1:4" x14ac:dyDescent="0.2">
      <c r="A853" s="53">
        <v>43435</v>
      </c>
      <c r="B853">
        <v>3</v>
      </c>
      <c r="C853">
        <v>2.27</v>
      </c>
      <c r="D853">
        <v>14373.9</v>
      </c>
    </row>
    <row r="854" spans="1:4" x14ac:dyDescent="0.2">
      <c r="A854" s="53">
        <v>43466</v>
      </c>
      <c r="B854">
        <v>3</v>
      </c>
      <c r="C854">
        <v>2.4</v>
      </c>
      <c r="D854">
        <v>14443.3</v>
      </c>
    </row>
    <row r="855" spans="1:4" x14ac:dyDescent="0.2">
      <c r="A855" s="53">
        <v>43497</v>
      </c>
      <c r="B855">
        <v>3</v>
      </c>
      <c r="C855">
        <v>2.4</v>
      </c>
      <c r="D855">
        <v>14486.2</v>
      </c>
    </row>
    <row r="856" spans="1:4" x14ac:dyDescent="0.2">
      <c r="A856" s="53">
        <v>43525</v>
      </c>
      <c r="B856">
        <v>3</v>
      </c>
      <c r="C856">
        <v>2.41</v>
      </c>
      <c r="D856">
        <v>14533.5</v>
      </c>
    </row>
    <row r="857" spans="1:4" x14ac:dyDescent="0.2">
      <c r="A857" s="53">
        <v>43556</v>
      </c>
      <c r="B857">
        <v>3</v>
      </c>
      <c r="C857">
        <v>2.42</v>
      </c>
      <c r="D857">
        <v>14568.9</v>
      </c>
    </row>
    <row r="858" spans="1:4" x14ac:dyDescent="0.2">
      <c r="A858" s="53">
        <v>43586</v>
      </c>
      <c r="B858">
        <v>3</v>
      </c>
      <c r="C858">
        <v>2.39</v>
      </c>
      <c r="D858">
        <v>14668.4</v>
      </c>
    </row>
    <row r="859" spans="1:4" x14ac:dyDescent="0.2">
      <c r="A859" s="53">
        <v>43617</v>
      </c>
      <c r="B859">
        <v>3</v>
      </c>
      <c r="C859">
        <v>2.38</v>
      </c>
      <c r="D859">
        <v>14787</v>
      </c>
    </row>
    <row r="860" spans="1:4" x14ac:dyDescent="0.2">
      <c r="A860" s="53">
        <v>43647</v>
      </c>
      <c r="B860">
        <v>3</v>
      </c>
      <c r="C860">
        <v>2.4</v>
      </c>
      <c r="D860">
        <v>14857.9</v>
      </c>
    </row>
    <row r="861" spans="1:4" x14ac:dyDescent="0.2">
      <c r="A861" s="53">
        <v>43678</v>
      </c>
      <c r="B861">
        <v>2.75</v>
      </c>
      <c r="C861">
        <v>2.13</v>
      </c>
      <c r="D861">
        <v>14935.2</v>
      </c>
    </row>
    <row r="862" spans="1:4" x14ac:dyDescent="0.2">
      <c r="A862" s="53">
        <v>43709</v>
      </c>
      <c r="B862">
        <v>2.5</v>
      </c>
      <c r="C862">
        <v>2.04</v>
      </c>
      <c r="D862">
        <v>15026.6</v>
      </c>
    </row>
    <row r="863" spans="1:4" x14ac:dyDescent="0.2">
      <c r="A863" s="53">
        <v>43739</v>
      </c>
      <c r="B863">
        <v>2.25</v>
      </c>
      <c r="C863">
        <v>1.83</v>
      </c>
      <c r="D863">
        <v>15153.1</v>
      </c>
    </row>
    <row r="864" spans="1:4" x14ac:dyDescent="0.2">
      <c r="A864" s="53">
        <v>43770</v>
      </c>
      <c r="B864">
        <v>2.25</v>
      </c>
      <c r="C864">
        <v>1.55</v>
      </c>
      <c r="D864">
        <v>15251.3</v>
      </c>
    </row>
    <row r="865" spans="1:4" x14ac:dyDescent="0.2">
      <c r="A865" s="53">
        <v>43800</v>
      </c>
      <c r="B865">
        <v>2.25</v>
      </c>
      <c r="C865">
        <v>1.55</v>
      </c>
      <c r="D865">
        <v>15325.8</v>
      </c>
    </row>
    <row r="866" spans="1:4" x14ac:dyDescent="0.2">
      <c r="A866" s="53">
        <v>43831</v>
      </c>
      <c r="B866">
        <v>2.25</v>
      </c>
      <c r="C866">
        <v>1.55</v>
      </c>
      <c r="D866">
        <v>15406.8</v>
      </c>
    </row>
    <row r="867" spans="1:4" x14ac:dyDescent="0.2">
      <c r="A867" s="53">
        <v>43862</v>
      </c>
      <c r="B867">
        <v>2.25</v>
      </c>
      <c r="C867">
        <v>1.58</v>
      </c>
      <c r="D867">
        <v>15470.4</v>
      </c>
    </row>
    <row r="868" spans="1:4" x14ac:dyDescent="0.2">
      <c r="A868" s="53">
        <v>43891</v>
      </c>
      <c r="B868">
        <v>0.25</v>
      </c>
      <c r="C868">
        <v>0.65</v>
      </c>
      <c r="D868">
        <v>16011.4</v>
      </c>
    </row>
    <row r="869" spans="1:4" x14ac:dyDescent="0.2">
      <c r="A869" s="53">
        <v>43922</v>
      </c>
      <c r="B869">
        <v>0.25</v>
      </c>
      <c r="C869">
        <v>0.05</v>
      </c>
      <c r="D869">
        <v>17039.099999999999</v>
      </c>
    </row>
    <row r="870" spans="1:4" x14ac:dyDescent="0.2">
      <c r="A870" s="53">
        <v>43952</v>
      </c>
      <c r="B870">
        <v>0.25</v>
      </c>
      <c r="C870">
        <v>0.05</v>
      </c>
      <c r="D870">
        <v>17889.2</v>
      </c>
    </row>
    <row r="871" spans="1:4" x14ac:dyDescent="0.2">
      <c r="A871" s="53">
        <v>43983</v>
      </c>
      <c r="B871">
        <v>0.25</v>
      </c>
      <c r="C871">
        <v>0.08</v>
      </c>
      <c r="D871">
        <v>18175.7</v>
      </c>
    </row>
    <row r="872" spans="1:4" x14ac:dyDescent="0.2">
      <c r="A872" s="53">
        <v>44013</v>
      </c>
      <c r="B872">
        <v>0.25</v>
      </c>
      <c r="C872">
        <v>0.09</v>
      </c>
      <c r="D872">
        <v>18316.599999999999</v>
      </c>
    </row>
    <row r="873" spans="1:4" x14ac:dyDescent="0.2">
      <c r="A873" s="53">
        <v>44044</v>
      </c>
      <c r="B873">
        <v>0.25</v>
      </c>
      <c r="C873">
        <v>0.1</v>
      </c>
      <c r="D873">
        <v>18378.5</v>
      </c>
    </row>
    <row r="874" spans="1:4" x14ac:dyDescent="0.2">
      <c r="A874" s="53">
        <v>44075</v>
      </c>
      <c r="B874">
        <v>0.25</v>
      </c>
      <c r="C874">
        <v>0.09</v>
      </c>
      <c r="D874">
        <v>18601.599999999999</v>
      </c>
    </row>
    <row r="875" spans="1:4" x14ac:dyDescent="0.2">
      <c r="A875" s="53">
        <v>44105</v>
      </c>
      <c r="B875">
        <v>0.25</v>
      </c>
      <c r="C875">
        <v>0.09</v>
      </c>
      <c r="D875">
        <v>18747.900000000001</v>
      </c>
    </row>
    <row r="876" spans="1:4" x14ac:dyDescent="0.2">
      <c r="A876" s="53">
        <v>44136</v>
      </c>
      <c r="B876">
        <v>0.25</v>
      </c>
      <c r="C876">
        <v>0.09</v>
      </c>
      <c r="D876">
        <v>18958.7</v>
      </c>
    </row>
    <row r="877" spans="1:4" x14ac:dyDescent="0.2">
      <c r="A877" s="53">
        <v>44166</v>
      </c>
      <c r="B877">
        <v>0.25</v>
      </c>
      <c r="C877">
        <v>0.09</v>
      </c>
      <c r="D877">
        <v>19129.5</v>
      </c>
    </row>
    <row r="878" spans="1:4" x14ac:dyDescent="0.2">
      <c r="A878" s="53">
        <v>44197</v>
      </c>
      <c r="B878">
        <v>0.25</v>
      </c>
      <c r="C878">
        <v>0.09</v>
      </c>
      <c r="D878">
        <v>19393.2</v>
      </c>
    </row>
    <row r="879" spans="1:4" x14ac:dyDescent="0.2">
      <c r="A879" s="53">
        <v>44228</v>
      </c>
      <c r="B879">
        <v>0.25</v>
      </c>
      <c r="C879">
        <v>0.08</v>
      </c>
      <c r="D879">
        <v>19665.3</v>
      </c>
    </row>
    <row r="880" spans="1:4" x14ac:dyDescent="0.2">
      <c r="A880" s="53">
        <v>44256</v>
      </c>
      <c r="B880">
        <v>0.25</v>
      </c>
      <c r="C880">
        <v>7.0000000000000007E-2</v>
      </c>
      <c r="D880">
        <v>19913.2</v>
      </c>
    </row>
    <row r="881" spans="1:4" x14ac:dyDescent="0.2">
      <c r="A881" s="53">
        <v>44287</v>
      </c>
      <c r="B881">
        <v>0.25</v>
      </c>
      <c r="C881">
        <v>7.0000000000000007E-2</v>
      </c>
      <c r="D881">
        <v>20138.8</v>
      </c>
    </row>
    <row r="882" spans="1:4" x14ac:dyDescent="0.2">
      <c r="A882" s="53">
        <v>44317</v>
      </c>
      <c r="B882">
        <v>0.25</v>
      </c>
      <c r="C882">
        <v>0.06</v>
      </c>
      <c r="D882">
        <v>20402.8</v>
      </c>
    </row>
    <row r="883" spans="1:4" x14ac:dyDescent="0.2">
      <c r="A883" s="53">
        <v>44348</v>
      </c>
      <c r="B883">
        <v>0.25</v>
      </c>
      <c r="C883">
        <v>0.08</v>
      </c>
      <c r="D883">
        <v>20429.5</v>
      </c>
    </row>
    <row r="884" spans="1:4" x14ac:dyDescent="0.2">
      <c r="A884" s="53">
        <v>44378</v>
      </c>
      <c r="B884">
        <v>0.25</v>
      </c>
      <c r="C884">
        <v>0.1</v>
      </c>
      <c r="D884">
        <v>20578.900000000001</v>
      </c>
    </row>
    <row r="885" spans="1:4" x14ac:dyDescent="0.2">
      <c r="A885" s="53">
        <v>44409</v>
      </c>
      <c r="B885">
        <v>0.25</v>
      </c>
      <c r="C885">
        <v>0.09</v>
      </c>
      <c r="D885">
        <v>20832.5</v>
      </c>
    </row>
    <row r="886" spans="1:4" x14ac:dyDescent="0.2">
      <c r="A886" s="53">
        <v>44440</v>
      </c>
      <c r="C886">
        <v>0.08</v>
      </c>
      <c r="D886">
        <v>20994.799999999999</v>
      </c>
    </row>
    <row r="887" spans="1:4" x14ac:dyDescent="0.2">
      <c r="A887" s="53">
        <v>44470</v>
      </c>
      <c r="C887">
        <v>0.08</v>
      </c>
      <c r="D887">
        <v>21187.5</v>
      </c>
    </row>
    <row r="888" spans="1:4" x14ac:dyDescent="0.2">
      <c r="A888" s="53">
        <v>44501</v>
      </c>
      <c r="C888">
        <v>0.08</v>
      </c>
      <c r="D888">
        <v>21436.7</v>
      </c>
    </row>
    <row r="889" spans="1:4" x14ac:dyDescent="0.2">
      <c r="A889" s="53">
        <v>44531</v>
      </c>
      <c r="C889">
        <v>0.08</v>
      </c>
      <c r="D889">
        <v>21638.1</v>
      </c>
    </row>
    <row r="890" spans="1:4" x14ac:dyDescent="0.2">
      <c r="A890" s="53">
        <v>44562</v>
      </c>
      <c r="C890">
        <v>0.08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00"/>
  <sheetViews>
    <sheetView zoomScale="190" zoomScaleNormal="190" workbookViewId="0">
      <pane ySplit="1" topLeftCell="A982" activePane="bottomLeft" state="frozen"/>
      <selection pane="bottomLeft" activeCell="A2" sqref="A2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3">
        <v>37608</v>
      </c>
      <c r="B2">
        <v>719542</v>
      </c>
    </row>
    <row r="3" spans="1:2" x14ac:dyDescent="0.2">
      <c r="A3" s="53">
        <v>37615</v>
      </c>
      <c r="B3">
        <v>732059</v>
      </c>
    </row>
    <row r="4" spans="1:2" x14ac:dyDescent="0.2">
      <c r="A4" s="53">
        <v>37622</v>
      </c>
      <c r="B4">
        <v>730994</v>
      </c>
    </row>
    <row r="5" spans="1:2" x14ac:dyDescent="0.2">
      <c r="A5" s="53">
        <v>37629</v>
      </c>
      <c r="B5">
        <v>723762</v>
      </c>
    </row>
    <row r="6" spans="1:2" x14ac:dyDescent="0.2">
      <c r="A6" s="53">
        <v>37636</v>
      </c>
      <c r="B6">
        <v>720074</v>
      </c>
    </row>
    <row r="7" spans="1:2" x14ac:dyDescent="0.2">
      <c r="A7" s="53">
        <v>37643</v>
      </c>
      <c r="B7">
        <v>735953</v>
      </c>
    </row>
    <row r="8" spans="1:2" x14ac:dyDescent="0.2">
      <c r="A8" s="53">
        <v>37650</v>
      </c>
      <c r="B8">
        <v>712809</v>
      </c>
    </row>
    <row r="9" spans="1:2" x14ac:dyDescent="0.2">
      <c r="A9" s="53">
        <v>37657</v>
      </c>
      <c r="B9">
        <v>719643</v>
      </c>
    </row>
    <row r="10" spans="1:2" x14ac:dyDescent="0.2">
      <c r="A10" s="53">
        <v>37664</v>
      </c>
      <c r="B10">
        <v>713281</v>
      </c>
    </row>
    <row r="11" spans="1:2" x14ac:dyDescent="0.2">
      <c r="A11" s="53">
        <v>37671</v>
      </c>
      <c r="B11">
        <v>730400</v>
      </c>
    </row>
    <row r="12" spans="1:2" x14ac:dyDescent="0.2">
      <c r="A12" s="53">
        <v>37678</v>
      </c>
      <c r="B12">
        <v>721980</v>
      </c>
    </row>
    <row r="13" spans="1:2" x14ac:dyDescent="0.2">
      <c r="A13" s="53">
        <v>37685</v>
      </c>
      <c r="B13">
        <v>722649</v>
      </c>
    </row>
    <row r="14" spans="1:2" x14ac:dyDescent="0.2">
      <c r="A14" s="53">
        <v>37692</v>
      </c>
      <c r="B14">
        <v>717014</v>
      </c>
    </row>
    <row r="15" spans="1:2" x14ac:dyDescent="0.2">
      <c r="A15" s="53">
        <v>37699</v>
      </c>
      <c r="B15">
        <v>729923</v>
      </c>
    </row>
    <row r="16" spans="1:2" x14ac:dyDescent="0.2">
      <c r="A16" s="53">
        <v>37706</v>
      </c>
      <c r="B16">
        <v>725019</v>
      </c>
    </row>
    <row r="17" spans="1:2" x14ac:dyDescent="0.2">
      <c r="A17" s="53">
        <v>37713</v>
      </c>
      <c r="B17">
        <v>732452</v>
      </c>
    </row>
    <row r="18" spans="1:2" x14ac:dyDescent="0.2">
      <c r="A18" s="53">
        <v>37720</v>
      </c>
      <c r="B18">
        <v>727826</v>
      </c>
    </row>
    <row r="19" spans="1:2" x14ac:dyDescent="0.2">
      <c r="A19" s="53">
        <v>37727</v>
      </c>
      <c r="B19">
        <v>745838</v>
      </c>
    </row>
    <row r="20" spans="1:2" x14ac:dyDescent="0.2">
      <c r="A20" s="53">
        <v>37734</v>
      </c>
      <c r="B20">
        <v>732222</v>
      </c>
    </row>
    <row r="21" spans="1:2" x14ac:dyDescent="0.2">
      <c r="A21" s="53">
        <v>37741</v>
      </c>
      <c r="B21">
        <v>746294</v>
      </c>
    </row>
    <row r="22" spans="1:2" x14ac:dyDescent="0.2">
      <c r="A22" s="53">
        <v>37748</v>
      </c>
      <c r="B22">
        <v>733466</v>
      </c>
    </row>
    <row r="23" spans="1:2" x14ac:dyDescent="0.2">
      <c r="A23" s="53">
        <v>37755</v>
      </c>
      <c r="B23">
        <v>740371</v>
      </c>
    </row>
    <row r="24" spans="1:2" x14ac:dyDescent="0.2">
      <c r="A24" s="53">
        <v>37762</v>
      </c>
      <c r="B24">
        <v>734699</v>
      </c>
    </row>
    <row r="25" spans="1:2" x14ac:dyDescent="0.2">
      <c r="A25" s="53">
        <v>37769</v>
      </c>
      <c r="B25">
        <v>744896</v>
      </c>
    </row>
    <row r="26" spans="1:2" x14ac:dyDescent="0.2">
      <c r="A26" s="53">
        <v>37776</v>
      </c>
      <c r="B26">
        <v>731667</v>
      </c>
    </row>
    <row r="27" spans="1:2" x14ac:dyDescent="0.2">
      <c r="A27" s="53">
        <v>37783</v>
      </c>
      <c r="B27">
        <v>743236</v>
      </c>
    </row>
    <row r="28" spans="1:2" x14ac:dyDescent="0.2">
      <c r="A28" s="53">
        <v>37790</v>
      </c>
      <c r="B28">
        <v>735926</v>
      </c>
    </row>
    <row r="29" spans="1:2" x14ac:dyDescent="0.2">
      <c r="A29" s="53">
        <v>37797</v>
      </c>
      <c r="B29">
        <v>744018</v>
      </c>
    </row>
    <row r="30" spans="1:2" x14ac:dyDescent="0.2">
      <c r="A30" s="53">
        <v>37804</v>
      </c>
      <c r="B30">
        <v>740126</v>
      </c>
    </row>
    <row r="31" spans="1:2" x14ac:dyDescent="0.2">
      <c r="A31" s="53">
        <v>37811</v>
      </c>
      <c r="B31">
        <v>744430</v>
      </c>
    </row>
    <row r="32" spans="1:2" x14ac:dyDescent="0.2">
      <c r="A32" s="53">
        <v>37818</v>
      </c>
      <c r="B32">
        <v>737765</v>
      </c>
    </row>
    <row r="33" spans="1:2" x14ac:dyDescent="0.2">
      <c r="A33" s="53">
        <v>37825</v>
      </c>
      <c r="B33">
        <v>745665</v>
      </c>
    </row>
    <row r="34" spans="1:2" x14ac:dyDescent="0.2">
      <c r="A34" s="53">
        <v>37832</v>
      </c>
      <c r="B34">
        <v>740295</v>
      </c>
    </row>
    <row r="35" spans="1:2" x14ac:dyDescent="0.2">
      <c r="A35" s="53">
        <v>37839</v>
      </c>
      <c r="B35">
        <v>734018</v>
      </c>
    </row>
    <row r="36" spans="1:2" x14ac:dyDescent="0.2">
      <c r="A36" s="53">
        <v>37846</v>
      </c>
      <c r="B36">
        <v>735386</v>
      </c>
    </row>
    <row r="37" spans="1:2" x14ac:dyDescent="0.2">
      <c r="A37" s="53">
        <v>37853</v>
      </c>
      <c r="B37">
        <v>750825</v>
      </c>
    </row>
    <row r="38" spans="1:2" x14ac:dyDescent="0.2">
      <c r="A38" s="53">
        <v>37860</v>
      </c>
      <c r="B38">
        <v>740637</v>
      </c>
    </row>
    <row r="39" spans="1:2" x14ac:dyDescent="0.2">
      <c r="A39" s="53">
        <v>37867</v>
      </c>
      <c r="B39">
        <v>750461</v>
      </c>
    </row>
    <row r="40" spans="1:2" x14ac:dyDescent="0.2">
      <c r="A40" s="53">
        <v>37874</v>
      </c>
      <c r="B40">
        <v>737234</v>
      </c>
    </row>
    <row r="41" spans="1:2" x14ac:dyDescent="0.2">
      <c r="A41" s="53">
        <v>37881</v>
      </c>
      <c r="B41">
        <v>743939</v>
      </c>
    </row>
    <row r="42" spans="1:2" x14ac:dyDescent="0.2">
      <c r="A42" s="53">
        <v>37888</v>
      </c>
      <c r="B42">
        <v>741193</v>
      </c>
    </row>
    <row r="43" spans="1:2" x14ac:dyDescent="0.2">
      <c r="A43" s="53">
        <v>37895</v>
      </c>
      <c r="B43">
        <v>753155</v>
      </c>
    </row>
    <row r="44" spans="1:2" x14ac:dyDescent="0.2">
      <c r="A44" s="53">
        <v>37902</v>
      </c>
      <c r="B44">
        <v>737108</v>
      </c>
    </row>
    <row r="45" spans="1:2" x14ac:dyDescent="0.2">
      <c r="A45" s="53">
        <v>37909</v>
      </c>
      <c r="B45">
        <v>754229</v>
      </c>
    </row>
    <row r="46" spans="1:2" x14ac:dyDescent="0.2">
      <c r="A46" s="53">
        <v>37916</v>
      </c>
      <c r="B46">
        <v>743578</v>
      </c>
    </row>
    <row r="47" spans="1:2" x14ac:dyDescent="0.2">
      <c r="A47" s="53">
        <v>37923</v>
      </c>
      <c r="B47">
        <v>747272</v>
      </c>
    </row>
    <row r="48" spans="1:2" x14ac:dyDescent="0.2">
      <c r="A48" s="53">
        <v>37930</v>
      </c>
      <c r="B48">
        <v>744116</v>
      </c>
    </row>
    <row r="49" spans="1:2" x14ac:dyDescent="0.2">
      <c r="A49" s="53">
        <v>37937</v>
      </c>
      <c r="B49">
        <v>745604</v>
      </c>
    </row>
    <row r="50" spans="1:2" x14ac:dyDescent="0.2">
      <c r="A50" s="53">
        <v>37944</v>
      </c>
      <c r="B50">
        <v>744521</v>
      </c>
    </row>
    <row r="51" spans="1:2" x14ac:dyDescent="0.2">
      <c r="A51" s="53">
        <v>37951</v>
      </c>
      <c r="B51">
        <v>756964</v>
      </c>
    </row>
    <row r="52" spans="1:2" x14ac:dyDescent="0.2">
      <c r="A52" s="53">
        <v>37958</v>
      </c>
      <c r="B52">
        <v>749981</v>
      </c>
    </row>
    <row r="53" spans="1:2" x14ac:dyDescent="0.2">
      <c r="A53" s="53">
        <v>37965</v>
      </c>
      <c r="B53">
        <v>756585</v>
      </c>
    </row>
    <row r="54" spans="1:2" x14ac:dyDescent="0.2">
      <c r="A54" s="53">
        <v>37972</v>
      </c>
      <c r="B54">
        <v>753919</v>
      </c>
    </row>
    <row r="55" spans="1:2" x14ac:dyDescent="0.2">
      <c r="A55" s="53">
        <v>37979</v>
      </c>
      <c r="B55">
        <v>767012</v>
      </c>
    </row>
    <row r="56" spans="1:2" x14ac:dyDescent="0.2">
      <c r="A56" s="53">
        <v>37986</v>
      </c>
      <c r="B56">
        <v>771551</v>
      </c>
    </row>
    <row r="57" spans="1:2" x14ac:dyDescent="0.2">
      <c r="A57" s="53">
        <v>37993</v>
      </c>
      <c r="B57">
        <v>755829</v>
      </c>
    </row>
    <row r="58" spans="1:2" x14ac:dyDescent="0.2">
      <c r="A58" s="53">
        <v>38000</v>
      </c>
      <c r="B58">
        <v>752812</v>
      </c>
    </row>
    <row r="59" spans="1:2" x14ac:dyDescent="0.2">
      <c r="A59" s="53">
        <v>38007</v>
      </c>
      <c r="B59">
        <v>775833</v>
      </c>
    </row>
    <row r="60" spans="1:2" x14ac:dyDescent="0.2">
      <c r="A60" s="53">
        <v>38014</v>
      </c>
      <c r="B60">
        <v>755279</v>
      </c>
    </row>
    <row r="61" spans="1:2" x14ac:dyDescent="0.2">
      <c r="A61" s="53">
        <v>38021</v>
      </c>
      <c r="B61">
        <v>754153</v>
      </c>
    </row>
    <row r="62" spans="1:2" x14ac:dyDescent="0.2">
      <c r="A62" s="53">
        <v>38028</v>
      </c>
      <c r="B62">
        <v>750999</v>
      </c>
    </row>
    <row r="63" spans="1:2" x14ac:dyDescent="0.2">
      <c r="A63" s="53">
        <v>38035</v>
      </c>
      <c r="B63">
        <v>758759</v>
      </c>
    </row>
    <row r="64" spans="1:2" x14ac:dyDescent="0.2">
      <c r="A64" s="53">
        <v>38042</v>
      </c>
      <c r="B64">
        <v>750666</v>
      </c>
    </row>
    <row r="65" spans="1:2" x14ac:dyDescent="0.2">
      <c r="A65" s="53">
        <v>38049</v>
      </c>
      <c r="B65">
        <v>754867</v>
      </c>
    </row>
    <row r="66" spans="1:2" x14ac:dyDescent="0.2">
      <c r="A66" s="53">
        <v>38056</v>
      </c>
      <c r="B66">
        <v>749950</v>
      </c>
    </row>
    <row r="67" spans="1:2" x14ac:dyDescent="0.2">
      <c r="A67" s="53">
        <v>38063</v>
      </c>
      <c r="B67">
        <v>760638</v>
      </c>
    </row>
    <row r="68" spans="1:2" x14ac:dyDescent="0.2">
      <c r="A68" s="53">
        <v>38070</v>
      </c>
      <c r="B68">
        <v>751510</v>
      </c>
    </row>
    <row r="69" spans="1:2" x14ac:dyDescent="0.2">
      <c r="A69" s="53">
        <v>38077</v>
      </c>
      <c r="B69">
        <v>760725</v>
      </c>
    </row>
    <row r="70" spans="1:2" x14ac:dyDescent="0.2">
      <c r="A70" s="53">
        <v>38084</v>
      </c>
      <c r="B70">
        <v>754083</v>
      </c>
    </row>
    <row r="71" spans="1:2" x14ac:dyDescent="0.2">
      <c r="A71" s="53">
        <v>38091</v>
      </c>
      <c r="B71">
        <v>763734</v>
      </c>
    </row>
    <row r="72" spans="1:2" x14ac:dyDescent="0.2">
      <c r="A72" s="53">
        <v>38098</v>
      </c>
      <c r="B72">
        <v>757984</v>
      </c>
    </row>
    <row r="73" spans="1:2" x14ac:dyDescent="0.2">
      <c r="A73" s="53">
        <v>38105</v>
      </c>
      <c r="B73">
        <v>772927</v>
      </c>
    </row>
    <row r="74" spans="1:2" x14ac:dyDescent="0.2">
      <c r="A74" s="53">
        <v>38112</v>
      </c>
      <c r="B74">
        <v>758838</v>
      </c>
    </row>
    <row r="75" spans="1:2" x14ac:dyDescent="0.2">
      <c r="A75" s="53">
        <v>38119</v>
      </c>
      <c r="B75">
        <v>764835</v>
      </c>
    </row>
    <row r="76" spans="1:2" x14ac:dyDescent="0.2">
      <c r="A76" s="53">
        <v>38126</v>
      </c>
      <c r="B76">
        <v>756874</v>
      </c>
    </row>
    <row r="77" spans="1:2" x14ac:dyDescent="0.2">
      <c r="A77" s="53">
        <v>38133</v>
      </c>
      <c r="B77">
        <v>771108</v>
      </c>
    </row>
    <row r="78" spans="1:2" x14ac:dyDescent="0.2">
      <c r="A78" s="53">
        <v>38140</v>
      </c>
      <c r="B78">
        <v>764090</v>
      </c>
    </row>
    <row r="79" spans="1:2" x14ac:dyDescent="0.2">
      <c r="A79" s="53">
        <v>38147</v>
      </c>
      <c r="B79">
        <v>772187</v>
      </c>
    </row>
    <row r="80" spans="1:2" x14ac:dyDescent="0.2">
      <c r="A80" s="53">
        <v>38154</v>
      </c>
      <c r="B80">
        <v>761834</v>
      </c>
    </row>
    <row r="81" spans="1:2" x14ac:dyDescent="0.2">
      <c r="A81" s="53">
        <v>38161</v>
      </c>
      <c r="B81">
        <v>775261</v>
      </c>
    </row>
    <row r="82" spans="1:2" x14ac:dyDescent="0.2">
      <c r="A82" s="53">
        <v>38168</v>
      </c>
      <c r="B82">
        <v>779578</v>
      </c>
    </row>
    <row r="83" spans="1:2" x14ac:dyDescent="0.2">
      <c r="A83" s="53">
        <v>38175</v>
      </c>
      <c r="B83">
        <v>778163</v>
      </c>
    </row>
    <row r="84" spans="1:2" x14ac:dyDescent="0.2">
      <c r="A84" s="53">
        <v>38182</v>
      </c>
      <c r="B84">
        <v>775536</v>
      </c>
    </row>
    <row r="85" spans="1:2" x14ac:dyDescent="0.2">
      <c r="A85" s="53">
        <v>38189</v>
      </c>
      <c r="B85">
        <v>776764</v>
      </c>
    </row>
    <row r="86" spans="1:2" x14ac:dyDescent="0.2">
      <c r="A86" s="53">
        <v>38196</v>
      </c>
      <c r="B86">
        <v>773916</v>
      </c>
    </row>
    <row r="87" spans="1:2" x14ac:dyDescent="0.2">
      <c r="A87" s="53">
        <v>38203</v>
      </c>
      <c r="B87">
        <v>772085</v>
      </c>
    </row>
    <row r="88" spans="1:2" x14ac:dyDescent="0.2">
      <c r="A88" s="53">
        <v>38210</v>
      </c>
      <c r="B88">
        <v>769265</v>
      </c>
    </row>
    <row r="89" spans="1:2" x14ac:dyDescent="0.2">
      <c r="A89" s="53">
        <v>38217</v>
      </c>
      <c r="B89">
        <v>767595</v>
      </c>
    </row>
    <row r="90" spans="1:2" x14ac:dyDescent="0.2">
      <c r="A90" s="53">
        <v>38224</v>
      </c>
      <c r="B90">
        <v>775437</v>
      </c>
    </row>
    <row r="91" spans="1:2" x14ac:dyDescent="0.2">
      <c r="A91" s="53">
        <v>38231</v>
      </c>
      <c r="B91">
        <v>785273</v>
      </c>
    </row>
    <row r="92" spans="1:2" x14ac:dyDescent="0.2">
      <c r="A92" s="53">
        <v>38238</v>
      </c>
      <c r="B92">
        <v>788602</v>
      </c>
    </row>
    <row r="93" spans="1:2" x14ac:dyDescent="0.2">
      <c r="A93" s="53">
        <v>38245</v>
      </c>
      <c r="B93">
        <v>789128</v>
      </c>
    </row>
    <row r="94" spans="1:2" x14ac:dyDescent="0.2">
      <c r="A94" s="53">
        <v>38252</v>
      </c>
      <c r="B94">
        <v>782124</v>
      </c>
    </row>
    <row r="95" spans="1:2" x14ac:dyDescent="0.2">
      <c r="A95" s="53">
        <v>38259</v>
      </c>
      <c r="B95">
        <v>786330</v>
      </c>
    </row>
    <row r="96" spans="1:2" x14ac:dyDescent="0.2">
      <c r="A96" s="53">
        <v>38266</v>
      </c>
      <c r="B96">
        <v>781777</v>
      </c>
    </row>
    <row r="97" spans="1:2" x14ac:dyDescent="0.2">
      <c r="A97" s="53">
        <v>38273</v>
      </c>
      <c r="B97">
        <v>795483</v>
      </c>
    </row>
    <row r="98" spans="1:2" x14ac:dyDescent="0.2">
      <c r="A98" s="53">
        <v>38280</v>
      </c>
      <c r="B98">
        <v>784954</v>
      </c>
    </row>
    <row r="99" spans="1:2" x14ac:dyDescent="0.2">
      <c r="A99" s="53">
        <v>38287</v>
      </c>
      <c r="B99">
        <v>791336</v>
      </c>
    </row>
    <row r="100" spans="1:2" x14ac:dyDescent="0.2">
      <c r="A100" s="53">
        <v>38294</v>
      </c>
      <c r="B100">
        <v>790552</v>
      </c>
    </row>
    <row r="101" spans="1:2" x14ac:dyDescent="0.2">
      <c r="A101" s="53">
        <v>38301</v>
      </c>
      <c r="B101">
        <v>800473</v>
      </c>
    </row>
    <row r="102" spans="1:2" x14ac:dyDescent="0.2">
      <c r="A102" s="53">
        <v>38308</v>
      </c>
      <c r="B102">
        <v>794090</v>
      </c>
    </row>
    <row r="103" spans="1:2" x14ac:dyDescent="0.2">
      <c r="A103" s="53">
        <v>38315</v>
      </c>
      <c r="B103">
        <v>809956</v>
      </c>
    </row>
    <row r="104" spans="1:2" x14ac:dyDescent="0.2">
      <c r="A104" s="53">
        <v>38322</v>
      </c>
      <c r="B104">
        <v>807063</v>
      </c>
    </row>
    <row r="105" spans="1:2" x14ac:dyDescent="0.2">
      <c r="A105" s="53">
        <v>38329</v>
      </c>
      <c r="B105">
        <v>808495</v>
      </c>
    </row>
    <row r="106" spans="1:2" x14ac:dyDescent="0.2">
      <c r="A106" s="53">
        <v>38336</v>
      </c>
      <c r="B106">
        <v>807028</v>
      </c>
    </row>
    <row r="107" spans="1:2" x14ac:dyDescent="0.2">
      <c r="A107" s="53">
        <v>38343</v>
      </c>
      <c r="B107">
        <v>811333</v>
      </c>
    </row>
    <row r="108" spans="1:2" x14ac:dyDescent="0.2">
      <c r="A108" s="53">
        <v>38350</v>
      </c>
      <c r="B108">
        <v>810944</v>
      </c>
    </row>
    <row r="109" spans="1:2" x14ac:dyDescent="0.2">
      <c r="A109" s="53">
        <v>38357</v>
      </c>
      <c r="B109">
        <v>815702</v>
      </c>
    </row>
    <row r="110" spans="1:2" x14ac:dyDescent="0.2">
      <c r="A110" s="53">
        <v>38364</v>
      </c>
      <c r="B110">
        <v>798455</v>
      </c>
    </row>
    <row r="111" spans="1:2" x14ac:dyDescent="0.2">
      <c r="A111" s="53">
        <v>38371</v>
      </c>
      <c r="B111">
        <v>806960</v>
      </c>
    </row>
    <row r="112" spans="1:2" x14ac:dyDescent="0.2">
      <c r="A112" s="53">
        <v>38378</v>
      </c>
      <c r="B112">
        <v>807262</v>
      </c>
    </row>
    <row r="113" spans="1:2" x14ac:dyDescent="0.2">
      <c r="A113" s="53">
        <v>38385</v>
      </c>
      <c r="B113">
        <v>804746</v>
      </c>
    </row>
    <row r="114" spans="1:2" x14ac:dyDescent="0.2">
      <c r="A114" s="53">
        <v>38392</v>
      </c>
      <c r="B114">
        <v>797299</v>
      </c>
    </row>
    <row r="115" spans="1:2" x14ac:dyDescent="0.2">
      <c r="A115" s="53">
        <v>38399</v>
      </c>
      <c r="B115">
        <v>795606</v>
      </c>
    </row>
    <row r="116" spans="1:2" x14ac:dyDescent="0.2">
      <c r="A116" s="53">
        <v>38406</v>
      </c>
      <c r="B116">
        <v>804576</v>
      </c>
    </row>
    <row r="117" spans="1:2" x14ac:dyDescent="0.2">
      <c r="A117" s="53">
        <v>38413</v>
      </c>
      <c r="B117">
        <v>801252</v>
      </c>
    </row>
    <row r="118" spans="1:2" x14ac:dyDescent="0.2">
      <c r="A118" s="53">
        <v>38420</v>
      </c>
      <c r="B118">
        <v>799250</v>
      </c>
    </row>
    <row r="119" spans="1:2" x14ac:dyDescent="0.2">
      <c r="A119" s="53">
        <v>38427</v>
      </c>
      <c r="B119">
        <v>807211</v>
      </c>
    </row>
    <row r="120" spans="1:2" x14ac:dyDescent="0.2">
      <c r="A120" s="53">
        <v>38434</v>
      </c>
      <c r="B120">
        <v>797094</v>
      </c>
    </row>
    <row r="121" spans="1:2" x14ac:dyDescent="0.2">
      <c r="A121" s="53">
        <v>38441</v>
      </c>
      <c r="B121">
        <v>807551</v>
      </c>
    </row>
    <row r="122" spans="1:2" x14ac:dyDescent="0.2">
      <c r="A122" s="53">
        <v>38448</v>
      </c>
      <c r="B122">
        <v>797327</v>
      </c>
    </row>
    <row r="123" spans="1:2" x14ac:dyDescent="0.2">
      <c r="A123" s="53">
        <v>38455</v>
      </c>
      <c r="B123">
        <v>805707</v>
      </c>
    </row>
    <row r="124" spans="1:2" x14ac:dyDescent="0.2">
      <c r="A124" s="53">
        <v>38462</v>
      </c>
      <c r="B124">
        <v>801793</v>
      </c>
    </row>
    <row r="125" spans="1:2" x14ac:dyDescent="0.2">
      <c r="A125" s="53">
        <v>38469</v>
      </c>
      <c r="B125">
        <v>809797</v>
      </c>
    </row>
    <row r="126" spans="1:2" x14ac:dyDescent="0.2">
      <c r="A126" s="53">
        <v>38476</v>
      </c>
      <c r="B126">
        <v>802412</v>
      </c>
    </row>
    <row r="127" spans="1:2" x14ac:dyDescent="0.2">
      <c r="A127" s="53">
        <v>38483</v>
      </c>
      <c r="B127">
        <v>808378</v>
      </c>
    </row>
    <row r="128" spans="1:2" x14ac:dyDescent="0.2">
      <c r="A128" s="53">
        <v>38490</v>
      </c>
      <c r="B128">
        <v>801546</v>
      </c>
    </row>
    <row r="129" spans="1:2" x14ac:dyDescent="0.2">
      <c r="A129" s="53">
        <v>38497</v>
      </c>
      <c r="B129">
        <v>810160</v>
      </c>
    </row>
    <row r="130" spans="1:2" x14ac:dyDescent="0.2">
      <c r="A130" s="53">
        <v>38504</v>
      </c>
      <c r="B130">
        <v>817335</v>
      </c>
    </row>
    <row r="131" spans="1:2" x14ac:dyDescent="0.2">
      <c r="A131" s="53">
        <v>38511</v>
      </c>
      <c r="B131">
        <v>814172</v>
      </c>
    </row>
    <row r="132" spans="1:2" x14ac:dyDescent="0.2">
      <c r="A132" s="53">
        <v>38518</v>
      </c>
      <c r="B132">
        <v>811198</v>
      </c>
    </row>
    <row r="133" spans="1:2" x14ac:dyDescent="0.2">
      <c r="A133" s="53">
        <v>38525</v>
      </c>
      <c r="B133">
        <v>810429</v>
      </c>
    </row>
    <row r="134" spans="1:2" x14ac:dyDescent="0.2">
      <c r="A134" s="53">
        <v>38532</v>
      </c>
      <c r="B134">
        <v>810082</v>
      </c>
    </row>
    <row r="135" spans="1:2" x14ac:dyDescent="0.2">
      <c r="A135" s="53">
        <v>38539</v>
      </c>
      <c r="B135">
        <v>821556</v>
      </c>
    </row>
    <row r="136" spans="1:2" x14ac:dyDescent="0.2">
      <c r="A136" s="53">
        <v>38546</v>
      </c>
      <c r="B136">
        <v>808861</v>
      </c>
    </row>
    <row r="137" spans="1:2" x14ac:dyDescent="0.2">
      <c r="A137" s="53">
        <v>38553</v>
      </c>
      <c r="B137">
        <v>816804</v>
      </c>
    </row>
    <row r="138" spans="1:2" x14ac:dyDescent="0.2">
      <c r="A138" s="53">
        <v>38560</v>
      </c>
      <c r="B138">
        <v>814259</v>
      </c>
    </row>
    <row r="139" spans="1:2" x14ac:dyDescent="0.2">
      <c r="A139" s="53">
        <v>38567</v>
      </c>
      <c r="B139">
        <v>818841</v>
      </c>
    </row>
    <row r="140" spans="1:2" x14ac:dyDescent="0.2">
      <c r="A140" s="53">
        <v>38574</v>
      </c>
      <c r="B140">
        <v>808544</v>
      </c>
    </row>
    <row r="141" spans="1:2" x14ac:dyDescent="0.2">
      <c r="A141" s="53">
        <v>38581</v>
      </c>
      <c r="B141">
        <v>813774</v>
      </c>
    </row>
    <row r="142" spans="1:2" x14ac:dyDescent="0.2">
      <c r="A142" s="53">
        <v>38588</v>
      </c>
      <c r="B142">
        <v>811313</v>
      </c>
    </row>
    <row r="143" spans="1:2" x14ac:dyDescent="0.2">
      <c r="A143" s="53">
        <v>38595</v>
      </c>
      <c r="B143">
        <v>823237</v>
      </c>
    </row>
    <row r="144" spans="1:2" x14ac:dyDescent="0.2">
      <c r="A144" s="53">
        <v>38602</v>
      </c>
      <c r="B144">
        <v>822500</v>
      </c>
    </row>
    <row r="145" spans="1:2" x14ac:dyDescent="0.2">
      <c r="A145" s="53">
        <v>38609</v>
      </c>
      <c r="B145">
        <v>823590</v>
      </c>
    </row>
    <row r="146" spans="1:2" x14ac:dyDescent="0.2">
      <c r="A146" s="53">
        <v>38616</v>
      </c>
      <c r="B146">
        <v>812926</v>
      </c>
    </row>
    <row r="147" spans="1:2" x14ac:dyDescent="0.2">
      <c r="A147" s="53">
        <v>38623</v>
      </c>
      <c r="B147">
        <v>823771</v>
      </c>
    </row>
    <row r="148" spans="1:2" x14ac:dyDescent="0.2">
      <c r="A148" s="53">
        <v>38630</v>
      </c>
      <c r="B148">
        <v>817137</v>
      </c>
    </row>
    <row r="149" spans="1:2" x14ac:dyDescent="0.2">
      <c r="A149" s="53">
        <v>38637</v>
      </c>
      <c r="B149">
        <v>826306</v>
      </c>
    </row>
    <row r="150" spans="1:2" x14ac:dyDescent="0.2">
      <c r="A150" s="53">
        <v>38644</v>
      </c>
      <c r="B150">
        <v>814281</v>
      </c>
    </row>
    <row r="151" spans="1:2" x14ac:dyDescent="0.2">
      <c r="A151" s="53">
        <v>38651</v>
      </c>
      <c r="B151">
        <v>819105</v>
      </c>
    </row>
    <row r="152" spans="1:2" x14ac:dyDescent="0.2">
      <c r="A152" s="53">
        <v>38658</v>
      </c>
      <c r="B152">
        <v>814571</v>
      </c>
    </row>
    <row r="153" spans="1:2" x14ac:dyDescent="0.2">
      <c r="A153" s="53">
        <v>38665</v>
      </c>
      <c r="B153">
        <v>824991</v>
      </c>
    </row>
    <row r="154" spans="1:2" x14ac:dyDescent="0.2">
      <c r="A154" s="53">
        <v>38672</v>
      </c>
      <c r="B154">
        <v>823263</v>
      </c>
    </row>
    <row r="155" spans="1:2" x14ac:dyDescent="0.2">
      <c r="A155" s="53">
        <v>38679</v>
      </c>
      <c r="B155">
        <v>833124</v>
      </c>
    </row>
    <row r="156" spans="1:2" x14ac:dyDescent="0.2">
      <c r="A156" s="53">
        <v>38686</v>
      </c>
      <c r="B156">
        <v>835059</v>
      </c>
    </row>
    <row r="157" spans="1:2" x14ac:dyDescent="0.2">
      <c r="A157" s="53">
        <v>38693</v>
      </c>
      <c r="B157">
        <v>833250</v>
      </c>
    </row>
    <row r="158" spans="1:2" x14ac:dyDescent="0.2">
      <c r="A158" s="53">
        <v>38700</v>
      </c>
      <c r="B158">
        <v>830950</v>
      </c>
    </row>
    <row r="159" spans="1:2" x14ac:dyDescent="0.2">
      <c r="A159" s="53">
        <v>38707</v>
      </c>
      <c r="B159">
        <v>848317</v>
      </c>
    </row>
    <row r="160" spans="1:2" x14ac:dyDescent="0.2">
      <c r="A160" s="53">
        <v>38714</v>
      </c>
      <c r="B160">
        <v>847700</v>
      </c>
    </row>
    <row r="161" spans="1:2" x14ac:dyDescent="0.2">
      <c r="A161" s="53">
        <v>38721</v>
      </c>
      <c r="B161">
        <v>851856</v>
      </c>
    </row>
    <row r="162" spans="1:2" x14ac:dyDescent="0.2">
      <c r="A162" s="53">
        <v>38728</v>
      </c>
      <c r="B162">
        <v>829357</v>
      </c>
    </row>
    <row r="163" spans="1:2" x14ac:dyDescent="0.2">
      <c r="A163" s="53">
        <v>38735</v>
      </c>
      <c r="B163">
        <v>836042</v>
      </c>
    </row>
    <row r="164" spans="1:2" x14ac:dyDescent="0.2">
      <c r="A164" s="53">
        <v>38742</v>
      </c>
      <c r="B164">
        <v>828901</v>
      </c>
    </row>
    <row r="165" spans="1:2" x14ac:dyDescent="0.2">
      <c r="A165" s="53">
        <v>38749</v>
      </c>
      <c r="B165">
        <v>831808</v>
      </c>
    </row>
    <row r="166" spans="1:2" x14ac:dyDescent="0.2">
      <c r="A166" s="53">
        <v>38756</v>
      </c>
      <c r="B166">
        <v>827613</v>
      </c>
    </row>
    <row r="167" spans="1:2" x14ac:dyDescent="0.2">
      <c r="A167" s="53">
        <v>38763</v>
      </c>
      <c r="B167">
        <v>835240</v>
      </c>
    </row>
    <row r="168" spans="1:2" x14ac:dyDescent="0.2">
      <c r="A168" s="53">
        <v>38770</v>
      </c>
      <c r="B168">
        <v>840555</v>
      </c>
    </row>
    <row r="169" spans="1:2" x14ac:dyDescent="0.2">
      <c r="A169" s="53">
        <v>38777</v>
      </c>
      <c r="B169">
        <v>839356</v>
      </c>
    </row>
    <row r="170" spans="1:2" x14ac:dyDescent="0.2">
      <c r="A170" s="53">
        <v>38784</v>
      </c>
      <c r="B170">
        <v>839234</v>
      </c>
    </row>
    <row r="171" spans="1:2" x14ac:dyDescent="0.2">
      <c r="A171" s="53">
        <v>38791</v>
      </c>
      <c r="B171">
        <v>843010</v>
      </c>
    </row>
    <row r="172" spans="1:2" x14ac:dyDescent="0.2">
      <c r="A172" s="53">
        <v>38798</v>
      </c>
      <c r="B172">
        <v>838003</v>
      </c>
    </row>
    <row r="173" spans="1:2" x14ac:dyDescent="0.2">
      <c r="A173" s="53">
        <v>38805</v>
      </c>
      <c r="B173">
        <v>833675</v>
      </c>
    </row>
    <row r="174" spans="1:2" x14ac:dyDescent="0.2">
      <c r="A174" s="53">
        <v>38812</v>
      </c>
      <c r="B174">
        <v>834589</v>
      </c>
    </row>
    <row r="175" spans="1:2" x14ac:dyDescent="0.2">
      <c r="A175" s="53">
        <v>38819</v>
      </c>
      <c r="B175">
        <v>836862</v>
      </c>
    </row>
    <row r="176" spans="1:2" x14ac:dyDescent="0.2">
      <c r="A176" s="53">
        <v>38826</v>
      </c>
      <c r="B176">
        <v>836352</v>
      </c>
    </row>
    <row r="177" spans="1:2" x14ac:dyDescent="0.2">
      <c r="A177" s="53">
        <v>38833</v>
      </c>
      <c r="B177">
        <v>844572</v>
      </c>
    </row>
    <row r="178" spans="1:2" x14ac:dyDescent="0.2">
      <c r="A178" s="53">
        <v>38840</v>
      </c>
      <c r="B178">
        <v>843867</v>
      </c>
    </row>
    <row r="179" spans="1:2" x14ac:dyDescent="0.2">
      <c r="A179" s="53">
        <v>38847</v>
      </c>
      <c r="B179">
        <v>838405</v>
      </c>
    </row>
    <row r="180" spans="1:2" x14ac:dyDescent="0.2">
      <c r="A180" s="53">
        <v>38854</v>
      </c>
      <c r="B180">
        <v>838153</v>
      </c>
    </row>
    <row r="181" spans="1:2" x14ac:dyDescent="0.2">
      <c r="A181" s="53">
        <v>38861</v>
      </c>
      <c r="B181">
        <v>840251</v>
      </c>
    </row>
    <row r="182" spans="1:2" x14ac:dyDescent="0.2">
      <c r="A182" s="53">
        <v>38868</v>
      </c>
      <c r="B182">
        <v>851580</v>
      </c>
    </row>
    <row r="183" spans="1:2" x14ac:dyDescent="0.2">
      <c r="A183" s="53">
        <v>38875</v>
      </c>
      <c r="B183">
        <v>849074</v>
      </c>
    </row>
    <row r="184" spans="1:2" x14ac:dyDescent="0.2">
      <c r="A184" s="53">
        <v>38882</v>
      </c>
      <c r="B184">
        <v>845869</v>
      </c>
    </row>
    <row r="185" spans="1:2" x14ac:dyDescent="0.2">
      <c r="A185" s="53">
        <v>38889</v>
      </c>
      <c r="B185">
        <v>844773</v>
      </c>
    </row>
    <row r="186" spans="1:2" x14ac:dyDescent="0.2">
      <c r="A186" s="53">
        <v>38896</v>
      </c>
      <c r="B186">
        <v>844436</v>
      </c>
    </row>
    <row r="187" spans="1:2" x14ac:dyDescent="0.2">
      <c r="A187" s="53">
        <v>38903</v>
      </c>
      <c r="B187">
        <v>851659</v>
      </c>
    </row>
    <row r="188" spans="1:2" x14ac:dyDescent="0.2">
      <c r="A188" s="53">
        <v>38910</v>
      </c>
      <c r="B188">
        <v>844391</v>
      </c>
    </row>
    <row r="189" spans="1:2" x14ac:dyDescent="0.2">
      <c r="A189" s="53">
        <v>38917</v>
      </c>
      <c r="B189">
        <v>849894</v>
      </c>
    </row>
    <row r="190" spans="1:2" x14ac:dyDescent="0.2">
      <c r="A190" s="53">
        <v>38924</v>
      </c>
      <c r="B190">
        <v>841552</v>
      </c>
    </row>
    <row r="191" spans="1:2" x14ac:dyDescent="0.2">
      <c r="A191" s="53">
        <v>38931</v>
      </c>
      <c r="B191">
        <v>850263</v>
      </c>
    </row>
    <row r="192" spans="1:2" x14ac:dyDescent="0.2">
      <c r="A192" s="53">
        <v>38938</v>
      </c>
      <c r="B192">
        <v>840006</v>
      </c>
    </row>
    <row r="193" spans="1:2" x14ac:dyDescent="0.2">
      <c r="A193" s="53">
        <v>38945</v>
      </c>
      <c r="B193">
        <v>842876</v>
      </c>
    </row>
    <row r="194" spans="1:2" x14ac:dyDescent="0.2">
      <c r="A194" s="53">
        <v>38952</v>
      </c>
      <c r="B194">
        <v>837987</v>
      </c>
    </row>
    <row r="195" spans="1:2" x14ac:dyDescent="0.2">
      <c r="A195" s="53">
        <v>38959</v>
      </c>
      <c r="B195">
        <v>850925</v>
      </c>
    </row>
    <row r="196" spans="1:2" x14ac:dyDescent="0.2">
      <c r="A196" s="53">
        <v>38966</v>
      </c>
      <c r="B196">
        <v>848594</v>
      </c>
    </row>
    <row r="197" spans="1:2" x14ac:dyDescent="0.2">
      <c r="A197" s="53">
        <v>38973</v>
      </c>
      <c r="B197">
        <v>840886</v>
      </c>
    </row>
    <row r="198" spans="1:2" x14ac:dyDescent="0.2">
      <c r="A198" s="53">
        <v>38980</v>
      </c>
      <c r="B198">
        <v>838192</v>
      </c>
    </row>
    <row r="199" spans="1:2" x14ac:dyDescent="0.2">
      <c r="A199" s="53">
        <v>38987</v>
      </c>
      <c r="B199">
        <v>849971</v>
      </c>
    </row>
    <row r="200" spans="1:2" x14ac:dyDescent="0.2">
      <c r="A200" s="53">
        <v>38994</v>
      </c>
      <c r="B200">
        <v>842296</v>
      </c>
    </row>
    <row r="201" spans="1:2" x14ac:dyDescent="0.2">
      <c r="A201" s="53">
        <v>39001</v>
      </c>
      <c r="B201">
        <v>859339</v>
      </c>
    </row>
    <row r="202" spans="1:2" x14ac:dyDescent="0.2">
      <c r="A202" s="53">
        <v>39008</v>
      </c>
      <c r="B202">
        <v>844200</v>
      </c>
    </row>
    <row r="203" spans="1:2" x14ac:dyDescent="0.2">
      <c r="A203" s="53">
        <v>39015</v>
      </c>
      <c r="B203">
        <v>852648</v>
      </c>
    </row>
    <row r="204" spans="1:2" x14ac:dyDescent="0.2">
      <c r="A204" s="53">
        <v>39022</v>
      </c>
      <c r="B204">
        <v>855536</v>
      </c>
    </row>
    <row r="205" spans="1:2" x14ac:dyDescent="0.2">
      <c r="A205" s="53">
        <v>39029</v>
      </c>
      <c r="B205">
        <v>858630</v>
      </c>
    </row>
    <row r="206" spans="1:2" x14ac:dyDescent="0.2">
      <c r="A206" s="53">
        <v>39036</v>
      </c>
      <c r="B206">
        <v>855551</v>
      </c>
    </row>
    <row r="207" spans="1:2" x14ac:dyDescent="0.2">
      <c r="A207" s="53">
        <v>39043</v>
      </c>
      <c r="B207">
        <v>865126</v>
      </c>
    </row>
    <row r="208" spans="1:2" x14ac:dyDescent="0.2">
      <c r="A208" s="53">
        <v>39050</v>
      </c>
      <c r="B208">
        <v>856671</v>
      </c>
    </row>
    <row r="209" spans="1:2" x14ac:dyDescent="0.2">
      <c r="A209" s="53">
        <v>39057</v>
      </c>
      <c r="B209">
        <v>862178</v>
      </c>
    </row>
    <row r="210" spans="1:2" x14ac:dyDescent="0.2">
      <c r="A210" s="53">
        <v>39064</v>
      </c>
      <c r="B210">
        <v>853851</v>
      </c>
    </row>
    <row r="211" spans="1:2" x14ac:dyDescent="0.2">
      <c r="A211" s="53">
        <v>39071</v>
      </c>
      <c r="B211">
        <v>865010</v>
      </c>
    </row>
    <row r="212" spans="1:2" x14ac:dyDescent="0.2">
      <c r="A212" s="53">
        <v>39078</v>
      </c>
      <c r="B212">
        <v>869988</v>
      </c>
    </row>
    <row r="213" spans="1:2" x14ac:dyDescent="0.2">
      <c r="A213" s="53">
        <v>39085</v>
      </c>
      <c r="B213">
        <v>874626</v>
      </c>
    </row>
    <row r="214" spans="1:2" x14ac:dyDescent="0.2">
      <c r="A214" s="53">
        <v>39092</v>
      </c>
      <c r="B214">
        <v>854819</v>
      </c>
    </row>
    <row r="215" spans="1:2" x14ac:dyDescent="0.2">
      <c r="A215" s="53">
        <v>39099</v>
      </c>
      <c r="B215">
        <v>859363</v>
      </c>
    </row>
    <row r="216" spans="1:2" x14ac:dyDescent="0.2">
      <c r="A216" s="53">
        <v>39106</v>
      </c>
      <c r="B216">
        <v>851755</v>
      </c>
    </row>
    <row r="217" spans="1:2" x14ac:dyDescent="0.2">
      <c r="A217" s="53">
        <v>39113</v>
      </c>
      <c r="B217">
        <v>865730</v>
      </c>
    </row>
    <row r="218" spans="1:2" x14ac:dyDescent="0.2">
      <c r="A218" s="53">
        <v>39120</v>
      </c>
      <c r="B218">
        <v>855057</v>
      </c>
    </row>
    <row r="219" spans="1:2" x14ac:dyDescent="0.2">
      <c r="A219" s="53">
        <v>39127</v>
      </c>
      <c r="B219">
        <v>867199</v>
      </c>
    </row>
    <row r="220" spans="1:2" x14ac:dyDescent="0.2">
      <c r="A220" s="53">
        <v>39134</v>
      </c>
      <c r="B220">
        <v>869235</v>
      </c>
    </row>
    <row r="221" spans="1:2" x14ac:dyDescent="0.2">
      <c r="A221" s="53">
        <v>39141</v>
      </c>
      <c r="B221">
        <v>877409</v>
      </c>
    </row>
    <row r="222" spans="1:2" x14ac:dyDescent="0.2">
      <c r="A222" s="53">
        <v>39148</v>
      </c>
      <c r="B222">
        <v>864505</v>
      </c>
    </row>
    <row r="223" spans="1:2" x14ac:dyDescent="0.2">
      <c r="A223" s="53">
        <v>39155</v>
      </c>
      <c r="B223">
        <v>876108</v>
      </c>
    </row>
    <row r="224" spans="1:2" x14ac:dyDescent="0.2">
      <c r="A224" s="53">
        <v>39162</v>
      </c>
      <c r="B224">
        <v>863067</v>
      </c>
    </row>
    <row r="225" spans="1:2" x14ac:dyDescent="0.2">
      <c r="A225" s="53">
        <v>39169</v>
      </c>
      <c r="B225">
        <v>869803</v>
      </c>
    </row>
    <row r="226" spans="1:2" x14ac:dyDescent="0.2">
      <c r="A226" s="53">
        <v>39176</v>
      </c>
      <c r="B226">
        <v>862319</v>
      </c>
    </row>
    <row r="227" spans="1:2" x14ac:dyDescent="0.2">
      <c r="A227" s="53">
        <v>39183</v>
      </c>
      <c r="B227">
        <v>865441</v>
      </c>
    </row>
    <row r="228" spans="1:2" x14ac:dyDescent="0.2">
      <c r="A228" s="53">
        <v>39190</v>
      </c>
      <c r="B228">
        <v>861335</v>
      </c>
    </row>
    <row r="229" spans="1:2" x14ac:dyDescent="0.2">
      <c r="A229" s="53">
        <v>39197</v>
      </c>
      <c r="B229">
        <v>879686</v>
      </c>
    </row>
    <row r="230" spans="1:2" x14ac:dyDescent="0.2">
      <c r="A230" s="53">
        <v>39204</v>
      </c>
      <c r="B230">
        <v>890857</v>
      </c>
    </row>
    <row r="231" spans="1:2" x14ac:dyDescent="0.2">
      <c r="A231" s="53">
        <v>39211</v>
      </c>
      <c r="B231">
        <v>875270</v>
      </c>
    </row>
    <row r="232" spans="1:2" x14ac:dyDescent="0.2">
      <c r="A232" s="53">
        <v>39218</v>
      </c>
      <c r="B232">
        <v>859559</v>
      </c>
    </row>
    <row r="233" spans="1:2" x14ac:dyDescent="0.2">
      <c r="A233" s="53">
        <v>39225</v>
      </c>
      <c r="B233">
        <v>873935</v>
      </c>
    </row>
    <row r="234" spans="1:2" x14ac:dyDescent="0.2">
      <c r="A234" s="53">
        <v>39232</v>
      </c>
      <c r="B234">
        <v>876986</v>
      </c>
    </row>
    <row r="235" spans="1:2" x14ac:dyDescent="0.2">
      <c r="A235" s="53">
        <v>39239</v>
      </c>
      <c r="B235">
        <v>872706</v>
      </c>
    </row>
    <row r="236" spans="1:2" x14ac:dyDescent="0.2">
      <c r="A236" s="53">
        <v>39246</v>
      </c>
      <c r="B236">
        <v>864989</v>
      </c>
    </row>
    <row r="237" spans="1:2" x14ac:dyDescent="0.2">
      <c r="A237" s="53">
        <v>39253</v>
      </c>
      <c r="B237">
        <v>866089</v>
      </c>
    </row>
    <row r="238" spans="1:2" x14ac:dyDescent="0.2">
      <c r="A238" s="53">
        <v>39260</v>
      </c>
      <c r="B238">
        <v>865105</v>
      </c>
    </row>
    <row r="239" spans="1:2" x14ac:dyDescent="0.2">
      <c r="A239" s="53">
        <v>39267</v>
      </c>
      <c r="B239">
        <v>876611</v>
      </c>
    </row>
    <row r="240" spans="1:2" x14ac:dyDescent="0.2">
      <c r="A240" s="53">
        <v>39274</v>
      </c>
      <c r="B240">
        <v>869407</v>
      </c>
    </row>
    <row r="241" spans="1:2" x14ac:dyDescent="0.2">
      <c r="A241" s="53">
        <v>39281</v>
      </c>
      <c r="B241">
        <v>872916</v>
      </c>
    </row>
    <row r="242" spans="1:2" x14ac:dyDescent="0.2">
      <c r="A242" s="53">
        <v>39288</v>
      </c>
      <c r="B242">
        <v>863890</v>
      </c>
    </row>
    <row r="243" spans="1:2" x14ac:dyDescent="0.2">
      <c r="A243" s="53">
        <v>39295</v>
      </c>
      <c r="B243">
        <v>870261</v>
      </c>
    </row>
    <row r="244" spans="1:2" x14ac:dyDescent="0.2">
      <c r="A244" s="53">
        <v>39302</v>
      </c>
      <c r="B244">
        <v>865453</v>
      </c>
    </row>
    <row r="245" spans="1:2" x14ac:dyDescent="0.2">
      <c r="A245" s="53">
        <v>39309</v>
      </c>
      <c r="B245">
        <v>864931</v>
      </c>
    </row>
    <row r="246" spans="1:2" x14ac:dyDescent="0.2">
      <c r="A246" s="53">
        <v>39316</v>
      </c>
      <c r="B246">
        <v>862775</v>
      </c>
    </row>
    <row r="247" spans="1:2" x14ac:dyDescent="0.2">
      <c r="A247" s="53">
        <v>39323</v>
      </c>
      <c r="B247">
        <v>872873</v>
      </c>
    </row>
    <row r="248" spans="1:2" x14ac:dyDescent="0.2">
      <c r="A248" s="53">
        <v>39330</v>
      </c>
      <c r="B248">
        <v>871156</v>
      </c>
    </row>
    <row r="249" spans="1:2" x14ac:dyDescent="0.2">
      <c r="A249" s="53">
        <v>39337</v>
      </c>
      <c r="B249">
        <v>886314</v>
      </c>
    </row>
    <row r="250" spans="1:2" x14ac:dyDescent="0.2">
      <c r="A250" s="53">
        <v>39344</v>
      </c>
      <c r="B250">
        <v>867732</v>
      </c>
    </row>
    <row r="251" spans="1:2" x14ac:dyDescent="0.2">
      <c r="A251" s="53">
        <v>39351</v>
      </c>
      <c r="B251">
        <v>889900</v>
      </c>
    </row>
    <row r="252" spans="1:2" x14ac:dyDescent="0.2">
      <c r="A252" s="53">
        <v>39358</v>
      </c>
      <c r="B252">
        <v>869051</v>
      </c>
    </row>
    <row r="253" spans="1:2" x14ac:dyDescent="0.2">
      <c r="A253" s="53">
        <v>39365</v>
      </c>
      <c r="B253">
        <v>886363</v>
      </c>
    </row>
    <row r="254" spans="1:2" x14ac:dyDescent="0.2">
      <c r="A254" s="53">
        <v>39372</v>
      </c>
      <c r="B254">
        <v>869509</v>
      </c>
    </row>
    <row r="255" spans="1:2" x14ac:dyDescent="0.2">
      <c r="A255" s="53">
        <v>39379</v>
      </c>
      <c r="B255">
        <v>881395</v>
      </c>
    </row>
    <row r="256" spans="1:2" x14ac:dyDescent="0.2">
      <c r="A256" s="53">
        <v>39386</v>
      </c>
      <c r="B256">
        <v>883385</v>
      </c>
    </row>
    <row r="257" spans="1:2" x14ac:dyDescent="0.2">
      <c r="A257" s="53">
        <v>39393</v>
      </c>
      <c r="B257">
        <v>885724</v>
      </c>
    </row>
    <row r="258" spans="1:2" x14ac:dyDescent="0.2">
      <c r="A258" s="53">
        <v>39400</v>
      </c>
      <c r="B258">
        <v>889537</v>
      </c>
    </row>
    <row r="259" spans="1:2" x14ac:dyDescent="0.2">
      <c r="A259" s="53">
        <v>39407</v>
      </c>
      <c r="B259">
        <v>891028</v>
      </c>
    </row>
    <row r="260" spans="1:2" x14ac:dyDescent="0.2">
      <c r="A260" s="53">
        <v>39414</v>
      </c>
      <c r="B260">
        <v>879417</v>
      </c>
    </row>
    <row r="261" spans="1:2" x14ac:dyDescent="0.2">
      <c r="A261" s="53">
        <v>39421</v>
      </c>
      <c r="B261">
        <v>882764</v>
      </c>
    </row>
    <row r="262" spans="1:2" x14ac:dyDescent="0.2">
      <c r="A262" s="53">
        <v>39428</v>
      </c>
      <c r="B262">
        <v>881750</v>
      </c>
    </row>
    <row r="263" spans="1:2" x14ac:dyDescent="0.2">
      <c r="A263" s="53">
        <v>39435</v>
      </c>
      <c r="B263">
        <v>887983</v>
      </c>
    </row>
    <row r="264" spans="1:2" x14ac:dyDescent="0.2">
      <c r="A264" s="53">
        <v>39442</v>
      </c>
      <c r="B264">
        <v>890662</v>
      </c>
    </row>
    <row r="265" spans="1:2" x14ac:dyDescent="0.2">
      <c r="A265" s="53">
        <v>39449</v>
      </c>
      <c r="B265">
        <v>922187</v>
      </c>
    </row>
    <row r="266" spans="1:2" x14ac:dyDescent="0.2">
      <c r="A266" s="53">
        <v>39456</v>
      </c>
      <c r="B266">
        <v>880754</v>
      </c>
    </row>
    <row r="267" spans="1:2" x14ac:dyDescent="0.2">
      <c r="A267" s="53">
        <v>39463</v>
      </c>
      <c r="B267">
        <v>893581</v>
      </c>
    </row>
    <row r="268" spans="1:2" x14ac:dyDescent="0.2">
      <c r="A268" s="53">
        <v>39470</v>
      </c>
      <c r="B268">
        <v>877253</v>
      </c>
    </row>
    <row r="269" spans="1:2" x14ac:dyDescent="0.2">
      <c r="A269" s="53">
        <v>39477</v>
      </c>
      <c r="B269">
        <v>900264</v>
      </c>
    </row>
    <row r="270" spans="1:2" x14ac:dyDescent="0.2">
      <c r="A270" s="53">
        <v>39484</v>
      </c>
      <c r="B270">
        <v>871022</v>
      </c>
    </row>
    <row r="271" spans="1:2" x14ac:dyDescent="0.2">
      <c r="A271" s="53">
        <v>39491</v>
      </c>
      <c r="B271">
        <v>883005</v>
      </c>
    </row>
    <row r="272" spans="1:2" x14ac:dyDescent="0.2">
      <c r="A272" s="53">
        <v>39498</v>
      </c>
      <c r="B272">
        <v>878949</v>
      </c>
    </row>
    <row r="273" spans="1:2" x14ac:dyDescent="0.2">
      <c r="A273" s="53">
        <v>39505</v>
      </c>
      <c r="B273">
        <v>893825</v>
      </c>
    </row>
    <row r="274" spans="1:2" x14ac:dyDescent="0.2">
      <c r="A274" s="53">
        <v>39512</v>
      </c>
      <c r="B274">
        <v>881208</v>
      </c>
    </row>
    <row r="275" spans="1:2" x14ac:dyDescent="0.2">
      <c r="A275" s="53">
        <v>39519</v>
      </c>
      <c r="B275">
        <v>896565</v>
      </c>
    </row>
    <row r="276" spans="1:2" x14ac:dyDescent="0.2">
      <c r="A276" s="53">
        <v>39526</v>
      </c>
      <c r="B276">
        <v>888646</v>
      </c>
    </row>
    <row r="277" spans="1:2" x14ac:dyDescent="0.2">
      <c r="A277" s="53">
        <v>39533</v>
      </c>
      <c r="B277">
        <v>893965</v>
      </c>
    </row>
    <row r="278" spans="1:2" x14ac:dyDescent="0.2">
      <c r="A278" s="53">
        <v>39540</v>
      </c>
      <c r="B278">
        <v>883708</v>
      </c>
    </row>
    <row r="279" spans="1:2" x14ac:dyDescent="0.2">
      <c r="A279" s="53">
        <v>39547</v>
      </c>
      <c r="B279">
        <v>893029</v>
      </c>
    </row>
    <row r="280" spans="1:2" x14ac:dyDescent="0.2">
      <c r="A280" s="53">
        <v>39554</v>
      </c>
      <c r="B280">
        <v>881904</v>
      </c>
    </row>
    <row r="281" spans="1:2" x14ac:dyDescent="0.2">
      <c r="A281" s="53">
        <v>39561</v>
      </c>
      <c r="B281">
        <v>885781</v>
      </c>
    </row>
    <row r="282" spans="1:2" x14ac:dyDescent="0.2">
      <c r="A282" s="53">
        <v>39568</v>
      </c>
      <c r="B282">
        <v>888131</v>
      </c>
    </row>
    <row r="283" spans="1:2" x14ac:dyDescent="0.2">
      <c r="A283" s="53">
        <v>39575</v>
      </c>
      <c r="B283">
        <v>889228</v>
      </c>
    </row>
    <row r="284" spans="1:2" x14ac:dyDescent="0.2">
      <c r="A284" s="53">
        <v>39582</v>
      </c>
      <c r="B284">
        <v>880175</v>
      </c>
    </row>
    <row r="285" spans="1:2" x14ac:dyDescent="0.2">
      <c r="A285" s="53">
        <v>39589</v>
      </c>
      <c r="B285">
        <v>898487</v>
      </c>
    </row>
    <row r="286" spans="1:2" x14ac:dyDescent="0.2">
      <c r="A286" s="53">
        <v>39596</v>
      </c>
      <c r="B286">
        <v>904054</v>
      </c>
    </row>
    <row r="287" spans="1:2" x14ac:dyDescent="0.2">
      <c r="A287" s="53">
        <v>39603</v>
      </c>
      <c r="B287">
        <v>895939</v>
      </c>
    </row>
    <row r="288" spans="1:2" x14ac:dyDescent="0.2">
      <c r="A288" s="53">
        <v>39610</v>
      </c>
      <c r="B288">
        <v>890610</v>
      </c>
    </row>
    <row r="289" spans="1:2" x14ac:dyDescent="0.2">
      <c r="A289" s="53">
        <v>39617</v>
      </c>
      <c r="B289">
        <v>902304</v>
      </c>
    </row>
    <row r="290" spans="1:2" x14ac:dyDescent="0.2">
      <c r="A290" s="53">
        <v>39624</v>
      </c>
      <c r="B290">
        <v>892713</v>
      </c>
    </row>
    <row r="291" spans="1:2" x14ac:dyDescent="0.2">
      <c r="A291" s="53">
        <v>39631</v>
      </c>
      <c r="B291">
        <v>902962</v>
      </c>
    </row>
    <row r="292" spans="1:2" x14ac:dyDescent="0.2">
      <c r="A292" s="53">
        <v>39638</v>
      </c>
      <c r="B292">
        <v>898034</v>
      </c>
    </row>
    <row r="293" spans="1:2" x14ac:dyDescent="0.2">
      <c r="A293" s="53">
        <v>39645</v>
      </c>
      <c r="B293">
        <v>910681</v>
      </c>
    </row>
    <row r="294" spans="1:2" x14ac:dyDescent="0.2">
      <c r="A294" s="53">
        <v>39652</v>
      </c>
      <c r="B294">
        <v>899665</v>
      </c>
    </row>
    <row r="295" spans="1:2" x14ac:dyDescent="0.2">
      <c r="A295" s="53">
        <v>39659</v>
      </c>
      <c r="B295">
        <v>918625</v>
      </c>
    </row>
    <row r="296" spans="1:2" x14ac:dyDescent="0.2">
      <c r="A296" s="53">
        <v>39666</v>
      </c>
      <c r="B296">
        <v>901710</v>
      </c>
    </row>
    <row r="297" spans="1:2" x14ac:dyDescent="0.2">
      <c r="A297" s="53">
        <v>39673</v>
      </c>
      <c r="B297">
        <v>914632</v>
      </c>
    </row>
    <row r="298" spans="1:2" x14ac:dyDescent="0.2">
      <c r="A298" s="53">
        <v>39680</v>
      </c>
      <c r="B298">
        <v>898611</v>
      </c>
    </row>
    <row r="299" spans="1:2" x14ac:dyDescent="0.2">
      <c r="A299" s="53">
        <v>39687</v>
      </c>
      <c r="B299">
        <v>909982</v>
      </c>
    </row>
    <row r="300" spans="1:2" x14ac:dyDescent="0.2">
      <c r="A300" s="53">
        <v>39694</v>
      </c>
      <c r="B300">
        <v>905253</v>
      </c>
    </row>
    <row r="301" spans="1:2" x14ac:dyDescent="0.2">
      <c r="A301" s="53">
        <v>39701</v>
      </c>
      <c r="B301">
        <v>925725</v>
      </c>
    </row>
    <row r="302" spans="1:2" x14ac:dyDescent="0.2">
      <c r="A302" s="53">
        <v>39708</v>
      </c>
      <c r="B302">
        <v>995093</v>
      </c>
    </row>
    <row r="303" spans="1:2" x14ac:dyDescent="0.2">
      <c r="A303" s="53">
        <v>39715</v>
      </c>
      <c r="B303">
        <v>1211825</v>
      </c>
    </row>
    <row r="304" spans="1:2" x14ac:dyDescent="0.2">
      <c r="A304" s="53">
        <v>39722</v>
      </c>
      <c r="B304">
        <v>1503989</v>
      </c>
    </row>
    <row r="305" spans="1:2" x14ac:dyDescent="0.2">
      <c r="A305" s="53">
        <v>39729</v>
      </c>
      <c r="B305">
        <v>1591587</v>
      </c>
    </row>
    <row r="306" spans="1:2" x14ac:dyDescent="0.2">
      <c r="A306" s="53">
        <v>39736</v>
      </c>
      <c r="B306">
        <v>1770809</v>
      </c>
    </row>
    <row r="307" spans="1:2" x14ac:dyDescent="0.2">
      <c r="A307" s="53">
        <v>39743</v>
      </c>
      <c r="B307">
        <v>1802602</v>
      </c>
    </row>
    <row r="308" spans="1:2" x14ac:dyDescent="0.2">
      <c r="A308" s="53">
        <v>39750</v>
      </c>
      <c r="B308">
        <v>1969086</v>
      </c>
    </row>
    <row r="309" spans="1:2" x14ac:dyDescent="0.2">
      <c r="A309" s="53">
        <v>39757</v>
      </c>
      <c r="B309">
        <v>2074205</v>
      </c>
    </row>
    <row r="310" spans="1:2" x14ac:dyDescent="0.2">
      <c r="A310" s="53">
        <v>39764</v>
      </c>
      <c r="B310">
        <v>2212852</v>
      </c>
    </row>
    <row r="311" spans="1:2" x14ac:dyDescent="0.2">
      <c r="A311" s="53">
        <v>39771</v>
      </c>
      <c r="B311">
        <v>2187137</v>
      </c>
    </row>
    <row r="312" spans="1:2" x14ac:dyDescent="0.2">
      <c r="A312" s="53">
        <v>39778</v>
      </c>
      <c r="B312">
        <v>2106117</v>
      </c>
    </row>
    <row r="313" spans="1:2" x14ac:dyDescent="0.2">
      <c r="A313" s="53">
        <v>39785</v>
      </c>
      <c r="B313">
        <v>2136924</v>
      </c>
    </row>
    <row r="314" spans="1:2" x14ac:dyDescent="0.2">
      <c r="A314" s="53">
        <v>39792</v>
      </c>
      <c r="B314">
        <v>2250012</v>
      </c>
    </row>
    <row r="315" spans="1:2" x14ac:dyDescent="0.2">
      <c r="A315" s="53">
        <v>39799</v>
      </c>
      <c r="B315">
        <v>2254983</v>
      </c>
    </row>
    <row r="316" spans="1:2" x14ac:dyDescent="0.2">
      <c r="A316" s="53">
        <v>39806</v>
      </c>
      <c r="B316">
        <v>2232311</v>
      </c>
    </row>
    <row r="317" spans="1:2" x14ac:dyDescent="0.2">
      <c r="A317" s="53">
        <v>39813</v>
      </c>
      <c r="B317">
        <v>2239457</v>
      </c>
    </row>
    <row r="318" spans="1:2" x14ac:dyDescent="0.2">
      <c r="A318" s="53">
        <v>39820</v>
      </c>
      <c r="B318">
        <v>2121439</v>
      </c>
    </row>
    <row r="319" spans="1:2" x14ac:dyDescent="0.2">
      <c r="A319" s="53">
        <v>39827</v>
      </c>
      <c r="B319">
        <v>2049714</v>
      </c>
    </row>
    <row r="320" spans="1:2" x14ac:dyDescent="0.2">
      <c r="A320" s="53">
        <v>39834</v>
      </c>
      <c r="B320">
        <v>2037112</v>
      </c>
    </row>
    <row r="321" spans="1:2" x14ac:dyDescent="0.2">
      <c r="A321" s="53">
        <v>39841</v>
      </c>
      <c r="B321">
        <v>1927082</v>
      </c>
    </row>
    <row r="322" spans="1:2" x14ac:dyDescent="0.2">
      <c r="A322" s="53">
        <v>39848</v>
      </c>
      <c r="B322">
        <v>1851437</v>
      </c>
    </row>
    <row r="323" spans="1:2" x14ac:dyDescent="0.2">
      <c r="A323" s="53">
        <v>39855</v>
      </c>
      <c r="B323">
        <v>1843400</v>
      </c>
    </row>
    <row r="324" spans="1:2" x14ac:dyDescent="0.2">
      <c r="A324" s="53">
        <v>39862</v>
      </c>
      <c r="B324">
        <v>1915562</v>
      </c>
    </row>
    <row r="325" spans="1:2" x14ac:dyDescent="0.2">
      <c r="A325" s="53">
        <v>39869</v>
      </c>
      <c r="B325">
        <v>1916115</v>
      </c>
    </row>
    <row r="326" spans="1:2" x14ac:dyDescent="0.2">
      <c r="A326" s="53">
        <v>39876</v>
      </c>
      <c r="B326">
        <v>1901317</v>
      </c>
    </row>
    <row r="327" spans="1:2" x14ac:dyDescent="0.2">
      <c r="A327" s="53">
        <v>39883</v>
      </c>
      <c r="B327">
        <v>1899514</v>
      </c>
    </row>
    <row r="328" spans="1:2" x14ac:dyDescent="0.2">
      <c r="A328" s="53">
        <v>39890</v>
      </c>
      <c r="B328">
        <v>2066942</v>
      </c>
    </row>
    <row r="329" spans="1:2" x14ac:dyDescent="0.2">
      <c r="A329" s="53">
        <v>39897</v>
      </c>
      <c r="B329">
        <v>2071556</v>
      </c>
    </row>
    <row r="330" spans="1:2" x14ac:dyDescent="0.2">
      <c r="A330" s="53">
        <v>39904</v>
      </c>
      <c r="B330">
        <v>2078936</v>
      </c>
    </row>
    <row r="331" spans="1:2" x14ac:dyDescent="0.2">
      <c r="A331" s="53">
        <v>39911</v>
      </c>
      <c r="B331">
        <v>2088573</v>
      </c>
    </row>
    <row r="332" spans="1:2" x14ac:dyDescent="0.2">
      <c r="A332" s="53">
        <v>39918</v>
      </c>
      <c r="B332">
        <v>2186498</v>
      </c>
    </row>
    <row r="333" spans="1:2" x14ac:dyDescent="0.2">
      <c r="A333" s="53">
        <v>39925</v>
      </c>
      <c r="B333">
        <v>2196812</v>
      </c>
    </row>
    <row r="334" spans="1:2" x14ac:dyDescent="0.2">
      <c r="A334" s="53">
        <v>39932</v>
      </c>
      <c r="B334">
        <v>2066712</v>
      </c>
    </row>
    <row r="335" spans="1:2" x14ac:dyDescent="0.2">
      <c r="A335" s="53">
        <v>39939</v>
      </c>
      <c r="B335">
        <v>2079758</v>
      </c>
    </row>
    <row r="336" spans="1:2" x14ac:dyDescent="0.2">
      <c r="A336" s="53">
        <v>39946</v>
      </c>
      <c r="B336">
        <v>2196351</v>
      </c>
    </row>
    <row r="337" spans="1:2" x14ac:dyDescent="0.2">
      <c r="A337" s="53">
        <v>39953</v>
      </c>
      <c r="B337">
        <v>2181632</v>
      </c>
    </row>
    <row r="338" spans="1:2" x14ac:dyDescent="0.2">
      <c r="A338" s="53">
        <v>39960</v>
      </c>
      <c r="B338">
        <v>2080115</v>
      </c>
    </row>
    <row r="339" spans="1:2" x14ac:dyDescent="0.2">
      <c r="A339" s="53">
        <v>39967</v>
      </c>
      <c r="B339">
        <v>2077695</v>
      </c>
    </row>
    <row r="340" spans="1:2" x14ac:dyDescent="0.2">
      <c r="A340" s="53">
        <v>39974</v>
      </c>
      <c r="B340">
        <v>2052297</v>
      </c>
    </row>
    <row r="341" spans="1:2" x14ac:dyDescent="0.2">
      <c r="A341" s="53">
        <v>39981</v>
      </c>
      <c r="B341">
        <v>2072527</v>
      </c>
    </row>
    <row r="342" spans="1:2" x14ac:dyDescent="0.2">
      <c r="A342" s="53">
        <v>39988</v>
      </c>
      <c r="B342">
        <v>2025571</v>
      </c>
    </row>
    <row r="343" spans="1:2" x14ac:dyDescent="0.2">
      <c r="A343" s="53">
        <v>39995</v>
      </c>
      <c r="B343">
        <v>2005627</v>
      </c>
    </row>
    <row r="344" spans="1:2" x14ac:dyDescent="0.2">
      <c r="A344" s="53">
        <v>40002</v>
      </c>
      <c r="B344">
        <v>1992740</v>
      </c>
    </row>
    <row r="345" spans="1:2" x14ac:dyDescent="0.2">
      <c r="A345" s="53">
        <v>40009</v>
      </c>
      <c r="B345">
        <v>2072451</v>
      </c>
    </row>
    <row r="346" spans="1:2" x14ac:dyDescent="0.2">
      <c r="A346" s="53">
        <v>40016</v>
      </c>
      <c r="B346">
        <v>2039001</v>
      </c>
    </row>
    <row r="347" spans="1:2" x14ac:dyDescent="0.2">
      <c r="A347" s="53">
        <v>40023</v>
      </c>
      <c r="B347">
        <v>2000547</v>
      </c>
    </row>
    <row r="348" spans="1:2" x14ac:dyDescent="0.2">
      <c r="A348" s="53">
        <v>40030</v>
      </c>
      <c r="B348">
        <v>1989203</v>
      </c>
    </row>
    <row r="349" spans="1:2" x14ac:dyDescent="0.2">
      <c r="A349" s="53">
        <v>40037</v>
      </c>
      <c r="B349">
        <v>2014899</v>
      </c>
    </row>
    <row r="350" spans="1:2" x14ac:dyDescent="0.2">
      <c r="A350" s="53">
        <v>40044</v>
      </c>
      <c r="B350">
        <v>2060641</v>
      </c>
    </row>
    <row r="351" spans="1:2" x14ac:dyDescent="0.2">
      <c r="A351" s="53">
        <v>40051</v>
      </c>
      <c r="B351">
        <v>2074902</v>
      </c>
    </row>
    <row r="352" spans="1:2" x14ac:dyDescent="0.2">
      <c r="A352" s="53">
        <v>40058</v>
      </c>
      <c r="B352">
        <v>2083720</v>
      </c>
    </row>
    <row r="353" spans="1:2" x14ac:dyDescent="0.2">
      <c r="A353" s="53">
        <v>40065</v>
      </c>
      <c r="B353">
        <v>2087946</v>
      </c>
    </row>
    <row r="354" spans="1:2" x14ac:dyDescent="0.2">
      <c r="A354" s="53">
        <v>40072</v>
      </c>
      <c r="B354">
        <v>2139783</v>
      </c>
    </row>
    <row r="355" spans="1:2" x14ac:dyDescent="0.2">
      <c r="A355" s="53">
        <v>40079</v>
      </c>
      <c r="B355">
        <v>2158631</v>
      </c>
    </row>
    <row r="356" spans="1:2" x14ac:dyDescent="0.2">
      <c r="A356" s="53">
        <v>40086</v>
      </c>
      <c r="B356">
        <v>2141020</v>
      </c>
    </row>
    <row r="357" spans="1:2" x14ac:dyDescent="0.2">
      <c r="A357" s="53">
        <v>40093</v>
      </c>
      <c r="B357">
        <v>2138086</v>
      </c>
    </row>
    <row r="358" spans="1:2" x14ac:dyDescent="0.2">
      <c r="A358" s="53">
        <v>40100</v>
      </c>
      <c r="B358">
        <v>2192787</v>
      </c>
    </row>
    <row r="359" spans="1:2" x14ac:dyDescent="0.2">
      <c r="A359" s="53">
        <v>40107</v>
      </c>
      <c r="B359">
        <v>2201119</v>
      </c>
    </row>
    <row r="360" spans="1:2" x14ac:dyDescent="0.2">
      <c r="A360" s="53">
        <v>40114</v>
      </c>
      <c r="B360">
        <v>2161537</v>
      </c>
    </row>
    <row r="361" spans="1:2" x14ac:dyDescent="0.2">
      <c r="A361" s="53">
        <v>40121</v>
      </c>
      <c r="B361">
        <v>2165067</v>
      </c>
    </row>
    <row r="362" spans="1:2" x14ac:dyDescent="0.2">
      <c r="A362" s="53">
        <v>40128</v>
      </c>
      <c r="B362">
        <v>2135035</v>
      </c>
    </row>
    <row r="363" spans="1:2" x14ac:dyDescent="0.2">
      <c r="A363" s="53">
        <v>40135</v>
      </c>
      <c r="B363">
        <v>2208721</v>
      </c>
    </row>
    <row r="364" spans="1:2" x14ac:dyDescent="0.2">
      <c r="A364" s="53">
        <v>40142</v>
      </c>
      <c r="B364">
        <v>2206359</v>
      </c>
    </row>
    <row r="365" spans="1:2" x14ac:dyDescent="0.2">
      <c r="A365" s="53">
        <v>40149</v>
      </c>
      <c r="B365">
        <v>2204074</v>
      </c>
    </row>
    <row r="366" spans="1:2" x14ac:dyDescent="0.2">
      <c r="A366" s="53">
        <v>40156</v>
      </c>
      <c r="B366">
        <v>2186383</v>
      </c>
    </row>
    <row r="367" spans="1:2" x14ac:dyDescent="0.2">
      <c r="A367" s="53">
        <v>40163</v>
      </c>
      <c r="B367">
        <v>2235763</v>
      </c>
    </row>
    <row r="368" spans="1:2" x14ac:dyDescent="0.2">
      <c r="A368" s="53">
        <v>40170</v>
      </c>
      <c r="B368">
        <v>2235803</v>
      </c>
    </row>
    <row r="369" spans="1:2" x14ac:dyDescent="0.2">
      <c r="A369" s="53">
        <v>40177</v>
      </c>
      <c r="B369">
        <v>2234067</v>
      </c>
    </row>
    <row r="370" spans="1:2" x14ac:dyDescent="0.2">
      <c r="A370" s="53">
        <v>40184</v>
      </c>
      <c r="B370">
        <v>2235304</v>
      </c>
    </row>
    <row r="371" spans="1:2" x14ac:dyDescent="0.2">
      <c r="A371" s="53">
        <v>40191</v>
      </c>
      <c r="B371">
        <v>2291700</v>
      </c>
    </row>
    <row r="372" spans="1:2" x14ac:dyDescent="0.2">
      <c r="A372" s="53">
        <v>40198</v>
      </c>
      <c r="B372">
        <v>2251806</v>
      </c>
    </row>
    <row r="373" spans="1:2" x14ac:dyDescent="0.2">
      <c r="A373" s="53">
        <v>40205</v>
      </c>
      <c r="B373">
        <v>2246886</v>
      </c>
    </row>
    <row r="374" spans="1:2" x14ac:dyDescent="0.2">
      <c r="A374" s="53">
        <v>40212</v>
      </c>
      <c r="B374">
        <v>2249319</v>
      </c>
    </row>
    <row r="375" spans="1:2" x14ac:dyDescent="0.2">
      <c r="A375" s="53">
        <v>40219</v>
      </c>
      <c r="B375">
        <v>2256679</v>
      </c>
    </row>
    <row r="376" spans="1:2" x14ac:dyDescent="0.2">
      <c r="A376" s="53">
        <v>40226</v>
      </c>
      <c r="B376">
        <v>2277574</v>
      </c>
    </row>
    <row r="377" spans="1:2" x14ac:dyDescent="0.2">
      <c r="A377" s="53">
        <v>40233</v>
      </c>
      <c r="B377">
        <v>2286127</v>
      </c>
    </row>
    <row r="378" spans="1:2" x14ac:dyDescent="0.2">
      <c r="A378" s="53">
        <v>40240</v>
      </c>
      <c r="B378">
        <v>2280147</v>
      </c>
    </row>
    <row r="379" spans="1:2" x14ac:dyDescent="0.2">
      <c r="A379" s="53">
        <v>40247</v>
      </c>
      <c r="B379">
        <v>2282474</v>
      </c>
    </row>
    <row r="380" spans="1:2" x14ac:dyDescent="0.2">
      <c r="A380" s="53">
        <v>40254</v>
      </c>
      <c r="B380">
        <v>2307997</v>
      </c>
    </row>
    <row r="381" spans="1:2" x14ac:dyDescent="0.2">
      <c r="A381" s="53">
        <v>40261</v>
      </c>
      <c r="B381">
        <v>2313149</v>
      </c>
    </row>
    <row r="382" spans="1:2" x14ac:dyDescent="0.2">
      <c r="A382" s="53">
        <v>40268</v>
      </c>
      <c r="B382">
        <v>2307150</v>
      </c>
    </row>
    <row r="383" spans="1:2" x14ac:dyDescent="0.2">
      <c r="A383" s="53">
        <v>40275</v>
      </c>
      <c r="B383">
        <v>2307575</v>
      </c>
    </row>
    <row r="384" spans="1:2" x14ac:dyDescent="0.2">
      <c r="A384" s="53">
        <v>40282</v>
      </c>
      <c r="B384">
        <v>2339345</v>
      </c>
    </row>
    <row r="385" spans="1:2" x14ac:dyDescent="0.2">
      <c r="A385" s="53">
        <v>40289</v>
      </c>
      <c r="B385">
        <v>2337556</v>
      </c>
    </row>
    <row r="386" spans="1:2" x14ac:dyDescent="0.2">
      <c r="A386" s="53">
        <v>40296</v>
      </c>
      <c r="B386">
        <v>2330472</v>
      </c>
    </row>
    <row r="387" spans="1:2" x14ac:dyDescent="0.2">
      <c r="A387" s="53">
        <v>40303</v>
      </c>
      <c r="B387">
        <v>2326164</v>
      </c>
    </row>
    <row r="388" spans="1:2" x14ac:dyDescent="0.2">
      <c r="A388" s="53">
        <v>40310</v>
      </c>
      <c r="B388">
        <v>2336103</v>
      </c>
    </row>
    <row r="389" spans="1:2" x14ac:dyDescent="0.2">
      <c r="A389" s="53">
        <v>40317</v>
      </c>
      <c r="B389">
        <v>2350890</v>
      </c>
    </row>
    <row r="390" spans="1:2" x14ac:dyDescent="0.2">
      <c r="A390" s="53">
        <v>40324</v>
      </c>
      <c r="B390">
        <v>2334041</v>
      </c>
    </row>
    <row r="391" spans="1:2" x14ac:dyDescent="0.2">
      <c r="A391" s="53">
        <v>40331</v>
      </c>
      <c r="B391">
        <v>2336216</v>
      </c>
    </row>
    <row r="392" spans="1:2" x14ac:dyDescent="0.2">
      <c r="A392" s="53">
        <v>40338</v>
      </c>
      <c r="B392">
        <v>2331529</v>
      </c>
    </row>
    <row r="393" spans="1:2" x14ac:dyDescent="0.2">
      <c r="A393" s="53">
        <v>40345</v>
      </c>
      <c r="B393">
        <v>2344316</v>
      </c>
    </row>
    <row r="394" spans="1:2" x14ac:dyDescent="0.2">
      <c r="A394" s="53">
        <v>40352</v>
      </c>
      <c r="B394">
        <v>2344497</v>
      </c>
    </row>
    <row r="395" spans="1:2" x14ac:dyDescent="0.2">
      <c r="A395" s="53">
        <v>40359</v>
      </c>
      <c r="B395">
        <v>2330851</v>
      </c>
    </row>
    <row r="396" spans="1:2" x14ac:dyDescent="0.2">
      <c r="A396" s="53">
        <v>40366</v>
      </c>
      <c r="B396">
        <v>2332017</v>
      </c>
    </row>
    <row r="397" spans="1:2" x14ac:dyDescent="0.2">
      <c r="A397" s="53">
        <v>40373</v>
      </c>
      <c r="B397">
        <v>2340717</v>
      </c>
    </row>
    <row r="398" spans="1:2" x14ac:dyDescent="0.2">
      <c r="A398" s="53">
        <v>40380</v>
      </c>
      <c r="B398">
        <v>2332322</v>
      </c>
    </row>
    <row r="399" spans="1:2" x14ac:dyDescent="0.2">
      <c r="A399" s="53">
        <v>40387</v>
      </c>
      <c r="B399">
        <v>2325298</v>
      </c>
    </row>
    <row r="400" spans="1:2" x14ac:dyDescent="0.2">
      <c r="A400" s="53">
        <v>40394</v>
      </c>
      <c r="B400">
        <v>2326479</v>
      </c>
    </row>
    <row r="401" spans="1:2" x14ac:dyDescent="0.2">
      <c r="A401" s="53">
        <v>40401</v>
      </c>
      <c r="B401">
        <v>2327533</v>
      </c>
    </row>
    <row r="402" spans="1:2" x14ac:dyDescent="0.2">
      <c r="A402" s="53">
        <v>40408</v>
      </c>
      <c r="B402">
        <v>2313662</v>
      </c>
    </row>
    <row r="403" spans="1:2" x14ac:dyDescent="0.2">
      <c r="A403" s="53">
        <v>40415</v>
      </c>
      <c r="B403">
        <v>2301015</v>
      </c>
    </row>
    <row r="404" spans="1:2" x14ac:dyDescent="0.2">
      <c r="A404" s="53">
        <v>40422</v>
      </c>
      <c r="B404">
        <v>2301996</v>
      </c>
    </row>
    <row r="405" spans="1:2" x14ac:dyDescent="0.2">
      <c r="A405" s="53">
        <v>40429</v>
      </c>
      <c r="B405">
        <v>2305802</v>
      </c>
    </row>
    <row r="406" spans="1:2" x14ac:dyDescent="0.2">
      <c r="A406" s="53">
        <v>40436</v>
      </c>
      <c r="B406">
        <v>2296079</v>
      </c>
    </row>
    <row r="407" spans="1:2" x14ac:dyDescent="0.2">
      <c r="A407" s="53">
        <v>40443</v>
      </c>
      <c r="B407">
        <v>2307171</v>
      </c>
    </row>
    <row r="408" spans="1:2" x14ac:dyDescent="0.2">
      <c r="A408" s="53">
        <v>40450</v>
      </c>
      <c r="B408">
        <v>2298691</v>
      </c>
    </row>
    <row r="409" spans="1:2" x14ac:dyDescent="0.2">
      <c r="A409" s="53">
        <v>40457</v>
      </c>
      <c r="B409">
        <v>2308092</v>
      </c>
    </row>
    <row r="410" spans="1:2" x14ac:dyDescent="0.2">
      <c r="A410" s="53">
        <v>40464</v>
      </c>
      <c r="B410">
        <v>2309885</v>
      </c>
    </row>
    <row r="411" spans="1:2" x14ac:dyDescent="0.2">
      <c r="A411" s="53">
        <v>40471</v>
      </c>
      <c r="B411">
        <v>2305227</v>
      </c>
    </row>
    <row r="412" spans="1:2" x14ac:dyDescent="0.2">
      <c r="A412" s="53">
        <v>40478</v>
      </c>
      <c r="B412">
        <v>2295392</v>
      </c>
    </row>
    <row r="413" spans="1:2" x14ac:dyDescent="0.2">
      <c r="A413" s="53">
        <v>40485</v>
      </c>
      <c r="B413">
        <v>2300353</v>
      </c>
    </row>
    <row r="414" spans="1:2" x14ac:dyDescent="0.2">
      <c r="A414" s="53">
        <v>40492</v>
      </c>
      <c r="B414">
        <v>2312768</v>
      </c>
    </row>
    <row r="415" spans="1:2" x14ac:dyDescent="0.2">
      <c r="A415" s="53">
        <v>40499</v>
      </c>
      <c r="B415">
        <v>2314757</v>
      </c>
    </row>
    <row r="416" spans="1:2" x14ac:dyDescent="0.2">
      <c r="A416" s="53">
        <v>40506</v>
      </c>
      <c r="B416">
        <v>2346001</v>
      </c>
    </row>
    <row r="417" spans="1:2" x14ac:dyDescent="0.2">
      <c r="A417" s="53">
        <v>40513</v>
      </c>
      <c r="B417">
        <v>2346920</v>
      </c>
    </row>
    <row r="418" spans="1:2" x14ac:dyDescent="0.2">
      <c r="A418" s="53">
        <v>40520</v>
      </c>
      <c r="B418">
        <v>2382294</v>
      </c>
    </row>
    <row r="419" spans="1:2" x14ac:dyDescent="0.2">
      <c r="A419" s="53">
        <v>40527</v>
      </c>
      <c r="B419">
        <v>2385754</v>
      </c>
    </row>
    <row r="420" spans="1:2" x14ac:dyDescent="0.2">
      <c r="A420" s="53">
        <v>40534</v>
      </c>
      <c r="B420">
        <v>2427921</v>
      </c>
    </row>
    <row r="421" spans="1:2" x14ac:dyDescent="0.2">
      <c r="A421" s="53">
        <v>40541</v>
      </c>
      <c r="B421">
        <v>2420570</v>
      </c>
    </row>
    <row r="422" spans="1:2" x14ac:dyDescent="0.2">
      <c r="A422" s="53">
        <v>40548</v>
      </c>
      <c r="B422">
        <v>2436064</v>
      </c>
    </row>
    <row r="423" spans="1:2" x14ac:dyDescent="0.2">
      <c r="A423" s="53">
        <v>40555</v>
      </c>
      <c r="B423">
        <v>2468131</v>
      </c>
    </row>
    <row r="424" spans="1:2" x14ac:dyDescent="0.2">
      <c r="A424" s="53">
        <v>40562</v>
      </c>
      <c r="B424">
        <v>2425164</v>
      </c>
    </row>
    <row r="425" spans="1:2" x14ac:dyDescent="0.2">
      <c r="A425" s="53">
        <v>40569</v>
      </c>
      <c r="B425">
        <v>2443527</v>
      </c>
    </row>
    <row r="426" spans="1:2" x14ac:dyDescent="0.2">
      <c r="A426" s="53">
        <v>40576</v>
      </c>
      <c r="B426">
        <v>2469419</v>
      </c>
    </row>
    <row r="427" spans="1:2" x14ac:dyDescent="0.2">
      <c r="A427" s="53">
        <v>40583</v>
      </c>
      <c r="B427">
        <v>2500481</v>
      </c>
    </row>
    <row r="428" spans="1:2" x14ac:dyDescent="0.2">
      <c r="A428" s="53">
        <v>40590</v>
      </c>
      <c r="B428">
        <v>2508868</v>
      </c>
    </row>
    <row r="429" spans="1:2" x14ac:dyDescent="0.2">
      <c r="A429" s="53">
        <v>40597</v>
      </c>
      <c r="B429">
        <v>2533221</v>
      </c>
    </row>
    <row r="430" spans="1:2" x14ac:dyDescent="0.2">
      <c r="A430" s="53">
        <v>40604</v>
      </c>
      <c r="B430">
        <v>2545119</v>
      </c>
    </row>
    <row r="431" spans="1:2" x14ac:dyDescent="0.2">
      <c r="A431" s="53">
        <v>40611</v>
      </c>
      <c r="B431">
        <v>2577076</v>
      </c>
    </row>
    <row r="432" spans="1:2" x14ac:dyDescent="0.2">
      <c r="A432" s="53">
        <v>40618</v>
      </c>
      <c r="B432">
        <v>2583046</v>
      </c>
    </row>
    <row r="433" spans="1:2" x14ac:dyDescent="0.2">
      <c r="A433" s="53">
        <v>40625</v>
      </c>
      <c r="B433">
        <v>2601341</v>
      </c>
    </row>
    <row r="434" spans="1:2" x14ac:dyDescent="0.2">
      <c r="A434" s="53">
        <v>40632</v>
      </c>
      <c r="B434">
        <v>2622523</v>
      </c>
    </row>
    <row r="435" spans="1:2" x14ac:dyDescent="0.2">
      <c r="A435" s="53">
        <v>40639</v>
      </c>
      <c r="B435">
        <v>2648676</v>
      </c>
    </row>
    <row r="436" spans="1:2" x14ac:dyDescent="0.2">
      <c r="A436" s="53">
        <v>40646</v>
      </c>
      <c r="B436">
        <v>2665408</v>
      </c>
    </row>
    <row r="437" spans="1:2" x14ac:dyDescent="0.2">
      <c r="A437" s="53">
        <v>40653</v>
      </c>
      <c r="B437">
        <v>2685782</v>
      </c>
    </row>
    <row r="438" spans="1:2" x14ac:dyDescent="0.2">
      <c r="A438" s="53">
        <v>40660</v>
      </c>
      <c r="B438">
        <v>2690985</v>
      </c>
    </row>
    <row r="439" spans="1:2" x14ac:dyDescent="0.2">
      <c r="A439" s="53">
        <v>40667</v>
      </c>
      <c r="B439">
        <v>2718757</v>
      </c>
    </row>
    <row r="440" spans="1:2" x14ac:dyDescent="0.2">
      <c r="A440" s="53">
        <v>40674</v>
      </c>
      <c r="B440">
        <v>2744498</v>
      </c>
    </row>
    <row r="441" spans="1:2" x14ac:dyDescent="0.2">
      <c r="A441" s="53">
        <v>40681</v>
      </c>
      <c r="B441">
        <v>2758009</v>
      </c>
    </row>
    <row r="442" spans="1:2" x14ac:dyDescent="0.2">
      <c r="A442" s="53">
        <v>40688</v>
      </c>
      <c r="B442">
        <v>2774996</v>
      </c>
    </row>
    <row r="443" spans="1:2" x14ac:dyDescent="0.2">
      <c r="A443" s="53">
        <v>40695</v>
      </c>
      <c r="B443">
        <v>2788723</v>
      </c>
    </row>
    <row r="444" spans="1:2" x14ac:dyDescent="0.2">
      <c r="A444" s="53">
        <v>40702</v>
      </c>
      <c r="B444">
        <v>2811206</v>
      </c>
    </row>
    <row r="445" spans="1:2" x14ac:dyDescent="0.2">
      <c r="A445" s="53">
        <v>40709</v>
      </c>
      <c r="B445">
        <v>2827549</v>
      </c>
    </row>
    <row r="446" spans="1:2" x14ac:dyDescent="0.2">
      <c r="A446" s="53">
        <v>40716</v>
      </c>
      <c r="B446">
        <v>2856403</v>
      </c>
    </row>
    <row r="447" spans="1:2" x14ac:dyDescent="0.2">
      <c r="A447" s="53">
        <v>40723</v>
      </c>
      <c r="B447">
        <v>2865251</v>
      </c>
    </row>
    <row r="448" spans="1:2" x14ac:dyDescent="0.2">
      <c r="A448" s="53">
        <v>40730</v>
      </c>
      <c r="B448">
        <v>2870103</v>
      </c>
    </row>
    <row r="449" spans="1:2" x14ac:dyDescent="0.2">
      <c r="A449" s="53">
        <v>40737</v>
      </c>
      <c r="B449">
        <v>2878074</v>
      </c>
    </row>
    <row r="450" spans="1:2" x14ac:dyDescent="0.2">
      <c r="A450" s="53">
        <v>40744</v>
      </c>
      <c r="B450">
        <v>2871301</v>
      </c>
    </row>
    <row r="451" spans="1:2" x14ac:dyDescent="0.2">
      <c r="A451" s="53">
        <v>40751</v>
      </c>
      <c r="B451">
        <v>2863576</v>
      </c>
    </row>
    <row r="452" spans="1:2" x14ac:dyDescent="0.2">
      <c r="A452" s="53">
        <v>40758</v>
      </c>
      <c r="B452">
        <v>2867215</v>
      </c>
    </row>
    <row r="453" spans="1:2" x14ac:dyDescent="0.2">
      <c r="A453" s="53">
        <v>40765</v>
      </c>
      <c r="B453">
        <v>2872423</v>
      </c>
    </row>
    <row r="454" spans="1:2" x14ac:dyDescent="0.2">
      <c r="A454" s="53">
        <v>40772</v>
      </c>
      <c r="B454">
        <v>2857906</v>
      </c>
    </row>
    <row r="455" spans="1:2" x14ac:dyDescent="0.2">
      <c r="A455" s="53">
        <v>40779</v>
      </c>
      <c r="B455">
        <v>2859433</v>
      </c>
    </row>
    <row r="456" spans="1:2" x14ac:dyDescent="0.2">
      <c r="A456" s="53">
        <v>40786</v>
      </c>
      <c r="B456">
        <v>2853888</v>
      </c>
    </row>
    <row r="457" spans="1:2" x14ac:dyDescent="0.2">
      <c r="A457" s="53">
        <v>40793</v>
      </c>
      <c r="B457">
        <v>2858660</v>
      </c>
    </row>
    <row r="458" spans="1:2" x14ac:dyDescent="0.2">
      <c r="A458" s="53">
        <v>40800</v>
      </c>
      <c r="B458">
        <v>2863540</v>
      </c>
    </row>
    <row r="459" spans="1:2" x14ac:dyDescent="0.2">
      <c r="A459" s="53">
        <v>40807</v>
      </c>
      <c r="B459">
        <v>2857747</v>
      </c>
    </row>
    <row r="460" spans="1:2" x14ac:dyDescent="0.2">
      <c r="A460" s="53">
        <v>40814</v>
      </c>
      <c r="B460">
        <v>2850921</v>
      </c>
    </row>
    <row r="461" spans="1:2" x14ac:dyDescent="0.2">
      <c r="A461" s="53">
        <v>40821</v>
      </c>
      <c r="B461">
        <v>2859701</v>
      </c>
    </row>
    <row r="462" spans="1:2" x14ac:dyDescent="0.2">
      <c r="A462" s="53">
        <v>40828</v>
      </c>
      <c r="B462">
        <v>2860822</v>
      </c>
    </row>
    <row r="463" spans="1:2" x14ac:dyDescent="0.2">
      <c r="A463" s="53">
        <v>40835</v>
      </c>
      <c r="B463">
        <v>2852390</v>
      </c>
    </row>
    <row r="464" spans="1:2" x14ac:dyDescent="0.2">
      <c r="A464" s="53">
        <v>40842</v>
      </c>
      <c r="B464">
        <v>2845685</v>
      </c>
    </row>
    <row r="465" spans="1:2" x14ac:dyDescent="0.2">
      <c r="A465" s="53">
        <v>40849</v>
      </c>
      <c r="B465">
        <v>2822034</v>
      </c>
    </row>
    <row r="466" spans="1:2" x14ac:dyDescent="0.2">
      <c r="A466" s="53">
        <v>40856</v>
      </c>
      <c r="B466">
        <v>2839786</v>
      </c>
    </row>
    <row r="467" spans="1:2" x14ac:dyDescent="0.2">
      <c r="A467" s="53">
        <v>40863</v>
      </c>
      <c r="B467">
        <v>2831576</v>
      </c>
    </row>
    <row r="468" spans="1:2" x14ac:dyDescent="0.2">
      <c r="A468" s="53">
        <v>40870</v>
      </c>
      <c r="B468">
        <v>2821980</v>
      </c>
    </row>
    <row r="469" spans="1:2" x14ac:dyDescent="0.2">
      <c r="A469" s="53">
        <v>40877</v>
      </c>
      <c r="B469">
        <v>2814235</v>
      </c>
    </row>
    <row r="470" spans="1:2" x14ac:dyDescent="0.2">
      <c r="A470" s="53">
        <v>40884</v>
      </c>
      <c r="B470">
        <v>2820691</v>
      </c>
    </row>
    <row r="471" spans="1:2" x14ac:dyDescent="0.2">
      <c r="A471" s="53">
        <v>40891</v>
      </c>
      <c r="B471">
        <v>2902488</v>
      </c>
    </row>
    <row r="472" spans="1:2" x14ac:dyDescent="0.2">
      <c r="A472" s="53">
        <v>40898</v>
      </c>
      <c r="B472">
        <v>2916085</v>
      </c>
    </row>
    <row r="473" spans="1:2" x14ac:dyDescent="0.2">
      <c r="A473" s="53">
        <v>40905</v>
      </c>
      <c r="B473">
        <v>2926095</v>
      </c>
    </row>
    <row r="474" spans="1:2" x14ac:dyDescent="0.2">
      <c r="A474" s="53">
        <v>40912</v>
      </c>
      <c r="B474">
        <v>2917689</v>
      </c>
    </row>
    <row r="475" spans="1:2" x14ac:dyDescent="0.2">
      <c r="A475" s="53">
        <v>40919</v>
      </c>
      <c r="B475">
        <v>2899149</v>
      </c>
    </row>
    <row r="476" spans="1:2" x14ac:dyDescent="0.2">
      <c r="A476" s="53">
        <v>40926</v>
      </c>
      <c r="B476">
        <v>2919423</v>
      </c>
    </row>
    <row r="477" spans="1:2" x14ac:dyDescent="0.2">
      <c r="A477" s="53">
        <v>40933</v>
      </c>
      <c r="B477">
        <v>2919545</v>
      </c>
    </row>
    <row r="478" spans="1:2" x14ac:dyDescent="0.2">
      <c r="A478" s="53">
        <v>40940</v>
      </c>
      <c r="B478">
        <v>2924947</v>
      </c>
    </row>
    <row r="479" spans="1:2" x14ac:dyDescent="0.2">
      <c r="A479" s="53">
        <v>40947</v>
      </c>
      <c r="B479">
        <v>2928275</v>
      </c>
    </row>
    <row r="480" spans="1:2" x14ac:dyDescent="0.2">
      <c r="A480" s="53">
        <v>40954</v>
      </c>
      <c r="B480">
        <v>2937893</v>
      </c>
    </row>
    <row r="481" spans="1:2" x14ac:dyDescent="0.2">
      <c r="A481" s="53">
        <v>40961</v>
      </c>
      <c r="B481">
        <v>2932813</v>
      </c>
    </row>
    <row r="482" spans="1:2" x14ac:dyDescent="0.2">
      <c r="A482" s="53">
        <v>40968</v>
      </c>
      <c r="B482">
        <v>2925722</v>
      </c>
    </row>
    <row r="483" spans="1:2" x14ac:dyDescent="0.2">
      <c r="A483" s="53">
        <v>40975</v>
      </c>
      <c r="B483">
        <v>2884747</v>
      </c>
    </row>
    <row r="484" spans="1:2" x14ac:dyDescent="0.2">
      <c r="A484" s="53">
        <v>40982</v>
      </c>
      <c r="B484">
        <v>2893560</v>
      </c>
    </row>
    <row r="485" spans="1:2" x14ac:dyDescent="0.2">
      <c r="A485" s="53">
        <v>40989</v>
      </c>
      <c r="B485">
        <v>2892646</v>
      </c>
    </row>
    <row r="486" spans="1:2" x14ac:dyDescent="0.2">
      <c r="A486" s="53">
        <v>40996</v>
      </c>
      <c r="B486">
        <v>2878137</v>
      </c>
    </row>
    <row r="487" spans="1:2" x14ac:dyDescent="0.2">
      <c r="A487" s="53">
        <v>41003</v>
      </c>
      <c r="B487">
        <v>2865478</v>
      </c>
    </row>
    <row r="488" spans="1:2" x14ac:dyDescent="0.2">
      <c r="A488" s="53">
        <v>41010</v>
      </c>
      <c r="B488">
        <v>2867200</v>
      </c>
    </row>
    <row r="489" spans="1:2" x14ac:dyDescent="0.2">
      <c r="A489" s="53">
        <v>41017</v>
      </c>
      <c r="B489">
        <v>2875470</v>
      </c>
    </row>
    <row r="490" spans="1:2" x14ac:dyDescent="0.2">
      <c r="A490" s="53">
        <v>41024</v>
      </c>
      <c r="B490">
        <v>2866561</v>
      </c>
    </row>
    <row r="491" spans="1:2" x14ac:dyDescent="0.2">
      <c r="A491" s="53">
        <v>41031</v>
      </c>
      <c r="B491">
        <v>2864280</v>
      </c>
    </row>
    <row r="492" spans="1:2" x14ac:dyDescent="0.2">
      <c r="A492" s="53">
        <v>41038</v>
      </c>
      <c r="B492">
        <v>2864150</v>
      </c>
    </row>
    <row r="493" spans="1:2" x14ac:dyDescent="0.2">
      <c r="A493" s="53">
        <v>41045</v>
      </c>
      <c r="B493">
        <v>2850984</v>
      </c>
    </row>
    <row r="494" spans="1:2" x14ac:dyDescent="0.2">
      <c r="A494" s="53">
        <v>41052</v>
      </c>
      <c r="B494">
        <v>2859495</v>
      </c>
    </row>
    <row r="495" spans="1:2" x14ac:dyDescent="0.2">
      <c r="A495" s="53">
        <v>41059</v>
      </c>
      <c r="B495">
        <v>2842654</v>
      </c>
    </row>
    <row r="496" spans="1:2" x14ac:dyDescent="0.2">
      <c r="A496" s="53">
        <v>41066</v>
      </c>
      <c r="B496">
        <v>2852018</v>
      </c>
    </row>
    <row r="497" spans="1:2" x14ac:dyDescent="0.2">
      <c r="A497" s="53">
        <v>41073</v>
      </c>
      <c r="B497">
        <v>2869071</v>
      </c>
    </row>
    <row r="498" spans="1:2" x14ac:dyDescent="0.2">
      <c r="A498" s="53">
        <v>41080</v>
      </c>
      <c r="B498">
        <v>2870846</v>
      </c>
    </row>
    <row r="499" spans="1:2" x14ac:dyDescent="0.2">
      <c r="A499" s="53">
        <v>41087</v>
      </c>
      <c r="B499">
        <v>2863547</v>
      </c>
    </row>
    <row r="500" spans="1:2" x14ac:dyDescent="0.2">
      <c r="A500" s="53">
        <v>41094</v>
      </c>
      <c r="B500">
        <v>2865858</v>
      </c>
    </row>
    <row r="501" spans="1:2" x14ac:dyDescent="0.2">
      <c r="A501" s="53">
        <v>41101</v>
      </c>
      <c r="B501">
        <v>2866279</v>
      </c>
    </row>
    <row r="502" spans="1:2" x14ac:dyDescent="0.2">
      <c r="A502" s="53">
        <v>41108</v>
      </c>
      <c r="B502">
        <v>2855807</v>
      </c>
    </row>
    <row r="503" spans="1:2" x14ac:dyDescent="0.2">
      <c r="A503" s="53">
        <v>41115</v>
      </c>
      <c r="B503">
        <v>2846757</v>
      </c>
    </row>
    <row r="504" spans="1:2" x14ac:dyDescent="0.2">
      <c r="A504" s="53">
        <v>41122</v>
      </c>
      <c r="B504">
        <v>2851118</v>
      </c>
    </row>
    <row r="505" spans="1:2" x14ac:dyDescent="0.2">
      <c r="A505" s="53">
        <v>41129</v>
      </c>
      <c r="B505">
        <v>2856181</v>
      </c>
    </row>
    <row r="506" spans="1:2" x14ac:dyDescent="0.2">
      <c r="A506" s="53">
        <v>41136</v>
      </c>
      <c r="B506">
        <v>2833317</v>
      </c>
    </row>
    <row r="507" spans="1:2" x14ac:dyDescent="0.2">
      <c r="A507" s="53">
        <v>41143</v>
      </c>
      <c r="B507">
        <v>2825661</v>
      </c>
    </row>
    <row r="508" spans="1:2" x14ac:dyDescent="0.2">
      <c r="A508" s="53">
        <v>41150</v>
      </c>
      <c r="B508">
        <v>2812806</v>
      </c>
    </row>
    <row r="509" spans="1:2" x14ac:dyDescent="0.2">
      <c r="A509" s="53">
        <v>41157</v>
      </c>
      <c r="B509">
        <v>2822169</v>
      </c>
    </row>
    <row r="510" spans="1:2" x14ac:dyDescent="0.2">
      <c r="A510" s="53">
        <v>41164</v>
      </c>
      <c r="B510">
        <v>2823448</v>
      </c>
    </row>
    <row r="511" spans="1:2" x14ac:dyDescent="0.2">
      <c r="A511" s="53">
        <v>41171</v>
      </c>
      <c r="B511">
        <v>2821574</v>
      </c>
    </row>
    <row r="512" spans="1:2" x14ac:dyDescent="0.2">
      <c r="A512" s="53">
        <v>41178</v>
      </c>
      <c r="B512">
        <v>2804457</v>
      </c>
    </row>
    <row r="513" spans="1:2" x14ac:dyDescent="0.2">
      <c r="A513" s="53">
        <v>41185</v>
      </c>
      <c r="B513">
        <v>2808512</v>
      </c>
    </row>
    <row r="514" spans="1:2" x14ac:dyDescent="0.2">
      <c r="A514" s="53">
        <v>41192</v>
      </c>
      <c r="B514">
        <v>2811623</v>
      </c>
    </row>
    <row r="515" spans="1:2" x14ac:dyDescent="0.2">
      <c r="A515" s="53">
        <v>41199</v>
      </c>
      <c r="B515">
        <v>2846920</v>
      </c>
    </row>
    <row r="516" spans="1:2" x14ac:dyDescent="0.2">
      <c r="A516" s="53">
        <v>41206</v>
      </c>
      <c r="B516">
        <v>2840964</v>
      </c>
    </row>
    <row r="517" spans="1:2" x14ac:dyDescent="0.2">
      <c r="A517" s="53">
        <v>41213</v>
      </c>
      <c r="B517">
        <v>2823137</v>
      </c>
    </row>
    <row r="518" spans="1:2" x14ac:dyDescent="0.2">
      <c r="A518" s="53">
        <v>41220</v>
      </c>
      <c r="B518">
        <v>2830791</v>
      </c>
    </row>
    <row r="519" spans="1:2" x14ac:dyDescent="0.2">
      <c r="A519" s="53">
        <v>41227</v>
      </c>
      <c r="B519">
        <v>2877244</v>
      </c>
    </row>
    <row r="520" spans="1:2" x14ac:dyDescent="0.2">
      <c r="A520" s="53">
        <v>41234</v>
      </c>
      <c r="B520">
        <v>2871161</v>
      </c>
    </row>
    <row r="521" spans="1:2" x14ac:dyDescent="0.2">
      <c r="A521" s="53">
        <v>41241</v>
      </c>
      <c r="B521">
        <v>2851362</v>
      </c>
    </row>
    <row r="522" spans="1:2" x14ac:dyDescent="0.2">
      <c r="A522" s="53">
        <v>41248</v>
      </c>
      <c r="B522">
        <v>2859807</v>
      </c>
    </row>
    <row r="523" spans="1:2" x14ac:dyDescent="0.2">
      <c r="A523" s="53">
        <v>41255</v>
      </c>
      <c r="B523">
        <v>2917260</v>
      </c>
    </row>
    <row r="524" spans="1:2" x14ac:dyDescent="0.2">
      <c r="A524" s="53">
        <v>41262</v>
      </c>
      <c r="B524">
        <v>2920231</v>
      </c>
    </row>
    <row r="525" spans="1:2" x14ac:dyDescent="0.2">
      <c r="A525" s="53">
        <v>41269</v>
      </c>
      <c r="B525">
        <v>2907300</v>
      </c>
    </row>
    <row r="526" spans="1:2" x14ac:dyDescent="0.2">
      <c r="A526" s="53">
        <v>41276</v>
      </c>
      <c r="B526">
        <v>2917189</v>
      </c>
    </row>
    <row r="527" spans="1:2" x14ac:dyDescent="0.2">
      <c r="A527" s="53">
        <v>41283</v>
      </c>
      <c r="B527">
        <v>2928728</v>
      </c>
    </row>
    <row r="528" spans="1:2" x14ac:dyDescent="0.2">
      <c r="A528" s="53">
        <v>41290</v>
      </c>
      <c r="B528">
        <v>2963812</v>
      </c>
    </row>
    <row r="529" spans="1:2" x14ac:dyDescent="0.2">
      <c r="A529" s="53">
        <v>41297</v>
      </c>
      <c r="B529">
        <v>3011697</v>
      </c>
    </row>
    <row r="530" spans="1:2" x14ac:dyDescent="0.2">
      <c r="A530" s="53">
        <v>41304</v>
      </c>
      <c r="B530">
        <v>3008704</v>
      </c>
    </row>
    <row r="531" spans="1:2" x14ac:dyDescent="0.2">
      <c r="A531" s="53">
        <v>41311</v>
      </c>
      <c r="B531">
        <v>3014975</v>
      </c>
    </row>
    <row r="532" spans="1:2" x14ac:dyDescent="0.2">
      <c r="A532" s="53">
        <v>41318</v>
      </c>
      <c r="B532">
        <v>3074225</v>
      </c>
    </row>
    <row r="533" spans="1:2" x14ac:dyDescent="0.2">
      <c r="A533" s="53">
        <v>41325</v>
      </c>
      <c r="B533">
        <v>3095150</v>
      </c>
    </row>
    <row r="534" spans="1:2" x14ac:dyDescent="0.2">
      <c r="A534" s="53">
        <v>41332</v>
      </c>
      <c r="B534">
        <v>3090600</v>
      </c>
    </row>
    <row r="535" spans="1:2" x14ac:dyDescent="0.2">
      <c r="A535" s="53">
        <v>41339</v>
      </c>
      <c r="B535">
        <v>3108805</v>
      </c>
    </row>
    <row r="536" spans="1:2" x14ac:dyDescent="0.2">
      <c r="A536" s="53">
        <v>41346</v>
      </c>
      <c r="B536">
        <v>3165396</v>
      </c>
    </row>
    <row r="537" spans="1:2" x14ac:dyDescent="0.2">
      <c r="A537" s="53">
        <v>41353</v>
      </c>
      <c r="B537">
        <v>3206888</v>
      </c>
    </row>
    <row r="538" spans="1:2" x14ac:dyDescent="0.2">
      <c r="A538" s="53">
        <v>41360</v>
      </c>
      <c r="B538">
        <v>3202256</v>
      </c>
    </row>
    <row r="539" spans="1:2" x14ac:dyDescent="0.2">
      <c r="A539" s="53">
        <v>41367</v>
      </c>
      <c r="B539">
        <v>3215432</v>
      </c>
    </row>
    <row r="540" spans="1:2" x14ac:dyDescent="0.2">
      <c r="A540" s="53">
        <v>41374</v>
      </c>
      <c r="B540">
        <v>3227762</v>
      </c>
    </row>
    <row r="541" spans="1:2" x14ac:dyDescent="0.2">
      <c r="A541" s="53">
        <v>41381</v>
      </c>
      <c r="B541">
        <v>3295109</v>
      </c>
    </row>
    <row r="542" spans="1:2" x14ac:dyDescent="0.2">
      <c r="A542" s="53">
        <v>41388</v>
      </c>
      <c r="B542">
        <v>3318649</v>
      </c>
    </row>
    <row r="543" spans="1:2" x14ac:dyDescent="0.2">
      <c r="A543" s="53">
        <v>41395</v>
      </c>
      <c r="B543">
        <v>3317194</v>
      </c>
    </row>
    <row r="544" spans="1:2" x14ac:dyDescent="0.2">
      <c r="A544" s="53">
        <v>41402</v>
      </c>
      <c r="B544">
        <v>3324615</v>
      </c>
    </row>
    <row r="545" spans="1:2" x14ac:dyDescent="0.2">
      <c r="A545" s="53">
        <v>41409</v>
      </c>
      <c r="B545">
        <v>3354269</v>
      </c>
    </row>
    <row r="546" spans="1:2" x14ac:dyDescent="0.2">
      <c r="A546" s="53">
        <v>41416</v>
      </c>
      <c r="B546">
        <v>3398713</v>
      </c>
    </row>
    <row r="547" spans="1:2" x14ac:dyDescent="0.2">
      <c r="A547" s="53">
        <v>41423</v>
      </c>
      <c r="B547">
        <v>3385128</v>
      </c>
    </row>
    <row r="548" spans="1:2" x14ac:dyDescent="0.2">
      <c r="A548" s="53">
        <v>41430</v>
      </c>
      <c r="B548">
        <v>3400183</v>
      </c>
    </row>
    <row r="549" spans="1:2" x14ac:dyDescent="0.2">
      <c r="A549" s="53">
        <v>41437</v>
      </c>
      <c r="B549">
        <v>3410842</v>
      </c>
    </row>
    <row r="550" spans="1:2" x14ac:dyDescent="0.2">
      <c r="A550" s="53">
        <v>41444</v>
      </c>
      <c r="B550">
        <v>3470530</v>
      </c>
    </row>
    <row r="551" spans="1:2" x14ac:dyDescent="0.2">
      <c r="A551" s="53">
        <v>41451</v>
      </c>
      <c r="B551">
        <v>3478672</v>
      </c>
    </row>
    <row r="552" spans="1:2" x14ac:dyDescent="0.2">
      <c r="A552" s="53">
        <v>41458</v>
      </c>
      <c r="B552">
        <v>3492742</v>
      </c>
    </row>
    <row r="553" spans="1:2" x14ac:dyDescent="0.2">
      <c r="A553" s="53">
        <v>41465</v>
      </c>
      <c r="B553">
        <v>3504095</v>
      </c>
    </row>
    <row r="554" spans="1:2" x14ac:dyDescent="0.2">
      <c r="A554" s="53">
        <v>41472</v>
      </c>
      <c r="B554">
        <v>3537861</v>
      </c>
    </row>
    <row r="555" spans="1:2" x14ac:dyDescent="0.2">
      <c r="A555" s="53">
        <v>41479</v>
      </c>
      <c r="B555">
        <v>3574574</v>
      </c>
    </row>
    <row r="556" spans="1:2" x14ac:dyDescent="0.2">
      <c r="A556" s="53">
        <v>41486</v>
      </c>
      <c r="B556">
        <v>3571797</v>
      </c>
    </row>
    <row r="557" spans="1:2" x14ac:dyDescent="0.2">
      <c r="A557" s="53">
        <v>41493</v>
      </c>
      <c r="B557">
        <v>3585359</v>
      </c>
    </row>
    <row r="558" spans="1:2" x14ac:dyDescent="0.2">
      <c r="A558" s="53">
        <v>41500</v>
      </c>
      <c r="B558">
        <v>3646323</v>
      </c>
    </row>
    <row r="559" spans="1:2" x14ac:dyDescent="0.2">
      <c r="A559" s="53">
        <v>41507</v>
      </c>
      <c r="B559">
        <v>3645668</v>
      </c>
    </row>
    <row r="560" spans="1:2" x14ac:dyDescent="0.2">
      <c r="A560" s="53">
        <v>41514</v>
      </c>
      <c r="B560">
        <v>3644456</v>
      </c>
    </row>
    <row r="561" spans="1:2" x14ac:dyDescent="0.2">
      <c r="A561" s="53">
        <v>41521</v>
      </c>
      <c r="B561">
        <v>3654182</v>
      </c>
    </row>
    <row r="562" spans="1:2" x14ac:dyDescent="0.2">
      <c r="A562" s="53">
        <v>41528</v>
      </c>
      <c r="B562">
        <v>3662035</v>
      </c>
    </row>
    <row r="563" spans="1:2" x14ac:dyDescent="0.2">
      <c r="A563" s="53">
        <v>41535</v>
      </c>
      <c r="B563">
        <v>3722192</v>
      </c>
    </row>
    <row r="564" spans="1:2" x14ac:dyDescent="0.2">
      <c r="A564" s="53">
        <v>41542</v>
      </c>
      <c r="B564">
        <v>3734018</v>
      </c>
    </row>
    <row r="565" spans="1:2" x14ac:dyDescent="0.2">
      <c r="A565" s="53">
        <v>41549</v>
      </c>
      <c r="B565">
        <v>3747387</v>
      </c>
    </row>
    <row r="566" spans="1:2" x14ac:dyDescent="0.2">
      <c r="A566" s="53">
        <v>41556</v>
      </c>
      <c r="B566">
        <v>3758663</v>
      </c>
    </row>
    <row r="567" spans="1:2" x14ac:dyDescent="0.2">
      <c r="A567" s="53">
        <v>41563</v>
      </c>
      <c r="B567">
        <v>3813599</v>
      </c>
    </row>
    <row r="568" spans="1:2" x14ac:dyDescent="0.2">
      <c r="A568" s="53">
        <v>41570</v>
      </c>
      <c r="B568">
        <v>3839033</v>
      </c>
    </row>
    <row r="569" spans="1:2" x14ac:dyDescent="0.2">
      <c r="A569" s="53">
        <v>41577</v>
      </c>
      <c r="B569">
        <v>3843396</v>
      </c>
    </row>
    <row r="570" spans="1:2" x14ac:dyDescent="0.2">
      <c r="A570" s="53">
        <v>41584</v>
      </c>
      <c r="B570">
        <v>3851623</v>
      </c>
    </row>
    <row r="571" spans="1:2" x14ac:dyDescent="0.2">
      <c r="A571" s="53">
        <v>41591</v>
      </c>
      <c r="B571">
        <v>3907424</v>
      </c>
    </row>
    <row r="572" spans="1:2" x14ac:dyDescent="0.2">
      <c r="A572" s="53">
        <v>41598</v>
      </c>
      <c r="B572">
        <v>3906620</v>
      </c>
    </row>
    <row r="573" spans="1:2" x14ac:dyDescent="0.2">
      <c r="A573" s="53">
        <v>41605</v>
      </c>
      <c r="B573">
        <v>3925876</v>
      </c>
    </row>
    <row r="574" spans="1:2" x14ac:dyDescent="0.2">
      <c r="A574" s="53">
        <v>41612</v>
      </c>
      <c r="B574">
        <v>3932626</v>
      </c>
    </row>
    <row r="575" spans="1:2" x14ac:dyDescent="0.2">
      <c r="A575" s="53">
        <v>41619</v>
      </c>
      <c r="B575">
        <v>3993955</v>
      </c>
    </row>
    <row r="576" spans="1:2" x14ac:dyDescent="0.2">
      <c r="A576" s="53">
        <v>41626</v>
      </c>
      <c r="B576">
        <v>4008062</v>
      </c>
    </row>
    <row r="577" spans="1:2" x14ac:dyDescent="0.2">
      <c r="A577" s="53">
        <v>41633</v>
      </c>
      <c r="B577">
        <v>4032575</v>
      </c>
    </row>
    <row r="578" spans="1:2" x14ac:dyDescent="0.2">
      <c r="A578" s="53">
        <v>41640</v>
      </c>
      <c r="B578">
        <v>4023640</v>
      </c>
    </row>
    <row r="579" spans="1:2" x14ac:dyDescent="0.2">
      <c r="A579" s="53">
        <v>41647</v>
      </c>
      <c r="B579">
        <v>4028185</v>
      </c>
    </row>
    <row r="580" spans="1:2" x14ac:dyDescent="0.2">
      <c r="A580" s="53">
        <v>41654</v>
      </c>
      <c r="B580">
        <v>4071528</v>
      </c>
    </row>
    <row r="581" spans="1:2" x14ac:dyDescent="0.2">
      <c r="A581" s="53">
        <v>41661</v>
      </c>
      <c r="B581">
        <v>4097914</v>
      </c>
    </row>
    <row r="582" spans="1:2" x14ac:dyDescent="0.2">
      <c r="A582" s="53">
        <v>41668</v>
      </c>
      <c r="B582">
        <v>4102138</v>
      </c>
    </row>
    <row r="583" spans="1:2" x14ac:dyDescent="0.2">
      <c r="A583" s="53">
        <v>41675</v>
      </c>
      <c r="B583">
        <v>4109285</v>
      </c>
    </row>
    <row r="584" spans="1:2" x14ac:dyDescent="0.2">
      <c r="A584" s="53">
        <v>41682</v>
      </c>
      <c r="B584">
        <v>4119474</v>
      </c>
    </row>
    <row r="585" spans="1:2" x14ac:dyDescent="0.2">
      <c r="A585" s="53">
        <v>41689</v>
      </c>
      <c r="B585">
        <v>4149224</v>
      </c>
    </row>
    <row r="586" spans="1:2" x14ac:dyDescent="0.2">
      <c r="A586" s="53">
        <v>41696</v>
      </c>
      <c r="B586">
        <v>4159972</v>
      </c>
    </row>
    <row r="587" spans="1:2" x14ac:dyDescent="0.2">
      <c r="A587" s="53">
        <v>41703</v>
      </c>
      <c r="B587">
        <v>4171762</v>
      </c>
    </row>
    <row r="588" spans="1:2" x14ac:dyDescent="0.2">
      <c r="A588" s="53">
        <v>41710</v>
      </c>
      <c r="B588">
        <v>4181361</v>
      </c>
    </row>
    <row r="589" spans="1:2" x14ac:dyDescent="0.2">
      <c r="A589" s="53">
        <v>41717</v>
      </c>
      <c r="B589">
        <v>4222081</v>
      </c>
    </row>
    <row r="590" spans="1:2" x14ac:dyDescent="0.2">
      <c r="A590" s="53">
        <v>41724</v>
      </c>
      <c r="B590">
        <v>4226971</v>
      </c>
    </row>
    <row r="591" spans="1:2" x14ac:dyDescent="0.2">
      <c r="A591" s="53">
        <v>41731</v>
      </c>
      <c r="B591">
        <v>4236441</v>
      </c>
    </row>
    <row r="592" spans="1:2" x14ac:dyDescent="0.2">
      <c r="A592" s="53">
        <v>41738</v>
      </c>
      <c r="B592">
        <v>4244188</v>
      </c>
    </row>
    <row r="593" spans="1:2" x14ac:dyDescent="0.2">
      <c r="A593" s="53">
        <v>41745</v>
      </c>
      <c r="B593">
        <v>4283967</v>
      </c>
    </row>
    <row r="594" spans="1:2" x14ac:dyDescent="0.2">
      <c r="A594" s="53">
        <v>41752</v>
      </c>
      <c r="B594">
        <v>4296339</v>
      </c>
    </row>
    <row r="595" spans="1:2" x14ac:dyDescent="0.2">
      <c r="A595" s="53">
        <v>41759</v>
      </c>
      <c r="B595">
        <v>4296049</v>
      </c>
    </row>
    <row r="596" spans="1:2" x14ac:dyDescent="0.2">
      <c r="A596" s="53">
        <v>41766</v>
      </c>
      <c r="B596">
        <v>4303143</v>
      </c>
    </row>
    <row r="597" spans="1:2" x14ac:dyDescent="0.2">
      <c r="A597" s="53">
        <v>41773</v>
      </c>
      <c r="B597">
        <v>4336649</v>
      </c>
    </row>
    <row r="598" spans="1:2" x14ac:dyDescent="0.2">
      <c r="A598" s="53">
        <v>41780</v>
      </c>
      <c r="B598">
        <v>4327560</v>
      </c>
    </row>
    <row r="599" spans="1:2" x14ac:dyDescent="0.2">
      <c r="A599" s="53">
        <v>41787</v>
      </c>
      <c r="B599">
        <v>4322654</v>
      </c>
    </row>
    <row r="600" spans="1:2" x14ac:dyDescent="0.2">
      <c r="A600" s="53">
        <v>41794</v>
      </c>
      <c r="B600">
        <v>4330917</v>
      </c>
    </row>
    <row r="601" spans="1:2" x14ac:dyDescent="0.2">
      <c r="A601" s="53">
        <v>41801</v>
      </c>
      <c r="B601">
        <v>4340904</v>
      </c>
    </row>
    <row r="602" spans="1:2" x14ac:dyDescent="0.2">
      <c r="A602" s="53">
        <v>41808</v>
      </c>
      <c r="B602">
        <v>4368168</v>
      </c>
    </row>
    <row r="603" spans="1:2" x14ac:dyDescent="0.2">
      <c r="A603" s="53">
        <v>41815</v>
      </c>
      <c r="B603">
        <v>4368348</v>
      </c>
    </row>
    <row r="604" spans="1:2" x14ac:dyDescent="0.2">
      <c r="A604" s="53">
        <v>41822</v>
      </c>
      <c r="B604">
        <v>4377031</v>
      </c>
    </row>
    <row r="605" spans="1:2" x14ac:dyDescent="0.2">
      <c r="A605" s="53">
        <v>41829</v>
      </c>
      <c r="B605">
        <v>4383401</v>
      </c>
    </row>
    <row r="606" spans="1:2" x14ac:dyDescent="0.2">
      <c r="A606" s="53">
        <v>41836</v>
      </c>
      <c r="B606">
        <v>4398201</v>
      </c>
    </row>
    <row r="607" spans="1:2" x14ac:dyDescent="0.2">
      <c r="A607" s="53">
        <v>41843</v>
      </c>
      <c r="B607">
        <v>4410746</v>
      </c>
    </row>
    <row r="608" spans="1:2" x14ac:dyDescent="0.2">
      <c r="A608" s="53">
        <v>41850</v>
      </c>
      <c r="B608">
        <v>4406637</v>
      </c>
    </row>
    <row r="609" spans="1:2" x14ac:dyDescent="0.2">
      <c r="A609" s="53">
        <v>41857</v>
      </c>
      <c r="B609">
        <v>4410111</v>
      </c>
    </row>
    <row r="610" spans="1:2" x14ac:dyDescent="0.2">
      <c r="A610" s="53">
        <v>41864</v>
      </c>
      <c r="B610">
        <v>4431923</v>
      </c>
    </row>
    <row r="611" spans="1:2" x14ac:dyDescent="0.2">
      <c r="A611" s="53">
        <v>41871</v>
      </c>
      <c r="B611">
        <v>4412924</v>
      </c>
    </row>
    <row r="612" spans="1:2" x14ac:dyDescent="0.2">
      <c r="A612" s="53">
        <v>41878</v>
      </c>
      <c r="B612">
        <v>4413736</v>
      </c>
    </row>
    <row r="613" spans="1:2" x14ac:dyDescent="0.2">
      <c r="A613" s="53">
        <v>41885</v>
      </c>
      <c r="B613">
        <v>4415587</v>
      </c>
    </row>
    <row r="614" spans="1:2" x14ac:dyDescent="0.2">
      <c r="A614" s="53">
        <v>41892</v>
      </c>
      <c r="B614">
        <v>4421408</v>
      </c>
    </row>
    <row r="615" spans="1:2" x14ac:dyDescent="0.2">
      <c r="A615" s="53">
        <v>41899</v>
      </c>
      <c r="B615">
        <v>4449588</v>
      </c>
    </row>
    <row r="616" spans="1:2" x14ac:dyDescent="0.2">
      <c r="A616" s="53">
        <v>41906</v>
      </c>
      <c r="B616">
        <v>4459050</v>
      </c>
    </row>
    <row r="617" spans="1:2" x14ac:dyDescent="0.2">
      <c r="A617" s="53">
        <v>41913</v>
      </c>
      <c r="B617">
        <v>4450260</v>
      </c>
    </row>
    <row r="618" spans="1:2" x14ac:dyDescent="0.2">
      <c r="A618" s="53">
        <v>41920</v>
      </c>
      <c r="B618">
        <v>4455403</v>
      </c>
    </row>
    <row r="619" spans="1:2" x14ac:dyDescent="0.2">
      <c r="A619" s="53">
        <v>41927</v>
      </c>
      <c r="B619">
        <v>4474360</v>
      </c>
    </row>
    <row r="620" spans="1:2" x14ac:dyDescent="0.2">
      <c r="A620" s="53">
        <v>41934</v>
      </c>
      <c r="B620">
        <v>4481616</v>
      </c>
    </row>
    <row r="621" spans="1:2" x14ac:dyDescent="0.2">
      <c r="A621" s="53">
        <v>41941</v>
      </c>
      <c r="B621">
        <v>4486754</v>
      </c>
    </row>
    <row r="622" spans="1:2" x14ac:dyDescent="0.2">
      <c r="A622" s="53">
        <v>41948</v>
      </c>
      <c r="B622">
        <v>4486585</v>
      </c>
    </row>
    <row r="623" spans="1:2" x14ac:dyDescent="0.2">
      <c r="A623" s="53">
        <v>41955</v>
      </c>
      <c r="B623">
        <v>4488895</v>
      </c>
    </row>
    <row r="624" spans="1:2" x14ac:dyDescent="0.2">
      <c r="A624" s="53">
        <v>41962</v>
      </c>
      <c r="B624">
        <v>4492759</v>
      </c>
    </row>
    <row r="625" spans="1:2" x14ac:dyDescent="0.2">
      <c r="A625" s="53">
        <v>41969</v>
      </c>
      <c r="B625">
        <v>4485931</v>
      </c>
    </row>
    <row r="626" spans="1:2" x14ac:dyDescent="0.2">
      <c r="A626" s="53">
        <v>41976</v>
      </c>
      <c r="B626">
        <v>4486190</v>
      </c>
    </row>
    <row r="627" spans="1:2" x14ac:dyDescent="0.2">
      <c r="A627" s="53">
        <v>41983</v>
      </c>
      <c r="B627">
        <v>4488865</v>
      </c>
    </row>
    <row r="628" spans="1:2" x14ac:dyDescent="0.2">
      <c r="A628" s="53">
        <v>41990</v>
      </c>
      <c r="B628">
        <v>4502247</v>
      </c>
    </row>
    <row r="629" spans="1:2" x14ac:dyDescent="0.2">
      <c r="A629" s="53">
        <v>41997</v>
      </c>
      <c r="B629">
        <v>4509462</v>
      </c>
    </row>
    <row r="630" spans="1:2" x14ac:dyDescent="0.2">
      <c r="A630" s="53">
        <v>42004</v>
      </c>
      <c r="B630">
        <v>4497660</v>
      </c>
    </row>
    <row r="631" spans="1:2" x14ac:dyDescent="0.2">
      <c r="A631" s="53">
        <v>42011</v>
      </c>
      <c r="B631">
        <v>4499524</v>
      </c>
    </row>
    <row r="632" spans="1:2" x14ac:dyDescent="0.2">
      <c r="A632" s="53">
        <v>42018</v>
      </c>
      <c r="B632">
        <v>4516077</v>
      </c>
    </row>
    <row r="633" spans="1:2" x14ac:dyDescent="0.2">
      <c r="A633" s="53">
        <v>42025</v>
      </c>
      <c r="B633">
        <v>4512936</v>
      </c>
    </row>
    <row r="634" spans="1:2" x14ac:dyDescent="0.2">
      <c r="A634" s="53">
        <v>42032</v>
      </c>
      <c r="B634">
        <v>4500064</v>
      </c>
    </row>
    <row r="635" spans="1:2" x14ac:dyDescent="0.2">
      <c r="A635" s="53">
        <v>42039</v>
      </c>
      <c r="B635">
        <v>4500348</v>
      </c>
    </row>
    <row r="636" spans="1:2" x14ac:dyDescent="0.2">
      <c r="A636" s="53">
        <v>42046</v>
      </c>
      <c r="B636">
        <v>4501685</v>
      </c>
    </row>
    <row r="637" spans="1:2" x14ac:dyDescent="0.2">
      <c r="A637" s="53">
        <v>42053</v>
      </c>
      <c r="B637">
        <v>4496851</v>
      </c>
    </row>
    <row r="638" spans="1:2" x14ac:dyDescent="0.2">
      <c r="A638" s="53">
        <v>42060</v>
      </c>
      <c r="B638">
        <v>4486725</v>
      </c>
    </row>
    <row r="639" spans="1:2" x14ac:dyDescent="0.2">
      <c r="A639" s="53">
        <v>42067</v>
      </c>
      <c r="B639">
        <v>4487583</v>
      </c>
    </row>
    <row r="640" spans="1:2" x14ac:dyDescent="0.2">
      <c r="A640" s="53">
        <v>42074</v>
      </c>
      <c r="B640">
        <v>4489279</v>
      </c>
    </row>
    <row r="641" spans="1:2" x14ac:dyDescent="0.2">
      <c r="A641" s="53">
        <v>42081</v>
      </c>
      <c r="B641">
        <v>4495888</v>
      </c>
    </row>
    <row r="642" spans="1:2" x14ac:dyDescent="0.2">
      <c r="A642" s="53">
        <v>42088</v>
      </c>
      <c r="B642">
        <v>4480603</v>
      </c>
    </row>
    <row r="643" spans="1:2" x14ac:dyDescent="0.2">
      <c r="A643" s="53">
        <v>42095</v>
      </c>
      <c r="B643">
        <v>4481799</v>
      </c>
    </row>
    <row r="644" spans="1:2" x14ac:dyDescent="0.2">
      <c r="A644" s="53">
        <v>42102</v>
      </c>
      <c r="B644">
        <v>4483419</v>
      </c>
    </row>
    <row r="645" spans="1:2" x14ac:dyDescent="0.2">
      <c r="A645" s="53">
        <v>42109</v>
      </c>
      <c r="B645">
        <v>4485366</v>
      </c>
    </row>
    <row r="646" spans="1:2" x14ac:dyDescent="0.2">
      <c r="A646" s="53">
        <v>42116</v>
      </c>
      <c r="B646">
        <v>4489695</v>
      </c>
    </row>
    <row r="647" spans="1:2" x14ac:dyDescent="0.2">
      <c r="A647" s="53">
        <v>42123</v>
      </c>
      <c r="B647">
        <v>4471499</v>
      </c>
    </row>
    <row r="648" spans="1:2" x14ac:dyDescent="0.2">
      <c r="A648" s="53">
        <v>42130</v>
      </c>
      <c r="B648">
        <v>4472703</v>
      </c>
    </row>
    <row r="649" spans="1:2" x14ac:dyDescent="0.2">
      <c r="A649" s="53">
        <v>42137</v>
      </c>
      <c r="B649">
        <v>4501188</v>
      </c>
    </row>
    <row r="650" spans="1:2" x14ac:dyDescent="0.2">
      <c r="A650" s="53">
        <v>42144</v>
      </c>
      <c r="B650">
        <v>4480384</v>
      </c>
    </row>
    <row r="651" spans="1:2" x14ac:dyDescent="0.2">
      <c r="A651" s="53">
        <v>42151</v>
      </c>
      <c r="B651">
        <v>4463981</v>
      </c>
    </row>
    <row r="652" spans="1:2" x14ac:dyDescent="0.2">
      <c r="A652" s="53">
        <v>42158</v>
      </c>
      <c r="B652">
        <v>4465360</v>
      </c>
    </row>
    <row r="653" spans="1:2" x14ac:dyDescent="0.2">
      <c r="A653" s="53">
        <v>42165</v>
      </c>
      <c r="B653">
        <v>4468005</v>
      </c>
    </row>
    <row r="654" spans="1:2" x14ac:dyDescent="0.2">
      <c r="A654" s="53">
        <v>42172</v>
      </c>
      <c r="B654">
        <v>4487817</v>
      </c>
    </row>
    <row r="655" spans="1:2" x14ac:dyDescent="0.2">
      <c r="A655" s="53">
        <v>42179</v>
      </c>
      <c r="B655">
        <v>4495055</v>
      </c>
    </row>
    <row r="656" spans="1:2" x14ac:dyDescent="0.2">
      <c r="A656" s="53">
        <v>42186</v>
      </c>
      <c r="B656">
        <v>4479130</v>
      </c>
    </row>
    <row r="657" spans="1:2" x14ac:dyDescent="0.2">
      <c r="A657" s="53">
        <v>42193</v>
      </c>
      <c r="B657">
        <v>4481289</v>
      </c>
    </row>
    <row r="658" spans="1:2" x14ac:dyDescent="0.2">
      <c r="A658" s="53">
        <v>42200</v>
      </c>
      <c r="B658">
        <v>4493605</v>
      </c>
    </row>
    <row r="659" spans="1:2" x14ac:dyDescent="0.2">
      <c r="A659" s="53">
        <v>42207</v>
      </c>
      <c r="B659">
        <v>4500503</v>
      </c>
    </row>
    <row r="660" spans="1:2" x14ac:dyDescent="0.2">
      <c r="A660" s="53">
        <v>42214</v>
      </c>
      <c r="B660">
        <v>4485480</v>
      </c>
    </row>
    <row r="661" spans="1:2" x14ac:dyDescent="0.2">
      <c r="A661" s="53">
        <v>42221</v>
      </c>
      <c r="B661">
        <v>4486329</v>
      </c>
    </row>
    <row r="662" spans="1:2" x14ac:dyDescent="0.2">
      <c r="A662" s="53">
        <v>42228</v>
      </c>
      <c r="B662">
        <v>4489250</v>
      </c>
    </row>
    <row r="663" spans="1:2" x14ac:dyDescent="0.2">
      <c r="A663" s="53">
        <v>42235</v>
      </c>
      <c r="B663">
        <v>4487208</v>
      </c>
    </row>
    <row r="664" spans="1:2" x14ac:dyDescent="0.2">
      <c r="A664" s="53">
        <v>42242</v>
      </c>
      <c r="B664">
        <v>4475105</v>
      </c>
    </row>
    <row r="665" spans="1:2" x14ac:dyDescent="0.2">
      <c r="A665" s="53">
        <v>42249</v>
      </c>
      <c r="B665">
        <v>4475886</v>
      </c>
    </row>
    <row r="666" spans="1:2" x14ac:dyDescent="0.2">
      <c r="A666" s="53">
        <v>42256</v>
      </c>
      <c r="B666">
        <v>4478213</v>
      </c>
    </row>
    <row r="667" spans="1:2" x14ac:dyDescent="0.2">
      <c r="A667" s="53">
        <v>42263</v>
      </c>
      <c r="B667">
        <v>4487809</v>
      </c>
    </row>
    <row r="668" spans="1:2" x14ac:dyDescent="0.2">
      <c r="A668" s="53">
        <v>42270</v>
      </c>
      <c r="B668">
        <v>4497484</v>
      </c>
    </row>
    <row r="669" spans="1:2" x14ac:dyDescent="0.2">
      <c r="A669" s="53">
        <v>42277</v>
      </c>
      <c r="B669">
        <v>4484111</v>
      </c>
    </row>
    <row r="670" spans="1:2" x14ac:dyDescent="0.2">
      <c r="A670" s="53">
        <v>42284</v>
      </c>
      <c r="B670">
        <v>4486185</v>
      </c>
    </row>
    <row r="671" spans="1:2" x14ac:dyDescent="0.2">
      <c r="A671" s="53">
        <v>42291</v>
      </c>
      <c r="B671">
        <v>4504704</v>
      </c>
    </row>
    <row r="672" spans="1:2" x14ac:dyDescent="0.2">
      <c r="A672" s="53">
        <v>42298</v>
      </c>
      <c r="B672">
        <v>4501372</v>
      </c>
    </row>
    <row r="673" spans="1:2" x14ac:dyDescent="0.2">
      <c r="A673" s="53">
        <v>42305</v>
      </c>
      <c r="B673">
        <v>4489339</v>
      </c>
    </row>
    <row r="674" spans="1:2" x14ac:dyDescent="0.2">
      <c r="A674" s="53">
        <v>42312</v>
      </c>
      <c r="B674">
        <v>4489702</v>
      </c>
    </row>
    <row r="675" spans="1:2" x14ac:dyDescent="0.2">
      <c r="A675" s="53">
        <v>42319</v>
      </c>
      <c r="B675">
        <v>4492012</v>
      </c>
    </row>
    <row r="676" spans="1:2" x14ac:dyDescent="0.2">
      <c r="A676" s="53">
        <v>42326</v>
      </c>
      <c r="B676">
        <v>4486721</v>
      </c>
    </row>
    <row r="677" spans="1:2" x14ac:dyDescent="0.2">
      <c r="A677" s="53">
        <v>42333</v>
      </c>
      <c r="B677">
        <v>4477088</v>
      </c>
    </row>
    <row r="678" spans="1:2" x14ac:dyDescent="0.2">
      <c r="A678" s="53">
        <v>42340</v>
      </c>
      <c r="B678">
        <v>4478069</v>
      </c>
    </row>
    <row r="679" spans="1:2" x14ac:dyDescent="0.2">
      <c r="A679" s="53">
        <v>42347</v>
      </c>
      <c r="B679">
        <v>4480436</v>
      </c>
    </row>
    <row r="680" spans="1:2" x14ac:dyDescent="0.2">
      <c r="A680" s="53">
        <v>42354</v>
      </c>
      <c r="B680">
        <v>4489593</v>
      </c>
    </row>
    <row r="681" spans="1:2" x14ac:dyDescent="0.2">
      <c r="A681" s="53">
        <v>42361</v>
      </c>
      <c r="B681">
        <v>4496523</v>
      </c>
    </row>
    <row r="682" spans="1:2" x14ac:dyDescent="0.2">
      <c r="A682" s="53">
        <v>42368</v>
      </c>
      <c r="B682">
        <v>4486587</v>
      </c>
    </row>
    <row r="683" spans="1:2" x14ac:dyDescent="0.2">
      <c r="A683" s="53">
        <v>42375</v>
      </c>
      <c r="B683">
        <v>4486606</v>
      </c>
    </row>
    <row r="684" spans="1:2" x14ac:dyDescent="0.2">
      <c r="A684" s="53">
        <v>42382</v>
      </c>
      <c r="B684">
        <v>4501695</v>
      </c>
    </row>
    <row r="685" spans="1:2" x14ac:dyDescent="0.2">
      <c r="A685" s="53">
        <v>42389</v>
      </c>
      <c r="B685">
        <v>4488840</v>
      </c>
    </row>
    <row r="686" spans="1:2" x14ac:dyDescent="0.2">
      <c r="A686" s="53">
        <v>42396</v>
      </c>
      <c r="B686">
        <v>4482349</v>
      </c>
    </row>
    <row r="687" spans="1:2" x14ac:dyDescent="0.2">
      <c r="A687" s="53">
        <v>42403</v>
      </c>
      <c r="B687">
        <v>4483495</v>
      </c>
    </row>
    <row r="688" spans="1:2" x14ac:dyDescent="0.2">
      <c r="A688" s="53">
        <v>42410</v>
      </c>
      <c r="B688">
        <v>4486278</v>
      </c>
    </row>
    <row r="689" spans="1:2" x14ac:dyDescent="0.2">
      <c r="A689" s="53">
        <v>42417</v>
      </c>
      <c r="B689">
        <v>4483629</v>
      </c>
    </row>
    <row r="690" spans="1:2" x14ac:dyDescent="0.2">
      <c r="A690" s="53">
        <v>42424</v>
      </c>
      <c r="B690">
        <v>4489796</v>
      </c>
    </row>
    <row r="691" spans="1:2" x14ac:dyDescent="0.2">
      <c r="A691" s="53">
        <v>42431</v>
      </c>
      <c r="B691">
        <v>4478485</v>
      </c>
    </row>
    <row r="692" spans="1:2" x14ac:dyDescent="0.2">
      <c r="A692" s="53">
        <v>42438</v>
      </c>
      <c r="B692">
        <v>4481083</v>
      </c>
    </row>
    <row r="693" spans="1:2" x14ac:dyDescent="0.2">
      <c r="A693" s="53">
        <v>42445</v>
      </c>
      <c r="B693">
        <v>4486333</v>
      </c>
    </row>
    <row r="694" spans="1:2" x14ac:dyDescent="0.2">
      <c r="A694" s="53">
        <v>42452</v>
      </c>
      <c r="B694">
        <v>4492857</v>
      </c>
    </row>
    <row r="695" spans="1:2" x14ac:dyDescent="0.2">
      <c r="A695" s="53">
        <v>42459</v>
      </c>
      <c r="B695">
        <v>4482840</v>
      </c>
    </row>
    <row r="696" spans="1:2" x14ac:dyDescent="0.2">
      <c r="A696" s="53">
        <v>42466</v>
      </c>
      <c r="B696">
        <v>4484069</v>
      </c>
    </row>
    <row r="697" spans="1:2" x14ac:dyDescent="0.2">
      <c r="A697" s="53">
        <v>42473</v>
      </c>
      <c r="B697">
        <v>4499729</v>
      </c>
    </row>
    <row r="698" spans="1:2" x14ac:dyDescent="0.2">
      <c r="A698" s="53">
        <v>42480</v>
      </c>
      <c r="B698">
        <v>4490131</v>
      </c>
    </row>
    <row r="699" spans="1:2" x14ac:dyDescent="0.2">
      <c r="A699" s="53">
        <v>42487</v>
      </c>
      <c r="B699">
        <v>4474665</v>
      </c>
    </row>
    <row r="700" spans="1:2" x14ac:dyDescent="0.2">
      <c r="A700" s="53">
        <v>42494</v>
      </c>
      <c r="B700">
        <v>4477270</v>
      </c>
    </row>
    <row r="701" spans="1:2" x14ac:dyDescent="0.2">
      <c r="A701" s="53">
        <v>42501</v>
      </c>
      <c r="B701">
        <v>4478411</v>
      </c>
    </row>
    <row r="702" spans="1:2" x14ac:dyDescent="0.2">
      <c r="A702" s="53">
        <v>42508</v>
      </c>
      <c r="B702">
        <v>4473741</v>
      </c>
    </row>
    <row r="703" spans="1:2" x14ac:dyDescent="0.2">
      <c r="A703" s="53">
        <v>42515</v>
      </c>
      <c r="B703">
        <v>4461111</v>
      </c>
    </row>
    <row r="704" spans="1:2" x14ac:dyDescent="0.2">
      <c r="A704" s="53">
        <v>42522</v>
      </c>
      <c r="B704">
        <v>4461393</v>
      </c>
    </row>
    <row r="705" spans="1:2" x14ac:dyDescent="0.2">
      <c r="A705" s="53">
        <v>42529</v>
      </c>
      <c r="B705">
        <v>4463542</v>
      </c>
    </row>
    <row r="706" spans="1:2" x14ac:dyDescent="0.2">
      <c r="A706" s="53">
        <v>42536</v>
      </c>
      <c r="B706">
        <v>4472817</v>
      </c>
    </row>
    <row r="707" spans="1:2" x14ac:dyDescent="0.2">
      <c r="A707" s="53">
        <v>42543</v>
      </c>
      <c r="B707">
        <v>4482009</v>
      </c>
    </row>
    <row r="708" spans="1:2" x14ac:dyDescent="0.2">
      <c r="A708" s="53">
        <v>42550</v>
      </c>
      <c r="B708">
        <v>4466482</v>
      </c>
    </row>
    <row r="709" spans="1:2" x14ac:dyDescent="0.2">
      <c r="A709" s="53">
        <v>42557</v>
      </c>
      <c r="B709">
        <v>4470605</v>
      </c>
    </row>
    <row r="710" spans="1:2" x14ac:dyDescent="0.2">
      <c r="A710" s="53">
        <v>42564</v>
      </c>
      <c r="B710">
        <v>4472202</v>
      </c>
    </row>
    <row r="711" spans="1:2" x14ac:dyDescent="0.2">
      <c r="A711" s="53">
        <v>42571</v>
      </c>
      <c r="B711">
        <v>4480973</v>
      </c>
    </row>
    <row r="712" spans="1:2" x14ac:dyDescent="0.2">
      <c r="A712" s="53">
        <v>42578</v>
      </c>
      <c r="B712">
        <v>4464498</v>
      </c>
    </row>
    <row r="713" spans="1:2" x14ac:dyDescent="0.2">
      <c r="A713" s="53">
        <v>42585</v>
      </c>
      <c r="B713">
        <v>4466793</v>
      </c>
    </row>
    <row r="714" spans="1:2" x14ac:dyDescent="0.2">
      <c r="A714" s="53">
        <v>42592</v>
      </c>
      <c r="B714">
        <v>4468929</v>
      </c>
    </row>
    <row r="715" spans="1:2" x14ac:dyDescent="0.2">
      <c r="A715" s="53">
        <v>42599</v>
      </c>
      <c r="B715">
        <v>4466476</v>
      </c>
    </row>
    <row r="716" spans="1:2" x14ac:dyDescent="0.2">
      <c r="A716" s="53">
        <v>42606</v>
      </c>
      <c r="B716">
        <v>4473840</v>
      </c>
    </row>
    <row r="717" spans="1:2" x14ac:dyDescent="0.2">
      <c r="A717" s="53">
        <v>42613</v>
      </c>
      <c r="B717">
        <v>4457907</v>
      </c>
    </row>
    <row r="718" spans="1:2" x14ac:dyDescent="0.2">
      <c r="A718" s="53">
        <v>42620</v>
      </c>
      <c r="B718">
        <v>4459394</v>
      </c>
    </row>
    <row r="719" spans="1:2" x14ac:dyDescent="0.2">
      <c r="A719" s="53">
        <v>42627</v>
      </c>
      <c r="B719">
        <v>4481635</v>
      </c>
    </row>
    <row r="720" spans="1:2" x14ac:dyDescent="0.2">
      <c r="A720" s="53">
        <v>42634</v>
      </c>
      <c r="B720">
        <v>4473032</v>
      </c>
    </row>
    <row r="721" spans="1:2" x14ac:dyDescent="0.2">
      <c r="A721" s="53">
        <v>42641</v>
      </c>
      <c r="B721">
        <v>4452002</v>
      </c>
    </row>
    <row r="722" spans="1:2" x14ac:dyDescent="0.2">
      <c r="A722" s="53">
        <v>42648</v>
      </c>
      <c r="B722">
        <v>4459407</v>
      </c>
    </row>
    <row r="723" spans="1:2" x14ac:dyDescent="0.2">
      <c r="A723" s="53">
        <v>42655</v>
      </c>
      <c r="B723">
        <v>4457698</v>
      </c>
    </row>
    <row r="724" spans="1:2" x14ac:dyDescent="0.2">
      <c r="A724" s="53">
        <v>42662</v>
      </c>
      <c r="B724">
        <v>4467382</v>
      </c>
    </row>
    <row r="725" spans="1:2" x14ac:dyDescent="0.2">
      <c r="A725" s="53">
        <v>42669</v>
      </c>
      <c r="B725">
        <v>4454326</v>
      </c>
    </row>
    <row r="726" spans="1:2" x14ac:dyDescent="0.2">
      <c r="A726" s="53">
        <v>42676</v>
      </c>
      <c r="B726">
        <v>4453087</v>
      </c>
    </row>
    <row r="727" spans="1:2" x14ac:dyDescent="0.2">
      <c r="A727" s="53">
        <v>42683</v>
      </c>
      <c r="B727">
        <v>4455087</v>
      </c>
    </row>
    <row r="728" spans="1:2" x14ac:dyDescent="0.2">
      <c r="A728" s="53">
        <v>42690</v>
      </c>
      <c r="B728">
        <v>4453633</v>
      </c>
    </row>
    <row r="729" spans="1:2" x14ac:dyDescent="0.2">
      <c r="A729" s="53">
        <v>42697</v>
      </c>
      <c r="B729">
        <v>4465782</v>
      </c>
    </row>
    <row r="730" spans="1:2" x14ac:dyDescent="0.2">
      <c r="A730" s="53">
        <v>42704</v>
      </c>
      <c r="B730">
        <v>4446307</v>
      </c>
    </row>
    <row r="731" spans="1:2" x14ac:dyDescent="0.2">
      <c r="A731" s="53">
        <v>42711</v>
      </c>
      <c r="B731">
        <v>4448618</v>
      </c>
    </row>
    <row r="732" spans="1:2" x14ac:dyDescent="0.2">
      <c r="A732" s="53">
        <v>42718</v>
      </c>
      <c r="B732">
        <v>4470973</v>
      </c>
    </row>
    <row r="733" spans="1:2" x14ac:dyDescent="0.2">
      <c r="A733" s="53">
        <v>42725</v>
      </c>
      <c r="B733">
        <v>4469089</v>
      </c>
    </row>
    <row r="734" spans="1:2" x14ac:dyDescent="0.2">
      <c r="A734" s="53">
        <v>42732</v>
      </c>
      <c r="B734">
        <v>4451451</v>
      </c>
    </row>
    <row r="735" spans="1:2" x14ac:dyDescent="0.2">
      <c r="A735" s="53">
        <v>42739</v>
      </c>
      <c r="B735">
        <v>4453101</v>
      </c>
    </row>
    <row r="736" spans="1:2" x14ac:dyDescent="0.2">
      <c r="A736" s="53">
        <v>42746</v>
      </c>
      <c r="B736">
        <v>4452509</v>
      </c>
    </row>
    <row r="737" spans="1:2" x14ac:dyDescent="0.2">
      <c r="A737" s="53">
        <v>42753</v>
      </c>
      <c r="B737">
        <v>4460758</v>
      </c>
    </row>
    <row r="738" spans="1:2" x14ac:dyDescent="0.2">
      <c r="A738" s="53">
        <v>42760</v>
      </c>
      <c r="B738">
        <v>4452838</v>
      </c>
    </row>
    <row r="739" spans="1:2" x14ac:dyDescent="0.2">
      <c r="A739" s="53">
        <v>42767</v>
      </c>
      <c r="B739">
        <v>4453881</v>
      </c>
    </row>
    <row r="740" spans="1:2" x14ac:dyDescent="0.2">
      <c r="A740" s="53">
        <v>42774</v>
      </c>
      <c r="B740">
        <v>4456236</v>
      </c>
    </row>
    <row r="741" spans="1:2" x14ac:dyDescent="0.2">
      <c r="A741" s="53">
        <v>42781</v>
      </c>
      <c r="B741">
        <v>4454676</v>
      </c>
    </row>
    <row r="742" spans="1:2" x14ac:dyDescent="0.2">
      <c r="A742" s="53">
        <v>42788</v>
      </c>
      <c r="B742">
        <v>4468702</v>
      </c>
    </row>
    <row r="743" spans="1:2" x14ac:dyDescent="0.2">
      <c r="A743" s="53">
        <v>42795</v>
      </c>
      <c r="B743">
        <v>4458018</v>
      </c>
    </row>
    <row r="744" spans="1:2" x14ac:dyDescent="0.2">
      <c r="A744" s="53">
        <v>42802</v>
      </c>
      <c r="B744">
        <v>4459840</v>
      </c>
    </row>
    <row r="745" spans="1:2" x14ac:dyDescent="0.2">
      <c r="A745" s="53">
        <v>42809</v>
      </c>
      <c r="B745">
        <v>4469577</v>
      </c>
    </row>
    <row r="746" spans="1:2" x14ac:dyDescent="0.2">
      <c r="A746" s="53">
        <v>42816</v>
      </c>
      <c r="B746">
        <v>4478236</v>
      </c>
    </row>
    <row r="747" spans="1:2" x14ac:dyDescent="0.2">
      <c r="A747" s="53">
        <v>42823</v>
      </c>
      <c r="B747">
        <v>4469618</v>
      </c>
    </row>
    <row r="748" spans="1:2" x14ac:dyDescent="0.2">
      <c r="A748" s="53">
        <v>42830</v>
      </c>
      <c r="B748">
        <v>4474634</v>
      </c>
    </row>
    <row r="749" spans="1:2" x14ac:dyDescent="0.2">
      <c r="A749" s="53">
        <v>42837</v>
      </c>
      <c r="B749">
        <v>4484492</v>
      </c>
    </row>
    <row r="750" spans="1:2" x14ac:dyDescent="0.2">
      <c r="A750" s="53">
        <v>42844</v>
      </c>
      <c r="B750">
        <v>4479270</v>
      </c>
    </row>
    <row r="751" spans="1:2" x14ac:dyDescent="0.2">
      <c r="A751" s="53">
        <v>42851</v>
      </c>
      <c r="B751">
        <v>4470142</v>
      </c>
    </row>
    <row r="752" spans="1:2" x14ac:dyDescent="0.2">
      <c r="A752" s="53">
        <v>42858</v>
      </c>
      <c r="B752">
        <v>4471246</v>
      </c>
    </row>
    <row r="753" spans="1:2" x14ac:dyDescent="0.2">
      <c r="A753" s="53">
        <v>42865</v>
      </c>
      <c r="B753">
        <v>4473459</v>
      </c>
    </row>
    <row r="754" spans="1:2" x14ac:dyDescent="0.2">
      <c r="A754" s="53">
        <v>42872</v>
      </c>
      <c r="B754">
        <v>4467108</v>
      </c>
    </row>
    <row r="755" spans="1:2" x14ac:dyDescent="0.2">
      <c r="A755" s="53">
        <v>42879</v>
      </c>
      <c r="B755">
        <v>4470852</v>
      </c>
    </row>
    <row r="756" spans="1:2" x14ac:dyDescent="0.2">
      <c r="A756" s="53">
        <v>42886</v>
      </c>
      <c r="B756">
        <v>4459914</v>
      </c>
    </row>
    <row r="757" spans="1:2" x14ac:dyDescent="0.2">
      <c r="A757" s="53">
        <v>42893</v>
      </c>
      <c r="B757">
        <v>4462443</v>
      </c>
    </row>
    <row r="758" spans="1:2" x14ac:dyDescent="0.2">
      <c r="A758" s="53">
        <v>42900</v>
      </c>
      <c r="B758">
        <v>4476269</v>
      </c>
    </row>
    <row r="759" spans="1:2" x14ac:dyDescent="0.2">
      <c r="A759" s="53">
        <v>42907</v>
      </c>
      <c r="B759">
        <v>4474257</v>
      </c>
    </row>
    <row r="760" spans="1:2" x14ac:dyDescent="0.2">
      <c r="A760" s="53">
        <v>42914</v>
      </c>
      <c r="B760">
        <v>4463347</v>
      </c>
    </row>
    <row r="761" spans="1:2" x14ac:dyDescent="0.2">
      <c r="A761" s="53">
        <v>42921</v>
      </c>
      <c r="B761">
        <v>4467272</v>
      </c>
    </row>
    <row r="762" spans="1:2" x14ac:dyDescent="0.2">
      <c r="A762" s="53">
        <v>42928</v>
      </c>
      <c r="B762">
        <v>4466702</v>
      </c>
    </row>
    <row r="763" spans="1:2" x14ac:dyDescent="0.2">
      <c r="A763" s="53">
        <v>42935</v>
      </c>
      <c r="B763">
        <v>4476903</v>
      </c>
    </row>
    <row r="764" spans="1:2" x14ac:dyDescent="0.2">
      <c r="A764" s="53">
        <v>42942</v>
      </c>
      <c r="B764">
        <v>4465284</v>
      </c>
    </row>
    <row r="765" spans="1:2" x14ac:dyDescent="0.2">
      <c r="A765" s="53">
        <v>42949</v>
      </c>
      <c r="B765">
        <v>4466846</v>
      </c>
    </row>
    <row r="766" spans="1:2" x14ac:dyDescent="0.2">
      <c r="A766" s="53">
        <v>42956</v>
      </c>
      <c r="B766">
        <v>4469083</v>
      </c>
    </row>
    <row r="767" spans="1:2" x14ac:dyDescent="0.2">
      <c r="A767" s="53">
        <v>42963</v>
      </c>
      <c r="B767">
        <v>4462871</v>
      </c>
    </row>
    <row r="768" spans="1:2" x14ac:dyDescent="0.2">
      <c r="A768" s="53">
        <v>42970</v>
      </c>
      <c r="B768">
        <v>4463837</v>
      </c>
    </row>
    <row r="769" spans="1:2" x14ac:dyDescent="0.2">
      <c r="A769" s="53">
        <v>42977</v>
      </c>
      <c r="B769">
        <v>4452360</v>
      </c>
    </row>
    <row r="770" spans="1:2" x14ac:dyDescent="0.2">
      <c r="A770" s="53">
        <v>42984</v>
      </c>
      <c r="B770">
        <v>4453474</v>
      </c>
    </row>
    <row r="771" spans="1:2" x14ac:dyDescent="0.2">
      <c r="A771" s="53">
        <v>42991</v>
      </c>
      <c r="B771">
        <v>4471174</v>
      </c>
    </row>
    <row r="772" spans="1:2" x14ac:dyDescent="0.2">
      <c r="A772" s="53">
        <v>42998</v>
      </c>
      <c r="B772">
        <v>4458576</v>
      </c>
    </row>
    <row r="773" spans="1:2" x14ac:dyDescent="0.2">
      <c r="A773" s="53">
        <v>43005</v>
      </c>
      <c r="B773">
        <v>4455661</v>
      </c>
    </row>
    <row r="774" spans="1:2" x14ac:dyDescent="0.2">
      <c r="A774" s="53">
        <v>43012</v>
      </c>
      <c r="B774">
        <v>4460422</v>
      </c>
    </row>
    <row r="775" spans="1:2" x14ac:dyDescent="0.2">
      <c r="A775" s="53">
        <v>43019</v>
      </c>
      <c r="B775">
        <v>4459415</v>
      </c>
    </row>
    <row r="776" spans="1:2" x14ac:dyDescent="0.2">
      <c r="A776" s="53">
        <v>43026</v>
      </c>
      <c r="B776">
        <v>4469723</v>
      </c>
    </row>
    <row r="777" spans="1:2" x14ac:dyDescent="0.2">
      <c r="A777" s="53">
        <v>43033</v>
      </c>
      <c r="B777">
        <v>4461117</v>
      </c>
    </row>
    <row r="778" spans="1:2" x14ac:dyDescent="0.2">
      <c r="A778" s="53">
        <v>43040</v>
      </c>
      <c r="B778">
        <v>4455887</v>
      </c>
    </row>
    <row r="779" spans="1:2" x14ac:dyDescent="0.2">
      <c r="A779" s="53">
        <v>43047</v>
      </c>
      <c r="B779">
        <v>4458552</v>
      </c>
    </row>
    <row r="780" spans="1:2" x14ac:dyDescent="0.2">
      <c r="A780" s="53">
        <v>43054</v>
      </c>
      <c r="B780">
        <v>4448289</v>
      </c>
    </row>
    <row r="781" spans="1:2" x14ac:dyDescent="0.2">
      <c r="A781" s="53">
        <v>43061</v>
      </c>
      <c r="B781">
        <v>4450615</v>
      </c>
    </row>
    <row r="782" spans="1:2" x14ac:dyDescent="0.2">
      <c r="A782" s="53">
        <v>43068</v>
      </c>
      <c r="B782">
        <v>4438592</v>
      </c>
    </row>
    <row r="783" spans="1:2" x14ac:dyDescent="0.2">
      <c r="A783" s="53">
        <v>43075</v>
      </c>
      <c r="B783">
        <v>4437148</v>
      </c>
    </row>
    <row r="784" spans="1:2" x14ac:dyDescent="0.2">
      <c r="A784" s="53">
        <v>43082</v>
      </c>
      <c r="B784">
        <v>4452726</v>
      </c>
    </row>
    <row r="785" spans="1:2" x14ac:dyDescent="0.2">
      <c r="A785" s="53">
        <v>43089</v>
      </c>
      <c r="B785">
        <v>4447470</v>
      </c>
    </row>
    <row r="786" spans="1:2" x14ac:dyDescent="0.2">
      <c r="A786" s="53">
        <v>43096</v>
      </c>
      <c r="B786">
        <v>4448680</v>
      </c>
    </row>
    <row r="787" spans="1:2" x14ac:dyDescent="0.2">
      <c r="A787" s="53">
        <v>43103</v>
      </c>
      <c r="B787">
        <v>4443718</v>
      </c>
    </row>
    <row r="788" spans="1:2" x14ac:dyDescent="0.2">
      <c r="A788" s="53">
        <v>43110</v>
      </c>
      <c r="B788">
        <v>4446062</v>
      </c>
    </row>
    <row r="789" spans="1:2" x14ac:dyDescent="0.2">
      <c r="A789" s="53">
        <v>43117</v>
      </c>
      <c r="B789">
        <v>4439145</v>
      </c>
    </row>
    <row r="790" spans="1:2" x14ac:dyDescent="0.2">
      <c r="A790" s="53">
        <v>43124</v>
      </c>
      <c r="B790">
        <v>4441317</v>
      </c>
    </row>
    <row r="791" spans="1:2" x14ac:dyDescent="0.2">
      <c r="A791" s="53">
        <v>43131</v>
      </c>
      <c r="B791">
        <v>4419225</v>
      </c>
    </row>
    <row r="792" spans="1:2" x14ac:dyDescent="0.2">
      <c r="A792" s="53">
        <v>43138</v>
      </c>
      <c r="B792">
        <v>4420745</v>
      </c>
    </row>
    <row r="793" spans="1:2" x14ac:dyDescent="0.2">
      <c r="A793" s="53">
        <v>43145</v>
      </c>
      <c r="B793">
        <v>4434863</v>
      </c>
    </row>
    <row r="794" spans="1:2" x14ac:dyDescent="0.2">
      <c r="A794" s="53">
        <v>43152</v>
      </c>
      <c r="B794">
        <v>4411660</v>
      </c>
    </row>
    <row r="795" spans="1:2" x14ac:dyDescent="0.2">
      <c r="A795" s="53">
        <v>43159</v>
      </c>
      <c r="B795">
        <v>4393401</v>
      </c>
    </row>
    <row r="796" spans="1:2" x14ac:dyDescent="0.2">
      <c r="A796" s="53">
        <v>43166</v>
      </c>
      <c r="B796">
        <v>4396097</v>
      </c>
    </row>
    <row r="797" spans="1:2" x14ac:dyDescent="0.2">
      <c r="A797" s="53">
        <v>43173</v>
      </c>
      <c r="B797">
        <v>4407258</v>
      </c>
    </row>
    <row r="798" spans="1:2" x14ac:dyDescent="0.2">
      <c r="A798" s="53">
        <v>43180</v>
      </c>
      <c r="B798">
        <v>4401222</v>
      </c>
    </row>
    <row r="799" spans="1:2" x14ac:dyDescent="0.2">
      <c r="A799" s="53">
        <v>43187</v>
      </c>
      <c r="B799">
        <v>4392198</v>
      </c>
    </row>
    <row r="800" spans="1:2" x14ac:dyDescent="0.2">
      <c r="A800" s="53">
        <v>43194</v>
      </c>
      <c r="B800">
        <v>4386104</v>
      </c>
    </row>
    <row r="801" spans="1:2" x14ac:dyDescent="0.2">
      <c r="A801" s="53">
        <v>43201</v>
      </c>
      <c r="B801">
        <v>4383684</v>
      </c>
    </row>
    <row r="802" spans="1:2" x14ac:dyDescent="0.2">
      <c r="A802" s="53">
        <v>43208</v>
      </c>
      <c r="B802">
        <v>4385903</v>
      </c>
    </row>
    <row r="803" spans="1:2" x14ac:dyDescent="0.2">
      <c r="A803" s="53">
        <v>43215</v>
      </c>
      <c r="B803">
        <v>4372886</v>
      </c>
    </row>
    <row r="804" spans="1:2" x14ac:dyDescent="0.2">
      <c r="A804" s="53">
        <v>43222</v>
      </c>
      <c r="B804">
        <v>4356129</v>
      </c>
    </row>
    <row r="805" spans="1:2" x14ac:dyDescent="0.2">
      <c r="A805" s="53">
        <v>43229</v>
      </c>
      <c r="B805">
        <v>4358207</v>
      </c>
    </row>
    <row r="806" spans="1:2" x14ac:dyDescent="0.2">
      <c r="A806" s="53">
        <v>43236</v>
      </c>
      <c r="B806">
        <v>4337609</v>
      </c>
    </row>
    <row r="807" spans="1:2" x14ac:dyDescent="0.2">
      <c r="A807" s="53">
        <v>43243</v>
      </c>
      <c r="B807">
        <v>4337301</v>
      </c>
    </row>
    <row r="808" spans="1:2" x14ac:dyDescent="0.2">
      <c r="A808" s="53">
        <v>43250</v>
      </c>
      <c r="B808">
        <v>4327519</v>
      </c>
    </row>
    <row r="809" spans="1:2" x14ac:dyDescent="0.2">
      <c r="A809" s="53">
        <v>43257</v>
      </c>
      <c r="B809">
        <v>4319191</v>
      </c>
    </row>
    <row r="810" spans="1:2" x14ac:dyDescent="0.2">
      <c r="A810" s="53">
        <v>43264</v>
      </c>
      <c r="B810">
        <v>4324906</v>
      </c>
    </row>
    <row r="811" spans="1:2" x14ac:dyDescent="0.2">
      <c r="A811" s="53">
        <v>43271</v>
      </c>
      <c r="B811">
        <v>4315896</v>
      </c>
    </row>
    <row r="812" spans="1:2" x14ac:dyDescent="0.2">
      <c r="A812" s="53">
        <v>43278</v>
      </c>
      <c r="B812">
        <v>4305491</v>
      </c>
    </row>
    <row r="813" spans="1:2" x14ac:dyDescent="0.2">
      <c r="A813" s="53">
        <v>43285</v>
      </c>
      <c r="B813">
        <v>4289764</v>
      </c>
    </row>
    <row r="814" spans="1:2" x14ac:dyDescent="0.2">
      <c r="A814" s="53">
        <v>43292</v>
      </c>
      <c r="B814">
        <v>4291201</v>
      </c>
    </row>
    <row r="815" spans="1:2" x14ac:dyDescent="0.2">
      <c r="A815" s="53">
        <v>43299</v>
      </c>
      <c r="B815">
        <v>4291615</v>
      </c>
    </row>
    <row r="816" spans="1:2" x14ac:dyDescent="0.2">
      <c r="A816" s="53">
        <v>43306</v>
      </c>
      <c r="B816">
        <v>4277681</v>
      </c>
    </row>
    <row r="817" spans="1:2" x14ac:dyDescent="0.2">
      <c r="A817" s="53">
        <v>43313</v>
      </c>
      <c r="B817">
        <v>4255653</v>
      </c>
    </row>
    <row r="818" spans="1:2" x14ac:dyDescent="0.2">
      <c r="A818" s="53">
        <v>43320</v>
      </c>
      <c r="B818">
        <v>4258030</v>
      </c>
    </row>
    <row r="819" spans="1:2" x14ac:dyDescent="0.2">
      <c r="A819" s="53">
        <v>43327</v>
      </c>
      <c r="B819">
        <v>4228924</v>
      </c>
    </row>
    <row r="820" spans="1:2" x14ac:dyDescent="0.2">
      <c r="A820" s="53">
        <v>43334</v>
      </c>
      <c r="B820">
        <v>4228818</v>
      </c>
    </row>
    <row r="821" spans="1:2" x14ac:dyDescent="0.2">
      <c r="A821" s="53">
        <v>43341</v>
      </c>
      <c r="B821">
        <v>4218914</v>
      </c>
    </row>
    <row r="822" spans="1:2" x14ac:dyDescent="0.2">
      <c r="A822" s="53">
        <v>43348</v>
      </c>
      <c r="B822">
        <v>4208496</v>
      </c>
    </row>
    <row r="823" spans="1:2" x14ac:dyDescent="0.2">
      <c r="A823" s="53">
        <v>43355</v>
      </c>
      <c r="B823">
        <v>4210812</v>
      </c>
    </row>
    <row r="824" spans="1:2" x14ac:dyDescent="0.2">
      <c r="A824" s="53">
        <v>43362</v>
      </c>
      <c r="B824">
        <v>4208059</v>
      </c>
    </row>
    <row r="825" spans="1:2" x14ac:dyDescent="0.2">
      <c r="A825" s="53">
        <v>43369</v>
      </c>
      <c r="B825">
        <v>4192909</v>
      </c>
    </row>
    <row r="826" spans="1:2" x14ac:dyDescent="0.2">
      <c r="A826" s="53">
        <v>43376</v>
      </c>
      <c r="B826">
        <v>4174704</v>
      </c>
    </row>
    <row r="827" spans="1:2" x14ac:dyDescent="0.2">
      <c r="A827" s="53">
        <v>43383</v>
      </c>
      <c r="B827">
        <v>4176906</v>
      </c>
    </row>
    <row r="828" spans="1:2" x14ac:dyDescent="0.2">
      <c r="A828" s="53">
        <v>43390</v>
      </c>
      <c r="B828">
        <v>4175446</v>
      </c>
    </row>
    <row r="829" spans="1:2" x14ac:dyDescent="0.2">
      <c r="A829" s="53">
        <v>43397</v>
      </c>
      <c r="B829">
        <v>4173070</v>
      </c>
    </row>
    <row r="830" spans="1:2" x14ac:dyDescent="0.2">
      <c r="A830" s="53">
        <v>43404</v>
      </c>
      <c r="B830">
        <v>4139731</v>
      </c>
    </row>
    <row r="831" spans="1:2" x14ac:dyDescent="0.2">
      <c r="A831" s="53">
        <v>43411</v>
      </c>
      <c r="B831">
        <v>4141936</v>
      </c>
    </row>
    <row r="832" spans="1:2" x14ac:dyDescent="0.2">
      <c r="A832" s="53">
        <v>43418</v>
      </c>
      <c r="B832">
        <v>4145892</v>
      </c>
    </row>
    <row r="833" spans="1:2" x14ac:dyDescent="0.2">
      <c r="A833" s="53">
        <v>43425</v>
      </c>
      <c r="B833">
        <v>4106198</v>
      </c>
    </row>
    <row r="834" spans="1:2" x14ac:dyDescent="0.2">
      <c r="A834" s="53">
        <v>43432</v>
      </c>
      <c r="B834">
        <v>4097170</v>
      </c>
    </row>
    <row r="835" spans="1:2" x14ac:dyDescent="0.2">
      <c r="A835" s="53">
        <v>43439</v>
      </c>
      <c r="B835">
        <v>4086044</v>
      </c>
    </row>
    <row r="836" spans="1:2" x14ac:dyDescent="0.2">
      <c r="A836" s="53">
        <v>43446</v>
      </c>
      <c r="B836">
        <v>4088314</v>
      </c>
    </row>
    <row r="837" spans="1:2" x14ac:dyDescent="0.2">
      <c r="A837" s="53">
        <v>43453</v>
      </c>
      <c r="B837">
        <v>4084274</v>
      </c>
    </row>
    <row r="838" spans="1:2" x14ac:dyDescent="0.2">
      <c r="A838" s="53">
        <v>43460</v>
      </c>
      <c r="B838">
        <v>4075636</v>
      </c>
    </row>
    <row r="839" spans="1:2" x14ac:dyDescent="0.2">
      <c r="A839" s="53">
        <v>43467</v>
      </c>
      <c r="B839">
        <v>4058378</v>
      </c>
    </row>
    <row r="840" spans="1:2" x14ac:dyDescent="0.2">
      <c r="A840" s="53">
        <v>43474</v>
      </c>
      <c r="B840">
        <v>4056563</v>
      </c>
    </row>
    <row r="841" spans="1:2" x14ac:dyDescent="0.2">
      <c r="A841" s="53">
        <v>43481</v>
      </c>
      <c r="B841">
        <v>4050044</v>
      </c>
    </row>
    <row r="842" spans="1:2" x14ac:dyDescent="0.2">
      <c r="A842" s="53">
        <v>43488</v>
      </c>
      <c r="B842">
        <v>4047052</v>
      </c>
    </row>
    <row r="843" spans="1:2" x14ac:dyDescent="0.2">
      <c r="A843" s="53">
        <v>43495</v>
      </c>
      <c r="B843">
        <v>4039678</v>
      </c>
    </row>
    <row r="844" spans="1:2" x14ac:dyDescent="0.2">
      <c r="A844" s="53">
        <v>43502</v>
      </c>
      <c r="B844">
        <v>4026350</v>
      </c>
    </row>
    <row r="845" spans="1:2" x14ac:dyDescent="0.2">
      <c r="A845" s="53">
        <v>43509</v>
      </c>
      <c r="B845">
        <v>4028431</v>
      </c>
    </row>
    <row r="846" spans="1:2" x14ac:dyDescent="0.2">
      <c r="A846" s="53">
        <v>43516</v>
      </c>
      <c r="B846">
        <v>3981420</v>
      </c>
    </row>
    <row r="847" spans="1:2" x14ac:dyDescent="0.2">
      <c r="A847" s="53">
        <v>43523</v>
      </c>
      <c r="B847">
        <v>3974590</v>
      </c>
    </row>
    <row r="848" spans="1:2" x14ac:dyDescent="0.2">
      <c r="A848" s="53">
        <v>43530</v>
      </c>
      <c r="B848">
        <v>3969134</v>
      </c>
    </row>
    <row r="849" spans="1:2" x14ac:dyDescent="0.2">
      <c r="A849" s="53">
        <v>43537</v>
      </c>
      <c r="B849">
        <v>3971559</v>
      </c>
    </row>
    <row r="850" spans="1:2" x14ac:dyDescent="0.2">
      <c r="A850" s="53">
        <v>43544</v>
      </c>
      <c r="B850">
        <v>3962748</v>
      </c>
    </row>
    <row r="851" spans="1:2" x14ac:dyDescent="0.2">
      <c r="A851" s="53">
        <v>43551</v>
      </c>
      <c r="B851">
        <v>3955617</v>
      </c>
    </row>
    <row r="852" spans="1:2" x14ac:dyDescent="0.2">
      <c r="A852" s="53">
        <v>43558</v>
      </c>
      <c r="B852">
        <v>3935509</v>
      </c>
    </row>
    <row r="853" spans="1:2" x14ac:dyDescent="0.2">
      <c r="A853" s="53">
        <v>43565</v>
      </c>
      <c r="B853">
        <v>3936784</v>
      </c>
    </row>
    <row r="854" spans="1:2" x14ac:dyDescent="0.2">
      <c r="A854" s="53">
        <v>43572</v>
      </c>
      <c r="B854">
        <v>3931827</v>
      </c>
    </row>
    <row r="855" spans="1:2" x14ac:dyDescent="0.2">
      <c r="A855" s="53">
        <v>43579</v>
      </c>
      <c r="B855">
        <v>3928273</v>
      </c>
    </row>
    <row r="856" spans="1:2" x14ac:dyDescent="0.2">
      <c r="A856" s="53">
        <v>43586</v>
      </c>
      <c r="B856">
        <v>3889691</v>
      </c>
    </row>
    <row r="857" spans="1:2" x14ac:dyDescent="0.2">
      <c r="A857" s="53">
        <v>43593</v>
      </c>
      <c r="B857">
        <v>3892216</v>
      </c>
    </row>
    <row r="858" spans="1:2" x14ac:dyDescent="0.2">
      <c r="A858" s="53">
        <v>43600</v>
      </c>
      <c r="B858">
        <v>3864749</v>
      </c>
    </row>
    <row r="859" spans="1:2" x14ac:dyDescent="0.2">
      <c r="A859" s="53">
        <v>43607</v>
      </c>
      <c r="B859">
        <v>3860435</v>
      </c>
    </row>
    <row r="860" spans="1:2" x14ac:dyDescent="0.2">
      <c r="A860" s="53">
        <v>43614</v>
      </c>
      <c r="B860">
        <v>3851444</v>
      </c>
    </row>
    <row r="861" spans="1:2" x14ac:dyDescent="0.2">
      <c r="A861" s="53">
        <v>43621</v>
      </c>
      <c r="B861">
        <v>3847645</v>
      </c>
    </row>
    <row r="862" spans="1:2" x14ac:dyDescent="0.2">
      <c r="A862" s="53">
        <v>43628</v>
      </c>
      <c r="B862">
        <v>3849955</v>
      </c>
    </row>
    <row r="863" spans="1:2" x14ac:dyDescent="0.2">
      <c r="A863" s="53">
        <v>43635</v>
      </c>
      <c r="B863">
        <v>3844016</v>
      </c>
    </row>
    <row r="864" spans="1:2" x14ac:dyDescent="0.2">
      <c r="A864" s="53">
        <v>43642</v>
      </c>
      <c r="B864">
        <v>3826817</v>
      </c>
    </row>
    <row r="865" spans="1:2" x14ac:dyDescent="0.2">
      <c r="A865" s="53">
        <v>43649</v>
      </c>
      <c r="B865">
        <v>3813198</v>
      </c>
    </row>
    <row r="866" spans="1:2" x14ac:dyDescent="0.2">
      <c r="A866" s="53">
        <v>43656</v>
      </c>
      <c r="B866">
        <v>3815038</v>
      </c>
    </row>
    <row r="867" spans="1:2" x14ac:dyDescent="0.2">
      <c r="A867" s="53">
        <v>43663</v>
      </c>
      <c r="B867">
        <v>3808110</v>
      </c>
    </row>
    <row r="868" spans="1:2" x14ac:dyDescent="0.2">
      <c r="A868" s="53">
        <v>43670</v>
      </c>
      <c r="B868">
        <v>3803436</v>
      </c>
    </row>
    <row r="869" spans="1:2" x14ac:dyDescent="0.2">
      <c r="A869" s="53">
        <v>43677</v>
      </c>
      <c r="B869">
        <v>3779102</v>
      </c>
    </row>
    <row r="870" spans="1:2" x14ac:dyDescent="0.2">
      <c r="A870" s="53">
        <v>43684</v>
      </c>
      <c r="B870">
        <v>3781543</v>
      </c>
    </row>
    <row r="871" spans="1:2" x14ac:dyDescent="0.2">
      <c r="A871" s="53">
        <v>43691</v>
      </c>
      <c r="B871">
        <v>3786018</v>
      </c>
    </row>
    <row r="872" spans="1:2" x14ac:dyDescent="0.2">
      <c r="A872" s="53">
        <v>43698</v>
      </c>
      <c r="B872">
        <v>3764866</v>
      </c>
    </row>
    <row r="873" spans="1:2" x14ac:dyDescent="0.2">
      <c r="A873" s="53">
        <v>43705</v>
      </c>
      <c r="B873">
        <v>3759946</v>
      </c>
    </row>
    <row r="874" spans="1:2" x14ac:dyDescent="0.2">
      <c r="A874" s="53">
        <v>43712</v>
      </c>
      <c r="B874">
        <v>3761508</v>
      </c>
    </row>
    <row r="875" spans="1:2" x14ac:dyDescent="0.2">
      <c r="A875" s="53">
        <v>43719</v>
      </c>
      <c r="B875">
        <v>3769673</v>
      </c>
    </row>
    <row r="876" spans="1:2" x14ac:dyDescent="0.2">
      <c r="A876" s="53">
        <v>43726</v>
      </c>
      <c r="B876">
        <v>3844695</v>
      </c>
    </row>
    <row r="877" spans="1:2" x14ac:dyDescent="0.2">
      <c r="A877" s="53">
        <v>43733</v>
      </c>
      <c r="B877">
        <v>3857715</v>
      </c>
    </row>
    <row r="878" spans="1:2" x14ac:dyDescent="0.2">
      <c r="A878" s="53">
        <v>43740</v>
      </c>
      <c r="B878">
        <v>3945831</v>
      </c>
    </row>
    <row r="879" spans="1:2" x14ac:dyDescent="0.2">
      <c r="A879" s="53">
        <v>43747</v>
      </c>
      <c r="B879">
        <v>3949955</v>
      </c>
    </row>
    <row r="880" spans="1:2" x14ac:dyDescent="0.2">
      <c r="A880" s="53">
        <v>43754</v>
      </c>
      <c r="B880">
        <v>3966471</v>
      </c>
    </row>
    <row r="881" spans="1:2" x14ac:dyDescent="0.2">
      <c r="A881" s="53">
        <v>43761</v>
      </c>
      <c r="B881">
        <v>3968700</v>
      </c>
    </row>
    <row r="882" spans="1:2" x14ac:dyDescent="0.2">
      <c r="A882" s="53">
        <v>43768</v>
      </c>
      <c r="B882">
        <v>4019823</v>
      </c>
    </row>
    <row r="883" spans="1:2" x14ac:dyDescent="0.2">
      <c r="A883" s="53">
        <v>43775</v>
      </c>
      <c r="B883">
        <v>4039443</v>
      </c>
    </row>
    <row r="884" spans="1:2" x14ac:dyDescent="0.2">
      <c r="A884" s="53">
        <v>43782</v>
      </c>
      <c r="B884">
        <v>4047882</v>
      </c>
    </row>
    <row r="885" spans="1:2" x14ac:dyDescent="0.2">
      <c r="A885" s="53">
        <v>43789</v>
      </c>
      <c r="B885">
        <v>4030249</v>
      </c>
    </row>
    <row r="886" spans="1:2" x14ac:dyDescent="0.2">
      <c r="A886" s="53">
        <v>43796</v>
      </c>
      <c r="B886">
        <v>4052875</v>
      </c>
    </row>
    <row r="887" spans="1:2" x14ac:dyDescent="0.2">
      <c r="A887" s="53">
        <v>43803</v>
      </c>
      <c r="B887">
        <v>4065696</v>
      </c>
    </row>
    <row r="888" spans="1:2" x14ac:dyDescent="0.2">
      <c r="A888" s="53">
        <v>43810</v>
      </c>
      <c r="B888">
        <v>4095491</v>
      </c>
    </row>
    <row r="889" spans="1:2" x14ac:dyDescent="0.2">
      <c r="A889" s="53">
        <v>43817</v>
      </c>
      <c r="B889">
        <v>4137052</v>
      </c>
    </row>
    <row r="890" spans="1:2" x14ac:dyDescent="0.2">
      <c r="A890" s="53">
        <v>43824</v>
      </c>
      <c r="B890">
        <v>4165591</v>
      </c>
    </row>
    <row r="891" spans="1:2" x14ac:dyDescent="0.2">
      <c r="A891" s="53">
        <v>43831</v>
      </c>
      <c r="B891">
        <v>4173626</v>
      </c>
    </row>
    <row r="892" spans="1:2" x14ac:dyDescent="0.2">
      <c r="A892" s="53">
        <v>43838</v>
      </c>
      <c r="B892">
        <v>4149544</v>
      </c>
    </row>
    <row r="893" spans="1:2" x14ac:dyDescent="0.2">
      <c r="A893" s="53">
        <v>43845</v>
      </c>
      <c r="B893">
        <v>4175850</v>
      </c>
    </row>
    <row r="894" spans="1:2" x14ac:dyDescent="0.2">
      <c r="A894" s="53">
        <v>43852</v>
      </c>
      <c r="B894">
        <v>4145912</v>
      </c>
    </row>
    <row r="895" spans="1:2" x14ac:dyDescent="0.2">
      <c r="A895" s="53">
        <v>43859</v>
      </c>
      <c r="B895">
        <v>4151630</v>
      </c>
    </row>
    <row r="896" spans="1:2" x14ac:dyDescent="0.2">
      <c r="A896" s="53">
        <v>43866</v>
      </c>
      <c r="B896">
        <v>4166707</v>
      </c>
    </row>
    <row r="897" spans="1:2" x14ac:dyDescent="0.2">
      <c r="A897" s="53">
        <v>43873</v>
      </c>
      <c r="B897">
        <v>4182689</v>
      </c>
    </row>
    <row r="898" spans="1:2" x14ac:dyDescent="0.2">
      <c r="A898" s="53">
        <v>43880</v>
      </c>
      <c r="B898">
        <v>4171570</v>
      </c>
    </row>
    <row r="899" spans="1:2" x14ac:dyDescent="0.2">
      <c r="A899" s="53">
        <v>43887</v>
      </c>
      <c r="B899">
        <v>4158637</v>
      </c>
    </row>
    <row r="900" spans="1:2" x14ac:dyDescent="0.2">
      <c r="A900" s="53">
        <v>43894</v>
      </c>
      <c r="B900">
        <v>4241507</v>
      </c>
    </row>
    <row r="901" spans="1:2" x14ac:dyDescent="0.2">
      <c r="A901" s="53">
        <v>43901</v>
      </c>
      <c r="B901">
        <v>4311911</v>
      </c>
    </row>
    <row r="902" spans="1:2" x14ac:dyDescent="0.2">
      <c r="A902" s="53">
        <v>43908</v>
      </c>
      <c r="B902">
        <v>4668212</v>
      </c>
    </row>
    <row r="903" spans="1:2" x14ac:dyDescent="0.2">
      <c r="A903" s="53">
        <v>43915</v>
      </c>
      <c r="B903">
        <v>5254278</v>
      </c>
    </row>
    <row r="904" spans="1:2" x14ac:dyDescent="0.2">
      <c r="A904" s="53">
        <v>43922</v>
      </c>
      <c r="B904">
        <v>5811607</v>
      </c>
    </row>
    <row r="905" spans="1:2" x14ac:dyDescent="0.2">
      <c r="A905" s="53">
        <v>43929</v>
      </c>
      <c r="B905">
        <v>6083141</v>
      </c>
    </row>
    <row r="906" spans="1:2" x14ac:dyDescent="0.2">
      <c r="A906" s="53">
        <v>43936</v>
      </c>
      <c r="B906">
        <v>6367887</v>
      </c>
    </row>
    <row r="907" spans="1:2" x14ac:dyDescent="0.2">
      <c r="A907" s="53">
        <v>43943</v>
      </c>
      <c r="B907">
        <v>6573136</v>
      </c>
    </row>
    <row r="908" spans="1:2" x14ac:dyDescent="0.2">
      <c r="A908" s="53">
        <v>43950</v>
      </c>
      <c r="B908">
        <v>6655929</v>
      </c>
    </row>
    <row r="909" spans="1:2" x14ac:dyDescent="0.2">
      <c r="A909" s="53">
        <v>43957</v>
      </c>
      <c r="B909">
        <v>6721420</v>
      </c>
    </row>
    <row r="910" spans="1:2" x14ac:dyDescent="0.2">
      <c r="A910" s="53">
        <v>43964</v>
      </c>
      <c r="B910">
        <v>6934227</v>
      </c>
    </row>
    <row r="911" spans="1:2" x14ac:dyDescent="0.2">
      <c r="A911" s="53">
        <v>43971</v>
      </c>
      <c r="B911">
        <v>7037258</v>
      </c>
    </row>
    <row r="912" spans="1:2" x14ac:dyDescent="0.2">
      <c r="A912" s="53">
        <v>43978</v>
      </c>
      <c r="B912">
        <v>7097316</v>
      </c>
    </row>
    <row r="913" spans="1:2" x14ac:dyDescent="0.2">
      <c r="A913" s="53">
        <v>43985</v>
      </c>
      <c r="B913">
        <v>7165217</v>
      </c>
    </row>
    <row r="914" spans="1:2" x14ac:dyDescent="0.2">
      <c r="A914" s="53">
        <v>43992</v>
      </c>
      <c r="B914">
        <v>7168936</v>
      </c>
    </row>
    <row r="915" spans="1:2" x14ac:dyDescent="0.2">
      <c r="A915" s="53">
        <v>43999</v>
      </c>
      <c r="B915">
        <v>7094690</v>
      </c>
    </row>
    <row r="916" spans="1:2" x14ac:dyDescent="0.2">
      <c r="A916" s="53">
        <v>44006</v>
      </c>
      <c r="B916">
        <v>7082302</v>
      </c>
    </row>
    <row r="917" spans="1:2" x14ac:dyDescent="0.2">
      <c r="A917" s="53">
        <v>44013</v>
      </c>
      <c r="B917">
        <v>7009040</v>
      </c>
    </row>
    <row r="918" spans="1:2" x14ac:dyDescent="0.2">
      <c r="A918" s="53">
        <v>44020</v>
      </c>
      <c r="B918">
        <v>6920716</v>
      </c>
    </row>
    <row r="919" spans="1:2" x14ac:dyDescent="0.2">
      <c r="A919" s="53">
        <v>44027</v>
      </c>
      <c r="B919">
        <v>6958604</v>
      </c>
    </row>
    <row r="920" spans="1:2" x14ac:dyDescent="0.2">
      <c r="A920" s="53">
        <v>44034</v>
      </c>
      <c r="B920">
        <v>6964755</v>
      </c>
    </row>
    <row r="921" spans="1:2" x14ac:dyDescent="0.2">
      <c r="A921" s="53">
        <v>44041</v>
      </c>
      <c r="B921">
        <v>6949032</v>
      </c>
    </row>
    <row r="922" spans="1:2" x14ac:dyDescent="0.2">
      <c r="A922" s="53">
        <v>44048</v>
      </c>
      <c r="B922">
        <v>6945237</v>
      </c>
    </row>
    <row r="923" spans="1:2" x14ac:dyDescent="0.2">
      <c r="A923" s="53">
        <v>44055</v>
      </c>
      <c r="B923">
        <v>6957277</v>
      </c>
    </row>
    <row r="924" spans="1:2" x14ac:dyDescent="0.2">
      <c r="A924" s="53">
        <v>44062</v>
      </c>
      <c r="B924">
        <v>7010637</v>
      </c>
    </row>
    <row r="925" spans="1:2" x14ac:dyDescent="0.2">
      <c r="A925" s="53">
        <v>44069</v>
      </c>
      <c r="B925">
        <v>6990418</v>
      </c>
    </row>
    <row r="926" spans="1:2" x14ac:dyDescent="0.2">
      <c r="A926" s="53">
        <v>44076</v>
      </c>
      <c r="B926">
        <v>7017492</v>
      </c>
    </row>
    <row r="927" spans="1:2" x14ac:dyDescent="0.2">
      <c r="A927" s="53">
        <v>44083</v>
      </c>
      <c r="B927">
        <v>7010614</v>
      </c>
    </row>
    <row r="928" spans="1:2" x14ac:dyDescent="0.2">
      <c r="A928" s="53">
        <v>44090</v>
      </c>
      <c r="B928">
        <v>7064475</v>
      </c>
    </row>
    <row r="929" spans="1:2" x14ac:dyDescent="0.2">
      <c r="A929" s="53">
        <v>44097</v>
      </c>
      <c r="B929">
        <v>7093161</v>
      </c>
    </row>
    <row r="930" spans="1:2" x14ac:dyDescent="0.2">
      <c r="A930" s="53">
        <v>44104</v>
      </c>
      <c r="B930">
        <v>7056129</v>
      </c>
    </row>
    <row r="931" spans="1:2" x14ac:dyDescent="0.2">
      <c r="A931" s="53">
        <v>44111</v>
      </c>
      <c r="B931">
        <v>7074649</v>
      </c>
    </row>
    <row r="932" spans="1:2" x14ac:dyDescent="0.2">
      <c r="A932" s="53">
        <v>44118</v>
      </c>
      <c r="B932">
        <v>7151426</v>
      </c>
    </row>
    <row r="933" spans="1:2" x14ac:dyDescent="0.2">
      <c r="A933" s="53">
        <v>44125</v>
      </c>
      <c r="B933">
        <v>7177265</v>
      </c>
    </row>
    <row r="934" spans="1:2" x14ac:dyDescent="0.2">
      <c r="A934" s="53">
        <v>44132</v>
      </c>
      <c r="B934">
        <v>7146306</v>
      </c>
    </row>
    <row r="935" spans="1:2" x14ac:dyDescent="0.2">
      <c r="A935" s="53">
        <v>44139</v>
      </c>
      <c r="B935">
        <v>7157479</v>
      </c>
    </row>
    <row r="936" spans="1:2" x14ac:dyDescent="0.2">
      <c r="A936" s="53">
        <v>44146</v>
      </c>
      <c r="B936">
        <v>7175417</v>
      </c>
    </row>
    <row r="937" spans="1:2" x14ac:dyDescent="0.2">
      <c r="A937" s="53">
        <v>44153</v>
      </c>
      <c r="B937">
        <v>7243080</v>
      </c>
    </row>
    <row r="938" spans="1:2" x14ac:dyDescent="0.2">
      <c r="A938" s="53">
        <v>44160</v>
      </c>
      <c r="B938">
        <v>7216480</v>
      </c>
    </row>
    <row r="939" spans="1:2" x14ac:dyDescent="0.2">
      <c r="A939" s="53">
        <v>44167</v>
      </c>
      <c r="B939">
        <v>7222414</v>
      </c>
    </row>
    <row r="940" spans="1:2" x14ac:dyDescent="0.2">
      <c r="A940" s="53">
        <v>44174</v>
      </c>
      <c r="B940">
        <v>7242658</v>
      </c>
    </row>
    <row r="941" spans="1:2" x14ac:dyDescent="0.2">
      <c r="A941" s="53">
        <v>44181</v>
      </c>
      <c r="B941">
        <v>7362592</v>
      </c>
    </row>
    <row r="942" spans="1:2" x14ac:dyDescent="0.2">
      <c r="A942" s="53">
        <v>44188</v>
      </c>
      <c r="B942">
        <v>7404039</v>
      </c>
    </row>
    <row r="943" spans="1:2" x14ac:dyDescent="0.2">
      <c r="A943" s="53">
        <v>44195</v>
      </c>
      <c r="B943">
        <v>7363351</v>
      </c>
    </row>
    <row r="944" spans="1:2" x14ac:dyDescent="0.2">
      <c r="A944" s="53">
        <v>44202</v>
      </c>
      <c r="B944">
        <v>7334809</v>
      </c>
    </row>
    <row r="945" spans="1:2" x14ac:dyDescent="0.2">
      <c r="A945" s="53">
        <v>44209</v>
      </c>
      <c r="B945">
        <v>7333968</v>
      </c>
    </row>
    <row r="946" spans="1:2" x14ac:dyDescent="0.2">
      <c r="A946" s="53">
        <v>44216</v>
      </c>
      <c r="B946">
        <v>7414942</v>
      </c>
    </row>
    <row r="947" spans="1:2" x14ac:dyDescent="0.2">
      <c r="A947" s="53">
        <v>44223</v>
      </c>
      <c r="B947">
        <v>7404926</v>
      </c>
    </row>
    <row r="948" spans="1:2" x14ac:dyDescent="0.2">
      <c r="A948" s="53">
        <v>44230</v>
      </c>
      <c r="B948">
        <v>7410598</v>
      </c>
    </row>
    <row r="949" spans="1:2" x14ac:dyDescent="0.2">
      <c r="A949" s="53">
        <v>44237</v>
      </c>
      <c r="B949">
        <v>7442225</v>
      </c>
    </row>
    <row r="950" spans="1:2" x14ac:dyDescent="0.2">
      <c r="A950" s="53">
        <v>44244</v>
      </c>
      <c r="B950">
        <v>7557402</v>
      </c>
    </row>
    <row r="951" spans="1:2" x14ac:dyDescent="0.2">
      <c r="A951" s="53">
        <v>44251</v>
      </c>
      <c r="B951">
        <v>7590111</v>
      </c>
    </row>
    <row r="952" spans="1:2" x14ac:dyDescent="0.2">
      <c r="A952" s="53">
        <v>44258</v>
      </c>
      <c r="B952">
        <v>7557524</v>
      </c>
    </row>
    <row r="953" spans="1:2" x14ac:dyDescent="0.2">
      <c r="A953" s="53">
        <v>44265</v>
      </c>
      <c r="B953">
        <v>7579901</v>
      </c>
    </row>
    <row r="954" spans="1:2" x14ac:dyDescent="0.2">
      <c r="A954" s="53">
        <v>44272</v>
      </c>
      <c r="B954">
        <v>7693506</v>
      </c>
    </row>
    <row r="955" spans="1:2" x14ac:dyDescent="0.2">
      <c r="A955" s="53">
        <v>44279</v>
      </c>
      <c r="B955">
        <v>7719622</v>
      </c>
    </row>
    <row r="956" spans="1:2" x14ac:dyDescent="0.2">
      <c r="A956" s="53">
        <v>44286</v>
      </c>
      <c r="B956">
        <v>7688988</v>
      </c>
    </row>
    <row r="957" spans="1:2" x14ac:dyDescent="0.2">
      <c r="A957" s="53">
        <v>44293</v>
      </c>
      <c r="B957">
        <v>7708882</v>
      </c>
    </row>
    <row r="958" spans="1:2" x14ac:dyDescent="0.2">
      <c r="A958" s="53">
        <v>44300</v>
      </c>
      <c r="B958">
        <v>7793104</v>
      </c>
    </row>
    <row r="959" spans="1:2" x14ac:dyDescent="0.2">
      <c r="A959" s="53">
        <v>44307</v>
      </c>
      <c r="B959">
        <v>7820948</v>
      </c>
    </row>
    <row r="960" spans="1:2" x14ac:dyDescent="0.2">
      <c r="A960" s="53">
        <v>44314</v>
      </c>
      <c r="B960">
        <v>7780962</v>
      </c>
    </row>
    <row r="961" spans="1:2" x14ac:dyDescent="0.2">
      <c r="A961" s="53">
        <v>44321</v>
      </c>
      <c r="B961">
        <v>7810486</v>
      </c>
    </row>
    <row r="962" spans="1:2" x14ac:dyDescent="0.2">
      <c r="A962" s="53">
        <v>44328</v>
      </c>
      <c r="B962">
        <v>7830663</v>
      </c>
    </row>
    <row r="963" spans="1:2" x14ac:dyDescent="0.2">
      <c r="A963" s="53">
        <v>44335</v>
      </c>
      <c r="B963">
        <v>7922883</v>
      </c>
    </row>
    <row r="964" spans="1:2" x14ac:dyDescent="0.2">
      <c r="A964" s="53">
        <v>44342</v>
      </c>
      <c r="B964">
        <v>7903541</v>
      </c>
    </row>
    <row r="965" spans="1:2" x14ac:dyDescent="0.2">
      <c r="A965" s="53">
        <v>44349</v>
      </c>
      <c r="B965">
        <v>7935703</v>
      </c>
    </row>
    <row r="966" spans="1:2" x14ac:dyDescent="0.2">
      <c r="A966" s="53">
        <v>44356</v>
      </c>
      <c r="B966">
        <v>7952327</v>
      </c>
    </row>
    <row r="967" spans="1:2" x14ac:dyDescent="0.2">
      <c r="A967" s="53">
        <v>44363</v>
      </c>
      <c r="B967">
        <v>8064257</v>
      </c>
    </row>
    <row r="968" spans="1:2" x14ac:dyDescent="0.2">
      <c r="A968" s="53">
        <v>44370</v>
      </c>
      <c r="B968">
        <v>8101945</v>
      </c>
    </row>
    <row r="969" spans="1:2" x14ac:dyDescent="0.2">
      <c r="A969" s="53">
        <v>44377</v>
      </c>
      <c r="B969">
        <v>8078544</v>
      </c>
    </row>
    <row r="970" spans="1:2" x14ac:dyDescent="0.2">
      <c r="A970" s="53">
        <v>44384</v>
      </c>
      <c r="B970">
        <v>8097773</v>
      </c>
    </row>
    <row r="971" spans="1:2" x14ac:dyDescent="0.2">
      <c r="A971" s="53">
        <v>44391</v>
      </c>
      <c r="B971">
        <v>8201651</v>
      </c>
    </row>
    <row r="972" spans="1:2" x14ac:dyDescent="0.2">
      <c r="A972" s="53">
        <v>44398</v>
      </c>
      <c r="B972">
        <v>8240530</v>
      </c>
    </row>
    <row r="973" spans="1:2" x14ac:dyDescent="0.2">
      <c r="A973" s="53">
        <v>44405</v>
      </c>
      <c r="B973">
        <v>8221473</v>
      </c>
    </row>
    <row r="974" spans="1:2" x14ac:dyDescent="0.2">
      <c r="A974" s="53">
        <v>44412</v>
      </c>
      <c r="B974">
        <v>8235073</v>
      </c>
    </row>
    <row r="975" spans="1:2" x14ac:dyDescent="0.2">
      <c r="A975" s="53">
        <v>44419</v>
      </c>
      <c r="B975">
        <v>8257159</v>
      </c>
    </row>
    <row r="976" spans="1:2" x14ac:dyDescent="0.2">
      <c r="A976" s="53">
        <v>44426</v>
      </c>
      <c r="B976">
        <v>8342598</v>
      </c>
    </row>
    <row r="977" spans="1:2" x14ac:dyDescent="0.2">
      <c r="A977" s="53">
        <v>44433</v>
      </c>
      <c r="B977">
        <v>8332743</v>
      </c>
    </row>
    <row r="978" spans="1:2" x14ac:dyDescent="0.2">
      <c r="A978" s="53">
        <v>44440</v>
      </c>
      <c r="B978">
        <v>8349173</v>
      </c>
    </row>
    <row r="979" spans="1:2" x14ac:dyDescent="0.2">
      <c r="A979" s="53">
        <v>44447</v>
      </c>
      <c r="B979">
        <v>8357314</v>
      </c>
    </row>
    <row r="980" spans="1:2" x14ac:dyDescent="0.2">
      <c r="A980" s="53">
        <v>44454</v>
      </c>
      <c r="B980">
        <v>8448770</v>
      </c>
    </row>
    <row r="981" spans="1:2" x14ac:dyDescent="0.2">
      <c r="A981" s="53">
        <v>44461</v>
      </c>
      <c r="B981">
        <v>8489824</v>
      </c>
    </row>
    <row r="982" spans="1:2" x14ac:dyDescent="0.2">
      <c r="A982" s="53">
        <v>44468</v>
      </c>
      <c r="B982">
        <v>8447981</v>
      </c>
    </row>
    <row r="983" spans="1:2" x14ac:dyDescent="0.2">
      <c r="A983" s="53">
        <v>44475</v>
      </c>
      <c r="B983">
        <v>8464032</v>
      </c>
    </row>
    <row r="984" spans="1:2" x14ac:dyDescent="0.2">
      <c r="A984" s="53">
        <v>44482</v>
      </c>
      <c r="B984">
        <v>8480942</v>
      </c>
    </row>
    <row r="985" spans="1:2" x14ac:dyDescent="0.2">
      <c r="A985" s="53">
        <v>44489</v>
      </c>
      <c r="B985">
        <v>8564943</v>
      </c>
    </row>
    <row r="986" spans="1:2" x14ac:dyDescent="0.2">
      <c r="A986" s="53">
        <v>44496</v>
      </c>
      <c r="B986">
        <v>8556181</v>
      </c>
    </row>
    <row r="987" spans="1:2" x14ac:dyDescent="0.2">
      <c r="A987" s="53">
        <v>44503</v>
      </c>
      <c r="B987">
        <v>8574871</v>
      </c>
    </row>
    <row r="988" spans="1:2" x14ac:dyDescent="0.2">
      <c r="A988" s="53">
        <v>44510</v>
      </c>
      <c r="B988">
        <v>8663117</v>
      </c>
    </row>
    <row r="989" spans="1:2" x14ac:dyDescent="0.2">
      <c r="A989" s="53">
        <v>44517</v>
      </c>
      <c r="B989">
        <v>8674970</v>
      </c>
    </row>
    <row r="990" spans="1:2" x14ac:dyDescent="0.2">
      <c r="A990" s="53">
        <v>44524</v>
      </c>
      <c r="B990">
        <v>8681771</v>
      </c>
    </row>
    <row r="991" spans="1:2" x14ac:dyDescent="0.2">
      <c r="A991" s="53">
        <v>44531</v>
      </c>
      <c r="B991">
        <v>8650402</v>
      </c>
    </row>
    <row r="992" spans="1:2" x14ac:dyDescent="0.2">
      <c r="A992" s="53">
        <v>44538</v>
      </c>
      <c r="B992">
        <v>8664524</v>
      </c>
    </row>
    <row r="993" spans="1:2" x14ac:dyDescent="0.2">
      <c r="A993" s="53">
        <v>44545</v>
      </c>
      <c r="B993">
        <v>8756666</v>
      </c>
    </row>
    <row r="994" spans="1:2" x14ac:dyDescent="0.2">
      <c r="A994" s="53">
        <v>44552</v>
      </c>
      <c r="B994">
        <v>8790495</v>
      </c>
    </row>
    <row r="995" spans="1:2" x14ac:dyDescent="0.2">
      <c r="A995" s="53">
        <v>44559</v>
      </c>
      <c r="B995">
        <v>8757460</v>
      </c>
    </row>
    <row r="996" spans="1:2" x14ac:dyDescent="0.2">
      <c r="A996" s="53">
        <v>44566</v>
      </c>
      <c r="B996">
        <v>8765721</v>
      </c>
    </row>
    <row r="997" spans="1:2" x14ac:dyDescent="0.2">
      <c r="A997" s="53">
        <v>44573</v>
      </c>
      <c r="B997">
        <v>8788278</v>
      </c>
    </row>
    <row r="998" spans="1:2" x14ac:dyDescent="0.2">
      <c r="A998" s="53">
        <v>44580</v>
      </c>
      <c r="B998">
        <v>8867834</v>
      </c>
    </row>
    <row r="999" spans="1:2" x14ac:dyDescent="0.2">
      <c r="A999" s="53">
        <v>44587</v>
      </c>
      <c r="B999">
        <v>8860485</v>
      </c>
    </row>
    <row r="1000" spans="1:2" x14ac:dyDescent="0.2">
      <c r="A1000" s="53">
        <v>44594</v>
      </c>
      <c r="B1000">
        <v>8873211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39"/>
  <sheetViews>
    <sheetView zoomScale="170" zoomScaleNormal="170" workbookViewId="0">
      <pane ySplit="1" topLeftCell="A314" activePane="bottomLeft" state="frozen"/>
      <selection pane="bottomLeft" activeCell="F257" sqref="F257"/>
    </sheetView>
  </sheetViews>
  <sheetFormatPr baseColWidth="10" defaultRowHeight="15" x14ac:dyDescent="0.2"/>
  <sheetData>
    <row r="1" spans="1:4" x14ac:dyDescent="0.2">
      <c r="A1" t="s">
        <v>34</v>
      </c>
      <c r="B1" t="s">
        <v>39</v>
      </c>
      <c r="C1" t="s">
        <v>40</v>
      </c>
      <c r="D1" t="s">
        <v>41</v>
      </c>
    </row>
    <row r="2" spans="1:4" x14ac:dyDescent="0.2">
      <c r="A2" s="53">
        <v>34335</v>
      </c>
      <c r="C2">
        <v>5101787</v>
      </c>
    </row>
    <row r="3" spans="1:4" x14ac:dyDescent="0.2">
      <c r="A3" s="53">
        <v>34366</v>
      </c>
      <c r="C3">
        <v>5090367</v>
      </c>
    </row>
    <row r="4" spans="1:4" x14ac:dyDescent="0.2">
      <c r="A4" s="53">
        <v>34394</v>
      </c>
      <c r="C4">
        <v>5090367</v>
      </c>
    </row>
    <row r="5" spans="1:4" x14ac:dyDescent="0.2">
      <c r="A5" s="53">
        <v>34425</v>
      </c>
      <c r="C5">
        <v>5090367</v>
      </c>
    </row>
    <row r="6" spans="1:4" x14ac:dyDescent="0.2">
      <c r="A6" s="53">
        <v>34455</v>
      </c>
      <c r="C6">
        <v>5129585</v>
      </c>
    </row>
    <row r="7" spans="1:4" x14ac:dyDescent="0.2">
      <c r="A7" s="53">
        <v>34486</v>
      </c>
      <c r="C7">
        <v>5129585</v>
      </c>
    </row>
    <row r="8" spans="1:4" x14ac:dyDescent="0.2">
      <c r="A8" s="53">
        <v>34516</v>
      </c>
      <c r="C8">
        <v>5129585</v>
      </c>
    </row>
    <row r="9" spans="1:4" x14ac:dyDescent="0.2">
      <c r="A9" s="53">
        <v>34547</v>
      </c>
      <c r="C9">
        <v>5115377</v>
      </c>
    </row>
    <row r="10" spans="1:4" x14ac:dyDescent="0.2">
      <c r="A10" s="53">
        <v>34578</v>
      </c>
      <c r="C10">
        <v>5115377</v>
      </c>
    </row>
    <row r="11" spans="1:4" x14ac:dyDescent="0.2">
      <c r="A11" s="53">
        <v>34608</v>
      </c>
      <c r="C11">
        <v>5115377</v>
      </c>
    </row>
    <row r="12" spans="1:4" x14ac:dyDescent="0.2">
      <c r="A12" s="53">
        <v>34639</v>
      </c>
      <c r="C12">
        <v>5149757</v>
      </c>
    </row>
    <row r="13" spans="1:4" x14ac:dyDescent="0.2">
      <c r="A13" s="53">
        <v>34669</v>
      </c>
      <c r="C13">
        <v>5149757</v>
      </c>
    </row>
    <row r="14" spans="1:4" x14ac:dyDescent="0.2">
      <c r="A14" s="53">
        <v>34700</v>
      </c>
      <c r="C14">
        <v>5149757</v>
      </c>
    </row>
    <row r="15" spans="1:4" x14ac:dyDescent="0.2">
      <c r="A15" s="53">
        <v>34731</v>
      </c>
      <c r="C15">
        <v>5187972</v>
      </c>
    </row>
    <row r="16" spans="1:4" x14ac:dyDescent="0.2">
      <c r="A16" s="53">
        <v>34759</v>
      </c>
      <c r="C16">
        <v>5187972</v>
      </c>
    </row>
    <row r="17" spans="1:3" x14ac:dyDescent="0.2">
      <c r="A17" s="53">
        <v>34790</v>
      </c>
      <c r="C17">
        <v>5187972</v>
      </c>
    </row>
    <row r="18" spans="1:3" x14ac:dyDescent="0.2">
      <c r="A18" s="53">
        <v>34820</v>
      </c>
      <c r="C18">
        <v>5253434</v>
      </c>
    </row>
    <row r="19" spans="1:3" x14ac:dyDescent="0.2">
      <c r="A19" s="53">
        <v>34851</v>
      </c>
      <c r="C19">
        <v>5253434</v>
      </c>
    </row>
    <row r="20" spans="1:3" x14ac:dyDescent="0.2">
      <c r="A20" s="53">
        <v>34881</v>
      </c>
      <c r="C20">
        <v>5253434</v>
      </c>
    </row>
    <row r="21" spans="1:3" x14ac:dyDescent="0.2">
      <c r="A21" s="53">
        <v>34912</v>
      </c>
      <c r="C21">
        <v>5269832</v>
      </c>
    </row>
    <row r="22" spans="1:3" x14ac:dyDescent="0.2">
      <c r="A22" s="53">
        <v>34943</v>
      </c>
      <c r="C22">
        <v>5269832</v>
      </c>
    </row>
    <row r="23" spans="1:3" x14ac:dyDescent="0.2">
      <c r="A23" s="53">
        <v>34973</v>
      </c>
      <c r="C23">
        <v>5269832</v>
      </c>
    </row>
    <row r="24" spans="1:3" x14ac:dyDescent="0.2">
      <c r="A24" s="53">
        <v>35004</v>
      </c>
      <c r="C24">
        <v>5290568</v>
      </c>
    </row>
    <row r="25" spans="1:3" x14ac:dyDescent="0.2">
      <c r="A25" s="53">
        <v>35034</v>
      </c>
      <c r="C25">
        <v>5290568</v>
      </c>
    </row>
    <row r="26" spans="1:3" x14ac:dyDescent="0.2">
      <c r="A26" s="53">
        <v>35065</v>
      </c>
      <c r="C26">
        <v>5290568</v>
      </c>
    </row>
    <row r="27" spans="1:3" x14ac:dyDescent="0.2">
      <c r="A27" s="53">
        <v>35096</v>
      </c>
      <c r="C27">
        <v>5360504</v>
      </c>
    </row>
    <row r="28" spans="1:3" x14ac:dyDescent="0.2">
      <c r="A28" s="53">
        <v>35125</v>
      </c>
      <c r="C28">
        <v>5360504</v>
      </c>
    </row>
    <row r="29" spans="1:3" x14ac:dyDescent="0.2">
      <c r="A29" s="53">
        <v>35156</v>
      </c>
      <c r="C29">
        <v>5360504</v>
      </c>
    </row>
    <row r="30" spans="1:3" x14ac:dyDescent="0.2">
      <c r="A30" s="53">
        <v>35186</v>
      </c>
      <c r="C30">
        <v>5360760</v>
      </c>
    </row>
    <row r="31" spans="1:3" x14ac:dyDescent="0.2">
      <c r="A31" s="53">
        <v>35217</v>
      </c>
      <c r="C31">
        <v>5360760</v>
      </c>
    </row>
    <row r="32" spans="1:3" x14ac:dyDescent="0.2">
      <c r="A32" s="53">
        <v>35247</v>
      </c>
      <c r="C32">
        <v>5360760</v>
      </c>
    </row>
    <row r="33" spans="1:3" x14ac:dyDescent="0.2">
      <c r="A33" s="53">
        <v>35278</v>
      </c>
      <c r="C33">
        <v>5410970</v>
      </c>
    </row>
    <row r="34" spans="1:3" x14ac:dyDescent="0.2">
      <c r="A34" s="53">
        <v>35309</v>
      </c>
      <c r="C34">
        <v>5410970</v>
      </c>
    </row>
    <row r="35" spans="1:3" x14ac:dyDescent="0.2">
      <c r="A35" s="53">
        <v>35339</v>
      </c>
      <c r="C35">
        <v>5410970</v>
      </c>
    </row>
    <row r="36" spans="1:3" x14ac:dyDescent="0.2">
      <c r="A36" s="53">
        <v>35370</v>
      </c>
      <c r="C36">
        <v>5422579</v>
      </c>
    </row>
    <row r="37" spans="1:3" x14ac:dyDescent="0.2">
      <c r="A37" s="53">
        <v>35400</v>
      </c>
      <c r="C37">
        <v>5422579</v>
      </c>
    </row>
    <row r="38" spans="1:3" x14ac:dyDescent="0.2">
      <c r="A38" s="53">
        <v>35431</v>
      </c>
      <c r="C38">
        <v>5422579</v>
      </c>
    </row>
    <row r="39" spans="1:3" x14ac:dyDescent="0.2">
      <c r="A39" s="53">
        <v>35462</v>
      </c>
      <c r="C39">
        <v>5440560</v>
      </c>
    </row>
    <row r="40" spans="1:3" x14ac:dyDescent="0.2">
      <c r="A40" s="53">
        <v>35490</v>
      </c>
      <c r="C40">
        <v>5440560</v>
      </c>
    </row>
    <row r="41" spans="1:3" x14ac:dyDescent="0.2">
      <c r="A41" s="53">
        <v>35521</v>
      </c>
      <c r="C41">
        <v>5440560</v>
      </c>
    </row>
    <row r="42" spans="1:3" x14ac:dyDescent="0.2">
      <c r="A42" s="53">
        <v>35551</v>
      </c>
      <c r="C42">
        <v>5439908</v>
      </c>
    </row>
    <row r="43" spans="1:3" x14ac:dyDescent="0.2">
      <c r="A43" s="53">
        <v>35582</v>
      </c>
      <c r="C43">
        <v>5439908</v>
      </c>
    </row>
    <row r="44" spans="1:3" x14ac:dyDescent="0.2">
      <c r="A44" s="53">
        <v>35612</v>
      </c>
      <c r="C44">
        <v>5439908</v>
      </c>
    </row>
    <row r="45" spans="1:3" x14ac:dyDescent="0.2">
      <c r="A45" s="53">
        <v>35643</v>
      </c>
      <c r="C45">
        <v>5449382</v>
      </c>
    </row>
    <row r="46" spans="1:3" x14ac:dyDescent="0.2">
      <c r="A46" s="53">
        <v>35674</v>
      </c>
      <c r="C46">
        <v>5449382</v>
      </c>
    </row>
    <row r="47" spans="1:3" x14ac:dyDescent="0.2">
      <c r="A47" s="53">
        <v>35704</v>
      </c>
      <c r="C47">
        <v>5449382</v>
      </c>
    </row>
    <row r="48" spans="1:3" x14ac:dyDescent="0.2">
      <c r="A48" s="53">
        <v>35735</v>
      </c>
      <c r="C48">
        <v>5380533</v>
      </c>
    </row>
    <row r="49" spans="1:4" x14ac:dyDescent="0.2">
      <c r="A49" s="53">
        <v>35765</v>
      </c>
      <c r="C49">
        <v>5380533</v>
      </c>
    </row>
    <row r="50" spans="1:4" x14ac:dyDescent="0.2">
      <c r="A50" s="53">
        <v>35796</v>
      </c>
      <c r="C50">
        <v>5380533</v>
      </c>
    </row>
    <row r="51" spans="1:4" x14ac:dyDescent="0.2">
      <c r="A51" s="53">
        <v>35827</v>
      </c>
      <c r="C51">
        <v>5348137</v>
      </c>
    </row>
    <row r="52" spans="1:4" x14ac:dyDescent="0.2">
      <c r="A52" s="53">
        <v>35855</v>
      </c>
      <c r="C52">
        <v>5348137</v>
      </c>
    </row>
    <row r="53" spans="1:4" x14ac:dyDescent="0.2">
      <c r="A53" s="53">
        <v>35886</v>
      </c>
      <c r="B53">
        <v>800652</v>
      </c>
      <c r="C53">
        <v>5348137</v>
      </c>
      <c r="D53">
        <v>15641.259765625</v>
      </c>
    </row>
    <row r="54" spans="1:4" x14ac:dyDescent="0.2">
      <c r="A54" s="53">
        <v>35916</v>
      </c>
      <c r="B54">
        <v>771888</v>
      </c>
      <c r="C54">
        <v>5338747</v>
      </c>
      <c r="D54">
        <v>15670.7802734375</v>
      </c>
    </row>
    <row r="55" spans="1:4" x14ac:dyDescent="0.2">
      <c r="A55" s="53">
        <v>35947</v>
      </c>
      <c r="B55">
        <v>753964</v>
      </c>
      <c r="C55">
        <v>5338747</v>
      </c>
      <c r="D55">
        <v>15830.26953125</v>
      </c>
    </row>
    <row r="56" spans="1:4" x14ac:dyDescent="0.2">
      <c r="A56" s="53">
        <v>35977</v>
      </c>
      <c r="B56">
        <v>724375</v>
      </c>
      <c r="C56">
        <v>5338747</v>
      </c>
      <c r="D56">
        <v>16378.9697265625</v>
      </c>
    </row>
    <row r="57" spans="1:4" x14ac:dyDescent="0.2">
      <c r="A57" s="53">
        <v>36008</v>
      </c>
      <c r="B57">
        <v>763742</v>
      </c>
      <c r="C57">
        <v>5392692</v>
      </c>
      <c r="D57">
        <v>14107.8896484375</v>
      </c>
    </row>
    <row r="58" spans="1:4" x14ac:dyDescent="0.2">
      <c r="A58" s="53">
        <v>36039</v>
      </c>
      <c r="B58">
        <v>783667</v>
      </c>
      <c r="C58">
        <v>5392692</v>
      </c>
      <c r="D58">
        <v>13406.3896484375</v>
      </c>
    </row>
    <row r="59" spans="1:4" x14ac:dyDescent="0.2">
      <c r="A59" s="53">
        <v>36069</v>
      </c>
      <c r="B59">
        <v>775368</v>
      </c>
      <c r="C59">
        <v>5392692</v>
      </c>
      <c r="D59">
        <v>13564.509765625</v>
      </c>
    </row>
    <row r="60" spans="1:4" x14ac:dyDescent="0.2">
      <c r="A60" s="53">
        <v>36100</v>
      </c>
      <c r="B60">
        <v>883012</v>
      </c>
      <c r="C60">
        <v>5291289</v>
      </c>
      <c r="D60">
        <v>14883.7001953125</v>
      </c>
    </row>
    <row r="61" spans="1:4" x14ac:dyDescent="0.2">
      <c r="A61" s="53">
        <v>36130</v>
      </c>
      <c r="B61">
        <v>912382</v>
      </c>
      <c r="C61">
        <v>5291289</v>
      </c>
      <c r="D61">
        <v>13842.169921875</v>
      </c>
    </row>
    <row r="62" spans="1:4" x14ac:dyDescent="0.2">
      <c r="A62" s="53">
        <v>36161</v>
      </c>
      <c r="B62">
        <v>797188</v>
      </c>
      <c r="C62">
        <v>5291289</v>
      </c>
      <c r="D62">
        <v>14499.25</v>
      </c>
    </row>
    <row r="63" spans="1:4" x14ac:dyDescent="0.2">
      <c r="A63" s="53">
        <v>36192</v>
      </c>
      <c r="B63">
        <v>755897</v>
      </c>
      <c r="C63">
        <v>5290376</v>
      </c>
      <c r="D63">
        <v>14367.5400390625</v>
      </c>
    </row>
    <row r="64" spans="1:4" x14ac:dyDescent="0.2">
      <c r="A64" s="53">
        <v>36220</v>
      </c>
      <c r="B64">
        <v>797450</v>
      </c>
      <c r="C64">
        <v>5290376</v>
      </c>
      <c r="D64">
        <v>15836.58984375</v>
      </c>
    </row>
    <row r="65" spans="1:4" x14ac:dyDescent="0.2">
      <c r="A65" s="53">
        <v>36251</v>
      </c>
      <c r="B65">
        <v>791152</v>
      </c>
      <c r="C65">
        <v>5290376</v>
      </c>
      <c r="D65">
        <v>16701.529296875</v>
      </c>
    </row>
    <row r="66" spans="1:4" x14ac:dyDescent="0.2">
      <c r="A66" s="53">
        <v>36281</v>
      </c>
      <c r="B66">
        <v>744742</v>
      </c>
      <c r="C66">
        <v>5285578</v>
      </c>
      <c r="D66">
        <v>16111.650390625</v>
      </c>
    </row>
    <row r="67" spans="1:4" x14ac:dyDescent="0.2">
      <c r="A67" s="53">
        <v>36312</v>
      </c>
      <c r="B67">
        <v>734211</v>
      </c>
      <c r="C67">
        <v>5285578</v>
      </c>
      <c r="D67">
        <v>17529.740234375</v>
      </c>
    </row>
    <row r="68" spans="1:4" x14ac:dyDescent="0.2">
      <c r="A68" s="53">
        <v>36342</v>
      </c>
      <c r="B68">
        <v>686329</v>
      </c>
      <c r="C68">
        <v>5285578</v>
      </c>
      <c r="D68">
        <v>17861.859375</v>
      </c>
    </row>
    <row r="69" spans="1:4" x14ac:dyDescent="0.2">
      <c r="A69" s="53">
        <v>36373</v>
      </c>
      <c r="B69">
        <v>680224</v>
      </c>
      <c r="C69">
        <v>5278434</v>
      </c>
      <c r="D69">
        <v>17436.560546875</v>
      </c>
    </row>
    <row r="70" spans="1:4" x14ac:dyDescent="0.2">
      <c r="A70" s="53">
        <v>36404</v>
      </c>
      <c r="B70">
        <v>688207</v>
      </c>
      <c r="C70">
        <v>5278434</v>
      </c>
      <c r="D70">
        <v>17605.4609375</v>
      </c>
    </row>
    <row r="71" spans="1:4" x14ac:dyDescent="0.2">
      <c r="A71" s="53">
        <v>36434</v>
      </c>
      <c r="B71">
        <v>680064</v>
      </c>
      <c r="C71">
        <v>5278434</v>
      </c>
      <c r="D71">
        <v>17942.080078125</v>
      </c>
    </row>
    <row r="72" spans="1:4" x14ac:dyDescent="0.2">
      <c r="A72" s="53">
        <v>36465</v>
      </c>
      <c r="B72">
        <v>841508</v>
      </c>
      <c r="C72">
        <v>5351176</v>
      </c>
      <c r="D72">
        <v>18558.23046875</v>
      </c>
    </row>
    <row r="73" spans="1:4" x14ac:dyDescent="0.2">
      <c r="A73" s="53">
        <v>36495</v>
      </c>
      <c r="B73">
        <v>1113478</v>
      </c>
      <c r="C73">
        <v>5351176</v>
      </c>
      <c r="D73">
        <v>18934.33984375</v>
      </c>
    </row>
    <row r="74" spans="1:4" x14ac:dyDescent="0.2">
      <c r="A74" s="53">
        <v>36526</v>
      </c>
      <c r="B74">
        <v>905251</v>
      </c>
      <c r="C74">
        <v>5351176</v>
      </c>
      <c r="D74">
        <v>19539.69921875</v>
      </c>
    </row>
    <row r="75" spans="1:4" x14ac:dyDescent="0.2">
      <c r="A75" s="53">
        <v>36557</v>
      </c>
      <c r="B75">
        <v>941085</v>
      </c>
      <c r="C75">
        <v>5353908</v>
      </c>
      <c r="D75">
        <v>19959.51953125</v>
      </c>
    </row>
    <row r="76" spans="1:4" x14ac:dyDescent="0.2">
      <c r="A76" s="53">
        <v>36586</v>
      </c>
      <c r="B76">
        <v>1062017</v>
      </c>
      <c r="C76">
        <v>5353908</v>
      </c>
      <c r="D76">
        <v>20337.3203125</v>
      </c>
    </row>
    <row r="77" spans="1:4" x14ac:dyDescent="0.2">
      <c r="A77" s="53">
        <v>36617</v>
      </c>
      <c r="B77">
        <v>797289</v>
      </c>
      <c r="C77">
        <v>5353908</v>
      </c>
      <c r="D77">
        <v>17973.69921875</v>
      </c>
    </row>
    <row r="78" spans="1:4" x14ac:dyDescent="0.2">
      <c r="A78" s="53">
        <v>36647</v>
      </c>
      <c r="B78">
        <v>838507</v>
      </c>
      <c r="C78">
        <v>5344054</v>
      </c>
      <c r="D78">
        <v>16332.4501953125</v>
      </c>
    </row>
    <row r="79" spans="1:4" x14ac:dyDescent="0.2">
      <c r="A79" s="53">
        <v>36678</v>
      </c>
      <c r="B79">
        <v>837194</v>
      </c>
      <c r="C79">
        <v>5344054</v>
      </c>
      <c r="D79">
        <v>17411.05078125</v>
      </c>
    </row>
    <row r="80" spans="1:4" x14ac:dyDescent="0.2">
      <c r="A80" s="53">
        <v>36708</v>
      </c>
      <c r="B80">
        <v>807840</v>
      </c>
      <c r="C80">
        <v>5344054</v>
      </c>
      <c r="D80">
        <v>15727.490234375</v>
      </c>
    </row>
    <row r="81" spans="1:4" x14ac:dyDescent="0.2">
      <c r="A81" s="53">
        <v>36739</v>
      </c>
      <c r="B81">
        <v>885391</v>
      </c>
      <c r="C81">
        <v>5378330</v>
      </c>
      <c r="D81">
        <v>16861.259765625</v>
      </c>
    </row>
    <row r="82" spans="1:4" x14ac:dyDescent="0.2">
      <c r="A82" s="53">
        <v>36770</v>
      </c>
      <c r="B82">
        <v>853390</v>
      </c>
      <c r="C82">
        <v>5378330</v>
      </c>
      <c r="D82">
        <v>15747.259765625</v>
      </c>
    </row>
    <row r="83" spans="1:4" x14ac:dyDescent="0.2">
      <c r="A83" s="53">
        <v>36800</v>
      </c>
      <c r="B83">
        <v>920988</v>
      </c>
      <c r="C83">
        <v>5378330</v>
      </c>
      <c r="D83">
        <v>14539.599609375</v>
      </c>
    </row>
    <row r="84" spans="1:4" x14ac:dyDescent="0.2">
      <c r="A84" s="53">
        <v>36831</v>
      </c>
      <c r="B84">
        <v>1054097</v>
      </c>
      <c r="C84">
        <v>5425790</v>
      </c>
      <c r="D84">
        <v>14648.509765625</v>
      </c>
    </row>
    <row r="85" spans="1:4" x14ac:dyDescent="0.2">
      <c r="A85" s="53">
        <v>36861</v>
      </c>
      <c r="B85">
        <v>1067962</v>
      </c>
      <c r="C85">
        <v>5425790</v>
      </c>
      <c r="D85">
        <v>13785.6904296875</v>
      </c>
    </row>
    <row r="86" spans="1:4" x14ac:dyDescent="0.2">
      <c r="A86" s="53">
        <v>36892</v>
      </c>
      <c r="B86">
        <v>1078487</v>
      </c>
      <c r="C86">
        <v>5425790</v>
      </c>
      <c r="D86">
        <v>13843.5498046875</v>
      </c>
    </row>
    <row r="87" spans="1:4" x14ac:dyDescent="0.2">
      <c r="A87" s="53">
        <v>36923</v>
      </c>
      <c r="B87">
        <v>1102160</v>
      </c>
      <c r="C87">
        <v>5342943</v>
      </c>
      <c r="D87">
        <v>12883.5400390625</v>
      </c>
    </row>
    <row r="88" spans="1:4" x14ac:dyDescent="0.2">
      <c r="A88" s="53">
        <v>36951</v>
      </c>
      <c r="B88">
        <v>1150959</v>
      </c>
      <c r="C88">
        <v>5342943</v>
      </c>
      <c r="D88">
        <v>12999.7001953125</v>
      </c>
    </row>
    <row r="89" spans="1:4" x14ac:dyDescent="0.2">
      <c r="A89" s="53">
        <v>36982</v>
      </c>
      <c r="B89">
        <v>1123259</v>
      </c>
      <c r="C89">
        <v>5342943</v>
      </c>
      <c r="D89">
        <v>13934.3203125</v>
      </c>
    </row>
    <row r="90" spans="1:4" x14ac:dyDescent="0.2">
      <c r="A90" s="53">
        <v>37012</v>
      </c>
      <c r="B90">
        <v>1138146</v>
      </c>
      <c r="C90">
        <v>5269664</v>
      </c>
      <c r="D90">
        <v>13262.1396484375</v>
      </c>
    </row>
    <row r="91" spans="1:4" x14ac:dyDescent="0.2">
      <c r="A91" s="53">
        <v>37043</v>
      </c>
      <c r="B91">
        <v>1169329</v>
      </c>
      <c r="C91">
        <v>5269664</v>
      </c>
      <c r="D91">
        <v>12969.0498046875</v>
      </c>
    </row>
    <row r="92" spans="1:4" x14ac:dyDescent="0.2">
      <c r="A92" s="53">
        <v>37073</v>
      </c>
      <c r="B92">
        <v>1163779</v>
      </c>
      <c r="C92">
        <v>5269664</v>
      </c>
      <c r="D92">
        <v>11860.76953125</v>
      </c>
    </row>
    <row r="93" spans="1:4" x14ac:dyDescent="0.2">
      <c r="A93" s="53">
        <v>37104</v>
      </c>
      <c r="B93">
        <v>1133882</v>
      </c>
      <c r="C93">
        <v>5239420</v>
      </c>
      <c r="D93">
        <v>10713.509765625</v>
      </c>
    </row>
    <row r="94" spans="1:4" x14ac:dyDescent="0.2">
      <c r="A94" s="53">
        <v>37135</v>
      </c>
      <c r="B94">
        <v>1156156</v>
      </c>
      <c r="C94">
        <v>5239420</v>
      </c>
      <c r="D94">
        <v>9774.6796875</v>
      </c>
    </row>
    <row r="95" spans="1:4" x14ac:dyDescent="0.2">
      <c r="A95" s="53">
        <v>37165</v>
      </c>
      <c r="B95">
        <v>1107271</v>
      </c>
      <c r="C95">
        <v>5239420</v>
      </c>
      <c r="D95">
        <v>10366.33984375</v>
      </c>
    </row>
    <row r="96" spans="1:4" x14ac:dyDescent="0.2">
      <c r="A96" s="53">
        <v>37196</v>
      </c>
      <c r="B96">
        <v>1133942</v>
      </c>
      <c r="C96">
        <v>5254763</v>
      </c>
      <c r="D96">
        <v>10697.4404296875</v>
      </c>
    </row>
    <row r="97" spans="1:4" x14ac:dyDescent="0.2">
      <c r="A97" s="53">
        <v>37226</v>
      </c>
      <c r="B97">
        <v>1175079</v>
      </c>
      <c r="C97">
        <v>5254763</v>
      </c>
      <c r="D97">
        <v>10542.6201171875</v>
      </c>
    </row>
    <row r="98" spans="1:4" x14ac:dyDescent="0.2">
      <c r="A98" s="53">
        <v>37257</v>
      </c>
      <c r="B98">
        <v>1224388</v>
      </c>
      <c r="C98">
        <v>5254763</v>
      </c>
      <c r="D98">
        <v>9997.7998046875</v>
      </c>
    </row>
    <row r="99" spans="1:4" x14ac:dyDescent="0.2">
      <c r="A99" s="53">
        <v>37288</v>
      </c>
      <c r="B99">
        <v>1313520</v>
      </c>
      <c r="C99">
        <v>5242804</v>
      </c>
      <c r="D99">
        <v>10587.830078125</v>
      </c>
    </row>
    <row r="100" spans="1:4" x14ac:dyDescent="0.2">
      <c r="A100" s="53">
        <v>37316</v>
      </c>
      <c r="B100">
        <v>1385648</v>
      </c>
      <c r="C100">
        <v>5242804</v>
      </c>
      <c r="D100">
        <v>11024.9404296875</v>
      </c>
    </row>
    <row r="101" spans="1:4" x14ac:dyDescent="0.2">
      <c r="A101" s="53">
        <v>37347</v>
      </c>
      <c r="B101">
        <v>1328094</v>
      </c>
      <c r="C101">
        <v>5242804</v>
      </c>
      <c r="D101">
        <v>11492.5400390625</v>
      </c>
    </row>
    <row r="102" spans="1:4" x14ac:dyDescent="0.2">
      <c r="A102" s="53">
        <v>37377</v>
      </c>
      <c r="B102">
        <v>1279453</v>
      </c>
      <c r="C102">
        <v>5241492</v>
      </c>
      <c r="D102">
        <v>11763.7001953125</v>
      </c>
    </row>
    <row r="103" spans="1:4" x14ac:dyDescent="0.2">
      <c r="A103" s="53">
        <v>37408</v>
      </c>
      <c r="B103">
        <v>1241193</v>
      </c>
      <c r="C103">
        <v>5241492</v>
      </c>
      <c r="D103">
        <v>10621.83984375</v>
      </c>
    </row>
    <row r="104" spans="1:4" x14ac:dyDescent="0.2">
      <c r="A104" s="53">
        <v>37438</v>
      </c>
      <c r="B104">
        <v>1265421</v>
      </c>
      <c r="C104">
        <v>5241492</v>
      </c>
      <c r="D104">
        <v>9877.9404296875</v>
      </c>
    </row>
    <row r="105" spans="1:4" x14ac:dyDescent="0.2">
      <c r="A105" s="53">
        <v>37469</v>
      </c>
      <c r="B105">
        <v>1284793</v>
      </c>
      <c r="C105">
        <v>5244296</v>
      </c>
      <c r="D105">
        <v>9619.2998046875</v>
      </c>
    </row>
    <row r="106" spans="1:4" x14ac:dyDescent="0.2">
      <c r="A106" s="53">
        <v>37500</v>
      </c>
      <c r="B106">
        <v>1244691</v>
      </c>
      <c r="C106">
        <v>5244296</v>
      </c>
      <c r="D106">
        <v>9383.2900390625</v>
      </c>
    </row>
    <row r="107" spans="1:4" x14ac:dyDescent="0.2">
      <c r="A107" s="53">
        <v>37530</v>
      </c>
      <c r="B107">
        <v>1246432</v>
      </c>
      <c r="C107">
        <v>5244296</v>
      </c>
      <c r="D107">
        <v>8640.48046875</v>
      </c>
    </row>
    <row r="108" spans="1:4" x14ac:dyDescent="0.2">
      <c r="A108" s="53">
        <v>37561</v>
      </c>
      <c r="B108">
        <v>1250866</v>
      </c>
      <c r="C108">
        <v>5213802</v>
      </c>
      <c r="D108">
        <v>9215.5595703125</v>
      </c>
    </row>
    <row r="109" spans="1:4" x14ac:dyDescent="0.2">
      <c r="A109" s="53">
        <v>37591</v>
      </c>
      <c r="B109">
        <v>1251263</v>
      </c>
      <c r="C109">
        <v>5213802</v>
      </c>
      <c r="D109">
        <v>8578.9501953125</v>
      </c>
    </row>
    <row r="110" spans="1:4" x14ac:dyDescent="0.2">
      <c r="A110" s="53">
        <v>37622</v>
      </c>
      <c r="B110">
        <v>1245386</v>
      </c>
      <c r="C110">
        <v>5213802</v>
      </c>
      <c r="D110">
        <v>8339.9404296875</v>
      </c>
    </row>
    <row r="111" spans="1:4" x14ac:dyDescent="0.2">
      <c r="A111" s="53">
        <v>37653</v>
      </c>
      <c r="B111">
        <v>1325273</v>
      </c>
      <c r="C111">
        <v>5245642</v>
      </c>
      <c r="D111">
        <v>8363.0400390625</v>
      </c>
    </row>
    <row r="112" spans="1:4" x14ac:dyDescent="0.2">
      <c r="A112" s="53">
        <v>37681</v>
      </c>
      <c r="B112">
        <v>1411674</v>
      </c>
      <c r="C112">
        <v>5245642</v>
      </c>
      <c r="D112">
        <v>7972.7099609375</v>
      </c>
    </row>
    <row r="113" spans="1:4" x14ac:dyDescent="0.2">
      <c r="A113" s="53">
        <v>37712</v>
      </c>
      <c r="B113">
        <v>1283101</v>
      </c>
      <c r="C113">
        <v>5245642</v>
      </c>
      <c r="D113">
        <v>7831.419921875</v>
      </c>
    </row>
    <row r="114" spans="1:4" x14ac:dyDescent="0.2">
      <c r="A114" s="53">
        <v>37742</v>
      </c>
      <c r="B114">
        <v>1306815</v>
      </c>
      <c r="C114">
        <v>5243552</v>
      </c>
      <c r="D114">
        <v>8424.509765625</v>
      </c>
    </row>
    <row r="115" spans="1:4" x14ac:dyDescent="0.2">
      <c r="A115" s="53">
        <v>37773</v>
      </c>
      <c r="B115">
        <v>1252605</v>
      </c>
      <c r="C115">
        <v>5243552</v>
      </c>
      <c r="D115">
        <v>9083.1103515625</v>
      </c>
    </row>
    <row r="116" spans="1:4" x14ac:dyDescent="0.2">
      <c r="A116" s="53">
        <v>37803</v>
      </c>
      <c r="B116">
        <v>1263771</v>
      </c>
      <c r="C116">
        <v>5243552</v>
      </c>
      <c r="D116">
        <v>9563.2099609375</v>
      </c>
    </row>
    <row r="117" spans="1:4" x14ac:dyDescent="0.2">
      <c r="A117" s="53">
        <v>37834</v>
      </c>
      <c r="B117">
        <v>1283228</v>
      </c>
      <c r="C117">
        <v>5263873</v>
      </c>
      <c r="D117">
        <v>10343.5498046875</v>
      </c>
    </row>
    <row r="118" spans="1:4" x14ac:dyDescent="0.2">
      <c r="A118" s="53">
        <v>37865</v>
      </c>
      <c r="B118">
        <v>1339295</v>
      </c>
      <c r="C118">
        <v>5263873</v>
      </c>
      <c r="D118">
        <v>10219.0498046875</v>
      </c>
    </row>
    <row r="119" spans="1:4" x14ac:dyDescent="0.2">
      <c r="A119" s="53">
        <v>37895</v>
      </c>
      <c r="B119">
        <v>1322521</v>
      </c>
      <c r="C119">
        <v>5263873</v>
      </c>
      <c r="D119">
        <v>10559.58984375</v>
      </c>
    </row>
    <row r="120" spans="1:4" x14ac:dyDescent="0.2">
      <c r="A120" s="53">
        <v>37926</v>
      </c>
      <c r="B120">
        <v>1347558</v>
      </c>
      <c r="C120">
        <v>5293315</v>
      </c>
      <c r="D120">
        <v>10100.5703125</v>
      </c>
    </row>
    <row r="121" spans="1:4" x14ac:dyDescent="0.2">
      <c r="A121" s="53">
        <v>37956</v>
      </c>
      <c r="B121">
        <v>1313685</v>
      </c>
      <c r="C121">
        <v>5293315</v>
      </c>
      <c r="D121">
        <v>10676.6396484375</v>
      </c>
    </row>
    <row r="122" spans="1:4" x14ac:dyDescent="0.2">
      <c r="A122" s="53">
        <v>37987</v>
      </c>
      <c r="B122">
        <v>1354300</v>
      </c>
      <c r="C122">
        <v>5293315</v>
      </c>
      <c r="D122">
        <v>10783.6103515625</v>
      </c>
    </row>
    <row r="123" spans="1:4" x14ac:dyDescent="0.2">
      <c r="A123" s="53">
        <v>38018</v>
      </c>
      <c r="B123">
        <v>1405509</v>
      </c>
      <c r="C123">
        <v>5276828</v>
      </c>
      <c r="D123">
        <v>11041.919921875</v>
      </c>
    </row>
    <row r="124" spans="1:4" x14ac:dyDescent="0.2">
      <c r="A124" s="53">
        <v>38047</v>
      </c>
      <c r="B124">
        <v>1493819</v>
      </c>
      <c r="C124">
        <v>5276828</v>
      </c>
      <c r="D124">
        <v>11715.3896484375</v>
      </c>
    </row>
    <row r="125" spans="1:4" x14ac:dyDescent="0.2">
      <c r="A125" s="53">
        <v>38078</v>
      </c>
      <c r="B125">
        <v>1382514</v>
      </c>
      <c r="C125">
        <v>5276828</v>
      </c>
      <c r="D125">
        <v>11761.7900390625</v>
      </c>
    </row>
    <row r="126" spans="1:4" x14ac:dyDescent="0.2">
      <c r="A126" s="53">
        <v>38108</v>
      </c>
      <c r="B126">
        <v>1390667</v>
      </c>
      <c r="C126">
        <v>5304922</v>
      </c>
      <c r="D126">
        <v>11236.3701171875</v>
      </c>
    </row>
    <row r="127" spans="1:4" x14ac:dyDescent="0.2">
      <c r="A127" s="53">
        <v>38139</v>
      </c>
      <c r="B127">
        <v>1347362</v>
      </c>
      <c r="C127">
        <v>5304922</v>
      </c>
      <c r="D127">
        <v>11858.8701171875</v>
      </c>
    </row>
    <row r="128" spans="1:4" x14ac:dyDescent="0.2">
      <c r="A128" s="53">
        <v>38169</v>
      </c>
      <c r="B128">
        <v>1314783</v>
      </c>
      <c r="C128">
        <v>5304922</v>
      </c>
      <c r="D128">
        <v>11325.7802734375</v>
      </c>
    </row>
    <row r="129" spans="1:4" x14ac:dyDescent="0.2">
      <c r="A129" s="53">
        <v>38200</v>
      </c>
      <c r="B129">
        <v>1382251</v>
      </c>
      <c r="C129">
        <v>5298706</v>
      </c>
      <c r="D129">
        <v>11081.7900390625</v>
      </c>
    </row>
    <row r="130" spans="1:4" x14ac:dyDescent="0.2">
      <c r="A130" s="53">
        <v>38231</v>
      </c>
      <c r="B130">
        <v>1394564</v>
      </c>
      <c r="C130">
        <v>5298706</v>
      </c>
      <c r="D130">
        <v>10823.5703125</v>
      </c>
    </row>
    <row r="131" spans="1:4" x14ac:dyDescent="0.2">
      <c r="A131" s="53">
        <v>38261</v>
      </c>
      <c r="B131">
        <v>1384015</v>
      </c>
      <c r="C131">
        <v>5298706</v>
      </c>
      <c r="D131">
        <v>10771.419921875</v>
      </c>
    </row>
    <row r="132" spans="1:4" x14ac:dyDescent="0.2">
      <c r="A132" s="53">
        <v>38292</v>
      </c>
      <c r="B132">
        <v>1478802</v>
      </c>
      <c r="C132">
        <v>5298951</v>
      </c>
      <c r="D132">
        <v>10899.25</v>
      </c>
    </row>
    <row r="133" spans="1:4" x14ac:dyDescent="0.2">
      <c r="A133" s="53">
        <v>38322</v>
      </c>
      <c r="B133">
        <v>1445467</v>
      </c>
      <c r="C133">
        <v>5298951</v>
      </c>
      <c r="D133">
        <v>11488.759765625</v>
      </c>
    </row>
    <row r="134" spans="1:4" x14ac:dyDescent="0.2">
      <c r="A134" s="53">
        <v>38353</v>
      </c>
      <c r="B134">
        <v>1473561</v>
      </c>
      <c r="C134">
        <v>5298951</v>
      </c>
      <c r="D134">
        <v>11387.58984375</v>
      </c>
    </row>
    <row r="135" spans="1:4" x14ac:dyDescent="0.2">
      <c r="A135" s="53">
        <v>38384</v>
      </c>
      <c r="B135">
        <v>1514085</v>
      </c>
      <c r="C135">
        <v>5313823</v>
      </c>
      <c r="D135">
        <v>11740.599609375</v>
      </c>
    </row>
    <row r="136" spans="1:4" x14ac:dyDescent="0.2">
      <c r="A136" s="53">
        <v>38412</v>
      </c>
      <c r="B136">
        <v>1505173</v>
      </c>
      <c r="C136">
        <v>5313823</v>
      </c>
      <c r="D136">
        <v>11668.9501953125</v>
      </c>
    </row>
    <row r="137" spans="1:4" x14ac:dyDescent="0.2">
      <c r="A137" s="53">
        <v>38443</v>
      </c>
      <c r="B137">
        <v>1473513</v>
      </c>
      <c r="C137">
        <v>5313823</v>
      </c>
      <c r="D137">
        <v>11008.900390625</v>
      </c>
    </row>
    <row r="138" spans="1:4" x14ac:dyDescent="0.2">
      <c r="A138" s="53">
        <v>38473</v>
      </c>
      <c r="B138">
        <v>1477619</v>
      </c>
      <c r="C138">
        <v>5346535</v>
      </c>
      <c r="D138">
        <v>11276.58984375</v>
      </c>
    </row>
    <row r="139" spans="1:4" x14ac:dyDescent="0.2">
      <c r="A139" s="53">
        <v>38504</v>
      </c>
      <c r="B139">
        <v>1442122</v>
      </c>
      <c r="C139">
        <v>5346535</v>
      </c>
      <c r="D139">
        <v>11584.009765625</v>
      </c>
    </row>
    <row r="140" spans="1:4" x14ac:dyDescent="0.2">
      <c r="A140" s="53">
        <v>38534</v>
      </c>
      <c r="B140">
        <v>1476503</v>
      </c>
      <c r="C140">
        <v>5346535</v>
      </c>
      <c r="D140">
        <v>11899.599609375</v>
      </c>
    </row>
    <row r="141" spans="1:4" x14ac:dyDescent="0.2">
      <c r="A141" s="53">
        <v>38565</v>
      </c>
      <c r="B141">
        <v>1513847</v>
      </c>
      <c r="C141">
        <v>5346528</v>
      </c>
      <c r="D141">
        <v>12413.599609375</v>
      </c>
    </row>
    <row r="142" spans="1:4" x14ac:dyDescent="0.2">
      <c r="A142" s="53">
        <v>38596</v>
      </c>
      <c r="B142">
        <v>1481357</v>
      </c>
      <c r="C142">
        <v>5346528</v>
      </c>
      <c r="D142">
        <v>13574.2998046875</v>
      </c>
    </row>
    <row r="143" spans="1:4" x14ac:dyDescent="0.2">
      <c r="A143" s="53">
        <v>38626</v>
      </c>
      <c r="B143">
        <v>1477546</v>
      </c>
      <c r="C143">
        <v>5346528</v>
      </c>
      <c r="D143">
        <v>13606.5</v>
      </c>
    </row>
    <row r="144" spans="1:4" x14ac:dyDescent="0.2">
      <c r="A144" s="53">
        <v>38657</v>
      </c>
      <c r="B144">
        <v>1519701</v>
      </c>
      <c r="C144">
        <v>5344870</v>
      </c>
      <c r="D144">
        <v>14872.150390625</v>
      </c>
    </row>
    <row r="145" spans="1:4" x14ac:dyDescent="0.2">
      <c r="A145" s="53">
        <v>38687</v>
      </c>
      <c r="B145">
        <v>1556071</v>
      </c>
      <c r="C145">
        <v>5344870</v>
      </c>
      <c r="D145">
        <v>16111.4296875</v>
      </c>
    </row>
    <row r="146" spans="1:4" x14ac:dyDescent="0.2">
      <c r="A146" s="53">
        <v>38718</v>
      </c>
      <c r="B146">
        <v>1528656</v>
      </c>
      <c r="C146">
        <v>5344870</v>
      </c>
      <c r="D146">
        <v>16649.8203125</v>
      </c>
    </row>
    <row r="147" spans="1:4" x14ac:dyDescent="0.2">
      <c r="A147" s="53">
        <v>38749</v>
      </c>
      <c r="B147">
        <v>1523477</v>
      </c>
      <c r="C147">
        <v>5341219</v>
      </c>
      <c r="D147">
        <v>16205.4296875</v>
      </c>
    </row>
    <row r="148" spans="1:4" x14ac:dyDescent="0.2">
      <c r="A148" s="53">
        <v>38777</v>
      </c>
      <c r="B148">
        <v>1448629</v>
      </c>
      <c r="C148">
        <v>5341219</v>
      </c>
      <c r="D148">
        <v>17059.66015625</v>
      </c>
    </row>
    <row r="149" spans="1:4" x14ac:dyDescent="0.2">
      <c r="A149" s="53">
        <v>38808</v>
      </c>
      <c r="B149">
        <v>1299799</v>
      </c>
      <c r="C149">
        <v>5341219</v>
      </c>
      <c r="D149">
        <v>16906.23046875</v>
      </c>
    </row>
    <row r="150" spans="1:4" x14ac:dyDescent="0.2">
      <c r="A150" s="53">
        <v>38838</v>
      </c>
      <c r="B150">
        <v>1227935</v>
      </c>
      <c r="C150">
        <v>5323860</v>
      </c>
      <c r="D150">
        <v>15467.330078125</v>
      </c>
    </row>
    <row r="151" spans="1:4" x14ac:dyDescent="0.2">
      <c r="A151" s="53">
        <v>38869</v>
      </c>
      <c r="B151">
        <v>1138328</v>
      </c>
      <c r="C151">
        <v>5323860</v>
      </c>
      <c r="D151">
        <v>15505.1796875</v>
      </c>
    </row>
    <row r="152" spans="1:4" x14ac:dyDescent="0.2">
      <c r="A152" s="53">
        <v>38899</v>
      </c>
      <c r="B152">
        <v>1159675</v>
      </c>
      <c r="C152">
        <v>5323860</v>
      </c>
      <c r="D152">
        <v>15456.8095703125</v>
      </c>
    </row>
    <row r="153" spans="1:4" x14ac:dyDescent="0.2">
      <c r="A153" s="53">
        <v>38930</v>
      </c>
      <c r="B153">
        <v>1132672</v>
      </c>
      <c r="C153">
        <v>5396857</v>
      </c>
      <c r="D153">
        <v>16140.759765625</v>
      </c>
    </row>
    <row r="154" spans="1:4" x14ac:dyDescent="0.2">
      <c r="A154" s="53">
        <v>38961</v>
      </c>
      <c r="B154">
        <v>1174523</v>
      </c>
      <c r="C154">
        <v>5396857</v>
      </c>
      <c r="D154">
        <v>16127.580078125</v>
      </c>
    </row>
    <row r="155" spans="1:4" x14ac:dyDescent="0.2">
      <c r="A155" s="53">
        <v>38991</v>
      </c>
      <c r="B155">
        <v>1151993</v>
      </c>
      <c r="C155">
        <v>5396857</v>
      </c>
      <c r="D155">
        <v>16399.390625</v>
      </c>
    </row>
    <row r="156" spans="1:4" x14ac:dyDescent="0.2">
      <c r="A156" s="53">
        <v>39022</v>
      </c>
      <c r="B156">
        <v>1185414</v>
      </c>
      <c r="C156">
        <v>5418813</v>
      </c>
      <c r="D156">
        <v>16274.330078125</v>
      </c>
    </row>
    <row r="157" spans="1:4" x14ac:dyDescent="0.2">
      <c r="A157" s="53">
        <v>39052</v>
      </c>
      <c r="B157">
        <v>1155436</v>
      </c>
      <c r="C157">
        <v>5418813</v>
      </c>
      <c r="D157">
        <v>17225.830078125</v>
      </c>
    </row>
    <row r="158" spans="1:4" x14ac:dyDescent="0.2">
      <c r="A158" s="53">
        <v>39083</v>
      </c>
      <c r="B158">
        <v>1146223</v>
      </c>
      <c r="C158">
        <v>5418813</v>
      </c>
      <c r="D158">
        <v>17383.419921875</v>
      </c>
    </row>
    <row r="159" spans="1:4" x14ac:dyDescent="0.2">
      <c r="A159" s="53">
        <v>39114</v>
      </c>
      <c r="B159">
        <v>1176947</v>
      </c>
      <c r="C159">
        <v>5422663</v>
      </c>
      <c r="D159">
        <v>17604.119140625</v>
      </c>
    </row>
    <row r="160" spans="1:4" x14ac:dyDescent="0.2">
      <c r="A160" s="53">
        <v>39142</v>
      </c>
      <c r="B160">
        <v>1127409</v>
      </c>
      <c r="C160">
        <v>5422663</v>
      </c>
      <c r="D160">
        <v>17287.650390625</v>
      </c>
    </row>
    <row r="161" spans="1:4" x14ac:dyDescent="0.2">
      <c r="A161" s="53">
        <v>39173</v>
      </c>
      <c r="B161">
        <v>1060053</v>
      </c>
      <c r="C161">
        <v>5422663</v>
      </c>
      <c r="D161">
        <v>17400.41015625</v>
      </c>
    </row>
    <row r="162" spans="1:4" x14ac:dyDescent="0.2">
      <c r="A162" s="53">
        <v>39203</v>
      </c>
      <c r="B162">
        <v>1075105</v>
      </c>
      <c r="C162">
        <v>5366925</v>
      </c>
      <c r="D162">
        <v>17875.75</v>
      </c>
    </row>
    <row r="163" spans="1:4" x14ac:dyDescent="0.2">
      <c r="A163" s="53">
        <v>39234</v>
      </c>
      <c r="B163">
        <v>1000712</v>
      </c>
      <c r="C163">
        <v>5366925</v>
      </c>
      <c r="D163">
        <v>18138.359375</v>
      </c>
    </row>
    <row r="164" spans="1:4" x14ac:dyDescent="0.2">
      <c r="A164" s="53">
        <v>39264</v>
      </c>
      <c r="B164">
        <v>1077171</v>
      </c>
      <c r="C164">
        <v>5366925</v>
      </c>
      <c r="D164">
        <v>17248.890625</v>
      </c>
    </row>
    <row r="165" spans="1:4" x14ac:dyDescent="0.2">
      <c r="A165" s="53">
        <v>39295</v>
      </c>
      <c r="B165">
        <v>1107917</v>
      </c>
      <c r="C165">
        <v>5364440</v>
      </c>
      <c r="D165">
        <v>16569.08984375</v>
      </c>
    </row>
    <row r="166" spans="1:4" x14ac:dyDescent="0.2">
      <c r="A166" s="53">
        <v>39326</v>
      </c>
      <c r="B166">
        <v>1110324</v>
      </c>
      <c r="C166">
        <v>5364440</v>
      </c>
      <c r="D166">
        <v>16785.689453125</v>
      </c>
    </row>
    <row r="167" spans="1:4" x14ac:dyDescent="0.2">
      <c r="A167" s="53">
        <v>39356</v>
      </c>
      <c r="B167">
        <v>1073472</v>
      </c>
      <c r="C167">
        <v>5364440</v>
      </c>
      <c r="D167">
        <v>16737.630859375</v>
      </c>
    </row>
    <row r="168" spans="1:4" x14ac:dyDescent="0.2">
      <c r="A168" s="53">
        <v>39387</v>
      </c>
      <c r="B168">
        <v>1114939</v>
      </c>
      <c r="C168">
        <v>5374578</v>
      </c>
      <c r="D168">
        <v>15680.669921875</v>
      </c>
    </row>
    <row r="169" spans="1:4" x14ac:dyDescent="0.2">
      <c r="A169" s="53">
        <v>39417</v>
      </c>
      <c r="B169">
        <v>1112844</v>
      </c>
      <c r="C169">
        <v>5374578</v>
      </c>
      <c r="D169">
        <v>15307.7802734375</v>
      </c>
    </row>
    <row r="170" spans="1:4" x14ac:dyDescent="0.2">
      <c r="A170" s="53">
        <v>39448</v>
      </c>
      <c r="B170">
        <v>1130604</v>
      </c>
      <c r="C170">
        <v>5374578</v>
      </c>
      <c r="D170">
        <v>13592.4697265625</v>
      </c>
    </row>
    <row r="171" spans="1:4" x14ac:dyDescent="0.2">
      <c r="A171" s="53">
        <v>39479</v>
      </c>
      <c r="B171">
        <v>1142477</v>
      </c>
      <c r="C171">
        <v>5339189</v>
      </c>
      <c r="D171">
        <v>13603.01953125</v>
      </c>
    </row>
    <row r="172" spans="1:4" x14ac:dyDescent="0.2">
      <c r="A172" s="53">
        <v>39508</v>
      </c>
      <c r="B172">
        <v>1134262</v>
      </c>
      <c r="C172">
        <v>5339189</v>
      </c>
      <c r="D172">
        <v>12525.5400390625</v>
      </c>
    </row>
    <row r="173" spans="1:4" x14ac:dyDescent="0.2">
      <c r="A173" s="53">
        <v>39539</v>
      </c>
      <c r="B173">
        <v>1072225</v>
      </c>
      <c r="C173">
        <v>5339189</v>
      </c>
      <c r="D173">
        <v>13849.990234375</v>
      </c>
    </row>
    <row r="174" spans="1:4" x14ac:dyDescent="0.2">
      <c r="A174" s="53">
        <v>39569</v>
      </c>
      <c r="B174">
        <v>1101273</v>
      </c>
      <c r="C174">
        <v>5234405</v>
      </c>
      <c r="D174">
        <v>14338.5400390625</v>
      </c>
    </row>
    <row r="175" spans="1:4" x14ac:dyDescent="0.2">
      <c r="A175" s="53">
        <v>39600</v>
      </c>
      <c r="B175">
        <v>1014199</v>
      </c>
      <c r="C175">
        <v>5234405</v>
      </c>
      <c r="D175">
        <v>13481.3798828125</v>
      </c>
    </row>
    <row r="176" spans="1:4" x14ac:dyDescent="0.2">
      <c r="A176" s="53">
        <v>39630</v>
      </c>
      <c r="B176">
        <v>1083652</v>
      </c>
      <c r="C176">
        <v>5234405</v>
      </c>
      <c r="D176">
        <v>13376.8095703125</v>
      </c>
    </row>
    <row r="177" spans="1:4" x14ac:dyDescent="0.2">
      <c r="A177" s="53">
        <v>39661</v>
      </c>
      <c r="B177">
        <v>1098870</v>
      </c>
      <c r="C177">
        <v>5165667</v>
      </c>
      <c r="D177">
        <v>13072.8701171875</v>
      </c>
    </row>
    <row r="178" spans="1:4" x14ac:dyDescent="0.2">
      <c r="A178" s="53">
        <v>39692</v>
      </c>
      <c r="B178">
        <v>1125287</v>
      </c>
      <c r="C178">
        <v>5165667</v>
      </c>
      <c r="D178">
        <v>11259.8603515625</v>
      </c>
    </row>
    <row r="179" spans="1:4" x14ac:dyDescent="0.2">
      <c r="A179" s="53">
        <v>39722</v>
      </c>
      <c r="B179">
        <v>1168028</v>
      </c>
      <c r="C179">
        <v>5165667</v>
      </c>
      <c r="D179">
        <v>8576.98046875</v>
      </c>
    </row>
    <row r="180" spans="1:4" x14ac:dyDescent="0.2">
      <c r="A180" s="53">
        <v>39753</v>
      </c>
      <c r="B180">
        <v>1215262</v>
      </c>
      <c r="C180">
        <v>4922214</v>
      </c>
      <c r="D180">
        <v>8512.26953125</v>
      </c>
    </row>
    <row r="181" spans="1:4" x14ac:dyDescent="0.2">
      <c r="A181" s="53">
        <v>39783</v>
      </c>
      <c r="B181">
        <v>1227708</v>
      </c>
      <c r="C181">
        <v>4922214</v>
      </c>
      <c r="D181">
        <v>8859.5595703125</v>
      </c>
    </row>
    <row r="182" spans="1:4" x14ac:dyDescent="0.2">
      <c r="A182" s="53">
        <v>39814</v>
      </c>
      <c r="B182">
        <v>1195135</v>
      </c>
      <c r="C182">
        <v>4922214</v>
      </c>
      <c r="D182">
        <v>7994.0498046875</v>
      </c>
    </row>
    <row r="183" spans="1:4" x14ac:dyDescent="0.2">
      <c r="A183" s="53">
        <v>39845</v>
      </c>
      <c r="B183">
        <v>1221730</v>
      </c>
      <c r="C183">
        <v>4980662</v>
      </c>
      <c r="D183">
        <v>7568.419921875</v>
      </c>
    </row>
    <row r="184" spans="1:4" x14ac:dyDescent="0.2">
      <c r="A184" s="53">
        <v>39873</v>
      </c>
      <c r="B184">
        <v>1238886</v>
      </c>
      <c r="C184">
        <v>4980662</v>
      </c>
      <c r="D184">
        <v>8109.52978515625</v>
      </c>
    </row>
    <row r="185" spans="1:4" x14ac:dyDescent="0.2">
      <c r="A185" s="53">
        <v>39904</v>
      </c>
      <c r="B185">
        <v>1147983</v>
      </c>
      <c r="C185">
        <v>4980662</v>
      </c>
      <c r="D185">
        <v>8828.259765625</v>
      </c>
    </row>
    <row r="186" spans="1:4" x14ac:dyDescent="0.2">
      <c r="A186" s="53">
        <v>39934</v>
      </c>
      <c r="B186">
        <v>1187973</v>
      </c>
      <c r="C186">
        <v>4937305</v>
      </c>
      <c r="D186">
        <v>9522.5</v>
      </c>
    </row>
    <row r="187" spans="1:4" x14ac:dyDescent="0.2">
      <c r="A187" s="53">
        <v>39965</v>
      </c>
      <c r="B187">
        <v>1098429</v>
      </c>
      <c r="C187">
        <v>4937305</v>
      </c>
      <c r="D187">
        <v>9958.4404296875</v>
      </c>
    </row>
    <row r="188" spans="1:4" x14ac:dyDescent="0.2">
      <c r="A188" s="53">
        <v>39995</v>
      </c>
      <c r="B188">
        <v>1147349</v>
      </c>
      <c r="C188">
        <v>4937305</v>
      </c>
      <c r="D188">
        <v>10356.830078125</v>
      </c>
    </row>
    <row r="189" spans="1:4" x14ac:dyDescent="0.2">
      <c r="A189" s="53">
        <v>40026</v>
      </c>
      <c r="B189">
        <v>1171842</v>
      </c>
      <c r="C189">
        <v>4961894</v>
      </c>
      <c r="D189">
        <v>10492.5302734375</v>
      </c>
    </row>
    <row r="190" spans="1:4" x14ac:dyDescent="0.2">
      <c r="A190" s="53">
        <v>40057</v>
      </c>
      <c r="B190">
        <v>1163248</v>
      </c>
      <c r="C190">
        <v>4961894</v>
      </c>
      <c r="D190">
        <v>10133.23046875</v>
      </c>
    </row>
    <row r="191" spans="1:4" x14ac:dyDescent="0.2">
      <c r="A191" s="53">
        <v>40087</v>
      </c>
      <c r="B191">
        <v>1114000</v>
      </c>
      <c r="C191">
        <v>4961894</v>
      </c>
      <c r="D191">
        <v>10034.740234375</v>
      </c>
    </row>
    <row r="192" spans="1:4" x14ac:dyDescent="0.2">
      <c r="A192" s="53">
        <v>40118</v>
      </c>
      <c r="B192">
        <v>1172964</v>
      </c>
      <c r="C192">
        <v>5014933</v>
      </c>
      <c r="D192">
        <v>9345.5498046875</v>
      </c>
    </row>
    <row r="193" spans="1:4" x14ac:dyDescent="0.2">
      <c r="A193" s="53">
        <v>40148</v>
      </c>
      <c r="B193">
        <v>1225336</v>
      </c>
      <c r="C193">
        <v>5014933</v>
      </c>
      <c r="D193">
        <v>10546.4404296875</v>
      </c>
    </row>
    <row r="194" spans="1:4" x14ac:dyDescent="0.2">
      <c r="A194" s="53">
        <v>40179</v>
      </c>
      <c r="B194">
        <v>1224342</v>
      </c>
      <c r="C194">
        <v>5014933</v>
      </c>
      <c r="D194">
        <v>10198.0400390625</v>
      </c>
    </row>
    <row r="195" spans="1:4" x14ac:dyDescent="0.2">
      <c r="A195" s="53">
        <v>40210</v>
      </c>
      <c r="B195">
        <v>1267675</v>
      </c>
      <c r="C195">
        <v>5051798</v>
      </c>
      <c r="D195">
        <v>10126.0302734375</v>
      </c>
    </row>
    <row r="196" spans="1:4" x14ac:dyDescent="0.2">
      <c r="A196" s="53">
        <v>40238</v>
      </c>
      <c r="B196">
        <v>1218241</v>
      </c>
      <c r="C196">
        <v>5051798</v>
      </c>
      <c r="D196">
        <v>11089.9404296875</v>
      </c>
    </row>
    <row r="197" spans="1:4" x14ac:dyDescent="0.2">
      <c r="A197" s="53">
        <v>40269</v>
      </c>
      <c r="B197">
        <v>1142013</v>
      </c>
      <c r="C197">
        <v>5051798</v>
      </c>
      <c r="D197">
        <v>11057.400390625</v>
      </c>
    </row>
    <row r="198" spans="1:4" x14ac:dyDescent="0.2">
      <c r="A198" s="53">
        <v>40299</v>
      </c>
      <c r="B198">
        <v>1209586</v>
      </c>
      <c r="C198">
        <v>5110147</v>
      </c>
      <c r="D198">
        <v>9768.7001953125</v>
      </c>
    </row>
    <row r="199" spans="1:4" x14ac:dyDescent="0.2">
      <c r="A199" s="53">
        <v>40330</v>
      </c>
      <c r="B199">
        <v>1132336</v>
      </c>
      <c r="C199">
        <v>5110147</v>
      </c>
      <c r="D199">
        <v>9382.6396484375</v>
      </c>
    </row>
    <row r="200" spans="1:4" x14ac:dyDescent="0.2">
      <c r="A200" s="53">
        <v>40360</v>
      </c>
      <c r="B200">
        <v>1173742</v>
      </c>
      <c r="C200">
        <v>5110147</v>
      </c>
      <c r="D200">
        <v>9537.2998046875</v>
      </c>
    </row>
    <row r="201" spans="1:4" x14ac:dyDescent="0.2">
      <c r="A201" s="53">
        <v>40391</v>
      </c>
      <c r="B201">
        <v>1230414</v>
      </c>
      <c r="C201">
        <v>5050654</v>
      </c>
      <c r="D201">
        <v>8824.0595703125</v>
      </c>
    </row>
    <row r="202" spans="1:4" x14ac:dyDescent="0.2">
      <c r="A202" s="53">
        <v>40422</v>
      </c>
      <c r="B202">
        <v>1203317</v>
      </c>
      <c r="C202">
        <v>5050654</v>
      </c>
      <c r="D202">
        <v>9369.349609375</v>
      </c>
    </row>
    <row r="203" spans="1:4" x14ac:dyDescent="0.2">
      <c r="A203" s="53">
        <v>40452</v>
      </c>
      <c r="B203">
        <v>1214171</v>
      </c>
      <c r="C203">
        <v>5050654</v>
      </c>
      <c r="D203">
        <v>9202.4501953125</v>
      </c>
    </row>
    <row r="204" spans="1:4" x14ac:dyDescent="0.2">
      <c r="A204" s="53">
        <v>40483</v>
      </c>
      <c r="B204">
        <v>1270457</v>
      </c>
      <c r="C204">
        <v>4986502</v>
      </c>
      <c r="D204">
        <v>9937.0400390625</v>
      </c>
    </row>
    <row r="205" spans="1:4" x14ac:dyDescent="0.2">
      <c r="A205" s="53">
        <v>40513</v>
      </c>
      <c r="B205">
        <v>1287104</v>
      </c>
      <c r="C205">
        <v>4986502</v>
      </c>
      <c r="D205">
        <v>10228.919921875</v>
      </c>
    </row>
    <row r="206" spans="1:4" x14ac:dyDescent="0.2">
      <c r="A206" s="53">
        <v>40544</v>
      </c>
      <c r="B206">
        <v>1279996</v>
      </c>
      <c r="C206">
        <v>4986502</v>
      </c>
      <c r="D206">
        <v>10237.919921875</v>
      </c>
    </row>
    <row r="207" spans="1:4" x14ac:dyDescent="0.2">
      <c r="A207" s="53">
        <v>40575</v>
      </c>
      <c r="B207">
        <v>1301181</v>
      </c>
      <c r="C207">
        <v>4908731</v>
      </c>
      <c r="D207">
        <v>10624.08984375</v>
      </c>
    </row>
    <row r="208" spans="1:4" x14ac:dyDescent="0.2">
      <c r="A208" s="53">
        <v>40603</v>
      </c>
      <c r="B208">
        <v>1423631</v>
      </c>
      <c r="C208">
        <v>4908731</v>
      </c>
      <c r="D208">
        <v>9755.099609375</v>
      </c>
    </row>
    <row r="209" spans="1:4" x14ac:dyDescent="0.2">
      <c r="A209" s="53">
        <v>40634</v>
      </c>
      <c r="B209">
        <v>1346213</v>
      </c>
      <c r="C209">
        <v>4908731</v>
      </c>
      <c r="D209">
        <v>9849.740234375</v>
      </c>
    </row>
    <row r="210" spans="1:4" x14ac:dyDescent="0.2">
      <c r="A210" s="53">
        <v>40664</v>
      </c>
      <c r="B210">
        <v>1351200</v>
      </c>
      <c r="C210">
        <v>5011077</v>
      </c>
      <c r="D210">
        <v>9693.73046875</v>
      </c>
    </row>
    <row r="211" spans="1:4" x14ac:dyDescent="0.2">
      <c r="A211" s="53">
        <v>40695</v>
      </c>
      <c r="B211">
        <v>1295844</v>
      </c>
      <c r="C211">
        <v>5011077</v>
      </c>
      <c r="D211">
        <v>9816.08984375</v>
      </c>
    </row>
    <row r="212" spans="1:4" x14ac:dyDescent="0.2">
      <c r="A212" s="53">
        <v>40725</v>
      </c>
      <c r="B212">
        <v>1344737</v>
      </c>
      <c r="C212">
        <v>5011077</v>
      </c>
      <c r="D212">
        <v>9833.0302734375</v>
      </c>
    </row>
    <row r="213" spans="1:4" x14ac:dyDescent="0.2">
      <c r="A213" s="53">
        <v>40756</v>
      </c>
      <c r="B213">
        <v>1414829</v>
      </c>
      <c r="C213">
        <v>5000730</v>
      </c>
      <c r="D213">
        <v>8955.2001953125</v>
      </c>
    </row>
    <row r="214" spans="1:4" x14ac:dyDescent="0.2">
      <c r="A214" s="53">
        <v>40787</v>
      </c>
      <c r="B214">
        <v>1376890</v>
      </c>
      <c r="C214">
        <v>5000730</v>
      </c>
      <c r="D214">
        <v>8700.2900390625</v>
      </c>
    </row>
    <row r="215" spans="1:4" x14ac:dyDescent="0.2">
      <c r="A215" s="53">
        <v>40817</v>
      </c>
      <c r="B215">
        <v>1329858</v>
      </c>
      <c r="C215">
        <v>5000730</v>
      </c>
      <c r="D215">
        <v>8988.3896484375</v>
      </c>
    </row>
    <row r="216" spans="1:4" x14ac:dyDescent="0.2">
      <c r="A216" s="53">
        <v>40848</v>
      </c>
      <c r="B216">
        <v>1432056</v>
      </c>
      <c r="C216">
        <v>5074005</v>
      </c>
      <c r="D216">
        <v>8434.6103515625</v>
      </c>
    </row>
    <row r="217" spans="1:4" x14ac:dyDescent="0.2">
      <c r="A217" s="53">
        <v>40878</v>
      </c>
      <c r="B217">
        <v>1430219</v>
      </c>
      <c r="C217">
        <v>5074005</v>
      </c>
      <c r="D217">
        <v>8455.349609375</v>
      </c>
    </row>
    <row r="218" spans="1:4" x14ac:dyDescent="0.2">
      <c r="A218" s="53">
        <v>40909</v>
      </c>
      <c r="B218">
        <v>1369064</v>
      </c>
      <c r="C218">
        <v>5074005</v>
      </c>
      <c r="D218">
        <v>8802.509765625</v>
      </c>
    </row>
    <row r="219" spans="1:4" x14ac:dyDescent="0.2">
      <c r="A219" s="53">
        <v>40940</v>
      </c>
      <c r="B219">
        <v>1442443</v>
      </c>
      <c r="C219">
        <v>5003363</v>
      </c>
      <c r="D219">
        <v>9723.240234375</v>
      </c>
    </row>
    <row r="220" spans="1:4" x14ac:dyDescent="0.2">
      <c r="A220" s="53">
        <v>40969</v>
      </c>
      <c r="B220">
        <v>1394569</v>
      </c>
      <c r="C220">
        <v>5003363</v>
      </c>
      <c r="D220">
        <v>10083.5595703125</v>
      </c>
    </row>
    <row r="221" spans="1:4" x14ac:dyDescent="0.2">
      <c r="A221" s="53">
        <v>41000</v>
      </c>
      <c r="B221">
        <v>1412065</v>
      </c>
      <c r="C221">
        <v>5003363</v>
      </c>
      <c r="D221">
        <v>9520.8896484375</v>
      </c>
    </row>
    <row r="222" spans="1:4" x14ac:dyDescent="0.2">
      <c r="A222" s="53">
        <v>41030</v>
      </c>
      <c r="B222">
        <v>1428007</v>
      </c>
      <c r="C222">
        <v>4975813</v>
      </c>
      <c r="D222">
        <v>8542.73046875</v>
      </c>
    </row>
    <row r="223" spans="1:4" x14ac:dyDescent="0.2">
      <c r="A223" s="53">
        <v>41061</v>
      </c>
      <c r="B223">
        <v>1436265</v>
      </c>
      <c r="C223">
        <v>4975813</v>
      </c>
      <c r="D223">
        <v>9006.7802734375</v>
      </c>
    </row>
    <row r="224" spans="1:4" x14ac:dyDescent="0.2">
      <c r="A224" s="53">
        <v>41091</v>
      </c>
      <c r="B224">
        <v>1454954</v>
      </c>
      <c r="C224">
        <v>4975813</v>
      </c>
      <c r="D224">
        <v>8695.0595703125</v>
      </c>
    </row>
    <row r="225" spans="1:4" x14ac:dyDescent="0.2">
      <c r="A225" s="53">
        <v>41122</v>
      </c>
      <c r="B225">
        <v>1499672</v>
      </c>
      <c r="C225">
        <v>4971014</v>
      </c>
      <c r="D225">
        <v>8839.91015625</v>
      </c>
    </row>
    <row r="226" spans="1:4" x14ac:dyDescent="0.2">
      <c r="A226" s="53">
        <v>41153</v>
      </c>
      <c r="B226">
        <v>1499208</v>
      </c>
      <c r="C226">
        <v>4971014</v>
      </c>
      <c r="D226">
        <v>8870.16015625</v>
      </c>
    </row>
    <row r="227" spans="1:4" x14ac:dyDescent="0.2">
      <c r="A227" s="53">
        <v>41183</v>
      </c>
      <c r="B227">
        <v>1537316</v>
      </c>
      <c r="C227">
        <v>4971014</v>
      </c>
      <c r="D227">
        <v>8928.2900390625</v>
      </c>
    </row>
    <row r="228" spans="1:4" x14ac:dyDescent="0.2">
      <c r="A228" s="53">
        <v>41214</v>
      </c>
      <c r="B228">
        <v>1563579</v>
      </c>
      <c r="C228">
        <v>5030045</v>
      </c>
      <c r="D228">
        <v>9446.009765625</v>
      </c>
    </row>
    <row r="229" spans="1:4" x14ac:dyDescent="0.2">
      <c r="A229" s="53">
        <v>41244</v>
      </c>
      <c r="B229">
        <v>1583627</v>
      </c>
      <c r="C229">
        <v>5030045</v>
      </c>
      <c r="D229">
        <v>10395.1796875</v>
      </c>
    </row>
    <row r="230" spans="1:4" x14ac:dyDescent="0.2">
      <c r="A230" s="53">
        <v>41275</v>
      </c>
      <c r="B230">
        <v>1597903</v>
      </c>
      <c r="C230">
        <v>5030045</v>
      </c>
      <c r="D230">
        <v>11138.66015625</v>
      </c>
    </row>
    <row r="231" spans="1:4" x14ac:dyDescent="0.2">
      <c r="A231" s="53">
        <v>41306</v>
      </c>
      <c r="B231">
        <v>1635325</v>
      </c>
      <c r="C231">
        <v>5076436</v>
      </c>
      <c r="D231">
        <v>11559.3603515625</v>
      </c>
    </row>
    <row r="232" spans="1:4" x14ac:dyDescent="0.2">
      <c r="A232" s="53">
        <v>41334</v>
      </c>
      <c r="B232">
        <v>1648127</v>
      </c>
      <c r="C232">
        <v>5076436</v>
      </c>
      <c r="D232">
        <v>12397.91015625</v>
      </c>
    </row>
    <row r="233" spans="1:4" x14ac:dyDescent="0.2">
      <c r="A233" s="53">
        <v>41365</v>
      </c>
      <c r="B233">
        <v>1746913</v>
      </c>
      <c r="C233">
        <v>5076436</v>
      </c>
      <c r="D233">
        <v>13860.8603515625</v>
      </c>
    </row>
    <row r="234" spans="1:4" x14ac:dyDescent="0.2">
      <c r="A234" s="53">
        <v>41395</v>
      </c>
      <c r="B234">
        <v>1842861</v>
      </c>
      <c r="C234">
        <v>5128892</v>
      </c>
      <c r="D234">
        <v>13774.5400390625</v>
      </c>
    </row>
    <row r="235" spans="1:4" x14ac:dyDescent="0.2">
      <c r="A235" s="53">
        <v>41426</v>
      </c>
      <c r="B235">
        <v>1870684</v>
      </c>
      <c r="C235">
        <v>5128892</v>
      </c>
      <c r="D235">
        <v>13677.3203125</v>
      </c>
    </row>
    <row r="236" spans="1:4" x14ac:dyDescent="0.2">
      <c r="A236" s="53">
        <v>41456</v>
      </c>
      <c r="B236">
        <v>1967581</v>
      </c>
      <c r="C236">
        <v>5128892</v>
      </c>
      <c r="D236">
        <v>13668.3203125</v>
      </c>
    </row>
    <row r="237" spans="1:4" x14ac:dyDescent="0.2">
      <c r="A237" s="53">
        <v>41487</v>
      </c>
      <c r="B237">
        <v>2056918</v>
      </c>
      <c r="C237">
        <v>5123436</v>
      </c>
      <c r="D237">
        <v>13388.8603515625</v>
      </c>
    </row>
    <row r="238" spans="1:4" x14ac:dyDescent="0.2">
      <c r="A238" s="53">
        <v>41518</v>
      </c>
      <c r="B238">
        <v>2088625</v>
      </c>
      <c r="C238">
        <v>5123436</v>
      </c>
      <c r="D238">
        <v>14455.7998046875</v>
      </c>
    </row>
    <row r="239" spans="1:4" x14ac:dyDescent="0.2">
      <c r="A239" s="53">
        <v>41548</v>
      </c>
      <c r="B239">
        <v>2155142</v>
      </c>
      <c r="C239">
        <v>5123436</v>
      </c>
      <c r="D239">
        <v>14327.9404296875</v>
      </c>
    </row>
    <row r="240" spans="1:4" x14ac:dyDescent="0.2">
      <c r="A240" s="53">
        <v>41579</v>
      </c>
      <c r="B240">
        <v>2240888</v>
      </c>
      <c r="C240">
        <v>5167286</v>
      </c>
      <c r="D240">
        <v>15661.8701171875</v>
      </c>
    </row>
    <row r="241" spans="1:4" x14ac:dyDescent="0.2">
      <c r="A241" s="53">
        <v>41609</v>
      </c>
      <c r="B241">
        <v>2241897</v>
      </c>
      <c r="C241">
        <v>5167286</v>
      </c>
      <c r="D241">
        <v>16291.3095703125</v>
      </c>
    </row>
    <row r="242" spans="1:4" x14ac:dyDescent="0.2">
      <c r="A242" s="53">
        <v>41640</v>
      </c>
      <c r="B242">
        <v>2321780</v>
      </c>
      <c r="C242">
        <v>5167286</v>
      </c>
      <c r="D242">
        <v>14914.5302734375</v>
      </c>
    </row>
    <row r="243" spans="1:4" x14ac:dyDescent="0.2">
      <c r="A243" s="53">
        <v>41671</v>
      </c>
      <c r="B243">
        <v>2404502</v>
      </c>
      <c r="C243">
        <v>5179720</v>
      </c>
      <c r="D243">
        <v>14841.0703125</v>
      </c>
    </row>
    <row r="244" spans="1:4" x14ac:dyDescent="0.2">
      <c r="A244" s="53">
        <v>41699</v>
      </c>
      <c r="B244">
        <v>2415798</v>
      </c>
      <c r="C244">
        <v>5179720</v>
      </c>
      <c r="D244">
        <v>14827.830078125</v>
      </c>
    </row>
    <row r="245" spans="1:4" x14ac:dyDescent="0.2">
      <c r="A245" s="53">
        <v>41730</v>
      </c>
      <c r="B245">
        <v>2461764</v>
      </c>
      <c r="C245">
        <v>5179720</v>
      </c>
      <c r="D245">
        <v>14304.1103515625</v>
      </c>
    </row>
    <row r="246" spans="1:4" x14ac:dyDescent="0.2">
      <c r="A246" s="53">
        <v>41760</v>
      </c>
      <c r="B246">
        <v>2539730</v>
      </c>
      <c r="C246">
        <v>5182710</v>
      </c>
      <c r="D246">
        <v>14632.3798828125</v>
      </c>
    </row>
    <row r="247" spans="1:4" x14ac:dyDescent="0.2">
      <c r="A247" s="53">
        <v>41791</v>
      </c>
      <c r="B247">
        <v>2577613</v>
      </c>
      <c r="C247">
        <v>5182710</v>
      </c>
      <c r="D247">
        <v>15162.099609375</v>
      </c>
    </row>
    <row r="248" spans="1:4" x14ac:dyDescent="0.2">
      <c r="A248" s="53">
        <v>41821</v>
      </c>
      <c r="B248">
        <v>2689676</v>
      </c>
      <c r="C248">
        <v>5182710</v>
      </c>
      <c r="D248">
        <v>15620.76953125</v>
      </c>
    </row>
    <row r="249" spans="1:4" x14ac:dyDescent="0.2">
      <c r="A249" s="53">
        <v>41852</v>
      </c>
      <c r="B249">
        <v>2758955</v>
      </c>
      <c r="C249">
        <v>5219930</v>
      </c>
      <c r="D249">
        <v>15424.58984375</v>
      </c>
    </row>
    <row r="250" spans="1:4" x14ac:dyDescent="0.2">
      <c r="A250" s="53">
        <v>41883</v>
      </c>
      <c r="B250">
        <v>2770994</v>
      </c>
      <c r="C250">
        <v>5219930</v>
      </c>
      <c r="D250">
        <v>16173.51953125</v>
      </c>
    </row>
    <row r="251" spans="1:4" x14ac:dyDescent="0.2">
      <c r="A251" s="53">
        <v>41913</v>
      </c>
      <c r="B251">
        <v>2868380</v>
      </c>
      <c r="C251">
        <v>5219930</v>
      </c>
      <c r="D251">
        <v>16413.759765625</v>
      </c>
    </row>
    <row r="252" spans="1:4" x14ac:dyDescent="0.2">
      <c r="A252" s="53">
        <v>41944</v>
      </c>
      <c r="B252">
        <v>2973747</v>
      </c>
      <c r="C252">
        <v>5347177</v>
      </c>
      <c r="D252">
        <v>17459.849609375</v>
      </c>
    </row>
    <row r="253" spans="1:4" x14ac:dyDescent="0.2">
      <c r="A253" s="53">
        <v>41974</v>
      </c>
      <c r="B253">
        <v>3002117</v>
      </c>
      <c r="C253">
        <v>5347177</v>
      </c>
      <c r="D253">
        <v>17450.76953125</v>
      </c>
    </row>
    <row r="254" spans="1:4" x14ac:dyDescent="0.2">
      <c r="A254" s="53">
        <v>42005</v>
      </c>
      <c r="B254">
        <v>3111731</v>
      </c>
      <c r="C254">
        <v>5347177</v>
      </c>
      <c r="D254">
        <v>17674.390625</v>
      </c>
    </row>
    <row r="255" spans="1:4" x14ac:dyDescent="0.2">
      <c r="A255" s="53">
        <v>42036</v>
      </c>
      <c r="B255">
        <v>3204418</v>
      </c>
      <c r="C255">
        <v>5383621</v>
      </c>
      <c r="D255">
        <v>18797.939453125</v>
      </c>
    </row>
    <row r="256" spans="1:4" x14ac:dyDescent="0.2">
      <c r="A256" s="53">
        <v>42064</v>
      </c>
      <c r="B256">
        <v>3235937</v>
      </c>
      <c r="C256">
        <v>5383621</v>
      </c>
      <c r="D256">
        <v>19206.990234375</v>
      </c>
    </row>
    <row r="257" spans="1:4" x14ac:dyDescent="0.2">
      <c r="A257" s="53">
        <v>42095</v>
      </c>
      <c r="B257">
        <v>3328186</v>
      </c>
      <c r="C257">
        <v>5383621</v>
      </c>
      <c r="D257">
        <v>19520.009765625</v>
      </c>
    </row>
    <row r="258" spans="1:4" x14ac:dyDescent="0.2">
      <c r="A258" s="53">
        <v>42125</v>
      </c>
      <c r="B258">
        <v>3431402</v>
      </c>
      <c r="C258">
        <v>5398793</v>
      </c>
      <c r="D258">
        <v>20563.150390625</v>
      </c>
    </row>
    <row r="259" spans="1:4" x14ac:dyDescent="0.2">
      <c r="A259" s="53">
        <v>42156</v>
      </c>
      <c r="B259">
        <v>3454395</v>
      </c>
      <c r="C259">
        <v>5398793</v>
      </c>
      <c r="D259">
        <v>20235.73046875</v>
      </c>
    </row>
    <row r="260" spans="1:4" x14ac:dyDescent="0.2">
      <c r="A260" s="53">
        <v>42186</v>
      </c>
      <c r="B260">
        <v>3542941</v>
      </c>
      <c r="C260">
        <v>5398793</v>
      </c>
      <c r="D260">
        <v>20585.240234375</v>
      </c>
    </row>
    <row r="261" spans="1:4" x14ac:dyDescent="0.2">
      <c r="A261" s="53">
        <v>42217</v>
      </c>
      <c r="B261">
        <v>3614591</v>
      </c>
      <c r="C261">
        <v>5392564</v>
      </c>
      <c r="D261">
        <v>18890.48046875</v>
      </c>
    </row>
    <row r="262" spans="1:4" x14ac:dyDescent="0.2">
      <c r="A262" s="53">
        <v>42248</v>
      </c>
      <c r="B262">
        <v>3661278</v>
      </c>
      <c r="C262">
        <v>5392564</v>
      </c>
      <c r="D262">
        <v>17388.150390625</v>
      </c>
    </row>
    <row r="263" spans="1:4" x14ac:dyDescent="0.2">
      <c r="A263" s="53">
        <v>42278</v>
      </c>
      <c r="B263">
        <v>3735537</v>
      </c>
      <c r="C263">
        <v>5392564</v>
      </c>
      <c r="D263">
        <v>19083.099609375</v>
      </c>
    </row>
    <row r="264" spans="1:4" x14ac:dyDescent="0.2">
      <c r="A264" s="53">
        <v>42309</v>
      </c>
      <c r="B264">
        <v>3812542</v>
      </c>
      <c r="C264">
        <v>5450862</v>
      </c>
      <c r="D264">
        <v>19747.470703125</v>
      </c>
    </row>
    <row r="265" spans="1:4" x14ac:dyDescent="0.2">
      <c r="A265" s="53">
        <v>42339</v>
      </c>
      <c r="B265">
        <v>3831076</v>
      </c>
      <c r="C265">
        <v>5450862</v>
      </c>
      <c r="D265">
        <v>19033.7109375</v>
      </c>
    </row>
    <row r="266" spans="1:4" x14ac:dyDescent="0.2">
      <c r="A266" s="53">
        <v>42370</v>
      </c>
      <c r="B266">
        <v>3964498</v>
      </c>
      <c r="C266">
        <v>5450862</v>
      </c>
      <c r="D266">
        <v>17518.30078125</v>
      </c>
    </row>
    <row r="267" spans="1:4" x14ac:dyDescent="0.2">
      <c r="A267" s="53">
        <v>42401</v>
      </c>
      <c r="B267">
        <v>4037909</v>
      </c>
      <c r="C267">
        <v>5436614</v>
      </c>
      <c r="D267">
        <v>16026.759765625</v>
      </c>
    </row>
    <row r="268" spans="1:4" x14ac:dyDescent="0.2">
      <c r="A268" s="53">
        <v>42430</v>
      </c>
      <c r="B268">
        <v>4056481</v>
      </c>
      <c r="C268">
        <v>5436614</v>
      </c>
      <c r="D268">
        <v>16758.669921875</v>
      </c>
    </row>
    <row r="269" spans="1:4" x14ac:dyDescent="0.2">
      <c r="A269" s="53">
        <v>42461</v>
      </c>
      <c r="B269">
        <v>4144163</v>
      </c>
      <c r="C269">
        <v>5436614</v>
      </c>
      <c r="D269">
        <v>16666.05078125</v>
      </c>
    </row>
    <row r="270" spans="1:4" x14ac:dyDescent="0.2">
      <c r="A270" s="53">
        <v>42491</v>
      </c>
      <c r="B270">
        <v>4256697</v>
      </c>
      <c r="C270">
        <v>5435480</v>
      </c>
      <c r="D270">
        <v>17234.98046875</v>
      </c>
    </row>
    <row r="271" spans="1:4" x14ac:dyDescent="0.2">
      <c r="A271" s="53">
        <v>42522</v>
      </c>
      <c r="B271">
        <v>4327586</v>
      </c>
      <c r="C271">
        <v>5435480</v>
      </c>
      <c r="D271">
        <v>15575.919921875</v>
      </c>
    </row>
    <row r="272" spans="1:4" x14ac:dyDescent="0.2">
      <c r="A272" s="53">
        <v>42552</v>
      </c>
      <c r="B272">
        <v>4430848</v>
      </c>
      <c r="C272">
        <v>5435480</v>
      </c>
      <c r="D272">
        <v>16569.26953125</v>
      </c>
    </row>
    <row r="273" spans="1:4" x14ac:dyDescent="0.2">
      <c r="A273" s="53">
        <v>42583</v>
      </c>
      <c r="B273">
        <v>4529802</v>
      </c>
      <c r="C273">
        <v>5445143</v>
      </c>
      <c r="D273">
        <v>16887.400390625</v>
      </c>
    </row>
    <row r="274" spans="1:4" x14ac:dyDescent="0.2">
      <c r="A274" s="53">
        <v>42614</v>
      </c>
      <c r="B274">
        <v>4568058</v>
      </c>
      <c r="C274">
        <v>5445143</v>
      </c>
      <c r="D274">
        <v>16449.83984375</v>
      </c>
    </row>
    <row r="275" spans="1:4" x14ac:dyDescent="0.2">
      <c r="A275" s="53">
        <v>42644</v>
      </c>
      <c r="B275">
        <v>4633922</v>
      </c>
      <c r="C275">
        <v>5445143</v>
      </c>
      <c r="D275">
        <v>17425.01953125</v>
      </c>
    </row>
    <row r="276" spans="1:4" x14ac:dyDescent="0.2">
      <c r="A276" s="53">
        <v>42675</v>
      </c>
      <c r="B276">
        <v>4711310</v>
      </c>
      <c r="C276">
        <v>5473280</v>
      </c>
      <c r="D276">
        <v>18308.48046875</v>
      </c>
    </row>
    <row r="277" spans="1:4" x14ac:dyDescent="0.2">
      <c r="A277" s="53">
        <v>42705</v>
      </c>
      <c r="B277">
        <v>4764980</v>
      </c>
      <c r="C277">
        <v>5473280</v>
      </c>
      <c r="D277">
        <v>19114.369140625</v>
      </c>
    </row>
    <row r="278" spans="1:4" x14ac:dyDescent="0.2">
      <c r="A278" s="53">
        <v>42736</v>
      </c>
      <c r="B278">
        <v>4819817</v>
      </c>
      <c r="C278">
        <v>5473280</v>
      </c>
      <c r="D278">
        <v>19041.33984375</v>
      </c>
    </row>
    <row r="279" spans="1:4" x14ac:dyDescent="0.2">
      <c r="A279" s="53">
        <v>42767</v>
      </c>
      <c r="B279">
        <v>4879011</v>
      </c>
      <c r="C279">
        <v>5510848</v>
      </c>
      <c r="D279">
        <v>19118.990234375</v>
      </c>
    </row>
    <row r="280" spans="1:4" x14ac:dyDescent="0.2">
      <c r="A280" s="53">
        <v>42795</v>
      </c>
      <c r="B280">
        <v>4900893</v>
      </c>
      <c r="C280">
        <v>5510848</v>
      </c>
      <c r="D280">
        <v>18909.259765625</v>
      </c>
    </row>
    <row r="281" spans="1:4" x14ac:dyDescent="0.2">
      <c r="A281" s="53">
        <v>42826</v>
      </c>
      <c r="B281">
        <v>4977463</v>
      </c>
      <c r="C281">
        <v>5510848</v>
      </c>
      <c r="D281">
        <v>19196.740234375</v>
      </c>
    </row>
    <row r="282" spans="1:4" x14ac:dyDescent="0.2">
      <c r="A282" s="53">
        <v>42856</v>
      </c>
      <c r="B282">
        <v>5008008</v>
      </c>
      <c r="C282">
        <v>5570657</v>
      </c>
      <c r="D282">
        <v>19650.5703125</v>
      </c>
    </row>
    <row r="283" spans="1:4" x14ac:dyDescent="0.2">
      <c r="A283" s="53">
        <v>42887</v>
      </c>
      <c r="B283">
        <v>5021084</v>
      </c>
      <c r="C283">
        <v>5570657</v>
      </c>
      <c r="D283">
        <v>20033.4296875</v>
      </c>
    </row>
    <row r="284" spans="1:4" x14ac:dyDescent="0.2">
      <c r="A284" s="53">
        <v>42917</v>
      </c>
      <c r="B284">
        <v>5055602</v>
      </c>
      <c r="C284">
        <v>5570657</v>
      </c>
      <c r="D284">
        <v>19925.1796875</v>
      </c>
    </row>
    <row r="285" spans="1:4" x14ac:dyDescent="0.2">
      <c r="A285" s="53">
        <v>42948</v>
      </c>
      <c r="B285">
        <v>5115845</v>
      </c>
      <c r="C285">
        <v>5567624</v>
      </c>
      <c r="D285">
        <v>19646.240234375</v>
      </c>
    </row>
    <row r="286" spans="1:4" x14ac:dyDescent="0.2">
      <c r="A286" s="53">
        <v>42979</v>
      </c>
      <c r="B286">
        <v>5134438</v>
      </c>
      <c r="C286">
        <v>5567624</v>
      </c>
      <c r="D286">
        <v>20356.279296875</v>
      </c>
    </row>
    <row r="287" spans="1:4" x14ac:dyDescent="0.2">
      <c r="A287" s="53">
        <v>43009</v>
      </c>
      <c r="B287">
        <v>5180461</v>
      </c>
      <c r="C287">
        <v>5567624</v>
      </c>
      <c r="D287">
        <v>22011.609375</v>
      </c>
    </row>
    <row r="288" spans="1:4" x14ac:dyDescent="0.2">
      <c r="A288" s="53">
        <v>43040</v>
      </c>
      <c r="B288">
        <v>5218600</v>
      </c>
      <c r="C288">
        <v>5579570</v>
      </c>
      <c r="D288">
        <v>22724.9609375</v>
      </c>
    </row>
    <row r="289" spans="1:4" x14ac:dyDescent="0.2">
      <c r="A289" s="53">
        <v>43070</v>
      </c>
      <c r="B289">
        <v>5214161</v>
      </c>
      <c r="C289">
        <v>5579570</v>
      </c>
      <c r="D289">
        <v>22764.939453125</v>
      </c>
    </row>
    <row r="290" spans="1:4" x14ac:dyDescent="0.2">
      <c r="A290" s="53">
        <v>43101</v>
      </c>
      <c r="B290">
        <v>5267036</v>
      </c>
      <c r="C290">
        <v>5579570</v>
      </c>
      <c r="D290">
        <v>23098.2890625</v>
      </c>
    </row>
    <row r="291" spans="1:4" x14ac:dyDescent="0.2">
      <c r="A291" s="53">
        <v>43132</v>
      </c>
      <c r="B291">
        <v>5331792</v>
      </c>
      <c r="C291">
        <v>5593801</v>
      </c>
      <c r="D291">
        <v>22068.240234375</v>
      </c>
    </row>
    <row r="292" spans="1:4" x14ac:dyDescent="0.2">
      <c r="A292" s="53">
        <v>43160</v>
      </c>
      <c r="B292">
        <v>5282856</v>
      </c>
      <c r="C292">
        <v>5593801</v>
      </c>
      <c r="D292">
        <v>21454.30078125</v>
      </c>
    </row>
    <row r="293" spans="1:4" x14ac:dyDescent="0.2">
      <c r="A293" s="53">
        <v>43191</v>
      </c>
      <c r="B293">
        <v>5350510</v>
      </c>
      <c r="C293">
        <v>5593801</v>
      </c>
      <c r="D293">
        <v>22467.869140625</v>
      </c>
    </row>
    <row r="294" spans="1:4" x14ac:dyDescent="0.2">
      <c r="A294" s="53">
        <v>43221</v>
      </c>
      <c r="B294">
        <v>5408036</v>
      </c>
      <c r="C294">
        <v>5546102</v>
      </c>
      <c r="D294">
        <v>22201.8203125</v>
      </c>
    </row>
    <row r="295" spans="1:4" x14ac:dyDescent="0.2">
      <c r="A295" s="53">
        <v>43252</v>
      </c>
      <c r="B295">
        <v>5370168</v>
      </c>
      <c r="C295">
        <v>5546102</v>
      </c>
      <c r="D295">
        <v>22304.509765625</v>
      </c>
    </row>
    <row r="296" spans="1:4" x14ac:dyDescent="0.2">
      <c r="A296" s="53">
        <v>43282</v>
      </c>
      <c r="B296">
        <v>5463108</v>
      </c>
      <c r="C296">
        <v>5546102</v>
      </c>
      <c r="D296">
        <v>22553.720703125</v>
      </c>
    </row>
    <row r="297" spans="1:4" x14ac:dyDescent="0.2">
      <c r="A297" s="53">
        <v>43313</v>
      </c>
      <c r="B297">
        <v>5509363</v>
      </c>
      <c r="C297">
        <v>5529661</v>
      </c>
      <c r="D297">
        <v>22865.150390625</v>
      </c>
    </row>
    <row r="298" spans="1:4" x14ac:dyDescent="0.2">
      <c r="A298" s="53">
        <v>43344</v>
      </c>
      <c r="B298">
        <v>5456615</v>
      </c>
      <c r="C298">
        <v>5529661</v>
      </c>
      <c r="D298">
        <v>24120.0390625</v>
      </c>
    </row>
    <row r="299" spans="1:4" x14ac:dyDescent="0.2">
      <c r="A299" s="53">
        <v>43374</v>
      </c>
      <c r="B299">
        <v>5518054</v>
      </c>
      <c r="C299">
        <v>5529661</v>
      </c>
      <c r="D299">
        <v>21920.4609375</v>
      </c>
    </row>
    <row r="300" spans="1:4" x14ac:dyDescent="0.2">
      <c r="A300" s="53">
        <v>43405</v>
      </c>
      <c r="B300">
        <v>5555010</v>
      </c>
      <c r="C300">
        <v>5584651</v>
      </c>
      <c r="D300">
        <v>22351.060546875</v>
      </c>
    </row>
    <row r="301" spans="1:4" x14ac:dyDescent="0.2">
      <c r="A301" s="53">
        <v>43435</v>
      </c>
      <c r="B301">
        <v>5520843</v>
      </c>
      <c r="C301">
        <v>5584651</v>
      </c>
      <c r="D301">
        <v>20014.76953125</v>
      </c>
    </row>
    <row r="302" spans="1:4" x14ac:dyDescent="0.2">
      <c r="A302" s="53">
        <v>43466</v>
      </c>
      <c r="B302">
        <v>5569180</v>
      </c>
      <c r="C302">
        <v>5584651</v>
      </c>
      <c r="D302">
        <v>20773.490234375</v>
      </c>
    </row>
    <row r="303" spans="1:4" x14ac:dyDescent="0.2">
      <c r="A303" s="53">
        <v>43497</v>
      </c>
      <c r="B303">
        <v>5619262</v>
      </c>
      <c r="C303">
        <v>5620375</v>
      </c>
      <c r="D303">
        <v>21385.16015625</v>
      </c>
    </row>
    <row r="304" spans="1:4" x14ac:dyDescent="0.2">
      <c r="A304" s="53">
        <v>43525</v>
      </c>
      <c r="B304">
        <v>5570243</v>
      </c>
      <c r="C304">
        <v>5620375</v>
      </c>
      <c r="D304">
        <v>21205.810546875</v>
      </c>
    </row>
    <row r="305" spans="1:4" x14ac:dyDescent="0.2">
      <c r="A305" s="53">
        <v>43556</v>
      </c>
      <c r="B305">
        <v>5620357</v>
      </c>
      <c r="C305">
        <v>5620375</v>
      </c>
      <c r="D305">
        <v>22258.73046875</v>
      </c>
    </row>
    <row r="306" spans="1:4" x14ac:dyDescent="0.2">
      <c r="A306" s="53">
        <v>43586</v>
      </c>
      <c r="B306">
        <v>5671565</v>
      </c>
      <c r="C306">
        <v>5617470</v>
      </c>
      <c r="D306">
        <v>20601.189453125</v>
      </c>
    </row>
    <row r="307" spans="1:4" x14ac:dyDescent="0.2">
      <c r="A307" s="53">
        <v>43617</v>
      </c>
      <c r="B307">
        <v>5648665</v>
      </c>
      <c r="C307">
        <v>5617470</v>
      </c>
      <c r="D307">
        <v>21275.919921875</v>
      </c>
    </row>
    <row r="308" spans="1:4" x14ac:dyDescent="0.2">
      <c r="A308" s="53">
        <v>43647</v>
      </c>
      <c r="B308">
        <v>5683142</v>
      </c>
      <c r="C308">
        <v>5617470</v>
      </c>
      <c r="D308">
        <v>21521.529296875</v>
      </c>
    </row>
    <row r="309" spans="1:4" x14ac:dyDescent="0.2">
      <c r="A309" s="53">
        <v>43678</v>
      </c>
      <c r="B309">
        <v>5727192</v>
      </c>
      <c r="C309">
        <v>5512553</v>
      </c>
      <c r="D309">
        <v>20704.369140625</v>
      </c>
    </row>
    <row r="310" spans="1:4" x14ac:dyDescent="0.2">
      <c r="A310" s="53">
        <v>43709</v>
      </c>
      <c r="B310">
        <v>5698026</v>
      </c>
      <c r="C310">
        <v>5512553</v>
      </c>
      <c r="D310">
        <v>21755.83984375</v>
      </c>
    </row>
    <row r="311" spans="1:4" x14ac:dyDescent="0.2">
      <c r="A311" s="53">
        <v>43739</v>
      </c>
      <c r="B311">
        <v>5756702</v>
      </c>
      <c r="C311">
        <v>5512553</v>
      </c>
      <c r="D311">
        <v>22927.0390625</v>
      </c>
    </row>
    <row r="312" spans="1:4" x14ac:dyDescent="0.2">
      <c r="A312" s="53">
        <v>43770</v>
      </c>
      <c r="B312">
        <v>5785322</v>
      </c>
      <c r="C312">
        <v>5539421</v>
      </c>
      <c r="D312">
        <v>23293.91015625</v>
      </c>
    </row>
    <row r="313" spans="1:4" x14ac:dyDescent="0.2">
      <c r="A313" s="53">
        <v>43800</v>
      </c>
      <c r="B313">
        <v>5730531</v>
      </c>
      <c r="C313">
        <v>5539421</v>
      </c>
      <c r="D313">
        <v>23656.619140625</v>
      </c>
    </row>
    <row r="314" spans="1:4" x14ac:dyDescent="0.2">
      <c r="A314" s="53">
        <v>43831</v>
      </c>
      <c r="B314">
        <v>5783352</v>
      </c>
      <c r="C314">
        <v>5539421</v>
      </c>
      <c r="D314">
        <v>23205.1796875</v>
      </c>
    </row>
    <row r="315" spans="1:4" x14ac:dyDescent="0.2">
      <c r="A315" s="53">
        <v>43862</v>
      </c>
      <c r="B315">
        <v>5849208</v>
      </c>
      <c r="C315">
        <v>5119427</v>
      </c>
      <c r="D315">
        <v>21142.9609375</v>
      </c>
    </row>
    <row r="316" spans="1:4" x14ac:dyDescent="0.2">
      <c r="A316" s="53">
        <v>43891</v>
      </c>
      <c r="B316">
        <v>6044846</v>
      </c>
      <c r="C316">
        <v>5119427</v>
      </c>
      <c r="D316">
        <v>18917.009765625</v>
      </c>
    </row>
    <row r="317" spans="1:4" x14ac:dyDescent="0.2">
      <c r="A317" s="53">
        <v>43922</v>
      </c>
      <c r="B317">
        <v>6190306</v>
      </c>
      <c r="C317">
        <v>5119427</v>
      </c>
      <c r="D317">
        <v>20193.689453125</v>
      </c>
    </row>
    <row r="318" spans="1:4" x14ac:dyDescent="0.2">
      <c r="A318" s="53">
        <v>43952</v>
      </c>
      <c r="B318">
        <v>6385922</v>
      </c>
      <c r="C318">
        <v>5382073</v>
      </c>
      <c r="D318">
        <v>21877.890625</v>
      </c>
    </row>
    <row r="319" spans="1:4" x14ac:dyDescent="0.2">
      <c r="A319" s="53">
        <v>43983</v>
      </c>
      <c r="B319">
        <v>6489462</v>
      </c>
      <c r="C319">
        <v>5382073</v>
      </c>
      <c r="D319">
        <v>22288.140625</v>
      </c>
    </row>
    <row r="320" spans="1:4" x14ac:dyDescent="0.2">
      <c r="A320" s="53">
        <v>44013</v>
      </c>
      <c r="B320">
        <v>6658852</v>
      </c>
      <c r="C320">
        <v>5382073</v>
      </c>
      <c r="D320">
        <v>21710</v>
      </c>
    </row>
    <row r="321" spans="1:4" x14ac:dyDescent="0.2">
      <c r="A321" s="53">
        <v>44044</v>
      </c>
      <c r="B321">
        <v>6828990</v>
      </c>
      <c r="C321">
        <v>5476344</v>
      </c>
      <c r="D321">
        <v>23139.759765625</v>
      </c>
    </row>
    <row r="322" spans="1:4" x14ac:dyDescent="0.2">
      <c r="A322" s="53">
        <v>44075</v>
      </c>
      <c r="B322">
        <v>6900269</v>
      </c>
      <c r="C322">
        <v>5476344</v>
      </c>
      <c r="D322">
        <v>23185.119140625</v>
      </c>
    </row>
    <row r="323" spans="1:4" x14ac:dyDescent="0.2">
      <c r="A323" s="53">
        <v>44105</v>
      </c>
      <c r="B323">
        <v>6982309</v>
      </c>
      <c r="C323">
        <v>5476344</v>
      </c>
      <c r="D323">
        <v>22977.130859375</v>
      </c>
    </row>
    <row r="324" spans="1:4" x14ac:dyDescent="0.2">
      <c r="A324" s="53">
        <v>44136</v>
      </c>
      <c r="B324">
        <v>7053047</v>
      </c>
      <c r="C324">
        <v>5435295</v>
      </c>
      <c r="D324">
        <v>26433.619140625</v>
      </c>
    </row>
    <row r="325" spans="1:4" x14ac:dyDescent="0.2">
      <c r="A325" s="53">
        <v>44166</v>
      </c>
      <c r="B325">
        <v>7025822</v>
      </c>
      <c r="C325">
        <v>5435295</v>
      </c>
      <c r="D325">
        <v>27444.169921875</v>
      </c>
    </row>
    <row r="326" spans="1:4" x14ac:dyDescent="0.2">
      <c r="A326" s="53">
        <v>44197</v>
      </c>
      <c r="B326">
        <v>7094935</v>
      </c>
      <c r="C326">
        <v>5435295</v>
      </c>
      <c r="D326">
        <v>27663.390625</v>
      </c>
    </row>
    <row r="327" spans="1:4" x14ac:dyDescent="0.2">
      <c r="A327" s="53">
        <v>44228</v>
      </c>
      <c r="B327">
        <v>7126021</v>
      </c>
      <c r="C327">
        <v>5438066</v>
      </c>
      <c r="D327">
        <v>28966.009765625</v>
      </c>
    </row>
    <row r="328" spans="1:4" x14ac:dyDescent="0.2">
      <c r="A328" s="53">
        <v>44256</v>
      </c>
      <c r="B328">
        <v>7145566</v>
      </c>
      <c r="C328">
        <v>5438066</v>
      </c>
      <c r="D328">
        <v>29178.80078125</v>
      </c>
    </row>
    <row r="329" spans="1:4" x14ac:dyDescent="0.2">
      <c r="A329" s="53">
        <v>44287</v>
      </c>
      <c r="B329">
        <v>7202316</v>
      </c>
      <c r="C329">
        <v>5438066</v>
      </c>
      <c r="D329">
        <v>28812.630859375</v>
      </c>
    </row>
    <row r="330" spans="1:4" x14ac:dyDescent="0.2">
      <c r="A330" s="53">
        <v>44317</v>
      </c>
      <c r="B330">
        <v>7246409</v>
      </c>
      <c r="C330">
        <v>5381510</v>
      </c>
      <c r="D330">
        <v>28860.080078125</v>
      </c>
    </row>
    <row r="331" spans="1:4" x14ac:dyDescent="0.2">
      <c r="A331" s="53">
        <v>44348</v>
      </c>
      <c r="B331">
        <v>7169006</v>
      </c>
      <c r="C331">
        <v>5381510</v>
      </c>
      <c r="D331">
        <v>28791.529296875</v>
      </c>
    </row>
    <row r="332" spans="1:4" x14ac:dyDescent="0.2">
      <c r="A332" s="53">
        <v>44378</v>
      </c>
      <c r="B332">
        <v>7229429</v>
      </c>
      <c r="C332">
        <v>5381510</v>
      </c>
      <c r="D332">
        <v>27283.58984375</v>
      </c>
    </row>
    <row r="333" spans="1:4" x14ac:dyDescent="0.2">
      <c r="A333" s="53">
        <v>44409</v>
      </c>
      <c r="B333">
        <v>7267102</v>
      </c>
      <c r="D333">
        <v>28089.5390625</v>
      </c>
    </row>
    <row r="334" spans="1:4" x14ac:dyDescent="0.2">
      <c r="A334" s="53">
        <v>44440</v>
      </c>
      <c r="B334">
        <v>7240579</v>
      </c>
      <c r="D334">
        <v>29452.66015625</v>
      </c>
    </row>
    <row r="335" spans="1:4" x14ac:dyDescent="0.2">
      <c r="A335" s="53">
        <v>44470</v>
      </c>
      <c r="B335">
        <v>7251886</v>
      </c>
      <c r="D335">
        <v>28892.689453125</v>
      </c>
    </row>
    <row r="336" spans="1:4" x14ac:dyDescent="0.2">
      <c r="A336" s="53">
        <v>44501</v>
      </c>
      <c r="B336">
        <v>7282186</v>
      </c>
      <c r="D336">
        <v>27821.759765625</v>
      </c>
    </row>
    <row r="337" spans="1:4" x14ac:dyDescent="0.2">
      <c r="A337" s="53">
        <v>44531</v>
      </c>
      <c r="B337">
        <v>7237659</v>
      </c>
      <c r="D337">
        <v>28791.7109375</v>
      </c>
    </row>
    <row r="338" spans="1:4" x14ac:dyDescent="0.2">
      <c r="A338" s="53">
        <v>44562</v>
      </c>
      <c r="B338">
        <v>7251444</v>
      </c>
      <c r="D338">
        <v>27131.33984375</v>
      </c>
    </row>
    <row r="339" spans="1:4" x14ac:dyDescent="0.2">
      <c r="A339" s="53">
        <v>44593</v>
      </c>
      <c r="D339">
        <v>27439.990234375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06"/>
  <sheetViews>
    <sheetView zoomScale="200" zoomScaleNormal="200" workbookViewId="0">
      <pane ySplit="1" topLeftCell="A1172" activePane="bottomLeft" state="frozen"/>
      <selection pane="bottomLeft" activeCell="A1206" sqref="A1206"/>
    </sheetView>
  </sheetViews>
  <sheetFormatPr baseColWidth="10" defaultRowHeight="15" x14ac:dyDescent="0.2"/>
  <sheetData>
    <row r="1" spans="1:2" x14ac:dyDescent="0.2">
      <c r="A1" t="s">
        <v>34</v>
      </c>
      <c r="B1" t="s">
        <v>42</v>
      </c>
    </row>
    <row r="2" spans="1:2" x14ac:dyDescent="0.2">
      <c r="A2" s="53">
        <v>36161</v>
      </c>
      <c r="B2">
        <v>697160</v>
      </c>
    </row>
    <row r="3" spans="1:2" x14ac:dyDescent="0.2">
      <c r="A3" s="53">
        <v>36168</v>
      </c>
      <c r="B3">
        <v>685128</v>
      </c>
    </row>
    <row r="4" spans="1:2" x14ac:dyDescent="0.2">
      <c r="A4" s="53">
        <v>36175</v>
      </c>
      <c r="B4">
        <v>686992</v>
      </c>
    </row>
    <row r="5" spans="1:2" x14ac:dyDescent="0.2">
      <c r="A5" s="53">
        <v>36182</v>
      </c>
      <c r="B5">
        <v>667622</v>
      </c>
    </row>
    <row r="6" spans="1:2" x14ac:dyDescent="0.2">
      <c r="A6" s="53">
        <v>36189</v>
      </c>
      <c r="B6">
        <v>694638</v>
      </c>
    </row>
    <row r="7" spans="1:2" x14ac:dyDescent="0.2">
      <c r="A7" s="53">
        <v>36196</v>
      </c>
      <c r="B7">
        <v>687447</v>
      </c>
    </row>
    <row r="8" spans="1:2" x14ac:dyDescent="0.2">
      <c r="A8" s="53">
        <v>36203</v>
      </c>
      <c r="B8">
        <v>680236</v>
      </c>
    </row>
    <row r="9" spans="1:2" x14ac:dyDescent="0.2">
      <c r="A9" s="53">
        <v>36210</v>
      </c>
      <c r="B9">
        <v>681891</v>
      </c>
    </row>
    <row r="10" spans="1:2" x14ac:dyDescent="0.2">
      <c r="A10" s="53">
        <v>36217</v>
      </c>
      <c r="B10">
        <v>692641</v>
      </c>
    </row>
    <row r="11" spans="1:2" x14ac:dyDescent="0.2">
      <c r="A11" s="53">
        <v>36224</v>
      </c>
      <c r="B11">
        <v>698073</v>
      </c>
    </row>
    <row r="12" spans="1:2" x14ac:dyDescent="0.2">
      <c r="A12" s="53">
        <v>36231</v>
      </c>
      <c r="B12">
        <v>693054</v>
      </c>
    </row>
    <row r="13" spans="1:2" x14ac:dyDescent="0.2">
      <c r="A13" s="53">
        <v>36238</v>
      </c>
      <c r="B13">
        <v>668283</v>
      </c>
    </row>
    <row r="14" spans="1:2" x14ac:dyDescent="0.2">
      <c r="A14" s="53">
        <v>36245</v>
      </c>
      <c r="B14">
        <v>699396</v>
      </c>
    </row>
    <row r="15" spans="1:2" x14ac:dyDescent="0.2">
      <c r="A15" s="53">
        <v>36252</v>
      </c>
      <c r="B15">
        <v>774421</v>
      </c>
    </row>
    <row r="16" spans="1:2" x14ac:dyDescent="0.2">
      <c r="A16" s="53">
        <v>36259</v>
      </c>
      <c r="B16">
        <v>679468</v>
      </c>
    </row>
    <row r="17" spans="1:2" x14ac:dyDescent="0.2">
      <c r="A17" s="53">
        <v>36266</v>
      </c>
      <c r="B17">
        <v>705590</v>
      </c>
    </row>
    <row r="18" spans="1:2" x14ac:dyDescent="0.2">
      <c r="A18" s="53">
        <v>36273</v>
      </c>
      <c r="B18">
        <v>691717</v>
      </c>
    </row>
    <row r="19" spans="1:2" x14ac:dyDescent="0.2">
      <c r="A19" s="53">
        <v>36280</v>
      </c>
      <c r="B19">
        <v>698296</v>
      </c>
    </row>
    <row r="20" spans="1:2" x14ac:dyDescent="0.2">
      <c r="A20" s="53">
        <v>36287</v>
      </c>
      <c r="B20">
        <v>692124</v>
      </c>
    </row>
    <row r="21" spans="1:2" x14ac:dyDescent="0.2">
      <c r="A21" s="53">
        <v>36294</v>
      </c>
      <c r="B21">
        <v>687527</v>
      </c>
    </row>
    <row r="22" spans="1:2" x14ac:dyDescent="0.2">
      <c r="A22" s="53">
        <v>36301</v>
      </c>
      <c r="B22">
        <v>691085</v>
      </c>
    </row>
    <row r="23" spans="1:2" x14ac:dyDescent="0.2">
      <c r="A23" s="53">
        <v>36308</v>
      </c>
      <c r="B23">
        <v>705060</v>
      </c>
    </row>
    <row r="24" spans="1:2" x14ac:dyDescent="0.2">
      <c r="A24" s="53">
        <v>36315</v>
      </c>
      <c r="B24">
        <v>706426</v>
      </c>
    </row>
    <row r="25" spans="1:2" x14ac:dyDescent="0.2">
      <c r="A25" s="53">
        <v>36322</v>
      </c>
      <c r="B25">
        <v>697053</v>
      </c>
    </row>
    <row r="26" spans="1:2" x14ac:dyDescent="0.2">
      <c r="A26" s="53">
        <v>36329</v>
      </c>
      <c r="B26">
        <v>691771</v>
      </c>
    </row>
    <row r="27" spans="1:2" x14ac:dyDescent="0.2">
      <c r="A27" s="53">
        <v>36336</v>
      </c>
      <c r="B27">
        <v>695644</v>
      </c>
    </row>
    <row r="28" spans="1:2" x14ac:dyDescent="0.2">
      <c r="A28" s="53">
        <v>36343</v>
      </c>
      <c r="B28">
        <v>722715</v>
      </c>
    </row>
    <row r="29" spans="1:2" x14ac:dyDescent="0.2">
      <c r="A29" s="53">
        <v>36350</v>
      </c>
      <c r="B29">
        <v>722715</v>
      </c>
    </row>
    <row r="30" spans="1:2" x14ac:dyDescent="0.2">
      <c r="A30" s="53">
        <v>36357</v>
      </c>
      <c r="B30">
        <v>721569</v>
      </c>
    </row>
    <row r="31" spans="1:2" x14ac:dyDescent="0.2">
      <c r="A31" s="53">
        <v>36364</v>
      </c>
      <c r="B31">
        <v>721882</v>
      </c>
    </row>
    <row r="32" spans="1:2" x14ac:dyDescent="0.2">
      <c r="A32" s="53">
        <v>36371</v>
      </c>
      <c r="B32">
        <v>739725</v>
      </c>
    </row>
    <row r="33" spans="1:2" x14ac:dyDescent="0.2">
      <c r="A33" s="53">
        <v>36378</v>
      </c>
      <c r="B33">
        <v>722964</v>
      </c>
    </row>
    <row r="34" spans="1:2" x14ac:dyDescent="0.2">
      <c r="A34" s="53">
        <v>36385</v>
      </c>
      <c r="B34">
        <v>716260</v>
      </c>
    </row>
    <row r="35" spans="1:2" x14ac:dyDescent="0.2">
      <c r="A35" s="53">
        <v>36392</v>
      </c>
      <c r="B35">
        <v>713379</v>
      </c>
    </row>
    <row r="36" spans="1:2" x14ac:dyDescent="0.2">
      <c r="A36" s="53">
        <v>36399</v>
      </c>
      <c r="B36">
        <v>733966</v>
      </c>
    </row>
    <row r="37" spans="1:2" x14ac:dyDescent="0.2">
      <c r="A37" s="53">
        <v>36406</v>
      </c>
      <c r="B37">
        <v>727128</v>
      </c>
    </row>
    <row r="38" spans="1:2" x14ac:dyDescent="0.2">
      <c r="A38" s="53">
        <v>36413</v>
      </c>
      <c r="B38">
        <v>721270</v>
      </c>
    </row>
    <row r="39" spans="1:2" x14ac:dyDescent="0.2">
      <c r="A39" s="53">
        <v>36420</v>
      </c>
      <c r="B39">
        <v>717914</v>
      </c>
    </row>
    <row r="40" spans="1:2" x14ac:dyDescent="0.2">
      <c r="A40" s="53">
        <v>36427</v>
      </c>
      <c r="B40">
        <v>728600</v>
      </c>
    </row>
    <row r="41" spans="1:2" x14ac:dyDescent="0.2">
      <c r="A41" s="53">
        <v>36434</v>
      </c>
      <c r="B41">
        <v>730616</v>
      </c>
    </row>
    <row r="42" spans="1:2" x14ac:dyDescent="0.2">
      <c r="A42" s="53">
        <v>36441</v>
      </c>
      <c r="B42">
        <v>729413</v>
      </c>
    </row>
    <row r="43" spans="1:2" x14ac:dyDescent="0.2">
      <c r="A43" s="53">
        <v>36448</v>
      </c>
      <c r="B43">
        <v>724358</v>
      </c>
    </row>
    <row r="44" spans="1:2" x14ac:dyDescent="0.2">
      <c r="A44" s="53">
        <v>36455</v>
      </c>
      <c r="B44">
        <v>709946</v>
      </c>
    </row>
    <row r="45" spans="1:2" x14ac:dyDescent="0.2">
      <c r="A45" s="53">
        <v>36462</v>
      </c>
      <c r="B45">
        <v>742624</v>
      </c>
    </row>
    <row r="46" spans="1:2" x14ac:dyDescent="0.2">
      <c r="A46" s="53">
        <v>36469</v>
      </c>
      <c r="B46">
        <v>737141</v>
      </c>
    </row>
    <row r="47" spans="1:2" x14ac:dyDescent="0.2">
      <c r="A47" s="53">
        <v>36476</v>
      </c>
      <c r="B47">
        <v>733848</v>
      </c>
    </row>
    <row r="48" spans="1:2" x14ac:dyDescent="0.2">
      <c r="A48" s="53">
        <v>36483</v>
      </c>
      <c r="B48">
        <v>734998</v>
      </c>
    </row>
    <row r="49" spans="1:2" x14ac:dyDescent="0.2">
      <c r="A49" s="53">
        <v>36490</v>
      </c>
      <c r="B49">
        <v>743495</v>
      </c>
    </row>
    <row r="50" spans="1:2" x14ac:dyDescent="0.2">
      <c r="A50" s="53">
        <v>36497</v>
      </c>
      <c r="B50">
        <v>747164</v>
      </c>
    </row>
    <row r="51" spans="1:2" x14ac:dyDescent="0.2">
      <c r="A51" s="53">
        <v>36504</v>
      </c>
      <c r="B51">
        <v>764737</v>
      </c>
    </row>
    <row r="52" spans="1:2" x14ac:dyDescent="0.2">
      <c r="A52" s="53">
        <v>36511</v>
      </c>
      <c r="B52">
        <v>753217</v>
      </c>
    </row>
    <row r="53" spans="1:2" x14ac:dyDescent="0.2">
      <c r="A53" s="53">
        <v>36518</v>
      </c>
      <c r="B53">
        <v>760669</v>
      </c>
    </row>
    <row r="54" spans="1:2" x14ac:dyDescent="0.2">
      <c r="A54" s="53">
        <v>36525</v>
      </c>
      <c r="B54">
        <v>803192</v>
      </c>
    </row>
    <row r="55" spans="1:2" x14ac:dyDescent="0.2">
      <c r="A55" s="53">
        <v>36532</v>
      </c>
      <c r="B55">
        <v>791851</v>
      </c>
    </row>
    <row r="56" spans="1:2" x14ac:dyDescent="0.2">
      <c r="A56" s="53">
        <v>36539</v>
      </c>
      <c r="B56">
        <v>736485</v>
      </c>
    </row>
    <row r="57" spans="1:2" x14ac:dyDescent="0.2">
      <c r="A57" s="53">
        <v>36546</v>
      </c>
      <c r="B57">
        <v>745291</v>
      </c>
    </row>
    <row r="58" spans="1:2" x14ac:dyDescent="0.2">
      <c r="A58" s="53">
        <v>36553</v>
      </c>
      <c r="B58">
        <v>772749</v>
      </c>
    </row>
    <row r="59" spans="1:2" x14ac:dyDescent="0.2">
      <c r="A59" s="53">
        <v>36560</v>
      </c>
      <c r="B59">
        <v>762476</v>
      </c>
    </row>
    <row r="60" spans="1:2" x14ac:dyDescent="0.2">
      <c r="A60" s="53">
        <v>36567</v>
      </c>
      <c r="B60">
        <v>759425</v>
      </c>
    </row>
    <row r="61" spans="1:2" x14ac:dyDescent="0.2">
      <c r="A61" s="53">
        <v>36574</v>
      </c>
      <c r="B61">
        <v>755854</v>
      </c>
    </row>
    <row r="62" spans="1:2" x14ac:dyDescent="0.2">
      <c r="A62" s="53">
        <v>36581</v>
      </c>
      <c r="B62">
        <v>752207</v>
      </c>
    </row>
    <row r="63" spans="1:2" x14ac:dyDescent="0.2">
      <c r="A63" s="53">
        <v>36588</v>
      </c>
      <c r="B63">
        <v>777649</v>
      </c>
    </row>
    <row r="64" spans="1:2" x14ac:dyDescent="0.2">
      <c r="A64" s="53">
        <v>36595</v>
      </c>
      <c r="B64">
        <v>759989</v>
      </c>
    </row>
    <row r="65" spans="1:2" x14ac:dyDescent="0.2">
      <c r="A65" s="53">
        <v>36602</v>
      </c>
      <c r="B65">
        <v>757188</v>
      </c>
    </row>
    <row r="66" spans="1:2" x14ac:dyDescent="0.2">
      <c r="A66" s="53">
        <v>36609</v>
      </c>
      <c r="B66">
        <v>761178</v>
      </c>
    </row>
    <row r="67" spans="1:2" x14ac:dyDescent="0.2">
      <c r="A67" s="53">
        <v>36616</v>
      </c>
      <c r="B67">
        <v>774421</v>
      </c>
    </row>
    <row r="68" spans="1:2" x14ac:dyDescent="0.2">
      <c r="A68" s="53">
        <v>36623</v>
      </c>
      <c r="B68">
        <v>770428</v>
      </c>
    </row>
    <row r="69" spans="1:2" x14ac:dyDescent="0.2">
      <c r="A69" s="53">
        <v>36630</v>
      </c>
      <c r="B69">
        <v>765602</v>
      </c>
    </row>
    <row r="70" spans="1:2" x14ac:dyDescent="0.2">
      <c r="A70" s="53">
        <v>36637</v>
      </c>
      <c r="B70">
        <v>777205</v>
      </c>
    </row>
    <row r="71" spans="1:2" x14ac:dyDescent="0.2">
      <c r="A71" s="53">
        <v>36644</v>
      </c>
      <c r="B71">
        <v>782962</v>
      </c>
    </row>
    <row r="72" spans="1:2" x14ac:dyDescent="0.2">
      <c r="A72" s="53">
        <v>36651</v>
      </c>
      <c r="B72">
        <v>786480</v>
      </c>
    </row>
    <row r="73" spans="1:2" x14ac:dyDescent="0.2">
      <c r="A73" s="53">
        <v>36658</v>
      </c>
      <c r="B73">
        <v>768074</v>
      </c>
    </row>
    <row r="74" spans="1:2" x14ac:dyDescent="0.2">
      <c r="A74" s="53">
        <v>36665</v>
      </c>
      <c r="B74">
        <v>775903</v>
      </c>
    </row>
    <row r="75" spans="1:2" x14ac:dyDescent="0.2">
      <c r="A75" s="53">
        <v>36672</v>
      </c>
      <c r="B75">
        <v>779222</v>
      </c>
    </row>
    <row r="76" spans="1:2" x14ac:dyDescent="0.2">
      <c r="A76" s="53">
        <v>36679</v>
      </c>
      <c r="B76">
        <v>774894</v>
      </c>
    </row>
    <row r="77" spans="1:2" x14ac:dyDescent="0.2">
      <c r="A77" s="53">
        <v>36686</v>
      </c>
      <c r="B77">
        <v>769982</v>
      </c>
    </row>
    <row r="78" spans="1:2" x14ac:dyDescent="0.2">
      <c r="A78" s="53">
        <v>36693</v>
      </c>
      <c r="B78">
        <v>774819</v>
      </c>
    </row>
    <row r="79" spans="1:2" x14ac:dyDescent="0.2">
      <c r="A79" s="53">
        <v>36700</v>
      </c>
      <c r="B79">
        <v>776768</v>
      </c>
    </row>
    <row r="80" spans="1:2" x14ac:dyDescent="0.2">
      <c r="A80" s="53">
        <v>36707</v>
      </c>
      <c r="B80">
        <v>812468</v>
      </c>
    </row>
    <row r="81" spans="1:2" x14ac:dyDescent="0.2">
      <c r="A81" s="53">
        <v>36714</v>
      </c>
      <c r="B81">
        <v>793480</v>
      </c>
    </row>
    <row r="82" spans="1:2" x14ac:dyDescent="0.2">
      <c r="A82" s="53">
        <v>36721</v>
      </c>
      <c r="B82">
        <v>791179</v>
      </c>
    </row>
    <row r="83" spans="1:2" x14ac:dyDescent="0.2">
      <c r="A83" s="53">
        <v>36728</v>
      </c>
      <c r="B83">
        <v>786691</v>
      </c>
    </row>
    <row r="84" spans="1:2" x14ac:dyDescent="0.2">
      <c r="A84" s="53">
        <v>36735</v>
      </c>
      <c r="B84">
        <v>800725</v>
      </c>
    </row>
    <row r="85" spans="1:2" x14ac:dyDescent="0.2">
      <c r="A85" s="53">
        <v>36742</v>
      </c>
      <c r="B85">
        <v>792086</v>
      </c>
    </row>
    <row r="86" spans="1:2" x14ac:dyDescent="0.2">
      <c r="A86" s="53">
        <v>36749</v>
      </c>
      <c r="B86">
        <v>783778</v>
      </c>
    </row>
    <row r="87" spans="1:2" x14ac:dyDescent="0.2">
      <c r="A87" s="53">
        <v>36756</v>
      </c>
      <c r="B87">
        <v>794289</v>
      </c>
    </row>
    <row r="88" spans="1:2" x14ac:dyDescent="0.2">
      <c r="A88" s="53">
        <v>36763</v>
      </c>
      <c r="B88">
        <v>796968</v>
      </c>
    </row>
    <row r="89" spans="1:2" x14ac:dyDescent="0.2">
      <c r="A89" s="53">
        <v>36770</v>
      </c>
      <c r="B89">
        <v>802418</v>
      </c>
    </row>
    <row r="90" spans="1:2" x14ac:dyDescent="0.2">
      <c r="A90" s="53">
        <v>36777</v>
      </c>
      <c r="B90">
        <v>797766</v>
      </c>
    </row>
    <row r="91" spans="1:2" x14ac:dyDescent="0.2">
      <c r="A91" s="53">
        <v>36784</v>
      </c>
      <c r="B91">
        <v>792783</v>
      </c>
    </row>
    <row r="92" spans="1:2" x14ac:dyDescent="0.2">
      <c r="A92" s="53">
        <v>36791</v>
      </c>
      <c r="B92">
        <v>788510</v>
      </c>
    </row>
    <row r="93" spans="1:2" x14ac:dyDescent="0.2">
      <c r="A93" s="53">
        <v>36798</v>
      </c>
      <c r="B93">
        <v>826310</v>
      </c>
    </row>
    <row r="94" spans="1:2" x14ac:dyDescent="0.2">
      <c r="A94" s="53">
        <v>36805</v>
      </c>
      <c r="B94">
        <v>821621</v>
      </c>
    </row>
    <row r="95" spans="1:2" x14ac:dyDescent="0.2">
      <c r="A95" s="53">
        <v>36812</v>
      </c>
      <c r="B95">
        <v>816322</v>
      </c>
    </row>
    <row r="96" spans="1:2" x14ac:dyDescent="0.2">
      <c r="A96" s="53">
        <v>36819</v>
      </c>
      <c r="B96">
        <v>809796</v>
      </c>
    </row>
    <row r="97" spans="1:2" x14ac:dyDescent="0.2">
      <c r="A97" s="53">
        <v>36826</v>
      </c>
      <c r="B97">
        <v>822086</v>
      </c>
    </row>
    <row r="98" spans="1:2" x14ac:dyDescent="0.2">
      <c r="A98" s="53">
        <v>36833</v>
      </c>
      <c r="B98">
        <v>821281</v>
      </c>
    </row>
    <row r="99" spans="1:2" x14ac:dyDescent="0.2">
      <c r="A99" s="53">
        <v>36840</v>
      </c>
      <c r="B99">
        <v>821918</v>
      </c>
    </row>
    <row r="100" spans="1:2" x14ac:dyDescent="0.2">
      <c r="A100" s="53">
        <v>36847</v>
      </c>
      <c r="B100">
        <v>818956</v>
      </c>
    </row>
    <row r="101" spans="1:2" x14ac:dyDescent="0.2">
      <c r="A101" s="53">
        <v>36854</v>
      </c>
      <c r="B101">
        <v>833103</v>
      </c>
    </row>
    <row r="102" spans="1:2" x14ac:dyDescent="0.2">
      <c r="A102" s="53">
        <v>36861</v>
      </c>
      <c r="B102">
        <v>834584</v>
      </c>
    </row>
    <row r="103" spans="1:2" x14ac:dyDescent="0.2">
      <c r="A103" s="53">
        <v>36868</v>
      </c>
      <c r="B103">
        <v>855968</v>
      </c>
    </row>
    <row r="104" spans="1:2" x14ac:dyDescent="0.2">
      <c r="A104" s="53">
        <v>36875</v>
      </c>
      <c r="B104">
        <v>854381</v>
      </c>
    </row>
    <row r="105" spans="1:2" x14ac:dyDescent="0.2">
      <c r="A105" s="53">
        <v>36882</v>
      </c>
      <c r="B105">
        <v>848610</v>
      </c>
    </row>
    <row r="106" spans="1:2" x14ac:dyDescent="0.2">
      <c r="A106" s="53">
        <v>36889</v>
      </c>
      <c r="B106">
        <v>835065</v>
      </c>
    </row>
    <row r="107" spans="1:2" x14ac:dyDescent="0.2">
      <c r="A107" s="53">
        <v>36896</v>
      </c>
      <c r="B107">
        <v>843751</v>
      </c>
    </row>
    <row r="108" spans="1:2" x14ac:dyDescent="0.2">
      <c r="A108" s="53">
        <v>36903</v>
      </c>
      <c r="B108">
        <v>836782</v>
      </c>
    </row>
    <row r="109" spans="1:2" x14ac:dyDescent="0.2">
      <c r="A109" s="53">
        <v>36910</v>
      </c>
      <c r="B109">
        <v>840210</v>
      </c>
    </row>
    <row r="110" spans="1:2" x14ac:dyDescent="0.2">
      <c r="A110" s="53">
        <v>36917</v>
      </c>
      <c r="B110">
        <v>853462</v>
      </c>
    </row>
    <row r="111" spans="1:2" x14ac:dyDescent="0.2">
      <c r="A111" s="53">
        <v>36924</v>
      </c>
      <c r="B111">
        <v>835215</v>
      </c>
    </row>
    <row r="112" spans="1:2" x14ac:dyDescent="0.2">
      <c r="A112" s="53">
        <v>36931</v>
      </c>
      <c r="B112">
        <v>829737</v>
      </c>
    </row>
    <row r="113" spans="1:2" x14ac:dyDescent="0.2">
      <c r="A113" s="53">
        <v>36938</v>
      </c>
      <c r="B113">
        <v>811621</v>
      </c>
    </row>
    <row r="114" spans="1:2" x14ac:dyDescent="0.2">
      <c r="A114" s="53">
        <v>36945</v>
      </c>
      <c r="B114">
        <v>871589</v>
      </c>
    </row>
    <row r="115" spans="1:2" x14ac:dyDescent="0.2">
      <c r="A115" s="53">
        <v>36952</v>
      </c>
      <c r="B115">
        <v>831539</v>
      </c>
    </row>
    <row r="116" spans="1:2" x14ac:dyDescent="0.2">
      <c r="A116" s="53">
        <v>36959</v>
      </c>
      <c r="B116">
        <v>818190</v>
      </c>
    </row>
    <row r="117" spans="1:2" x14ac:dyDescent="0.2">
      <c r="A117" s="53">
        <v>36966</v>
      </c>
      <c r="B117">
        <v>840112</v>
      </c>
    </row>
    <row r="118" spans="1:2" x14ac:dyDescent="0.2">
      <c r="A118" s="53">
        <v>36973</v>
      </c>
      <c r="B118">
        <v>832777</v>
      </c>
    </row>
    <row r="119" spans="1:2" x14ac:dyDescent="0.2">
      <c r="A119" s="53">
        <v>36980</v>
      </c>
      <c r="B119">
        <v>847959</v>
      </c>
    </row>
    <row r="120" spans="1:2" x14ac:dyDescent="0.2">
      <c r="A120" s="53">
        <v>36987</v>
      </c>
      <c r="B120">
        <v>829109</v>
      </c>
    </row>
    <row r="121" spans="1:2" x14ac:dyDescent="0.2">
      <c r="A121" s="53">
        <v>36994</v>
      </c>
      <c r="B121">
        <v>814720</v>
      </c>
    </row>
    <row r="122" spans="1:2" x14ac:dyDescent="0.2">
      <c r="A122" s="53">
        <v>37001</v>
      </c>
      <c r="B122">
        <v>858769</v>
      </c>
    </row>
    <row r="123" spans="1:2" x14ac:dyDescent="0.2">
      <c r="A123" s="53">
        <v>37008</v>
      </c>
      <c r="B123">
        <v>839272</v>
      </c>
    </row>
    <row r="124" spans="1:2" x14ac:dyDescent="0.2">
      <c r="A124" s="53">
        <v>37015</v>
      </c>
      <c r="B124">
        <v>819675</v>
      </c>
    </row>
    <row r="125" spans="1:2" x14ac:dyDescent="0.2">
      <c r="A125" s="53">
        <v>37022</v>
      </c>
      <c r="B125">
        <v>820898</v>
      </c>
    </row>
    <row r="126" spans="1:2" x14ac:dyDescent="0.2">
      <c r="A126" s="53">
        <v>37029</v>
      </c>
      <c r="B126">
        <v>814941</v>
      </c>
    </row>
    <row r="127" spans="1:2" x14ac:dyDescent="0.2">
      <c r="A127" s="53">
        <v>37036</v>
      </c>
      <c r="B127">
        <v>825427</v>
      </c>
    </row>
    <row r="128" spans="1:2" x14ac:dyDescent="0.2">
      <c r="A128" s="53">
        <v>37043</v>
      </c>
      <c r="B128">
        <v>830431</v>
      </c>
    </row>
    <row r="129" spans="1:2" x14ac:dyDescent="0.2">
      <c r="A129" s="53">
        <v>37050</v>
      </c>
      <c r="B129">
        <v>827440</v>
      </c>
    </row>
    <row r="130" spans="1:2" x14ac:dyDescent="0.2">
      <c r="A130" s="53">
        <v>37057</v>
      </c>
      <c r="B130">
        <v>819049</v>
      </c>
    </row>
    <row r="131" spans="1:2" x14ac:dyDescent="0.2">
      <c r="A131" s="53">
        <v>37064</v>
      </c>
      <c r="B131">
        <v>824444</v>
      </c>
    </row>
    <row r="132" spans="1:2" x14ac:dyDescent="0.2">
      <c r="A132" s="53">
        <v>37071</v>
      </c>
      <c r="B132">
        <v>862767</v>
      </c>
    </row>
    <row r="133" spans="1:2" x14ac:dyDescent="0.2">
      <c r="A133" s="53">
        <v>37078</v>
      </c>
      <c r="B133">
        <v>852890</v>
      </c>
    </row>
    <row r="134" spans="1:2" x14ac:dyDescent="0.2">
      <c r="A134" s="53">
        <v>37085</v>
      </c>
      <c r="B134">
        <v>842370</v>
      </c>
    </row>
    <row r="135" spans="1:2" x14ac:dyDescent="0.2">
      <c r="A135" s="53">
        <v>37092</v>
      </c>
      <c r="B135">
        <v>841946</v>
      </c>
    </row>
    <row r="136" spans="1:2" x14ac:dyDescent="0.2">
      <c r="A136" s="53">
        <v>37099</v>
      </c>
      <c r="B136">
        <v>862061</v>
      </c>
    </row>
    <row r="137" spans="1:2" x14ac:dyDescent="0.2">
      <c r="A137" s="53">
        <v>37106</v>
      </c>
      <c r="B137">
        <v>852105</v>
      </c>
    </row>
    <row r="138" spans="1:2" x14ac:dyDescent="0.2">
      <c r="A138" s="53">
        <v>37113</v>
      </c>
      <c r="B138">
        <v>840988</v>
      </c>
    </row>
    <row r="139" spans="1:2" x14ac:dyDescent="0.2">
      <c r="A139" s="53">
        <v>37120</v>
      </c>
      <c r="B139">
        <v>840603</v>
      </c>
    </row>
    <row r="140" spans="1:2" x14ac:dyDescent="0.2">
      <c r="A140" s="53">
        <v>37127</v>
      </c>
      <c r="B140">
        <v>832360</v>
      </c>
    </row>
    <row r="141" spans="1:2" x14ac:dyDescent="0.2">
      <c r="A141" s="53">
        <v>37134</v>
      </c>
      <c r="B141">
        <v>833389</v>
      </c>
    </row>
    <row r="142" spans="1:2" x14ac:dyDescent="0.2">
      <c r="A142" s="53">
        <v>37141</v>
      </c>
      <c r="B142">
        <v>828051</v>
      </c>
    </row>
    <row r="143" spans="1:2" x14ac:dyDescent="0.2">
      <c r="A143" s="53">
        <v>37148</v>
      </c>
      <c r="B143">
        <v>820690</v>
      </c>
    </row>
    <row r="144" spans="1:2" x14ac:dyDescent="0.2">
      <c r="A144" s="53">
        <v>37155</v>
      </c>
      <c r="B144">
        <v>806105</v>
      </c>
    </row>
    <row r="145" spans="1:2" x14ac:dyDescent="0.2">
      <c r="A145" s="53">
        <v>37162</v>
      </c>
      <c r="B145">
        <v>817364</v>
      </c>
    </row>
    <row r="146" spans="1:2" x14ac:dyDescent="0.2">
      <c r="A146" s="53">
        <v>37169</v>
      </c>
      <c r="B146">
        <v>798851</v>
      </c>
    </row>
    <row r="147" spans="1:2" x14ac:dyDescent="0.2">
      <c r="A147" s="53">
        <v>37176</v>
      </c>
      <c r="B147">
        <v>782084</v>
      </c>
    </row>
    <row r="148" spans="1:2" x14ac:dyDescent="0.2">
      <c r="A148" s="53">
        <v>37183</v>
      </c>
      <c r="B148">
        <v>810439</v>
      </c>
    </row>
    <row r="149" spans="1:2" x14ac:dyDescent="0.2">
      <c r="A149" s="53">
        <v>37190</v>
      </c>
      <c r="B149">
        <v>809996</v>
      </c>
    </row>
    <row r="150" spans="1:2" x14ac:dyDescent="0.2">
      <c r="A150" s="53">
        <v>37197</v>
      </c>
      <c r="B150">
        <v>795654</v>
      </c>
    </row>
    <row r="151" spans="1:2" x14ac:dyDescent="0.2">
      <c r="A151" s="53">
        <v>37204</v>
      </c>
      <c r="B151">
        <v>771984</v>
      </c>
    </row>
    <row r="152" spans="1:2" x14ac:dyDescent="0.2">
      <c r="A152" s="53">
        <v>37211</v>
      </c>
      <c r="B152">
        <v>821504</v>
      </c>
    </row>
    <row r="153" spans="1:2" x14ac:dyDescent="0.2">
      <c r="A153" s="53">
        <v>37218</v>
      </c>
      <c r="B153">
        <v>802491</v>
      </c>
    </row>
    <row r="154" spans="1:2" x14ac:dyDescent="0.2">
      <c r="A154" s="53">
        <v>37225</v>
      </c>
      <c r="B154">
        <v>810690</v>
      </c>
    </row>
    <row r="155" spans="1:2" x14ac:dyDescent="0.2">
      <c r="A155" s="53">
        <v>37232</v>
      </c>
      <c r="B155">
        <v>809860</v>
      </c>
    </row>
    <row r="156" spans="1:2" x14ac:dyDescent="0.2">
      <c r="A156" s="53">
        <v>37239</v>
      </c>
      <c r="B156">
        <v>805551</v>
      </c>
    </row>
    <row r="157" spans="1:2" x14ac:dyDescent="0.2">
      <c r="A157" s="53">
        <v>37246</v>
      </c>
      <c r="B157">
        <v>795432</v>
      </c>
    </row>
    <row r="158" spans="1:2" x14ac:dyDescent="0.2">
      <c r="A158" s="53">
        <v>37253</v>
      </c>
      <c r="B158">
        <v>814662</v>
      </c>
    </row>
    <row r="159" spans="1:2" x14ac:dyDescent="0.2">
      <c r="A159" s="53">
        <v>37260</v>
      </c>
      <c r="B159">
        <v>899232</v>
      </c>
    </row>
    <row r="160" spans="1:2" x14ac:dyDescent="0.2">
      <c r="A160" s="53">
        <v>37267</v>
      </c>
      <c r="B160">
        <v>872101</v>
      </c>
    </row>
    <row r="161" spans="1:2" x14ac:dyDescent="0.2">
      <c r="A161" s="53">
        <v>37274</v>
      </c>
      <c r="B161">
        <v>864853</v>
      </c>
    </row>
    <row r="162" spans="1:2" x14ac:dyDescent="0.2">
      <c r="A162" s="53">
        <v>37281</v>
      </c>
      <c r="B162">
        <v>839687</v>
      </c>
    </row>
    <row r="163" spans="1:2" x14ac:dyDescent="0.2">
      <c r="A163" s="53">
        <v>37288</v>
      </c>
      <c r="B163">
        <v>810126</v>
      </c>
    </row>
    <row r="164" spans="1:2" x14ac:dyDescent="0.2">
      <c r="A164" s="53">
        <v>37295</v>
      </c>
      <c r="B164">
        <v>796924</v>
      </c>
    </row>
    <row r="165" spans="1:2" x14ac:dyDescent="0.2">
      <c r="A165" s="53">
        <v>37302</v>
      </c>
      <c r="B165">
        <v>796794</v>
      </c>
    </row>
    <row r="166" spans="1:2" x14ac:dyDescent="0.2">
      <c r="A166" s="53">
        <v>37309</v>
      </c>
      <c r="B166">
        <v>777402</v>
      </c>
    </row>
    <row r="167" spans="1:2" x14ac:dyDescent="0.2">
      <c r="A167" s="53">
        <v>37316</v>
      </c>
      <c r="B167">
        <v>790171</v>
      </c>
    </row>
    <row r="168" spans="1:2" x14ac:dyDescent="0.2">
      <c r="A168" s="53">
        <v>37323</v>
      </c>
      <c r="B168">
        <v>786325</v>
      </c>
    </row>
    <row r="169" spans="1:2" x14ac:dyDescent="0.2">
      <c r="A169" s="53">
        <v>37330</v>
      </c>
      <c r="B169">
        <v>778974</v>
      </c>
    </row>
    <row r="170" spans="1:2" x14ac:dyDescent="0.2">
      <c r="A170" s="53">
        <v>37337</v>
      </c>
      <c r="B170">
        <v>781840</v>
      </c>
    </row>
    <row r="171" spans="1:2" x14ac:dyDescent="0.2">
      <c r="A171" s="53">
        <v>37344</v>
      </c>
      <c r="B171">
        <v>814901</v>
      </c>
    </row>
    <row r="172" spans="1:2" x14ac:dyDescent="0.2">
      <c r="A172" s="53">
        <v>37351</v>
      </c>
      <c r="B172">
        <v>800142</v>
      </c>
    </row>
    <row r="173" spans="1:2" x14ac:dyDescent="0.2">
      <c r="A173" s="53">
        <v>37358</v>
      </c>
      <c r="B173">
        <v>782916</v>
      </c>
    </row>
    <row r="174" spans="1:2" x14ac:dyDescent="0.2">
      <c r="A174" s="53">
        <v>37365</v>
      </c>
      <c r="B174">
        <v>778804</v>
      </c>
    </row>
    <row r="175" spans="1:2" x14ac:dyDescent="0.2">
      <c r="A175" s="53">
        <v>37372</v>
      </c>
      <c r="B175">
        <v>788835</v>
      </c>
    </row>
    <row r="176" spans="1:2" x14ac:dyDescent="0.2">
      <c r="A176" s="53">
        <v>37379</v>
      </c>
      <c r="B176">
        <v>783833</v>
      </c>
    </row>
    <row r="177" spans="1:2" x14ac:dyDescent="0.2">
      <c r="A177" s="53">
        <v>37386</v>
      </c>
      <c r="B177">
        <v>791617</v>
      </c>
    </row>
    <row r="178" spans="1:2" x14ac:dyDescent="0.2">
      <c r="A178" s="53">
        <v>37393</v>
      </c>
      <c r="B178">
        <v>785510</v>
      </c>
    </row>
    <row r="179" spans="1:2" x14ac:dyDescent="0.2">
      <c r="A179" s="53">
        <v>37400</v>
      </c>
      <c r="B179">
        <v>788812</v>
      </c>
    </row>
    <row r="180" spans="1:2" x14ac:dyDescent="0.2">
      <c r="A180" s="53">
        <v>37407</v>
      </c>
      <c r="B180">
        <v>793333</v>
      </c>
    </row>
    <row r="181" spans="1:2" x14ac:dyDescent="0.2">
      <c r="A181" s="53">
        <v>37414</v>
      </c>
      <c r="B181">
        <v>788433</v>
      </c>
    </row>
    <row r="182" spans="1:2" x14ac:dyDescent="0.2">
      <c r="A182" s="53">
        <v>37421</v>
      </c>
      <c r="B182">
        <v>783564</v>
      </c>
    </row>
    <row r="183" spans="1:2" x14ac:dyDescent="0.2">
      <c r="A183" s="53">
        <v>37428</v>
      </c>
      <c r="B183">
        <v>793674</v>
      </c>
    </row>
    <row r="184" spans="1:2" x14ac:dyDescent="0.2">
      <c r="A184" s="53">
        <v>37435</v>
      </c>
      <c r="B184">
        <v>780845</v>
      </c>
    </row>
    <row r="185" spans="1:2" x14ac:dyDescent="0.2">
      <c r="A185" s="53">
        <v>37442</v>
      </c>
      <c r="B185">
        <v>764716</v>
      </c>
    </row>
    <row r="186" spans="1:2" x14ac:dyDescent="0.2">
      <c r="A186" s="53">
        <v>37449</v>
      </c>
      <c r="B186">
        <v>765635</v>
      </c>
    </row>
    <row r="187" spans="1:2" x14ac:dyDescent="0.2">
      <c r="A187" s="53">
        <v>37456</v>
      </c>
      <c r="B187">
        <v>775995</v>
      </c>
    </row>
    <row r="188" spans="1:2" x14ac:dyDescent="0.2">
      <c r="A188" s="53">
        <v>37463</v>
      </c>
      <c r="B188">
        <v>783540</v>
      </c>
    </row>
    <row r="189" spans="1:2" x14ac:dyDescent="0.2">
      <c r="A189" s="53">
        <v>37470</v>
      </c>
      <c r="B189">
        <v>771591</v>
      </c>
    </row>
    <row r="190" spans="1:2" x14ac:dyDescent="0.2">
      <c r="A190" s="53">
        <v>37477</v>
      </c>
      <c r="B190">
        <v>768630</v>
      </c>
    </row>
    <row r="191" spans="1:2" x14ac:dyDescent="0.2">
      <c r="A191" s="53">
        <v>37484</v>
      </c>
      <c r="B191">
        <v>763509</v>
      </c>
    </row>
    <row r="192" spans="1:2" x14ac:dyDescent="0.2">
      <c r="A192" s="53">
        <v>37491</v>
      </c>
      <c r="B192">
        <v>764092</v>
      </c>
    </row>
    <row r="193" spans="1:2" x14ac:dyDescent="0.2">
      <c r="A193" s="53">
        <v>37498</v>
      </c>
      <c r="B193">
        <v>770838</v>
      </c>
    </row>
    <row r="194" spans="1:2" x14ac:dyDescent="0.2">
      <c r="A194" s="53">
        <v>37505</v>
      </c>
      <c r="B194">
        <v>765573</v>
      </c>
    </row>
    <row r="195" spans="1:2" x14ac:dyDescent="0.2">
      <c r="A195" s="53">
        <v>37512</v>
      </c>
      <c r="B195">
        <v>762139</v>
      </c>
    </row>
    <row r="196" spans="1:2" x14ac:dyDescent="0.2">
      <c r="A196" s="53">
        <v>37519</v>
      </c>
      <c r="B196">
        <v>772638</v>
      </c>
    </row>
    <row r="197" spans="1:2" x14ac:dyDescent="0.2">
      <c r="A197" s="53">
        <v>37526</v>
      </c>
      <c r="B197">
        <v>772822</v>
      </c>
    </row>
    <row r="198" spans="1:2" x14ac:dyDescent="0.2">
      <c r="A198" s="53">
        <v>37533</v>
      </c>
      <c r="B198">
        <v>778337</v>
      </c>
    </row>
    <row r="199" spans="1:2" x14ac:dyDescent="0.2">
      <c r="A199" s="53">
        <v>37540</v>
      </c>
      <c r="B199">
        <v>778706</v>
      </c>
    </row>
    <row r="200" spans="1:2" x14ac:dyDescent="0.2">
      <c r="A200" s="53">
        <v>37547</v>
      </c>
      <c r="B200">
        <v>774314</v>
      </c>
    </row>
    <row r="201" spans="1:2" x14ac:dyDescent="0.2">
      <c r="A201" s="53">
        <v>37554</v>
      </c>
      <c r="B201">
        <v>798028</v>
      </c>
    </row>
    <row r="202" spans="1:2" x14ac:dyDescent="0.2">
      <c r="A202" s="53">
        <v>37561</v>
      </c>
      <c r="B202">
        <v>779659</v>
      </c>
    </row>
    <row r="203" spans="1:2" x14ac:dyDescent="0.2">
      <c r="A203" s="53">
        <v>37568</v>
      </c>
      <c r="B203">
        <v>777495</v>
      </c>
    </row>
    <row r="204" spans="1:2" x14ac:dyDescent="0.2">
      <c r="A204" s="53">
        <v>37575</v>
      </c>
      <c r="B204">
        <v>773332</v>
      </c>
    </row>
    <row r="205" spans="1:2" x14ac:dyDescent="0.2">
      <c r="A205" s="53">
        <v>37582</v>
      </c>
      <c r="B205">
        <v>788667</v>
      </c>
    </row>
    <row r="206" spans="1:2" x14ac:dyDescent="0.2">
      <c r="A206" s="53">
        <v>37589</v>
      </c>
      <c r="B206">
        <v>796464</v>
      </c>
    </row>
    <row r="207" spans="1:2" x14ac:dyDescent="0.2">
      <c r="A207" s="53">
        <v>37596</v>
      </c>
      <c r="B207">
        <v>812706</v>
      </c>
    </row>
    <row r="208" spans="1:2" x14ac:dyDescent="0.2">
      <c r="A208" s="53">
        <v>37603</v>
      </c>
      <c r="B208">
        <v>818720</v>
      </c>
    </row>
    <row r="209" spans="1:2" x14ac:dyDescent="0.2">
      <c r="A209" s="53">
        <v>37610</v>
      </c>
      <c r="B209">
        <v>820448</v>
      </c>
    </row>
    <row r="210" spans="1:2" x14ac:dyDescent="0.2">
      <c r="A210" s="53">
        <v>37617</v>
      </c>
      <c r="B210">
        <v>832558</v>
      </c>
    </row>
    <row r="211" spans="1:2" x14ac:dyDescent="0.2">
      <c r="A211" s="53">
        <v>37624</v>
      </c>
      <c r="B211">
        <v>794992</v>
      </c>
    </row>
    <row r="212" spans="1:2" x14ac:dyDescent="0.2">
      <c r="A212" s="53">
        <v>37631</v>
      </c>
      <c r="B212">
        <v>786619</v>
      </c>
    </row>
    <row r="213" spans="1:2" x14ac:dyDescent="0.2">
      <c r="A213" s="53">
        <v>37638</v>
      </c>
      <c r="B213">
        <v>773267</v>
      </c>
    </row>
    <row r="214" spans="1:2" x14ac:dyDescent="0.2">
      <c r="A214" s="53">
        <v>37645</v>
      </c>
      <c r="B214">
        <v>778863</v>
      </c>
    </row>
    <row r="215" spans="1:2" x14ac:dyDescent="0.2">
      <c r="A215" s="53">
        <v>37652</v>
      </c>
      <c r="B215">
        <v>786730</v>
      </c>
    </row>
    <row r="216" spans="1:2" x14ac:dyDescent="0.2">
      <c r="A216" s="53">
        <v>37659</v>
      </c>
      <c r="B216">
        <v>782044</v>
      </c>
    </row>
    <row r="217" spans="1:2" x14ac:dyDescent="0.2">
      <c r="A217" s="53">
        <v>37666</v>
      </c>
      <c r="B217">
        <v>775370</v>
      </c>
    </row>
    <row r="218" spans="1:2" x14ac:dyDescent="0.2">
      <c r="A218" s="53">
        <v>37673</v>
      </c>
      <c r="B218">
        <v>784809</v>
      </c>
    </row>
    <row r="219" spans="1:2" x14ac:dyDescent="0.2">
      <c r="A219" s="53">
        <v>37680</v>
      </c>
      <c r="B219">
        <v>790649</v>
      </c>
    </row>
    <row r="220" spans="1:2" x14ac:dyDescent="0.2">
      <c r="A220" s="53">
        <v>37687</v>
      </c>
      <c r="B220">
        <v>749960</v>
      </c>
    </row>
    <row r="221" spans="1:2" x14ac:dyDescent="0.2">
      <c r="A221" s="53">
        <v>37694</v>
      </c>
      <c r="B221">
        <v>838923</v>
      </c>
    </row>
    <row r="222" spans="1:2" x14ac:dyDescent="0.2">
      <c r="A222" s="53">
        <v>37701</v>
      </c>
      <c r="B222">
        <v>802273</v>
      </c>
    </row>
    <row r="223" spans="1:2" x14ac:dyDescent="0.2">
      <c r="A223" s="53">
        <v>37708</v>
      </c>
      <c r="B223">
        <v>798674</v>
      </c>
    </row>
    <row r="224" spans="1:2" x14ac:dyDescent="0.2">
      <c r="A224" s="53">
        <v>37715</v>
      </c>
      <c r="B224">
        <v>774429</v>
      </c>
    </row>
    <row r="225" spans="1:2" x14ac:dyDescent="0.2">
      <c r="A225" s="53">
        <v>37722</v>
      </c>
      <c r="B225">
        <v>770550</v>
      </c>
    </row>
    <row r="226" spans="1:2" x14ac:dyDescent="0.2">
      <c r="A226" s="53">
        <v>37729</v>
      </c>
      <c r="B226">
        <v>776461</v>
      </c>
    </row>
    <row r="227" spans="1:2" x14ac:dyDescent="0.2">
      <c r="A227" s="53">
        <v>37736</v>
      </c>
      <c r="B227">
        <v>800643</v>
      </c>
    </row>
    <row r="228" spans="1:2" x14ac:dyDescent="0.2">
      <c r="A228" s="53">
        <v>37743</v>
      </c>
      <c r="B228">
        <v>760351</v>
      </c>
    </row>
    <row r="229" spans="1:2" x14ac:dyDescent="0.2">
      <c r="A229" s="53">
        <v>37750</v>
      </c>
      <c r="B229">
        <v>765135</v>
      </c>
    </row>
    <row r="230" spans="1:2" x14ac:dyDescent="0.2">
      <c r="A230" s="53">
        <v>37757</v>
      </c>
      <c r="B230">
        <v>771868</v>
      </c>
    </row>
    <row r="231" spans="1:2" x14ac:dyDescent="0.2">
      <c r="A231" s="53">
        <v>37764</v>
      </c>
      <c r="B231">
        <v>793894</v>
      </c>
    </row>
    <row r="232" spans="1:2" x14ac:dyDescent="0.2">
      <c r="A232" s="53">
        <v>37771</v>
      </c>
      <c r="B232">
        <v>801435</v>
      </c>
    </row>
    <row r="233" spans="1:2" x14ac:dyDescent="0.2">
      <c r="A233" s="53">
        <v>37778</v>
      </c>
      <c r="B233">
        <v>777056</v>
      </c>
    </row>
    <row r="234" spans="1:2" x14ac:dyDescent="0.2">
      <c r="A234" s="53">
        <v>37785</v>
      </c>
      <c r="B234">
        <v>801670</v>
      </c>
    </row>
    <row r="235" spans="1:2" x14ac:dyDescent="0.2">
      <c r="A235" s="53">
        <v>37792</v>
      </c>
      <c r="B235">
        <v>791707</v>
      </c>
    </row>
    <row r="236" spans="1:2" x14ac:dyDescent="0.2">
      <c r="A236" s="53">
        <v>37799</v>
      </c>
      <c r="B236">
        <v>813568</v>
      </c>
    </row>
    <row r="237" spans="1:2" x14ac:dyDescent="0.2">
      <c r="A237" s="53">
        <v>37806</v>
      </c>
      <c r="B237">
        <v>802107</v>
      </c>
    </row>
    <row r="238" spans="1:2" x14ac:dyDescent="0.2">
      <c r="A238" s="53">
        <v>37813</v>
      </c>
      <c r="B238">
        <v>797996</v>
      </c>
    </row>
    <row r="239" spans="1:2" x14ac:dyDescent="0.2">
      <c r="A239" s="53">
        <v>37820</v>
      </c>
      <c r="B239">
        <v>795274</v>
      </c>
    </row>
    <row r="240" spans="1:2" x14ac:dyDescent="0.2">
      <c r="A240" s="53">
        <v>37827</v>
      </c>
      <c r="B240">
        <v>828475</v>
      </c>
    </row>
    <row r="241" spans="1:2" x14ac:dyDescent="0.2">
      <c r="A241" s="53">
        <v>37834</v>
      </c>
      <c r="B241">
        <v>802942</v>
      </c>
    </row>
    <row r="242" spans="1:2" x14ac:dyDescent="0.2">
      <c r="A242" s="53">
        <v>37841</v>
      </c>
      <c r="B242">
        <v>812583</v>
      </c>
    </row>
    <row r="243" spans="1:2" x14ac:dyDescent="0.2">
      <c r="A243" s="53">
        <v>37848</v>
      </c>
      <c r="B243">
        <v>798392</v>
      </c>
    </row>
    <row r="244" spans="1:2" x14ac:dyDescent="0.2">
      <c r="A244" s="53">
        <v>37855</v>
      </c>
      <c r="B244">
        <v>800214</v>
      </c>
    </row>
    <row r="245" spans="1:2" x14ac:dyDescent="0.2">
      <c r="A245" s="53">
        <v>37862</v>
      </c>
      <c r="B245">
        <v>814810</v>
      </c>
    </row>
    <row r="246" spans="1:2" x14ac:dyDescent="0.2">
      <c r="A246" s="53">
        <v>37869</v>
      </c>
      <c r="B246">
        <v>809501</v>
      </c>
    </row>
    <row r="247" spans="1:2" x14ac:dyDescent="0.2">
      <c r="A247" s="53">
        <v>37876</v>
      </c>
      <c r="B247">
        <v>804358</v>
      </c>
    </row>
    <row r="248" spans="1:2" x14ac:dyDescent="0.2">
      <c r="A248" s="53">
        <v>37883</v>
      </c>
      <c r="B248">
        <v>813574</v>
      </c>
    </row>
    <row r="249" spans="1:2" x14ac:dyDescent="0.2">
      <c r="A249" s="53">
        <v>37890</v>
      </c>
      <c r="B249">
        <v>829239</v>
      </c>
    </row>
    <row r="250" spans="1:2" x14ac:dyDescent="0.2">
      <c r="A250" s="53">
        <v>37897</v>
      </c>
      <c r="B250">
        <v>813612</v>
      </c>
    </row>
    <row r="251" spans="1:2" x14ac:dyDescent="0.2">
      <c r="A251" s="53">
        <v>37904</v>
      </c>
      <c r="B251">
        <v>815927</v>
      </c>
    </row>
    <row r="252" spans="1:2" x14ac:dyDescent="0.2">
      <c r="A252" s="53">
        <v>37911</v>
      </c>
      <c r="B252">
        <v>803678</v>
      </c>
    </row>
    <row r="253" spans="1:2" x14ac:dyDescent="0.2">
      <c r="A253" s="53">
        <v>37918</v>
      </c>
      <c r="B253">
        <v>812517</v>
      </c>
    </row>
    <row r="254" spans="1:2" x14ac:dyDescent="0.2">
      <c r="A254" s="53">
        <v>37925</v>
      </c>
      <c r="B254">
        <v>818606</v>
      </c>
    </row>
    <row r="255" spans="1:2" x14ac:dyDescent="0.2">
      <c r="A255" s="53">
        <v>37932</v>
      </c>
      <c r="B255">
        <v>813549</v>
      </c>
    </row>
    <row r="256" spans="1:2" x14ac:dyDescent="0.2">
      <c r="A256" s="53">
        <v>37939</v>
      </c>
      <c r="B256">
        <v>811863</v>
      </c>
    </row>
    <row r="257" spans="1:2" x14ac:dyDescent="0.2">
      <c r="A257" s="53">
        <v>37946</v>
      </c>
      <c r="B257">
        <v>827063</v>
      </c>
    </row>
    <row r="258" spans="1:2" x14ac:dyDescent="0.2">
      <c r="A258" s="53">
        <v>37953</v>
      </c>
      <c r="B258">
        <v>833339</v>
      </c>
    </row>
    <row r="259" spans="1:2" x14ac:dyDescent="0.2">
      <c r="A259" s="53">
        <v>37960</v>
      </c>
      <c r="B259">
        <v>858338</v>
      </c>
    </row>
    <row r="260" spans="1:2" x14ac:dyDescent="0.2">
      <c r="A260" s="53">
        <v>37967</v>
      </c>
      <c r="B260">
        <v>847045</v>
      </c>
    </row>
    <row r="261" spans="1:2" x14ac:dyDescent="0.2">
      <c r="A261" s="53">
        <v>37974</v>
      </c>
      <c r="B261">
        <v>848705</v>
      </c>
    </row>
    <row r="262" spans="1:2" x14ac:dyDescent="0.2">
      <c r="A262" s="53">
        <v>37981</v>
      </c>
      <c r="B262">
        <v>835157</v>
      </c>
    </row>
    <row r="263" spans="1:2" x14ac:dyDescent="0.2">
      <c r="A263" s="53">
        <v>37988</v>
      </c>
      <c r="B263">
        <v>838321</v>
      </c>
    </row>
    <row r="264" spans="1:2" x14ac:dyDescent="0.2">
      <c r="A264" s="53">
        <v>37995</v>
      </c>
      <c r="B264">
        <v>811951</v>
      </c>
    </row>
    <row r="265" spans="1:2" x14ac:dyDescent="0.2">
      <c r="A265" s="53">
        <v>38002</v>
      </c>
      <c r="B265">
        <v>812604</v>
      </c>
    </row>
    <row r="266" spans="1:2" x14ac:dyDescent="0.2">
      <c r="A266" s="53">
        <v>38009</v>
      </c>
      <c r="B266">
        <v>823280</v>
      </c>
    </row>
    <row r="267" spans="1:2" x14ac:dyDescent="0.2">
      <c r="A267" s="53">
        <v>38016</v>
      </c>
      <c r="B267">
        <v>824392</v>
      </c>
    </row>
    <row r="268" spans="1:2" x14ac:dyDescent="0.2">
      <c r="A268" s="53">
        <v>38023</v>
      </c>
      <c r="B268">
        <v>817014</v>
      </c>
    </row>
    <row r="269" spans="1:2" x14ac:dyDescent="0.2">
      <c r="A269" s="53">
        <v>38030</v>
      </c>
      <c r="B269">
        <v>813160</v>
      </c>
    </row>
    <row r="270" spans="1:2" x14ac:dyDescent="0.2">
      <c r="A270" s="53">
        <v>38037</v>
      </c>
      <c r="B270">
        <v>816931</v>
      </c>
    </row>
    <row r="271" spans="1:2" x14ac:dyDescent="0.2">
      <c r="A271" s="53">
        <v>38044</v>
      </c>
      <c r="B271">
        <v>824024</v>
      </c>
    </row>
    <row r="272" spans="1:2" x14ac:dyDescent="0.2">
      <c r="A272" s="53">
        <v>38051</v>
      </c>
      <c r="B272">
        <v>826792</v>
      </c>
    </row>
    <row r="273" spans="1:2" x14ac:dyDescent="0.2">
      <c r="A273" s="53">
        <v>38058</v>
      </c>
      <c r="B273">
        <v>819689</v>
      </c>
    </row>
    <row r="274" spans="1:2" x14ac:dyDescent="0.2">
      <c r="A274" s="53">
        <v>38065</v>
      </c>
      <c r="B274">
        <v>822845</v>
      </c>
    </row>
    <row r="275" spans="1:2" x14ac:dyDescent="0.2">
      <c r="A275" s="53">
        <v>38072</v>
      </c>
      <c r="B275">
        <v>830349</v>
      </c>
    </row>
    <row r="276" spans="1:2" x14ac:dyDescent="0.2">
      <c r="A276" s="53">
        <v>38079</v>
      </c>
      <c r="B276">
        <v>847083</v>
      </c>
    </row>
    <row r="277" spans="1:2" x14ac:dyDescent="0.2">
      <c r="A277" s="53">
        <v>38086</v>
      </c>
      <c r="B277">
        <v>848113</v>
      </c>
    </row>
    <row r="278" spans="1:2" x14ac:dyDescent="0.2">
      <c r="A278" s="53">
        <v>38093</v>
      </c>
      <c r="B278">
        <v>835256</v>
      </c>
    </row>
    <row r="279" spans="1:2" x14ac:dyDescent="0.2">
      <c r="A279" s="53">
        <v>38100</v>
      </c>
      <c r="B279">
        <v>842718</v>
      </c>
    </row>
    <row r="280" spans="1:2" x14ac:dyDescent="0.2">
      <c r="A280" s="53">
        <v>38107</v>
      </c>
      <c r="B280">
        <v>853538</v>
      </c>
    </row>
    <row r="281" spans="1:2" x14ac:dyDescent="0.2">
      <c r="A281" s="53">
        <v>38114</v>
      </c>
      <c r="B281">
        <v>846214</v>
      </c>
    </row>
    <row r="282" spans="1:2" x14ac:dyDescent="0.2">
      <c r="A282" s="53">
        <v>38121</v>
      </c>
      <c r="B282">
        <v>842046</v>
      </c>
    </row>
    <row r="283" spans="1:2" x14ac:dyDescent="0.2">
      <c r="A283" s="53">
        <v>38128</v>
      </c>
      <c r="B283">
        <v>859992</v>
      </c>
    </row>
    <row r="284" spans="1:2" x14ac:dyDescent="0.2">
      <c r="A284" s="53">
        <v>38135</v>
      </c>
      <c r="B284">
        <v>867250</v>
      </c>
    </row>
    <row r="285" spans="1:2" x14ac:dyDescent="0.2">
      <c r="A285" s="53">
        <v>38142</v>
      </c>
      <c r="B285">
        <v>870114</v>
      </c>
    </row>
    <row r="286" spans="1:2" x14ac:dyDescent="0.2">
      <c r="A286" s="53">
        <v>38149</v>
      </c>
      <c r="B286">
        <v>869053</v>
      </c>
    </row>
    <row r="287" spans="1:2" x14ac:dyDescent="0.2">
      <c r="A287" s="53">
        <v>38156</v>
      </c>
      <c r="B287">
        <v>867795</v>
      </c>
    </row>
    <row r="288" spans="1:2" x14ac:dyDescent="0.2">
      <c r="A288" s="53">
        <v>38163</v>
      </c>
      <c r="B288">
        <v>895838</v>
      </c>
    </row>
    <row r="289" spans="1:2" x14ac:dyDescent="0.2">
      <c r="A289" s="53">
        <v>38170</v>
      </c>
      <c r="B289">
        <v>882359</v>
      </c>
    </row>
    <row r="290" spans="1:2" x14ac:dyDescent="0.2">
      <c r="A290" s="53">
        <v>38177</v>
      </c>
      <c r="B290">
        <v>881026</v>
      </c>
    </row>
    <row r="291" spans="1:2" x14ac:dyDescent="0.2">
      <c r="A291" s="53">
        <v>38184</v>
      </c>
      <c r="B291">
        <v>868840</v>
      </c>
    </row>
    <row r="292" spans="1:2" x14ac:dyDescent="0.2">
      <c r="A292" s="53">
        <v>38191</v>
      </c>
      <c r="B292">
        <v>887631</v>
      </c>
    </row>
    <row r="293" spans="1:2" x14ac:dyDescent="0.2">
      <c r="A293" s="53">
        <v>38198</v>
      </c>
      <c r="B293">
        <v>883749</v>
      </c>
    </row>
    <row r="294" spans="1:2" x14ac:dyDescent="0.2">
      <c r="A294" s="53">
        <v>38205</v>
      </c>
      <c r="B294">
        <v>880177</v>
      </c>
    </row>
    <row r="295" spans="1:2" x14ac:dyDescent="0.2">
      <c r="A295" s="53">
        <v>38212</v>
      </c>
      <c r="B295">
        <v>871636</v>
      </c>
    </row>
    <row r="296" spans="1:2" x14ac:dyDescent="0.2">
      <c r="A296" s="53">
        <v>38219</v>
      </c>
      <c r="B296">
        <v>871976</v>
      </c>
    </row>
    <row r="297" spans="1:2" x14ac:dyDescent="0.2">
      <c r="A297" s="53">
        <v>38226</v>
      </c>
      <c r="B297">
        <v>881876</v>
      </c>
    </row>
    <row r="298" spans="1:2" x14ac:dyDescent="0.2">
      <c r="A298" s="53">
        <v>38233</v>
      </c>
      <c r="B298">
        <v>876603</v>
      </c>
    </row>
    <row r="299" spans="1:2" x14ac:dyDescent="0.2">
      <c r="A299" s="53">
        <v>38240</v>
      </c>
      <c r="B299">
        <v>874610</v>
      </c>
    </row>
    <row r="300" spans="1:2" x14ac:dyDescent="0.2">
      <c r="A300" s="53">
        <v>38247</v>
      </c>
      <c r="B300">
        <v>875248</v>
      </c>
    </row>
    <row r="301" spans="1:2" x14ac:dyDescent="0.2">
      <c r="A301" s="53">
        <v>38254</v>
      </c>
      <c r="B301">
        <v>885811</v>
      </c>
    </row>
    <row r="302" spans="1:2" x14ac:dyDescent="0.2">
      <c r="A302" s="53">
        <v>38261</v>
      </c>
      <c r="B302">
        <v>882294</v>
      </c>
    </row>
    <row r="303" spans="1:2" x14ac:dyDescent="0.2">
      <c r="A303" s="53">
        <v>38268</v>
      </c>
      <c r="B303">
        <v>880574</v>
      </c>
    </row>
    <row r="304" spans="1:2" x14ac:dyDescent="0.2">
      <c r="A304" s="53">
        <v>38275</v>
      </c>
      <c r="B304">
        <v>868406</v>
      </c>
    </row>
    <row r="305" spans="1:2" x14ac:dyDescent="0.2">
      <c r="A305" s="53">
        <v>38282</v>
      </c>
      <c r="B305">
        <v>875418</v>
      </c>
    </row>
    <row r="306" spans="1:2" x14ac:dyDescent="0.2">
      <c r="A306" s="53">
        <v>38289</v>
      </c>
      <c r="B306">
        <v>893778</v>
      </c>
    </row>
    <row r="307" spans="1:2" x14ac:dyDescent="0.2">
      <c r="A307" s="53">
        <v>38296</v>
      </c>
      <c r="B307">
        <v>893246</v>
      </c>
    </row>
    <row r="308" spans="1:2" x14ac:dyDescent="0.2">
      <c r="A308" s="53">
        <v>38303</v>
      </c>
      <c r="B308">
        <v>887079</v>
      </c>
    </row>
    <row r="309" spans="1:2" x14ac:dyDescent="0.2">
      <c r="A309" s="53">
        <v>38310</v>
      </c>
      <c r="B309">
        <v>893837</v>
      </c>
    </row>
    <row r="310" spans="1:2" x14ac:dyDescent="0.2">
      <c r="A310" s="53">
        <v>38317</v>
      </c>
      <c r="B310">
        <v>899065</v>
      </c>
    </row>
    <row r="311" spans="1:2" x14ac:dyDescent="0.2">
      <c r="A311" s="53">
        <v>38324</v>
      </c>
      <c r="B311">
        <v>905475</v>
      </c>
    </row>
    <row r="312" spans="1:2" x14ac:dyDescent="0.2">
      <c r="A312" s="53">
        <v>38331</v>
      </c>
      <c r="B312">
        <v>914229</v>
      </c>
    </row>
    <row r="313" spans="1:2" x14ac:dyDescent="0.2">
      <c r="A313" s="53">
        <v>38338</v>
      </c>
      <c r="B313">
        <v>909199</v>
      </c>
    </row>
    <row r="314" spans="1:2" x14ac:dyDescent="0.2">
      <c r="A314" s="53">
        <v>38345</v>
      </c>
      <c r="B314">
        <v>915706</v>
      </c>
    </row>
    <row r="315" spans="1:2" x14ac:dyDescent="0.2">
      <c r="A315" s="53">
        <v>38352</v>
      </c>
      <c r="B315">
        <v>884233</v>
      </c>
    </row>
    <row r="316" spans="1:2" x14ac:dyDescent="0.2">
      <c r="A316" s="53">
        <v>38359</v>
      </c>
      <c r="B316">
        <v>873637</v>
      </c>
    </row>
    <row r="317" spans="1:2" x14ac:dyDescent="0.2">
      <c r="A317" s="53">
        <v>38366</v>
      </c>
      <c r="B317">
        <v>881046</v>
      </c>
    </row>
    <row r="318" spans="1:2" x14ac:dyDescent="0.2">
      <c r="A318" s="53">
        <v>38373</v>
      </c>
      <c r="B318">
        <v>896168</v>
      </c>
    </row>
    <row r="319" spans="1:2" x14ac:dyDescent="0.2">
      <c r="A319" s="53">
        <v>38380</v>
      </c>
      <c r="B319">
        <v>894782</v>
      </c>
    </row>
    <row r="320" spans="1:2" x14ac:dyDescent="0.2">
      <c r="A320" s="53">
        <v>38387</v>
      </c>
      <c r="B320">
        <v>899472</v>
      </c>
    </row>
    <row r="321" spans="1:2" x14ac:dyDescent="0.2">
      <c r="A321" s="53">
        <v>38394</v>
      </c>
      <c r="B321">
        <v>897105</v>
      </c>
    </row>
    <row r="322" spans="1:2" x14ac:dyDescent="0.2">
      <c r="A322" s="53">
        <v>38401</v>
      </c>
      <c r="B322">
        <v>900338</v>
      </c>
    </row>
    <row r="323" spans="1:2" x14ac:dyDescent="0.2">
      <c r="A323" s="53">
        <v>38408</v>
      </c>
      <c r="B323">
        <v>913849</v>
      </c>
    </row>
    <row r="324" spans="1:2" x14ac:dyDescent="0.2">
      <c r="A324" s="53">
        <v>38415</v>
      </c>
      <c r="B324">
        <v>906928</v>
      </c>
    </row>
    <row r="325" spans="1:2" x14ac:dyDescent="0.2">
      <c r="A325" s="53">
        <v>38422</v>
      </c>
      <c r="B325">
        <v>905375</v>
      </c>
    </row>
    <row r="326" spans="1:2" x14ac:dyDescent="0.2">
      <c r="A326" s="53">
        <v>38429</v>
      </c>
      <c r="B326">
        <v>912660</v>
      </c>
    </row>
    <row r="327" spans="1:2" x14ac:dyDescent="0.2">
      <c r="A327" s="53">
        <v>38436</v>
      </c>
      <c r="B327">
        <v>926434</v>
      </c>
    </row>
    <row r="328" spans="1:2" x14ac:dyDescent="0.2">
      <c r="A328" s="53">
        <v>38443</v>
      </c>
      <c r="B328">
        <v>927154</v>
      </c>
    </row>
    <row r="329" spans="1:2" x14ac:dyDescent="0.2">
      <c r="A329" s="53">
        <v>38450</v>
      </c>
      <c r="B329">
        <v>927243</v>
      </c>
    </row>
    <row r="330" spans="1:2" x14ac:dyDescent="0.2">
      <c r="A330" s="53">
        <v>38457</v>
      </c>
      <c r="B330">
        <v>922198</v>
      </c>
    </row>
    <row r="331" spans="1:2" x14ac:dyDescent="0.2">
      <c r="A331" s="53">
        <v>38464</v>
      </c>
      <c r="B331">
        <v>934543</v>
      </c>
    </row>
    <row r="332" spans="1:2" x14ac:dyDescent="0.2">
      <c r="A332" s="53">
        <v>38471</v>
      </c>
      <c r="B332">
        <v>934479</v>
      </c>
    </row>
    <row r="333" spans="1:2" x14ac:dyDescent="0.2">
      <c r="A333" s="53">
        <v>38478</v>
      </c>
      <c r="B333">
        <v>927113</v>
      </c>
    </row>
    <row r="334" spans="1:2" x14ac:dyDescent="0.2">
      <c r="A334" s="53">
        <v>38485</v>
      </c>
      <c r="B334">
        <v>922942</v>
      </c>
    </row>
    <row r="335" spans="1:2" x14ac:dyDescent="0.2">
      <c r="A335" s="53">
        <v>38492</v>
      </c>
      <c r="B335">
        <v>929804</v>
      </c>
    </row>
    <row r="336" spans="1:2" x14ac:dyDescent="0.2">
      <c r="A336" s="53">
        <v>38499</v>
      </c>
      <c r="B336">
        <v>927781</v>
      </c>
    </row>
    <row r="337" spans="1:2" x14ac:dyDescent="0.2">
      <c r="A337" s="53">
        <v>38506</v>
      </c>
      <c r="B337">
        <v>940150</v>
      </c>
    </row>
    <row r="338" spans="1:2" x14ac:dyDescent="0.2">
      <c r="A338" s="53">
        <v>38513</v>
      </c>
      <c r="B338">
        <v>937965</v>
      </c>
    </row>
    <row r="339" spans="1:2" x14ac:dyDescent="0.2">
      <c r="A339" s="53">
        <v>38520</v>
      </c>
      <c r="B339">
        <v>940839</v>
      </c>
    </row>
    <row r="340" spans="1:2" x14ac:dyDescent="0.2">
      <c r="A340" s="53">
        <v>38527</v>
      </c>
      <c r="B340">
        <v>967868</v>
      </c>
    </row>
    <row r="341" spans="1:2" x14ac:dyDescent="0.2">
      <c r="A341" s="53">
        <v>38534</v>
      </c>
      <c r="B341">
        <v>988441</v>
      </c>
    </row>
    <row r="342" spans="1:2" x14ac:dyDescent="0.2">
      <c r="A342" s="53">
        <v>38541</v>
      </c>
      <c r="B342">
        <v>988731</v>
      </c>
    </row>
    <row r="343" spans="1:2" x14ac:dyDescent="0.2">
      <c r="A343" s="53">
        <v>38548</v>
      </c>
      <c r="B343">
        <v>979453</v>
      </c>
    </row>
    <row r="344" spans="1:2" x14ac:dyDescent="0.2">
      <c r="A344" s="53">
        <v>38555</v>
      </c>
      <c r="B344">
        <v>989661</v>
      </c>
    </row>
    <row r="345" spans="1:2" x14ac:dyDescent="0.2">
      <c r="A345" s="53">
        <v>38562</v>
      </c>
      <c r="B345">
        <v>996796</v>
      </c>
    </row>
    <row r="346" spans="1:2" x14ac:dyDescent="0.2">
      <c r="A346" s="53">
        <v>38569</v>
      </c>
      <c r="B346">
        <v>994865</v>
      </c>
    </row>
    <row r="347" spans="1:2" x14ac:dyDescent="0.2">
      <c r="A347" s="53">
        <v>38576</v>
      </c>
      <c r="B347">
        <v>987757</v>
      </c>
    </row>
    <row r="348" spans="1:2" x14ac:dyDescent="0.2">
      <c r="A348" s="53">
        <v>38583</v>
      </c>
      <c r="B348">
        <v>984106</v>
      </c>
    </row>
    <row r="349" spans="1:2" x14ac:dyDescent="0.2">
      <c r="A349" s="53">
        <v>38590</v>
      </c>
      <c r="B349">
        <v>992270</v>
      </c>
    </row>
    <row r="350" spans="1:2" x14ac:dyDescent="0.2">
      <c r="A350" s="53">
        <v>38597</v>
      </c>
      <c r="B350">
        <v>977000</v>
      </c>
    </row>
    <row r="351" spans="1:2" x14ac:dyDescent="0.2">
      <c r="A351" s="53">
        <v>38604</v>
      </c>
      <c r="B351">
        <v>978982</v>
      </c>
    </row>
    <row r="352" spans="1:2" x14ac:dyDescent="0.2">
      <c r="A352" s="53">
        <v>38611</v>
      </c>
      <c r="B352">
        <v>964249</v>
      </c>
    </row>
    <row r="353" spans="1:2" x14ac:dyDescent="0.2">
      <c r="A353" s="53">
        <v>38618</v>
      </c>
      <c r="B353">
        <v>974180</v>
      </c>
    </row>
    <row r="354" spans="1:2" x14ac:dyDescent="0.2">
      <c r="A354" s="53">
        <v>38625</v>
      </c>
      <c r="B354">
        <v>996044</v>
      </c>
    </row>
    <row r="355" spans="1:2" x14ac:dyDescent="0.2">
      <c r="A355" s="53">
        <v>38632</v>
      </c>
      <c r="B355">
        <v>990996</v>
      </c>
    </row>
    <row r="356" spans="1:2" x14ac:dyDescent="0.2">
      <c r="A356" s="53">
        <v>38639</v>
      </c>
      <c r="B356">
        <v>983351</v>
      </c>
    </row>
    <row r="357" spans="1:2" x14ac:dyDescent="0.2">
      <c r="A357" s="53">
        <v>38646</v>
      </c>
      <c r="B357">
        <v>998552</v>
      </c>
    </row>
    <row r="358" spans="1:2" x14ac:dyDescent="0.2">
      <c r="A358" s="53">
        <v>38653</v>
      </c>
      <c r="B358">
        <v>1003504</v>
      </c>
    </row>
    <row r="359" spans="1:2" x14ac:dyDescent="0.2">
      <c r="A359" s="53">
        <v>38660</v>
      </c>
      <c r="B359">
        <v>998615</v>
      </c>
    </row>
    <row r="360" spans="1:2" x14ac:dyDescent="0.2">
      <c r="A360" s="53">
        <v>38667</v>
      </c>
      <c r="B360">
        <v>998301</v>
      </c>
    </row>
    <row r="361" spans="1:2" x14ac:dyDescent="0.2">
      <c r="A361" s="53">
        <v>38674</v>
      </c>
      <c r="B361">
        <v>999149</v>
      </c>
    </row>
    <row r="362" spans="1:2" x14ac:dyDescent="0.2">
      <c r="A362" s="53">
        <v>38681</v>
      </c>
      <c r="B362">
        <v>1017239</v>
      </c>
    </row>
    <row r="363" spans="1:2" x14ac:dyDescent="0.2">
      <c r="A363" s="53">
        <v>38688</v>
      </c>
      <c r="B363">
        <v>1013538</v>
      </c>
    </row>
    <row r="364" spans="1:2" x14ac:dyDescent="0.2">
      <c r="A364" s="53">
        <v>38695</v>
      </c>
      <c r="B364">
        <v>1041792</v>
      </c>
    </row>
    <row r="365" spans="1:2" x14ac:dyDescent="0.2">
      <c r="A365" s="53">
        <v>38702</v>
      </c>
      <c r="B365">
        <v>1016943</v>
      </c>
    </row>
    <row r="366" spans="1:2" x14ac:dyDescent="0.2">
      <c r="A366" s="53">
        <v>38709</v>
      </c>
      <c r="B366">
        <v>1019749</v>
      </c>
    </row>
    <row r="367" spans="1:2" x14ac:dyDescent="0.2">
      <c r="A367" s="53">
        <v>38716</v>
      </c>
      <c r="B367">
        <v>1038152</v>
      </c>
    </row>
    <row r="368" spans="1:2" x14ac:dyDescent="0.2">
      <c r="A368" s="53">
        <v>38723</v>
      </c>
      <c r="B368">
        <v>1038614</v>
      </c>
    </row>
    <row r="369" spans="1:2" x14ac:dyDescent="0.2">
      <c r="A369" s="53">
        <v>38730</v>
      </c>
      <c r="B369">
        <v>1033258</v>
      </c>
    </row>
    <row r="370" spans="1:2" x14ac:dyDescent="0.2">
      <c r="A370" s="53">
        <v>38737</v>
      </c>
      <c r="B370">
        <v>1051180</v>
      </c>
    </row>
    <row r="371" spans="1:2" x14ac:dyDescent="0.2">
      <c r="A371" s="53">
        <v>38744</v>
      </c>
      <c r="B371">
        <v>1055186</v>
      </c>
    </row>
    <row r="372" spans="1:2" x14ac:dyDescent="0.2">
      <c r="A372" s="53">
        <v>38751</v>
      </c>
      <c r="B372">
        <v>1030373</v>
      </c>
    </row>
    <row r="373" spans="1:2" x14ac:dyDescent="0.2">
      <c r="A373" s="53">
        <v>38758</v>
      </c>
      <c r="B373">
        <v>1035376</v>
      </c>
    </row>
    <row r="374" spans="1:2" x14ac:dyDescent="0.2">
      <c r="A374" s="53">
        <v>38765</v>
      </c>
      <c r="B374">
        <v>1039333</v>
      </c>
    </row>
    <row r="375" spans="1:2" x14ac:dyDescent="0.2">
      <c r="A375" s="53">
        <v>38772</v>
      </c>
      <c r="B375">
        <v>1062732</v>
      </c>
    </row>
    <row r="376" spans="1:2" x14ac:dyDescent="0.2">
      <c r="A376" s="53">
        <v>38779</v>
      </c>
      <c r="B376">
        <v>1055765</v>
      </c>
    </row>
    <row r="377" spans="1:2" x14ac:dyDescent="0.2">
      <c r="A377" s="53">
        <v>38786</v>
      </c>
      <c r="B377">
        <v>1052256</v>
      </c>
    </row>
    <row r="378" spans="1:2" x14ac:dyDescent="0.2">
      <c r="A378" s="53">
        <v>38793</v>
      </c>
      <c r="B378">
        <v>1043998</v>
      </c>
    </row>
    <row r="379" spans="1:2" x14ac:dyDescent="0.2">
      <c r="A379" s="53">
        <v>38800</v>
      </c>
      <c r="B379">
        <v>1056127</v>
      </c>
    </row>
    <row r="380" spans="1:2" x14ac:dyDescent="0.2">
      <c r="A380" s="53">
        <v>38807</v>
      </c>
      <c r="B380">
        <v>1067477</v>
      </c>
    </row>
    <row r="381" spans="1:2" x14ac:dyDescent="0.2">
      <c r="A381" s="53">
        <v>38814</v>
      </c>
      <c r="B381">
        <v>1067024</v>
      </c>
    </row>
    <row r="382" spans="1:2" x14ac:dyDescent="0.2">
      <c r="A382" s="53">
        <v>38821</v>
      </c>
      <c r="B382">
        <v>1075146</v>
      </c>
    </row>
    <row r="383" spans="1:2" x14ac:dyDescent="0.2">
      <c r="A383" s="53">
        <v>38828</v>
      </c>
      <c r="B383">
        <v>1084807</v>
      </c>
    </row>
    <row r="384" spans="1:2" x14ac:dyDescent="0.2">
      <c r="A384" s="53">
        <v>38835</v>
      </c>
      <c r="B384">
        <v>1080389</v>
      </c>
    </row>
    <row r="385" spans="1:2" x14ac:dyDescent="0.2">
      <c r="A385" s="53">
        <v>38842</v>
      </c>
      <c r="B385">
        <v>1079264</v>
      </c>
    </row>
    <row r="386" spans="1:2" x14ac:dyDescent="0.2">
      <c r="A386" s="53">
        <v>38849</v>
      </c>
      <c r="B386">
        <v>1075694</v>
      </c>
    </row>
    <row r="387" spans="1:2" x14ac:dyDescent="0.2">
      <c r="A387" s="53">
        <v>38856</v>
      </c>
      <c r="B387">
        <v>1076409</v>
      </c>
    </row>
    <row r="388" spans="1:2" x14ac:dyDescent="0.2">
      <c r="A388" s="53">
        <v>38863</v>
      </c>
      <c r="B388">
        <v>1084094</v>
      </c>
    </row>
    <row r="389" spans="1:2" x14ac:dyDescent="0.2">
      <c r="A389" s="53">
        <v>38870</v>
      </c>
      <c r="B389">
        <v>1084486</v>
      </c>
    </row>
    <row r="390" spans="1:2" x14ac:dyDescent="0.2">
      <c r="A390" s="53">
        <v>38877</v>
      </c>
      <c r="B390">
        <v>1080532</v>
      </c>
    </row>
    <row r="391" spans="1:2" x14ac:dyDescent="0.2">
      <c r="A391" s="53">
        <v>38884</v>
      </c>
      <c r="B391">
        <v>1087256</v>
      </c>
    </row>
    <row r="392" spans="1:2" x14ac:dyDescent="0.2">
      <c r="A392" s="53">
        <v>38891</v>
      </c>
      <c r="B392">
        <v>1112518</v>
      </c>
    </row>
    <row r="393" spans="1:2" x14ac:dyDescent="0.2">
      <c r="A393" s="53">
        <v>38898</v>
      </c>
      <c r="B393">
        <v>1112770</v>
      </c>
    </row>
    <row r="394" spans="1:2" x14ac:dyDescent="0.2">
      <c r="A394" s="53">
        <v>38905</v>
      </c>
      <c r="B394">
        <v>1111397</v>
      </c>
    </row>
    <row r="395" spans="1:2" x14ac:dyDescent="0.2">
      <c r="A395" s="53">
        <v>38912</v>
      </c>
      <c r="B395">
        <v>1107838</v>
      </c>
    </row>
    <row r="396" spans="1:2" x14ac:dyDescent="0.2">
      <c r="A396" s="53">
        <v>38919</v>
      </c>
      <c r="B396">
        <v>1125154</v>
      </c>
    </row>
    <row r="397" spans="1:2" x14ac:dyDescent="0.2">
      <c r="A397" s="53">
        <v>38926</v>
      </c>
      <c r="B397">
        <v>1128285</v>
      </c>
    </row>
    <row r="398" spans="1:2" x14ac:dyDescent="0.2">
      <c r="A398" s="53">
        <v>38933</v>
      </c>
      <c r="B398">
        <v>1114627</v>
      </c>
    </row>
    <row r="399" spans="1:2" x14ac:dyDescent="0.2">
      <c r="A399" s="53">
        <v>38940</v>
      </c>
      <c r="B399">
        <v>1112702</v>
      </c>
    </row>
    <row r="400" spans="1:2" x14ac:dyDescent="0.2">
      <c r="A400" s="53">
        <v>38947</v>
      </c>
      <c r="B400">
        <v>1103912</v>
      </c>
    </row>
    <row r="401" spans="1:2" x14ac:dyDescent="0.2">
      <c r="A401" s="53">
        <v>38954</v>
      </c>
      <c r="B401">
        <v>1113025</v>
      </c>
    </row>
    <row r="402" spans="1:2" x14ac:dyDescent="0.2">
      <c r="A402" s="53">
        <v>38961</v>
      </c>
      <c r="B402">
        <v>1107252</v>
      </c>
    </row>
    <row r="403" spans="1:2" x14ac:dyDescent="0.2">
      <c r="A403" s="53">
        <v>38968</v>
      </c>
      <c r="B403">
        <v>1105398</v>
      </c>
    </row>
    <row r="404" spans="1:2" x14ac:dyDescent="0.2">
      <c r="A404" s="53">
        <v>38975</v>
      </c>
      <c r="B404">
        <v>1102153</v>
      </c>
    </row>
    <row r="405" spans="1:2" x14ac:dyDescent="0.2">
      <c r="A405" s="53">
        <v>38982</v>
      </c>
      <c r="B405">
        <v>1112530</v>
      </c>
    </row>
    <row r="406" spans="1:2" x14ac:dyDescent="0.2">
      <c r="A406" s="53">
        <v>38989</v>
      </c>
      <c r="B406">
        <v>1118315</v>
      </c>
    </row>
    <row r="407" spans="1:2" x14ac:dyDescent="0.2">
      <c r="A407" s="53">
        <v>38996</v>
      </c>
      <c r="B407">
        <v>1114603</v>
      </c>
    </row>
    <row r="408" spans="1:2" x14ac:dyDescent="0.2">
      <c r="A408" s="53">
        <v>39003</v>
      </c>
      <c r="B408">
        <v>1110166</v>
      </c>
    </row>
    <row r="409" spans="1:2" x14ac:dyDescent="0.2">
      <c r="A409" s="53">
        <v>39010</v>
      </c>
      <c r="B409">
        <v>1121281</v>
      </c>
    </row>
    <row r="410" spans="1:2" x14ac:dyDescent="0.2">
      <c r="A410" s="53">
        <v>39017</v>
      </c>
      <c r="B410">
        <v>1118736</v>
      </c>
    </row>
    <row r="411" spans="1:2" x14ac:dyDescent="0.2">
      <c r="A411" s="53">
        <v>39024</v>
      </c>
      <c r="B411">
        <v>1113170</v>
      </c>
    </row>
    <row r="412" spans="1:2" x14ac:dyDescent="0.2">
      <c r="A412" s="53">
        <v>39031</v>
      </c>
      <c r="B412">
        <v>1112832</v>
      </c>
    </row>
    <row r="413" spans="1:2" x14ac:dyDescent="0.2">
      <c r="A413" s="53">
        <v>39038</v>
      </c>
      <c r="B413">
        <v>1113236</v>
      </c>
    </row>
    <row r="414" spans="1:2" x14ac:dyDescent="0.2">
      <c r="A414" s="53">
        <v>39045</v>
      </c>
      <c r="B414">
        <v>1133314</v>
      </c>
    </row>
    <row r="415" spans="1:2" x14ac:dyDescent="0.2">
      <c r="A415" s="53">
        <v>39052</v>
      </c>
      <c r="B415">
        <v>1126144</v>
      </c>
    </row>
    <row r="416" spans="1:2" x14ac:dyDescent="0.2">
      <c r="A416" s="53">
        <v>39059</v>
      </c>
      <c r="B416">
        <v>1146252</v>
      </c>
    </row>
    <row r="417" spans="1:2" x14ac:dyDescent="0.2">
      <c r="A417" s="53">
        <v>39066</v>
      </c>
      <c r="B417">
        <v>1138254</v>
      </c>
    </row>
    <row r="418" spans="1:2" x14ac:dyDescent="0.2">
      <c r="A418" s="53">
        <v>39073</v>
      </c>
      <c r="B418">
        <v>1142321</v>
      </c>
    </row>
    <row r="419" spans="1:2" x14ac:dyDescent="0.2">
      <c r="A419" s="53">
        <v>39080</v>
      </c>
      <c r="B419">
        <v>1150980</v>
      </c>
    </row>
    <row r="420" spans="1:2" x14ac:dyDescent="0.2">
      <c r="A420" s="53">
        <v>39087</v>
      </c>
      <c r="B420">
        <v>1154416</v>
      </c>
    </row>
    <row r="421" spans="1:2" x14ac:dyDescent="0.2">
      <c r="A421" s="53">
        <v>39094</v>
      </c>
      <c r="B421">
        <v>1138300</v>
      </c>
    </row>
    <row r="422" spans="1:2" x14ac:dyDescent="0.2">
      <c r="A422" s="53">
        <v>39101</v>
      </c>
      <c r="B422">
        <v>1141226</v>
      </c>
    </row>
    <row r="423" spans="1:2" x14ac:dyDescent="0.2">
      <c r="A423" s="53">
        <v>39108</v>
      </c>
      <c r="B423">
        <v>1148148</v>
      </c>
    </row>
    <row r="424" spans="1:2" x14ac:dyDescent="0.2">
      <c r="A424" s="53">
        <v>39115</v>
      </c>
      <c r="B424">
        <v>1136671</v>
      </c>
    </row>
    <row r="425" spans="1:2" x14ac:dyDescent="0.2">
      <c r="A425" s="53">
        <v>39122</v>
      </c>
      <c r="B425">
        <v>1127196</v>
      </c>
    </row>
    <row r="426" spans="1:2" x14ac:dyDescent="0.2">
      <c r="A426" s="53">
        <v>39129</v>
      </c>
      <c r="B426">
        <v>1135090</v>
      </c>
    </row>
    <row r="427" spans="1:2" x14ac:dyDescent="0.2">
      <c r="A427" s="53">
        <v>39136</v>
      </c>
      <c r="B427">
        <v>1150396</v>
      </c>
    </row>
    <row r="428" spans="1:2" x14ac:dyDescent="0.2">
      <c r="A428" s="53">
        <v>39143</v>
      </c>
      <c r="B428">
        <v>1148229</v>
      </c>
    </row>
    <row r="429" spans="1:2" x14ac:dyDescent="0.2">
      <c r="A429" s="53">
        <v>39150</v>
      </c>
      <c r="B429">
        <v>1139826</v>
      </c>
    </row>
    <row r="430" spans="1:2" x14ac:dyDescent="0.2">
      <c r="A430" s="53">
        <v>39157</v>
      </c>
      <c r="B430">
        <v>1129997</v>
      </c>
    </row>
    <row r="431" spans="1:2" x14ac:dyDescent="0.2">
      <c r="A431" s="53">
        <v>39164</v>
      </c>
      <c r="B431">
        <v>1142656</v>
      </c>
    </row>
    <row r="432" spans="1:2" x14ac:dyDescent="0.2">
      <c r="A432" s="53">
        <v>39171</v>
      </c>
      <c r="B432">
        <v>1162604</v>
      </c>
    </row>
    <row r="433" spans="1:2" x14ac:dyDescent="0.2">
      <c r="A433" s="53">
        <v>39178</v>
      </c>
      <c r="B433">
        <v>1171420</v>
      </c>
    </row>
    <row r="434" spans="1:2" x14ac:dyDescent="0.2">
      <c r="A434" s="53">
        <v>39185</v>
      </c>
      <c r="B434">
        <v>1161570</v>
      </c>
    </row>
    <row r="435" spans="1:2" x14ac:dyDescent="0.2">
      <c r="A435" s="53">
        <v>39192</v>
      </c>
      <c r="B435">
        <v>1164245</v>
      </c>
    </row>
    <row r="436" spans="1:2" x14ac:dyDescent="0.2">
      <c r="A436" s="53">
        <v>39199</v>
      </c>
      <c r="B436">
        <v>1176308</v>
      </c>
    </row>
    <row r="437" spans="1:2" x14ac:dyDescent="0.2">
      <c r="A437" s="53">
        <v>39206</v>
      </c>
      <c r="B437">
        <v>1165355</v>
      </c>
    </row>
    <row r="438" spans="1:2" x14ac:dyDescent="0.2">
      <c r="A438" s="53">
        <v>39213</v>
      </c>
      <c r="B438">
        <v>1164245</v>
      </c>
    </row>
    <row r="439" spans="1:2" x14ac:dyDescent="0.2">
      <c r="A439" s="53">
        <v>39220</v>
      </c>
      <c r="B439">
        <v>1168993</v>
      </c>
    </row>
    <row r="440" spans="1:2" x14ac:dyDescent="0.2">
      <c r="A440" s="53">
        <v>39227</v>
      </c>
      <c r="B440">
        <v>1187052</v>
      </c>
    </row>
    <row r="441" spans="1:2" x14ac:dyDescent="0.2">
      <c r="A441" s="53">
        <v>39234</v>
      </c>
      <c r="B441">
        <v>1178439</v>
      </c>
    </row>
    <row r="442" spans="1:2" x14ac:dyDescent="0.2">
      <c r="A442" s="53">
        <v>39241</v>
      </c>
      <c r="B442">
        <v>1176346</v>
      </c>
    </row>
    <row r="443" spans="1:2" x14ac:dyDescent="0.2">
      <c r="A443" s="53">
        <v>39248</v>
      </c>
      <c r="B443">
        <v>1180260</v>
      </c>
    </row>
    <row r="444" spans="1:2" x14ac:dyDescent="0.2">
      <c r="A444" s="53">
        <v>39255</v>
      </c>
      <c r="B444">
        <v>1186672</v>
      </c>
    </row>
    <row r="445" spans="1:2" x14ac:dyDescent="0.2">
      <c r="A445" s="53">
        <v>39262</v>
      </c>
      <c r="B445">
        <v>1208453</v>
      </c>
    </row>
    <row r="446" spans="1:2" x14ac:dyDescent="0.2">
      <c r="A446" s="53">
        <v>39269</v>
      </c>
      <c r="B446">
        <v>1191757</v>
      </c>
    </row>
    <row r="447" spans="1:2" x14ac:dyDescent="0.2">
      <c r="A447" s="53">
        <v>39276</v>
      </c>
      <c r="B447">
        <v>1185364</v>
      </c>
    </row>
    <row r="448" spans="1:2" x14ac:dyDescent="0.2">
      <c r="A448" s="53">
        <v>39283</v>
      </c>
      <c r="B448">
        <v>1196419</v>
      </c>
    </row>
    <row r="449" spans="1:2" x14ac:dyDescent="0.2">
      <c r="A449" s="53">
        <v>39290</v>
      </c>
      <c r="B449">
        <v>1212584</v>
      </c>
    </row>
    <row r="450" spans="1:2" x14ac:dyDescent="0.2">
      <c r="A450" s="53">
        <v>39297</v>
      </c>
      <c r="B450">
        <v>1195123</v>
      </c>
    </row>
    <row r="451" spans="1:2" x14ac:dyDescent="0.2">
      <c r="A451" s="53">
        <v>39304</v>
      </c>
      <c r="B451">
        <v>1253098</v>
      </c>
    </row>
    <row r="452" spans="1:2" x14ac:dyDescent="0.2">
      <c r="A452" s="53">
        <v>39311</v>
      </c>
      <c r="B452">
        <v>1207703</v>
      </c>
    </row>
    <row r="453" spans="1:2" x14ac:dyDescent="0.2">
      <c r="A453" s="53">
        <v>39318</v>
      </c>
      <c r="B453">
        <v>1216884</v>
      </c>
    </row>
    <row r="454" spans="1:2" x14ac:dyDescent="0.2">
      <c r="A454" s="53">
        <v>39325</v>
      </c>
      <c r="B454">
        <v>1157534</v>
      </c>
    </row>
    <row r="455" spans="1:2" x14ac:dyDescent="0.2">
      <c r="A455" s="53">
        <v>39332</v>
      </c>
      <c r="B455">
        <v>1207383</v>
      </c>
    </row>
    <row r="456" spans="1:2" x14ac:dyDescent="0.2">
      <c r="A456" s="53">
        <v>39339</v>
      </c>
      <c r="B456">
        <v>1299307</v>
      </c>
    </row>
    <row r="457" spans="1:2" x14ac:dyDescent="0.2">
      <c r="A457" s="53">
        <v>39346</v>
      </c>
      <c r="B457">
        <v>1189583</v>
      </c>
    </row>
    <row r="458" spans="1:2" x14ac:dyDescent="0.2">
      <c r="A458" s="53">
        <v>39353</v>
      </c>
      <c r="B458">
        <v>1250396</v>
      </c>
    </row>
    <row r="459" spans="1:2" x14ac:dyDescent="0.2">
      <c r="A459" s="53">
        <v>39360</v>
      </c>
      <c r="B459">
        <v>1228352</v>
      </c>
    </row>
    <row r="460" spans="1:2" x14ac:dyDescent="0.2">
      <c r="A460" s="53">
        <v>39367</v>
      </c>
      <c r="B460">
        <v>1289118</v>
      </c>
    </row>
    <row r="461" spans="1:2" x14ac:dyDescent="0.2">
      <c r="A461" s="53">
        <v>39374</v>
      </c>
      <c r="B461">
        <v>1249327</v>
      </c>
    </row>
    <row r="462" spans="1:2" x14ac:dyDescent="0.2">
      <c r="A462" s="53">
        <v>39381</v>
      </c>
      <c r="B462">
        <v>1263504</v>
      </c>
    </row>
    <row r="463" spans="1:2" x14ac:dyDescent="0.2">
      <c r="A463" s="53">
        <v>39388</v>
      </c>
      <c r="B463">
        <v>1256261</v>
      </c>
    </row>
    <row r="464" spans="1:2" x14ac:dyDescent="0.2">
      <c r="A464" s="53">
        <v>39395</v>
      </c>
      <c r="B464">
        <v>1248472</v>
      </c>
    </row>
    <row r="465" spans="1:2" x14ac:dyDescent="0.2">
      <c r="A465" s="53">
        <v>39402</v>
      </c>
      <c r="B465">
        <v>1271761</v>
      </c>
    </row>
    <row r="466" spans="1:2" x14ac:dyDescent="0.2">
      <c r="A466" s="53">
        <v>39409</v>
      </c>
      <c r="B466">
        <v>1285523</v>
      </c>
    </row>
    <row r="467" spans="1:2" x14ac:dyDescent="0.2">
      <c r="A467" s="53">
        <v>39416</v>
      </c>
      <c r="B467">
        <v>1297266</v>
      </c>
    </row>
    <row r="468" spans="1:2" x14ac:dyDescent="0.2">
      <c r="A468" s="53">
        <v>39423</v>
      </c>
      <c r="B468">
        <v>1293026</v>
      </c>
    </row>
    <row r="469" spans="1:2" x14ac:dyDescent="0.2">
      <c r="A469" s="53">
        <v>39430</v>
      </c>
      <c r="B469">
        <v>1338418</v>
      </c>
    </row>
    <row r="470" spans="1:2" x14ac:dyDescent="0.2">
      <c r="A470" s="53">
        <v>39437</v>
      </c>
      <c r="B470">
        <v>1472961</v>
      </c>
    </row>
    <row r="471" spans="1:2" x14ac:dyDescent="0.2">
      <c r="A471" s="53">
        <v>39444</v>
      </c>
      <c r="B471">
        <v>1511244</v>
      </c>
    </row>
    <row r="472" spans="1:2" x14ac:dyDescent="0.2">
      <c r="A472" s="53">
        <v>39451</v>
      </c>
      <c r="B472">
        <v>1285790</v>
      </c>
    </row>
    <row r="473" spans="1:2" x14ac:dyDescent="0.2">
      <c r="A473" s="53">
        <v>39458</v>
      </c>
      <c r="B473">
        <v>1311062</v>
      </c>
    </row>
    <row r="474" spans="1:2" x14ac:dyDescent="0.2">
      <c r="A474" s="53">
        <v>39465</v>
      </c>
      <c r="B474">
        <v>1350779</v>
      </c>
    </row>
    <row r="475" spans="1:2" x14ac:dyDescent="0.2">
      <c r="A475" s="53">
        <v>39472</v>
      </c>
      <c r="B475">
        <v>1337542</v>
      </c>
    </row>
    <row r="476" spans="1:2" x14ac:dyDescent="0.2">
      <c r="A476" s="53">
        <v>39479</v>
      </c>
      <c r="B476">
        <v>1330918</v>
      </c>
    </row>
    <row r="477" spans="1:2" x14ac:dyDescent="0.2">
      <c r="A477" s="53">
        <v>39486</v>
      </c>
      <c r="B477">
        <v>1328292</v>
      </c>
    </row>
    <row r="478" spans="1:2" x14ac:dyDescent="0.2">
      <c r="A478" s="53">
        <v>39493</v>
      </c>
      <c r="B478">
        <v>1348061</v>
      </c>
    </row>
    <row r="479" spans="1:2" x14ac:dyDescent="0.2">
      <c r="A479" s="53">
        <v>39500</v>
      </c>
      <c r="B479">
        <v>1338874</v>
      </c>
    </row>
    <row r="480" spans="1:2" x14ac:dyDescent="0.2">
      <c r="A480" s="53">
        <v>39507</v>
      </c>
      <c r="B480">
        <v>1336758</v>
      </c>
    </row>
    <row r="481" spans="1:2" x14ac:dyDescent="0.2">
      <c r="A481" s="53">
        <v>39514</v>
      </c>
      <c r="B481">
        <v>1332977</v>
      </c>
    </row>
    <row r="482" spans="1:2" x14ac:dyDescent="0.2">
      <c r="A482" s="53">
        <v>39521</v>
      </c>
      <c r="B482">
        <v>1367702</v>
      </c>
    </row>
    <row r="483" spans="1:2" x14ac:dyDescent="0.2">
      <c r="A483" s="53">
        <v>39528</v>
      </c>
      <c r="B483">
        <v>1378930</v>
      </c>
    </row>
    <row r="484" spans="1:2" x14ac:dyDescent="0.2">
      <c r="A484" s="53">
        <v>39535</v>
      </c>
      <c r="B484">
        <v>1390804</v>
      </c>
    </row>
    <row r="485" spans="1:2" x14ac:dyDescent="0.2">
      <c r="A485" s="53">
        <v>39542</v>
      </c>
      <c r="B485">
        <v>1365793</v>
      </c>
    </row>
    <row r="486" spans="1:2" x14ac:dyDescent="0.2">
      <c r="A486" s="53">
        <v>39549</v>
      </c>
      <c r="B486">
        <v>1357162</v>
      </c>
    </row>
    <row r="487" spans="1:2" x14ac:dyDescent="0.2">
      <c r="A487" s="53">
        <v>39556</v>
      </c>
      <c r="B487">
        <v>1433190</v>
      </c>
    </row>
    <row r="488" spans="1:2" x14ac:dyDescent="0.2">
      <c r="A488" s="53">
        <v>39563</v>
      </c>
      <c r="B488">
        <v>1405859</v>
      </c>
    </row>
    <row r="489" spans="1:2" x14ac:dyDescent="0.2">
      <c r="A489" s="53">
        <v>39570</v>
      </c>
      <c r="B489">
        <v>1399774</v>
      </c>
    </row>
    <row r="490" spans="1:2" x14ac:dyDescent="0.2">
      <c r="A490" s="53">
        <v>39577</v>
      </c>
      <c r="B490">
        <v>1392863</v>
      </c>
    </row>
    <row r="491" spans="1:2" x14ac:dyDescent="0.2">
      <c r="A491" s="53">
        <v>39584</v>
      </c>
      <c r="B491">
        <v>1440879</v>
      </c>
    </row>
    <row r="492" spans="1:2" x14ac:dyDescent="0.2">
      <c r="A492" s="53">
        <v>39591</v>
      </c>
      <c r="B492">
        <v>1423797</v>
      </c>
    </row>
    <row r="493" spans="1:2" x14ac:dyDescent="0.2">
      <c r="A493" s="53">
        <v>39598</v>
      </c>
      <c r="B493">
        <v>1423245</v>
      </c>
    </row>
    <row r="494" spans="1:2" x14ac:dyDescent="0.2">
      <c r="A494" s="53">
        <v>39605</v>
      </c>
      <c r="B494">
        <v>1407746</v>
      </c>
    </row>
    <row r="495" spans="1:2" x14ac:dyDescent="0.2">
      <c r="A495" s="53">
        <v>39612</v>
      </c>
      <c r="B495">
        <v>1442612</v>
      </c>
    </row>
    <row r="496" spans="1:2" x14ac:dyDescent="0.2">
      <c r="A496" s="53">
        <v>39619</v>
      </c>
      <c r="B496">
        <v>1441151</v>
      </c>
    </row>
    <row r="497" spans="1:2" x14ac:dyDescent="0.2">
      <c r="A497" s="53">
        <v>39626</v>
      </c>
      <c r="B497">
        <v>1462710</v>
      </c>
    </row>
    <row r="498" spans="1:2" x14ac:dyDescent="0.2">
      <c r="A498" s="53">
        <v>39633</v>
      </c>
      <c r="B498">
        <v>1404892</v>
      </c>
    </row>
    <row r="499" spans="1:2" x14ac:dyDescent="0.2">
      <c r="A499" s="53">
        <v>39640</v>
      </c>
      <c r="B499">
        <v>1452177</v>
      </c>
    </row>
    <row r="500" spans="1:2" x14ac:dyDescent="0.2">
      <c r="A500" s="53">
        <v>39647</v>
      </c>
      <c r="B500">
        <v>1427348</v>
      </c>
    </row>
    <row r="501" spans="1:2" x14ac:dyDescent="0.2">
      <c r="A501" s="53">
        <v>39654</v>
      </c>
      <c r="B501">
        <v>1450899</v>
      </c>
    </row>
    <row r="502" spans="1:2" x14ac:dyDescent="0.2">
      <c r="A502" s="53">
        <v>39661</v>
      </c>
      <c r="B502">
        <v>1444562</v>
      </c>
    </row>
    <row r="503" spans="1:2" x14ac:dyDescent="0.2">
      <c r="A503" s="53">
        <v>39668</v>
      </c>
      <c r="B503">
        <v>1441639</v>
      </c>
    </row>
    <row r="504" spans="1:2" x14ac:dyDescent="0.2">
      <c r="A504" s="53">
        <v>39675</v>
      </c>
      <c r="B504">
        <v>1460207</v>
      </c>
    </row>
    <row r="505" spans="1:2" x14ac:dyDescent="0.2">
      <c r="A505" s="53">
        <v>39682</v>
      </c>
      <c r="B505">
        <v>1434957</v>
      </c>
    </row>
    <row r="506" spans="1:2" x14ac:dyDescent="0.2">
      <c r="A506" s="53">
        <v>39689</v>
      </c>
      <c r="B506">
        <v>1449139</v>
      </c>
    </row>
    <row r="507" spans="1:2" x14ac:dyDescent="0.2">
      <c r="A507" s="53">
        <v>39696</v>
      </c>
      <c r="B507">
        <v>1441019</v>
      </c>
    </row>
    <row r="508" spans="1:2" x14ac:dyDescent="0.2">
      <c r="A508" s="53">
        <v>39703</v>
      </c>
      <c r="B508">
        <v>1457726</v>
      </c>
    </row>
    <row r="509" spans="1:2" x14ac:dyDescent="0.2">
      <c r="A509" s="53">
        <v>39710</v>
      </c>
      <c r="B509">
        <v>1460585</v>
      </c>
    </row>
    <row r="510" spans="1:2" x14ac:dyDescent="0.2">
      <c r="A510" s="53">
        <v>39717</v>
      </c>
      <c r="B510">
        <v>1518548</v>
      </c>
    </row>
    <row r="511" spans="1:2" x14ac:dyDescent="0.2">
      <c r="A511" s="53">
        <v>39724</v>
      </c>
      <c r="B511">
        <v>1758697</v>
      </c>
    </row>
    <row r="512" spans="1:2" x14ac:dyDescent="0.2">
      <c r="A512" s="53">
        <v>39731</v>
      </c>
      <c r="B512">
        <v>1881854</v>
      </c>
    </row>
    <row r="513" spans="1:2" x14ac:dyDescent="0.2">
      <c r="A513" s="53">
        <v>39738</v>
      </c>
      <c r="B513">
        <v>1973084</v>
      </c>
    </row>
    <row r="514" spans="1:2" x14ac:dyDescent="0.2">
      <c r="A514" s="53">
        <v>39745</v>
      </c>
      <c r="B514">
        <v>1958164</v>
      </c>
    </row>
    <row r="515" spans="1:2" x14ac:dyDescent="0.2">
      <c r="A515" s="53">
        <v>39752</v>
      </c>
      <c r="B515">
        <v>2031447</v>
      </c>
    </row>
    <row r="516" spans="1:2" x14ac:dyDescent="0.2">
      <c r="A516" s="53">
        <v>39759</v>
      </c>
      <c r="B516">
        <v>1940367</v>
      </c>
    </row>
    <row r="517" spans="1:2" x14ac:dyDescent="0.2">
      <c r="A517" s="53">
        <v>39766</v>
      </c>
      <c r="B517">
        <v>1998720</v>
      </c>
    </row>
    <row r="518" spans="1:2" x14ac:dyDescent="0.2">
      <c r="A518" s="53">
        <v>39773</v>
      </c>
      <c r="B518">
        <v>1973981</v>
      </c>
    </row>
    <row r="519" spans="1:2" x14ac:dyDescent="0.2">
      <c r="A519" s="53">
        <v>39780</v>
      </c>
      <c r="B519">
        <v>1979051</v>
      </c>
    </row>
    <row r="520" spans="1:2" x14ac:dyDescent="0.2">
      <c r="A520" s="53">
        <v>39787</v>
      </c>
      <c r="B520">
        <v>2036524</v>
      </c>
    </row>
    <row r="521" spans="1:2" x14ac:dyDescent="0.2">
      <c r="A521" s="53">
        <v>39794</v>
      </c>
      <c r="B521">
        <v>2053837</v>
      </c>
    </row>
    <row r="522" spans="1:2" x14ac:dyDescent="0.2">
      <c r="A522" s="53">
        <v>39801</v>
      </c>
      <c r="B522">
        <v>2021484</v>
      </c>
    </row>
    <row r="523" spans="1:2" x14ac:dyDescent="0.2">
      <c r="A523" s="53">
        <v>39808</v>
      </c>
      <c r="B523">
        <v>2043465</v>
      </c>
    </row>
    <row r="524" spans="1:2" x14ac:dyDescent="0.2">
      <c r="A524" s="53">
        <v>39815</v>
      </c>
      <c r="B524">
        <v>2088878</v>
      </c>
    </row>
    <row r="525" spans="1:2" x14ac:dyDescent="0.2">
      <c r="A525" s="53">
        <v>39822</v>
      </c>
      <c r="B525">
        <v>2045566</v>
      </c>
    </row>
    <row r="526" spans="1:2" x14ac:dyDescent="0.2">
      <c r="A526" s="53">
        <v>39829</v>
      </c>
      <c r="B526">
        <v>2010655</v>
      </c>
    </row>
    <row r="527" spans="1:2" x14ac:dyDescent="0.2">
      <c r="A527" s="53">
        <v>39836</v>
      </c>
      <c r="B527">
        <v>2039799</v>
      </c>
    </row>
    <row r="528" spans="1:2" x14ac:dyDescent="0.2">
      <c r="A528" s="53">
        <v>39843</v>
      </c>
      <c r="B528">
        <v>1906979</v>
      </c>
    </row>
    <row r="529" spans="1:2" x14ac:dyDescent="0.2">
      <c r="A529" s="53">
        <v>39850</v>
      </c>
      <c r="B529">
        <v>1893796</v>
      </c>
    </row>
    <row r="530" spans="1:2" x14ac:dyDescent="0.2">
      <c r="A530" s="53">
        <v>39857</v>
      </c>
      <c r="B530">
        <v>1834051</v>
      </c>
    </row>
    <row r="531" spans="1:2" x14ac:dyDescent="0.2">
      <c r="A531" s="53">
        <v>39864</v>
      </c>
      <c r="B531">
        <v>1858375</v>
      </c>
    </row>
    <row r="532" spans="1:2" x14ac:dyDescent="0.2">
      <c r="A532" s="53">
        <v>39871</v>
      </c>
      <c r="B532">
        <v>1820268</v>
      </c>
    </row>
    <row r="533" spans="1:2" x14ac:dyDescent="0.2">
      <c r="A533" s="53">
        <v>39878</v>
      </c>
      <c r="B533">
        <v>1840819</v>
      </c>
    </row>
    <row r="534" spans="1:2" x14ac:dyDescent="0.2">
      <c r="A534" s="53">
        <v>39885</v>
      </c>
      <c r="B534">
        <v>1829433</v>
      </c>
    </row>
    <row r="535" spans="1:2" x14ac:dyDescent="0.2">
      <c r="A535" s="53">
        <v>39892</v>
      </c>
      <c r="B535">
        <v>1822548</v>
      </c>
    </row>
    <row r="536" spans="1:2" x14ac:dyDescent="0.2">
      <c r="A536" s="53">
        <v>39899</v>
      </c>
      <c r="B536">
        <v>1803083</v>
      </c>
    </row>
    <row r="537" spans="1:2" x14ac:dyDescent="0.2">
      <c r="A537" s="53">
        <v>39906</v>
      </c>
      <c r="B537">
        <v>1836384</v>
      </c>
    </row>
    <row r="538" spans="1:2" x14ac:dyDescent="0.2">
      <c r="A538" s="53">
        <v>39913</v>
      </c>
      <c r="B538">
        <v>1827798</v>
      </c>
    </row>
    <row r="539" spans="1:2" x14ac:dyDescent="0.2">
      <c r="A539" s="53">
        <v>39920</v>
      </c>
      <c r="B539">
        <v>1840083</v>
      </c>
    </row>
    <row r="540" spans="1:2" x14ac:dyDescent="0.2">
      <c r="A540" s="53">
        <v>39927</v>
      </c>
      <c r="B540">
        <v>1823963</v>
      </c>
    </row>
    <row r="541" spans="1:2" x14ac:dyDescent="0.2">
      <c r="A541" s="53">
        <v>39934</v>
      </c>
      <c r="B541">
        <v>1799225</v>
      </c>
    </row>
    <row r="542" spans="1:2" x14ac:dyDescent="0.2">
      <c r="A542" s="53">
        <v>39941</v>
      </c>
      <c r="B542">
        <v>1795099</v>
      </c>
    </row>
    <row r="543" spans="1:2" x14ac:dyDescent="0.2">
      <c r="A543" s="53">
        <v>39948</v>
      </c>
      <c r="B543">
        <v>1764158</v>
      </c>
    </row>
    <row r="544" spans="1:2" x14ac:dyDescent="0.2">
      <c r="A544" s="53">
        <v>39955</v>
      </c>
      <c r="B544">
        <v>1736870</v>
      </c>
    </row>
    <row r="545" spans="1:2" x14ac:dyDescent="0.2">
      <c r="A545" s="53">
        <v>39962</v>
      </c>
      <c r="B545">
        <v>1799610</v>
      </c>
    </row>
    <row r="546" spans="1:2" x14ac:dyDescent="0.2">
      <c r="A546" s="53">
        <v>39969</v>
      </c>
      <c r="B546">
        <v>1747838</v>
      </c>
    </row>
    <row r="547" spans="1:2" x14ac:dyDescent="0.2">
      <c r="A547" s="53">
        <v>39976</v>
      </c>
      <c r="B547">
        <v>1726624</v>
      </c>
    </row>
    <row r="548" spans="1:2" x14ac:dyDescent="0.2">
      <c r="A548" s="53">
        <v>39983</v>
      </c>
      <c r="B548">
        <v>1719718</v>
      </c>
    </row>
    <row r="549" spans="1:2" x14ac:dyDescent="0.2">
      <c r="A549" s="53">
        <v>39990</v>
      </c>
      <c r="B549">
        <v>1997319</v>
      </c>
    </row>
    <row r="550" spans="1:2" x14ac:dyDescent="0.2">
      <c r="A550" s="53">
        <v>39997</v>
      </c>
      <c r="B550">
        <v>1911628</v>
      </c>
    </row>
    <row r="551" spans="1:2" x14ac:dyDescent="0.2">
      <c r="A551" s="53">
        <v>40004</v>
      </c>
      <c r="B551">
        <v>1888909</v>
      </c>
    </row>
    <row r="552" spans="1:2" x14ac:dyDescent="0.2">
      <c r="A552" s="53">
        <v>40011</v>
      </c>
      <c r="B552">
        <v>1875712</v>
      </c>
    </row>
    <row r="553" spans="1:2" x14ac:dyDescent="0.2">
      <c r="A553" s="53">
        <v>40018</v>
      </c>
      <c r="B553">
        <v>1867848</v>
      </c>
    </row>
    <row r="554" spans="1:2" x14ac:dyDescent="0.2">
      <c r="A554" s="53">
        <v>40025</v>
      </c>
      <c r="B554">
        <v>1854093</v>
      </c>
    </row>
    <row r="555" spans="1:2" x14ac:dyDescent="0.2">
      <c r="A555" s="53">
        <v>40032</v>
      </c>
      <c r="B555">
        <v>1835895</v>
      </c>
    </row>
    <row r="556" spans="1:2" x14ac:dyDescent="0.2">
      <c r="A556" s="53">
        <v>40039</v>
      </c>
      <c r="B556">
        <v>1801757</v>
      </c>
    </row>
    <row r="557" spans="1:2" x14ac:dyDescent="0.2">
      <c r="A557" s="53">
        <v>40046</v>
      </c>
      <c r="B557">
        <v>1798364</v>
      </c>
    </row>
    <row r="558" spans="1:2" x14ac:dyDescent="0.2">
      <c r="A558" s="53">
        <v>40053</v>
      </c>
      <c r="B558">
        <v>1821371</v>
      </c>
    </row>
    <row r="559" spans="1:2" x14ac:dyDescent="0.2">
      <c r="A559" s="53">
        <v>40060</v>
      </c>
      <c r="B559">
        <v>1819488</v>
      </c>
    </row>
    <row r="560" spans="1:2" x14ac:dyDescent="0.2">
      <c r="A560" s="53">
        <v>40067</v>
      </c>
      <c r="B560">
        <v>1802473</v>
      </c>
    </row>
    <row r="561" spans="1:2" x14ac:dyDescent="0.2">
      <c r="A561" s="53">
        <v>40074</v>
      </c>
      <c r="B561">
        <v>1792972</v>
      </c>
    </row>
    <row r="562" spans="1:2" x14ac:dyDescent="0.2">
      <c r="A562" s="53">
        <v>40081</v>
      </c>
      <c r="B562">
        <v>1790242</v>
      </c>
    </row>
    <row r="563" spans="1:2" x14ac:dyDescent="0.2">
      <c r="A563" s="53">
        <v>40088</v>
      </c>
      <c r="B563">
        <v>1844567</v>
      </c>
    </row>
    <row r="564" spans="1:2" x14ac:dyDescent="0.2">
      <c r="A564" s="53">
        <v>40095</v>
      </c>
      <c r="B564">
        <v>1802742</v>
      </c>
    </row>
    <row r="565" spans="1:2" x14ac:dyDescent="0.2">
      <c r="A565" s="53">
        <v>40102</v>
      </c>
      <c r="B565">
        <v>1801388</v>
      </c>
    </row>
    <row r="566" spans="1:2" x14ac:dyDescent="0.2">
      <c r="A566" s="53">
        <v>40109</v>
      </c>
      <c r="B566">
        <v>1786122</v>
      </c>
    </row>
    <row r="567" spans="1:2" x14ac:dyDescent="0.2">
      <c r="A567" s="53">
        <v>40116</v>
      </c>
      <c r="B567">
        <v>1779000</v>
      </c>
    </row>
    <row r="568" spans="1:2" x14ac:dyDescent="0.2">
      <c r="A568" s="53">
        <v>40123</v>
      </c>
      <c r="B568">
        <v>1773685</v>
      </c>
    </row>
    <row r="569" spans="1:2" x14ac:dyDescent="0.2">
      <c r="A569" s="53">
        <v>40130</v>
      </c>
      <c r="B569">
        <v>1759605</v>
      </c>
    </row>
    <row r="570" spans="1:2" x14ac:dyDescent="0.2">
      <c r="A570" s="53">
        <v>40137</v>
      </c>
      <c r="B570">
        <v>1761476</v>
      </c>
    </row>
    <row r="571" spans="1:2" x14ac:dyDescent="0.2">
      <c r="A571" s="53">
        <v>40144</v>
      </c>
      <c r="B571">
        <v>1759186</v>
      </c>
    </row>
    <row r="572" spans="1:2" x14ac:dyDescent="0.2">
      <c r="A572" s="53">
        <v>40151</v>
      </c>
      <c r="B572">
        <v>1759429</v>
      </c>
    </row>
    <row r="573" spans="1:2" x14ac:dyDescent="0.2">
      <c r="A573" s="53">
        <v>40158</v>
      </c>
      <c r="B573">
        <v>1744542</v>
      </c>
    </row>
    <row r="574" spans="1:2" x14ac:dyDescent="0.2">
      <c r="A574" s="53">
        <v>40165</v>
      </c>
      <c r="B574">
        <v>1842352</v>
      </c>
    </row>
    <row r="575" spans="1:2" x14ac:dyDescent="0.2">
      <c r="A575" s="53">
        <v>40172</v>
      </c>
      <c r="B575">
        <v>1852463</v>
      </c>
    </row>
    <row r="576" spans="1:2" x14ac:dyDescent="0.2">
      <c r="A576" s="53">
        <v>40179</v>
      </c>
      <c r="B576">
        <v>1904935</v>
      </c>
    </row>
    <row r="577" spans="1:2" x14ac:dyDescent="0.2">
      <c r="A577" s="53">
        <v>40186</v>
      </c>
      <c r="B577">
        <v>1879590</v>
      </c>
    </row>
    <row r="578" spans="1:2" x14ac:dyDescent="0.2">
      <c r="A578" s="53">
        <v>40193</v>
      </c>
      <c r="B578">
        <v>1870606</v>
      </c>
    </row>
    <row r="579" spans="1:2" x14ac:dyDescent="0.2">
      <c r="A579" s="53">
        <v>40200</v>
      </c>
      <c r="B579">
        <v>1870342</v>
      </c>
    </row>
    <row r="580" spans="1:2" x14ac:dyDescent="0.2">
      <c r="A580" s="53">
        <v>40207</v>
      </c>
      <c r="B580">
        <v>1877655</v>
      </c>
    </row>
    <row r="581" spans="1:2" x14ac:dyDescent="0.2">
      <c r="A581" s="53">
        <v>40214</v>
      </c>
      <c r="B581">
        <v>1874500</v>
      </c>
    </row>
    <row r="582" spans="1:2" x14ac:dyDescent="0.2">
      <c r="A582" s="53">
        <v>40221</v>
      </c>
      <c r="B582">
        <v>1874687</v>
      </c>
    </row>
    <row r="583" spans="1:2" x14ac:dyDescent="0.2">
      <c r="A583" s="53">
        <v>40228</v>
      </c>
      <c r="B583">
        <v>1880871</v>
      </c>
    </row>
    <row r="584" spans="1:2" x14ac:dyDescent="0.2">
      <c r="A584" s="53">
        <v>40235</v>
      </c>
      <c r="B584">
        <v>1889017</v>
      </c>
    </row>
    <row r="585" spans="1:2" x14ac:dyDescent="0.2">
      <c r="A585" s="53">
        <v>40242</v>
      </c>
      <c r="B585">
        <v>1890311</v>
      </c>
    </row>
    <row r="586" spans="1:2" x14ac:dyDescent="0.2">
      <c r="A586" s="53">
        <v>40249</v>
      </c>
      <c r="B586">
        <v>1886697</v>
      </c>
    </row>
    <row r="587" spans="1:2" x14ac:dyDescent="0.2">
      <c r="A587" s="53">
        <v>40256</v>
      </c>
      <c r="B587">
        <v>1889712</v>
      </c>
    </row>
    <row r="588" spans="1:2" x14ac:dyDescent="0.2">
      <c r="A588" s="53">
        <v>40263</v>
      </c>
      <c r="B588">
        <v>1894898</v>
      </c>
    </row>
    <row r="589" spans="1:2" x14ac:dyDescent="0.2">
      <c r="A589" s="53">
        <v>40270</v>
      </c>
      <c r="B589">
        <v>1942548</v>
      </c>
    </row>
    <row r="590" spans="1:2" x14ac:dyDescent="0.2">
      <c r="A590" s="53">
        <v>40277</v>
      </c>
      <c r="B590">
        <v>1936654</v>
      </c>
    </row>
    <row r="591" spans="1:2" x14ac:dyDescent="0.2">
      <c r="A591" s="53">
        <v>40284</v>
      </c>
      <c r="B591">
        <v>1939989</v>
      </c>
    </row>
    <row r="592" spans="1:2" x14ac:dyDescent="0.2">
      <c r="A592" s="53">
        <v>40291</v>
      </c>
      <c r="B592">
        <v>1943260</v>
      </c>
    </row>
    <row r="593" spans="1:2" x14ac:dyDescent="0.2">
      <c r="A593" s="53">
        <v>40298</v>
      </c>
      <c r="B593">
        <v>1956819</v>
      </c>
    </row>
    <row r="594" spans="1:2" x14ac:dyDescent="0.2">
      <c r="A594" s="53">
        <v>40305</v>
      </c>
      <c r="B594">
        <v>1983241</v>
      </c>
    </row>
    <row r="595" spans="1:2" x14ac:dyDescent="0.2">
      <c r="A595" s="53">
        <v>40312</v>
      </c>
      <c r="B595">
        <v>2062943</v>
      </c>
    </row>
    <row r="596" spans="1:2" x14ac:dyDescent="0.2">
      <c r="A596" s="53">
        <v>40319</v>
      </c>
      <c r="B596">
        <v>2069968</v>
      </c>
    </row>
    <row r="597" spans="1:2" x14ac:dyDescent="0.2">
      <c r="A597" s="53">
        <v>40326</v>
      </c>
      <c r="B597">
        <v>2088450</v>
      </c>
    </row>
    <row r="598" spans="1:2" x14ac:dyDescent="0.2">
      <c r="A598" s="53">
        <v>40333</v>
      </c>
      <c r="B598">
        <v>2098508</v>
      </c>
    </row>
    <row r="599" spans="1:2" x14ac:dyDescent="0.2">
      <c r="A599" s="53">
        <v>40340</v>
      </c>
      <c r="B599">
        <v>2107126</v>
      </c>
    </row>
    <row r="600" spans="1:2" x14ac:dyDescent="0.2">
      <c r="A600" s="53">
        <v>40347</v>
      </c>
      <c r="B600">
        <v>2124740</v>
      </c>
    </row>
    <row r="601" spans="1:2" x14ac:dyDescent="0.2">
      <c r="A601" s="53">
        <v>40354</v>
      </c>
      <c r="B601">
        <v>2154245</v>
      </c>
    </row>
    <row r="602" spans="1:2" x14ac:dyDescent="0.2">
      <c r="A602" s="53">
        <v>40361</v>
      </c>
      <c r="B602">
        <v>2049811</v>
      </c>
    </row>
    <row r="603" spans="1:2" x14ac:dyDescent="0.2">
      <c r="A603" s="53">
        <v>40368</v>
      </c>
      <c r="B603">
        <v>2004747</v>
      </c>
    </row>
    <row r="604" spans="1:2" x14ac:dyDescent="0.2">
      <c r="A604" s="53">
        <v>40375</v>
      </c>
      <c r="B604">
        <v>1986989</v>
      </c>
    </row>
    <row r="605" spans="1:2" x14ac:dyDescent="0.2">
      <c r="A605" s="53">
        <v>40382</v>
      </c>
      <c r="B605">
        <v>1993612</v>
      </c>
    </row>
    <row r="606" spans="1:2" x14ac:dyDescent="0.2">
      <c r="A606" s="53">
        <v>40389</v>
      </c>
      <c r="B606">
        <v>2001660</v>
      </c>
    </row>
    <row r="607" spans="1:2" x14ac:dyDescent="0.2">
      <c r="A607" s="53">
        <v>40396</v>
      </c>
      <c r="B607">
        <v>1964906</v>
      </c>
    </row>
    <row r="608" spans="1:2" x14ac:dyDescent="0.2">
      <c r="A608" s="53">
        <v>40403</v>
      </c>
      <c r="B608">
        <v>1953086</v>
      </c>
    </row>
    <row r="609" spans="1:2" x14ac:dyDescent="0.2">
      <c r="A609" s="53">
        <v>40410</v>
      </c>
      <c r="B609">
        <v>1956064</v>
      </c>
    </row>
    <row r="610" spans="1:2" x14ac:dyDescent="0.2">
      <c r="A610" s="53">
        <v>40417</v>
      </c>
      <c r="B610">
        <v>1957926</v>
      </c>
    </row>
    <row r="611" spans="1:2" x14ac:dyDescent="0.2">
      <c r="A611" s="53">
        <v>40424</v>
      </c>
      <c r="B611">
        <v>1963223</v>
      </c>
    </row>
    <row r="612" spans="1:2" x14ac:dyDescent="0.2">
      <c r="A612" s="53">
        <v>40431</v>
      </c>
      <c r="B612">
        <v>1973255</v>
      </c>
    </row>
    <row r="613" spans="1:2" x14ac:dyDescent="0.2">
      <c r="A613" s="53">
        <v>40438</v>
      </c>
      <c r="B613">
        <v>1970482</v>
      </c>
    </row>
    <row r="614" spans="1:2" x14ac:dyDescent="0.2">
      <c r="A614" s="53">
        <v>40445</v>
      </c>
      <c r="B614">
        <v>1971356</v>
      </c>
    </row>
    <row r="615" spans="1:2" x14ac:dyDescent="0.2">
      <c r="A615" s="53">
        <v>40452</v>
      </c>
      <c r="B615">
        <v>1865885</v>
      </c>
    </row>
    <row r="616" spans="1:2" x14ac:dyDescent="0.2">
      <c r="A616" s="53">
        <v>40459</v>
      </c>
      <c r="B616">
        <v>1867952</v>
      </c>
    </row>
    <row r="617" spans="1:2" x14ac:dyDescent="0.2">
      <c r="A617" s="53">
        <v>40466</v>
      </c>
      <c r="B617">
        <v>1876946</v>
      </c>
    </row>
    <row r="618" spans="1:2" x14ac:dyDescent="0.2">
      <c r="A618" s="53">
        <v>40473</v>
      </c>
      <c r="B618">
        <v>1877963</v>
      </c>
    </row>
    <row r="619" spans="1:2" x14ac:dyDescent="0.2">
      <c r="A619" s="53">
        <v>40480</v>
      </c>
      <c r="B619">
        <v>1895679</v>
      </c>
    </row>
    <row r="620" spans="1:2" x14ac:dyDescent="0.2">
      <c r="A620" s="53">
        <v>40487</v>
      </c>
      <c r="B620">
        <v>1886353</v>
      </c>
    </row>
    <row r="621" spans="1:2" x14ac:dyDescent="0.2">
      <c r="A621" s="53">
        <v>40494</v>
      </c>
      <c r="B621">
        <v>1878979</v>
      </c>
    </row>
    <row r="622" spans="1:2" x14ac:dyDescent="0.2">
      <c r="A622" s="53">
        <v>40501</v>
      </c>
      <c r="B622">
        <v>1888388</v>
      </c>
    </row>
    <row r="623" spans="1:2" x14ac:dyDescent="0.2">
      <c r="A623" s="53">
        <v>40508</v>
      </c>
      <c r="B623">
        <v>1915961</v>
      </c>
    </row>
    <row r="624" spans="1:2" x14ac:dyDescent="0.2">
      <c r="A624" s="53">
        <v>40515</v>
      </c>
      <c r="B624">
        <v>1924130</v>
      </c>
    </row>
    <row r="625" spans="1:2" x14ac:dyDescent="0.2">
      <c r="A625" s="53">
        <v>40522</v>
      </c>
      <c r="B625">
        <v>1951661</v>
      </c>
    </row>
    <row r="626" spans="1:2" x14ac:dyDescent="0.2">
      <c r="A626" s="53">
        <v>40529</v>
      </c>
      <c r="B626">
        <v>1945232</v>
      </c>
    </row>
    <row r="627" spans="1:2" x14ac:dyDescent="0.2">
      <c r="A627" s="53">
        <v>40536</v>
      </c>
      <c r="B627">
        <v>1926154</v>
      </c>
    </row>
    <row r="628" spans="1:2" x14ac:dyDescent="0.2">
      <c r="A628" s="53">
        <v>40543</v>
      </c>
      <c r="B628">
        <v>2004432</v>
      </c>
    </row>
    <row r="629" spans="1:2" x14ac:dyDescent="0.2">
      <c r="A629" s="53">
        <v>40550</v>
      </c>
      <c r="B629">
        <v>1965895</v>
      </c>
    </row>
    <row r="630" spans="1:2" x14ac:dyDescent="0.2">
      <c r="A630" s="53">
        <v>40557</v>
      </c>
      <c r="B630">
        <v>1957146</v>
      </c>
    </row>
    <row r="631" spans="1:2" x14ac:dyDescent="0.2">
      <c r="A631" s="53">
        <v>40564</v>
      </c>
      <c r="B631">
        <v>1961122</v>
      </c>
    </row>
    <row r="632" spans="1:2" x14ac:dyDescent="0.2">
      <c r="A632" s="53">
        <v>40571</v>
      </c>
      <c r="B632">
        <v>1965568</v>
      </c>
    </row>
    <row r="633" spans="1:2" x14ac:dyDescent="0.2">
      <c r="A633" s="53">
        <v>40578</v>
      </c>
      <c r="B633">
        <v>2015599</v>
      </c>
    </row>
    <row r="634" spans="1:2" x14ac:dyDescent="0.2">
      <c r="A634" s="53">
        <v>40585</v>
      </c>
      <c r="B634">
        <v>1956143</v>
      </c>
    </row>
    <row r="635" spans="1:2" x14ac:dyDescent="0.2">
      <c r="A635" s="53">
        <v>40592</v>
      </c>
      <c r="B635">
        <v>1958491</v>
      </c>
    </row>
    <row r="636" spans="1:2" x14ac:dyDescent="0.2">
      <c r="A636" s="53">
        <v>40599</v>
      </c>
      <c r="B636">
        <v>1952278</v>
      </c>
    </row>
    <row r="637" spans="1:2" x14ac:dyDescent="0.2">
      <c r="A637" s="53">
        <v>40606</v>
      </c>
      <c r="B637">
        <v>1939219</v>
      </c>
    </row>
    <row r="638" spans="1:2" x14ac:dyDescent="0.2">
      <c r="A638" s="53">
        <v>40613</v>
      </c>
      <c r="B638">
        <v>1953018</v>
      </c>
    </row>
    <row r="639" spans="1:2" x14ac:dyDescent="0.2">
      <c r="A639" s="53">
        <v>40620</v>
      </c>
      <c r="B639">
        <v>1940378</v>
      </c>
    </row>
    <row r="640" spans="1:2" x14ac:dyDescent="0.2">
      <c r="A640" s="53">
        <v>40627</v>
      </c>
      <c r="B640">
        <v>1928055</v>
      </c>
    </row>
    <row r="641" spans="1:2" x14ac:dyDescent="0.2">
      <c r="A641" s="53">
        <v>40634</v>
      </c>
      <c r="B641">
        <v>1888496</v>
      </c>
    </row>
    <row r="642" spans="1:2" x14ac:dyDescent="0.2">
      <c r="A642" s="53">
        <v>40641</v>
      </c>
      <c r="B642">
        <v>1873111</v>
      </c>
    </row>
    <row r="643" spans="1:2" x14ac:dyDescent="0.2">
      <c r="A643" s="53">
        <v>40648</v>
      </c>
      <c r="B643">
        <v>1885017</v>
      </c>
    </row>
    <row r="644" spans="1:2" x14ac:dyDescent="0.2">
      <c r="A644" s="53">
        <v>40655</v>
      </c>
      <c r="B644">
        <v>1887882</v>
      </c>
    </row>
    <row r="645" spans="1:2" x14ac:dyDescent="0.2">
      <c r="A645" s="53">
        <v>40662</v>
      </c>
      <c r="B645">
        <v>1894101</v>
      </c>
    </row>
    <row r="646" spans="1:2" x14ac:dyDescent="0.2">
      <c r="A646" s="53">
        <v>40669</v>
      </c>
      <c r="B646">
        <v>1901850</v>
      </c>
    </row>
    <row r="647" spans="1:2" x14ac:dyDescent="0.2">
      <c r="A647" s="53">
        <v>40676</v>
      </c>
      <c r="B647">
        <v>1898665</v>
      </c>
    </row>
    <row r="648" spans="1:2" x14ac:dyDescent="0.2">
      <c r="A648" s="53">
        <v>40683</v>
      </c>
      <c r="B648">
        <v>1895870</v>
      </c>
    </row>
    <row r="649" spans="1:2" x14ac:dyDescent="0.2">
      <c r="A649" s="53">
        <v>40690</v>
      </c>
      <c r="B649">
        <v>1900610</v>
      </c>
    </row>
    <row r="650" spans="1:2" x14ac:dyDescent="0.2">
      <c r="A650" s="53">
        <v>40697</v>
      </c>
      <c r="B650">
        <v>1898989</v>
      </c>
    </row>
    <row r="651" spans="1:2" x14ac:dyDescent="0.2">
      <c r="A651" s="53">
        <v>40704</v>
      </c>
      <c r="B651">
        <v>1892579</v>
      </c>
    </row>
    <row r="652" spans="1:2" x14ac:dyDescent="0.2">
      <c r="A652" s="53">
        <v>40711</v>
      </c>
      <c r="B652">
        <v>1914538</v>
      </c>
    </row>
    <row r="653" spans="1:2" x14ac:dyDescent="0.2">
      <c r="A653" s="53">
        <v>40718</v>
      </c>
      <c r="B653">
        <v>1972174</v>
      </c>
    </row>
    <row r="654" spans="1:2" x14ac:dyDescent="0.2">
      <c r="A654" s="53">
        <v>40725</v>
      </c>
      <c r="B654">
        <v>1944583</v>
      </c>
    </row>
    <row r="655" spans="1:2" x14ac:dyDescent="0.2">
      <c r="A655" s="53">
        <v>40732</v>
      </c>
      <c r="B655">
        <v>1919501</v>
      </c>
    </row>
    <row r="656" spans="1:2" x14ac:dyDescent="0.2">
      <c r="A656" s="53">
        <v>40739</v>
      </c>
      <c r="B656">
        <v>1957194</v>
      </c>
    </row>
    <row r="657" spans="1:2" x14ac:dyDescent="0.2">
      <c r="A657" s="53">
        <v>40746</v>
      </c>
      <c r="B657">
        <v>2006061</v>
      </c>
    </row>
    <row r="658" spans="1:2" x14ac:dyDescent="0.2">
      <c r="A658" s="53">
        <v>40753</v>
      </c>
      <c r="B658">
        <v>2000471</v>
      </c>
    </row>
    <row r="659" spans="1:2" x14ac:dyDescent="0.2">
      <c r="A659" s="53">
        <v>40760</v>
      </c>
      <c r="B659">
        <v>2004290</v>
      </c>
    </row>
    <row r="660" spans="1:2" x14ac:dyDescent="0.2">
      <c r="A660" s="53">
        <v>40767</v>
      </c>
      <c r="B660">
        <v>2073026</v>
      </c>
    </row>
    <row r="661" spans="1:2" x14ac:dyDescent="0.2">
      <c r="A661" s="53">
        <v>40774</v>
      </c>
      <c r="B661">
        <v>2076647</v>
      </c>
    </row>
    <row r="662" spans="1:2" x14ac:dyDescent="0.2">
      <c r="A662" s="53">
        <v>40781</v>
      </c>
      <c r="B662">
        <v>2071633</v>
      </c>
    </row>
    <row r="663" spans="1:2" x14ac:dyDescent="0.2">
      <c r="A663" s="53">
        <v>40788</v>
      </c>
      <c r="B663">
        <v>2073122</v>
      </c>
    </row>
    <row r="664" spans="1:2" x14ac:dyDescent="0.2">
      <c r="A664" s="53">
        <v>40795</v>
      </c>
      <c r="B664">
        <v>2086364</v>
      </c>
    </row>
    <row r="665" spans="1:2" x14ac:dyDescent="0.2">
      <c r="A665" s="53">
        <v>40802</v>
      </c>
      <c r="B665">
        <v>2134721</v>
      </c>
    </row>
    <row r="666" spans="1:2" x14ac:dyDescent="0.2">
      <c r="A666" s="53">
        <v>40809</v>
      </c>
      <c r="B666">
        <v>2180075</v>
      </c>
    </row>
    <row r="667" spans="1:2" x14ac:dyDescent="0.2">
      <c r="A667" s="53">
        <v>40816</v>
      </c>
      <c r="B667">
        <v>2288571</v>
      </c>
    </row>
    <row r="668" spans="1:2" x14ac:dyDescent="0.2">
      <c r="A668" s="53">
        <v>40823</v>
      </c>
      <c r="B668">
        <v>2295727</v>
      </c>
    </row>
    <row r="669" spans="1:2" x14ac:dyDescent="0.2">
      <c r="A669" s="53">
        <v>40830</v>
      </c>
      <c r="B669">
        <v>2310857</v>
      </c>
    </row>
    <row r="670" spans="1:2" x14ac:dyDescent="0.2">
      <c r="A670" s="53">
        <v>40837</v>
      </c>
      <c r="B670">
        <v>2313175</v>
      </c>
    </row>
    <row r="671" spans="1:2" x14ac:dyDescent="0.2">
      <c r="A671" s="53">
        <v>40844</v>
      </c>
      <c r="B671">
        <v>2333373</v>
      </c>
    </row>
    <row r="672" spans="1:2" x14ac:dyDescent="0.2">
      <c r="A672" s="53">
        <v>40851</v>
      </c>
      <c r="B672">
        <v>2328553</v>
      </c>
    </row>
    <row r="673" spans="1:2" x14ac:dyDescent="0.2">
      <c r="A673" s="53">
        <v>40858</v>
      </c>
      <c r="B673">
        <v>2343547</v>
      </c>
    </row>
    <row r="674" spans="1:2" x14ac:dyDescent="0.2">
      <c r="A674" s="53">
        <v>40865</v>
      </c>
      <c r="B674">
        <v>2393350</v>
      </c>
    </row>
    <row r="675" spans="1:2" x14ac:dyDescent="0.2">
      <c r="A675" s="53">
        <v>40872</v>
      </c>
      <c r="B675">
        <v>2419548</v>
      </c>
    </row>
    <row r="676" spans="1:2" x14ac:dyDescent="0.2">
      <c r="A676" s="53">
        <v>40879</v>
      </c>
      <c r="B676">
        <v>2435688</v>
      </c>
    </row>
    <row r="677" spans="1:2" x14ac:dyDescent="0.2">
      <c r="A677" s="53">
        <v>40886</v>
      </c>
      <c r="B677">
        <v>2460813</v>
      </c>
    </row>
    <row r="678" spans="1:2" x14ac:dyDescent="0.2">
      <c r="A678" s="53">
        <v>40893</v>
      </c>
      <c r="B678">
        <v>2493806</v>
      </c>
    </row>
    <row r="679" spans="1:2" x14ac:dyDescent="0.2">
      <c r="A679" s="53">
        <v>40900</v>
      </c>
      <c r="B679">
        <v>2733235</v>
      </c>
    </row>
    <row r="680" spans="1:2" x14ac:dyDescent="0.2">
      <c r="A680" s="53">
        <v>40907</v>
      </c>
      <c r="B680">
        <v>2735628</v>
      </c>
    </row>
    <row r="681" spans="1:2" x14ac:dyDescent="0.2">
      <c r="A681" s="53">
        <v>40914</v>
      </c>
      <c r="B681">
        <v>2687871</v>
      </c>
    </row>
    <row r="682" spans="1:2" x14ac:dyDescent="0.2">
      <c r="A682" s="53">
        <v>40921</v>
      </c>
      <c r="B682">
        <v>2676987</v>
      </c>
    </row>
    <row r="683" spans="1:2" x14ac:dyDescent="0.2">
      <c r="A683" s="53">
        <v>40928</v>
      </c>
      <c r="B683">
        <v>2706197</v>
      </c>
    </row>
    <row r="684" spans="1:2" x14ac:dyDescent="0.2">
      <c r="A684" s="53">
        <v>40935</v>
      </c>
      <c r="B684">
        <v>2682576</v>
      </c>
    </row>
    <row r="685" spans="1:2" x14ac:dyDescent="0.2">
      <c r="A685" s="53">
        <v>40942</v>
      </c>
      <c r="B685">
        <v>2662126</v>
      </c>
    </row>
    <row r="686" spans="1:2" x14ac:dyDescent="0.2">
      <c r="A686" s="53">
        <v>40949</v>
      </c>
      <c r="B686">
        <v>2655784</v>
      </c>
    </row>
    <row r="687" spans="1:2" x14ac:dyDescent="0.2">
      <c r="A687" s="53">
        <v>40956</v>
      </c>
      <c r="B687">
        <v>2663261</v>
      </c>
    </row>
    <row r="688" spans="1:2" x14ac:dyDescent="0.2">
      <c r="A688" s="53">
        <v>40963</v>
      </c>
      <c r="B688">
        <v>2692598</v>
      </c>
    </row>
    <row r="689" spans="1:2" x14ac:dyDescent="0.2">
      <c r="A689" s="53">
        <v>40970</v>
      </c>
      <c r="B689">
        <v>3023159</v>
      </c>
    </row>
    <row r="690" spans="1:2" x14ac:dyDescent="0.2">
      <c r="A690" s="53">
        <v>40977</v>
      </c>
      <c r="B690">
        <v>3005782</v>
      </c>
    </row>
    <row r="691" spans="1:2" x14ac:dyDescent="0.2">
      <c r="A691" s="53">
        <v>40984</v>
      </c>
      <c r="B691">
        <v>2986294</v>
      </c>
    </row>
    <row r="692" spans="1:2" x14ac:dyDescent="0.2">
      <c r="A692" s="53">
        <v>40991</v>
      </c>
      <c r="B692">
        <v>2982849</v>
      </c>
    </row>
    <row r="693" spans="1:2" x14ac:dyDescent="0.2">
      <c r="A693" s="53">
        <v>40998</v>
      </c>
      <c r="B693">
        <v>2964427</v>
      </c>
    </row>
    <row r="694" spans="1:2" x14ac:dyDescent="0.2">
      <c r="A694" s="53">
        <v>41005</v>
      </c>
      <c r="B694">
        <v>2965333</v>
      </c>
    </row>
    <row r="695" spans="1:2" x14ac:dyDescent="0.2">
      <c r="A695" s="53">
        <v>41012</v>
      </c>
      <c r="B695">
        <v>2974859</v>
      </c>
    </row>
    <row r="696" spans="1:2" x14ac:dyDescent="0.2">
      <c r="A696" s="53">
        <v>41019</v>
      </c>
      <c r="B696">
        <v>2967109</v>
      </c>
    </row>
    <row r="697" spans="1:2" x14ac:dyDescent="0.2">
      <c r="A697" s="53">
        <v>41026</v>
      </c>
      <c r="B697">
        <v>2962103</v>
      </c>
    </row>
    <row r="698" spans="1:2" x14ac:dyDescent="0.2">
      <c r="A698" s="53">
        <v>41033</v>
      </c>
      <c r="B698">
        <v>2960317</v>
      </c>
    </row>
    <row r="699" spans="1:2" x14ac:dyDescent="0.2">
      <c r="A699" s="53">
        <v>41040</v>
      </c>
      <c r="B699">
        <v>2971515</v>
      </c>
    </row>
    <row r="700" spans="1:2" x14ac:dyDescent="0.2">
      <c r="A700" s="53">
        <v>41047</v>
      </c>
      <c r="B700">
        <v>2975261</v>
      </c>
    </row>
    <row r="701" spans="1:2" x14ac:dyDescent="0.2">
      <c r="A701" s="53">
        <v>41054</v>
      </c>
      <c r="B701">
        <v>2980310</v>
      </c>
    </row>
    <row r="702" spans="1:2" x14ac:dyDescent="0.2">
      <c r="A702" s="53">
        <v>41061</v>
      </c>
      <c r="B702">
        <v>3002593</v>
      </c>
    </row>
    <row r="703" spans="1:2" x14ac:dyDescent="0.2">
      <c r="A703" s="53">
        <v>41068</v>
      </c>
      <c r="B703">
        <v>3009684</v>
      </c>
    </row>
    <row r="704" spans="1:2" x14ac:dyDescent="0.2">
      <c r="A704" s="53">
        <v>41075</v>
      </c>
      <c r="B704">
        <v>3027305</v>
      </c>
    </row>
    <row r="705" spans="1:2" x14ac:dyDescent="0.2">
      <c r="A705" s="53">
        <v>41082</v>
      </c>
      <c r="B705">
        <v>3057892</v>
      </c>
    </row>
    <row r="706" spans="1:2" x14ac:dyDescent="0.2">
      <c r="A706" s="53">
        <v>41089</v>
      </c>
      <c r="B706">
        <v>3102227</v>
      </c>
    </row>
    <row r="707" spans="1:2" x14ac:dyDescent="0.2">
      <c r="A707" s="53">
        <v>41096</v>
      </c>
      <c r="B707">
        <v>3085006</v>
      </c>
    </row>
    <row r="708" spans="1:2" x14ac:dyDescent="0.2">
      <c r="A708" s="53">
        <v>41103</v>
      </c>
      <c r="B708">
        <v>3099646</v>
      </c>
    </row>
    <row r="709" spans="1:2" x14ac:dyDescent="0.2">
      <c r="A709" s="53">
        <v>41110</v>
      </c>
      <c r="B709">
        <v>3079749</v>
      </c>
    </row>
    <row r="710" spans="1:2" x14ac:dyDescent="0.2">
      <c r="A710" s="53">
        <v>41117</v>
      </c>
      <c r="B710">
        <v>3094144</v>
      </c>
    </row>
    <row r="711" spans="1:2" x14ac:dyDescent="0.2">
      <c r="A711" s="53">
        <v>41124</v>
      </c>
      <c r="B711">
        <v>3085214</v>
      </c>
    </row>
    <row r="712" spans="1:2" x14ac:dyDescent="0.2">
      <c r="A712" s="53">
        <v>41131</v>
      </c>
      <c r="B712">
        <v>3086822</v>
      </c>
    </row>
    <row r="713" spans="1:2" x14ac:dyDescent="0.2">
      <c r="A713" s="53">
        <v>41138</v>
      </c>
      <c r="B713">
        <v>3085845</v>
      </c>
    </row>
    <row r="714" spans="1:2" x14ac:dyDescent="0.2">
      <c r="A714" s="53">
        <v>41145</v>
      </c>
      <c r="B714">
        <v>3080452</v>
      </c>
    </row>
    <row r="715" spans="1:2" x14ac:dyDescent="0.2">
      <c r="A715" s="53">
        <v>41152</v>
      </c>
      <c r="B715">
        <v>3084769</v>
      </c>
    </row>
    <row r="716" spans="1:2" x14ac:dyDescent="0.2">
      <c r="A716" s="53">
        <v>41159</v>
      </c>
      <c r="B716">
        <v>3073494</v>
      </c>
    </row>
    <row r="717" spans="1:2" x14ac:dyDescent="0.2">
      <c r="A717" s="53">
        <v>41166</v>
      </c>
      <c r="B717">
        <v>3061012</v>
      </c>
    </row>
    <row r="718" spans="1:2" x14ac:dyDescent="0.2">
      <c r="A718" s="53">
        <v>41173</v>
      </c>
      <c r="B718">
        <v>3049539</v>
      </c>
    </row>
    <row r="719" spans="1:2" x14ac:dyDescent="0.2">
      <c r="A719" s="53">
        <v>41180</v>
      </c>
      <c r="B719">
        <v>3082432</v>
      </c>
    </row>
    <row r="720" spans="1:2" x14ac:dyDescent="0.2">
      <c r="A720" s="53">
        <v>41187</v>
      </c>
      <c r="B720">
        <v>3062589</v>
      </c>
    </row>
    <row r="721" spans="1:2" x14ac:dyDescent="0.2">
      <c r="A721" s="53">
        <v>41194</v>
      </c>
      <c r="B721">
        <v>3053641</v>
      </c>
    </row>
    <row r="722" spans="1:2" x14ac:dyDescent="0.2">
      <c r="A722" s="53">
        <v>41201</v>
      </c>
      <c r="B722">
        <v>3046569</v>
      </c>
    </row>
    <row r="723" spans="1:2" x14ac:dyDescent="0.2">
      <c r="A723" s="53">
        <v>41208</v>
      </c>
      <c r="B723">
        <v>3046543</v>
      </c>
    </row>
    <row r="724" spans="1:2" x14ac:dyDescent="0.2">
      <c r="A724" s="53">
        <v>41215</v>
      </c>
      <c r="B724">
        <v>3040693</v>
      </c>
    </row>
    <row r="725" spans="1:2" x14ac:dyDescent="0.2">
      <c r="A725" s="53">
        <v>41222</v>
      </c>
      <c r="B725">
        <v>3038871</v>
      </c>
    </row>
    <row r="726" spans="1:2" x14ac:dyDescent="0.2">
      <c r="A726" s="53">
        <v>41229</v>
      </c>
      <c r="B726">
        <v>3041305</v>
      </c>
    </row>
    <row r="727" spans="1:2" x14ac:dyDescent="0.2">
      <c r="A727" s="53">
        <v>41236</v>
      </c>
      <c r="B727">
        <v>3035280</v>
      </c>
    </row>
    <row r="728" spans="1:2" x14ac:dyDescent="0.2">
      <c r="A728" s="53">
        <v>41243</v>
      </c>
      <c r="B728">
        <v>3033294</v>
      </c>
    </row>
    <row r="729" spans="1:2" x14ac:dyDescent="0.2">
      <c r="A729" s="53">
        <v>41250</v>
      </c>
      <c r="B729">
        <v>3030422</v>
      </c>
    </row>
    <row r="730" spans="1:2" x14ac:dyDescent="0.2">
      <c r="A730" s="53">
        <v>41257</v>
      </c>
      <c r="B730">
        <v>3024812</v>
      </c>
    </row>
    <row r="731" spans="1:2" x14ac:dyDescent="0.2">
      <c r="A731" s="53">
        <v>41264</v>
      </c>
      <c r="B731">
        <v>3011200</v>
      </c>
    </row>
    <row r="732" spans="1:2" x14ac:dyDescent="0.2">
      <c r="A732" s="53">
        <v>41271</v>
      </c>
      <c r="B732">
        <v>3018198</v>
      </c>
    </row>
    <row r="733" spans="1:2" x14ac:dyDescent="0.2">
      <c r="A733" s="53">
        <v>41278</v>
      </c>
      <c r="B733">
        <v>2956165</v>
      </c>
    </row>
    <row r="734" spans="1:2" x14ac:dyDescent="0.2">
      <c r="A734" s="53">
        <v>41285</v>
      </c>
      <c r="B734">
        <v>2952532</v>
      </c>
    </row>
    <row r="735" spans="1:2" x14ac:dyDescent="0.2">
      <c r="A735" s="53">
        <v>41292</v>
      </c>
      <c r="B735">
        <v>2942211</v>
      </c>
    </row>
    <row r="736" spans="1:2" x14ac:dyDescent="0.2">
      <c r="A736" s="53">
        <v>41299</v>
      </c>
      <c r="B736">
        <v>2928781</v>
      </c>
    </row>
    <row r="737" spans="1:2" x14ac:dyDescent="0.2">
      <c r="A737" s="53">
        <v>41306</v>
      </c>
      <c r="B737">
        <v>2769695</v>
      </c>
    </row>
    <row r="738" spans="1:2" x14ac:dyDescent="0.2">
      <c r="A738" s="53">
        <v>41313</v>
      </c>
      <c r="B738">
        <v>2767571</v>
      </c>
    </row>
    <row r="739" spans="1:2" x14ac:dyDescent="0.2">
      <c r="A739" s="53">
        <v>41320</v>
      </c>
      <c r="B739">
        <v>2755725</v>
      </c>
    </row>
    <row r="740" spans="1:2" x14ac:dyDescent="0.2">
      <c r="A740" s="53">
        <v>41327</v>
      </c>
      <c r="B740">
        <v>2748823</v>
      </c>
    </row>
    <row r="741" spans="1:2" x14ac:dyDescent="0.2">
      <c r="A741" s="53">
        <v>41334</v>
      </c>
      <c r="B741">
        <v>2680619</v>
      </c>
    </row>
    <row r="742" spans="1:2" x14ac:dyDescent="0.2">
      <c r="A742" s="53">
        <v>41341</v>
      </c>
      <c r="B742">
        <v>2665947</v>
      </c>
    </row>
    <row r="743" spans="1:2" x14ac:dyDescent="0.2">
      <c r="A743" s="53">
        <v>41348</v>
      </c>
      <c r="B743">
        <v>2647844</v>
      </c>
    </row>
    <row r="744" spans="1:2" x14ac:dyDescent="0.2">
      <c r="A744" s="53">
        <v>41355</v>
      </c>
      <c r="B744">
        <v>2642700</v>
      </c>
    </row>
    <row r="745" spans="1:2" x14ac:dyDescent="0.2">
      <c r="A745" s="53">
        <v>41362</v>
      </c>
      <c r="B745">
        <v>2648126</v>
      </c>
    </row>
    <row r="746" spans="1:2" x14ac:dyDescent="0.2">
      <c r="A746" s="53">
        <v>41369</v>
      </c>
      <c r="B746">
        <v>2647097</v>
      </c>
    </row>
    <row r="747" spans="1:2" x14ac:dyDescent="0.2">
      <c r="A747" s="53">
        <v>41376</v>
      </c>
      <c r="B747">
        <v>2634454</v>
      </c>
    </row>
    <row r="748" spans="1:2" x14ac:dyDescent="0.2">
      <c r="A748" s="53">
        <v>41383</v>
      </c>
      <c r="B748">
        <v>2617263</v>
      </c>
    </row>
    <row r="749" spans="1:2" x14ac:dyDescent="0.2">
      <c r="A749" s="53">
        <v>41390</v>
      </c>
      <c r="B749">
        <v>2611252</v>
      </c>
    </row>
    <row r="750" spans="1:2" x14ac:dyDescent="0.2">
      <c r="A750" s="53">
        <v>41397</v>
      </c>
      <c r="B750">
        <v>2608120</v>
      </c>
    </row>
    <row r="751" spans="1:2" x14ac:dyDescent="0.2">
      <c r="A751" s="53">
        <v>41404</v>
      </c>
      <c r="B751">
        <v>2606277</v>
      </c>
    </row>
    <row r="752" spans="1:2" x14ac:dyDescent="0.2">
      <c r="A752" s="53">
        <v>41411</v>
      </c>
      <c r="B752">
        <v>2577406</v>
      </c>
    </row>
    <row r="753" spans="1:2" x14ac:dyDescent="0.2">
      <c r="A753" s="53">
        <v>41418</v>
      </c>
      <c r="B753">
        <v>2560202</v>
      </c>
    </row>
    <row r="754" spans="1:2" x14ac:dyDescent="0.2">
      <c r="A754" s="53">
        <v>41425</v>
      </c>
      <c r="B754">
        <v>2549449</v>
      </c>
    </row>
    <row r="755" spans="1:2" x14ac:dyDescent="0.2">
      <c r="A755" s="53">
        <v>41432</v>
      </c>
      <c r="B755">
        <v>2546600</v>
      </c>
    </row>
    <row r="756" spans="1:2" x14ac:dyDescent="0.2">
      <c r="A756" s="53">
        <v>41439</v>
      </c>
      <c r="B756">
        <v>2550684</v>
      </c>
    </row>
    <row r="757" spans="1:2" x14ac:dyDescent="0.2">
      <c r="A757" s="53">
        <v>41446</v>
      </c>
      <c r="B757">
        <v>2545321</v>
      </c>
    </row>
    <row r="758" spans="1:2" x14ac:dyDescent="0.2">
      <c r="A758" s="53">
        <v>41453</v>
      </c>
      <c r="B758">
        <v>2430423</v>
      </c>
    </row>
    <row r="759" spans="1:2" x14ac:dyDescent="0.2">
      <c r="A759" s="53">
        <v>41460</v>
      </c>
      <c r="B759">
        <v>2420347</v>
      </c>
    </row>
    <row r="760" spans="1:2" x14ac:dyDescent="0.2">
      <c r="A760" s="53">
        <v>41467</v>
      </c>
      <c r="B760">
        <v>2403333</v>
      </c>
    </row>
    <row r="761" spans="1:2" x14ac:dyDescent="0.2">
      <c r="A761" s="53">
        <v>41474</v>
      </c>
      <c r="B761">
        <v>2398959</v>
      </c>
    </row>
    <row r="762" spans="1:2" x14ac:dyDescent="0.2">
      <c r="A762" s="53">
        <v>41481</v>
      </c>
      <c r="B762">
        <v>2396181</v>
      </c>
    </row>
    <row r="763" spans="1:2" x14ac:dyDescent="0.2">
      <c r="A763" s="53">
        <v>41488</v>
      </c>
      <c r="B763">
        <v>2391090</v>
      </c>
    </row>
    <row r="764" spans="1:2" x14ac:dyDescent="0.2">
      <c r="A764" s="53">
        <v>41495</v>
      </c>
      <c r="B764">
        <v>2379322</v>
      </c>
    </row>
    <row r="765" spans="1:2" x14ac:dyDescent="0.2">
      <c r="A765" s="53">
        <v>41502</v>
      </c>
      <c r="B765">
        <v>2368521</v>
      </c>
    </row>
    <row r="766" spans="1:2" x14ac:dyDescent="0.2">
      <c r="A766" s="53">
        <v>41509</v>
      </c>
      <c r="B766">
        <v>2360832</v>
      </c>
    </row>
    <row r="767" spans="1:2" x14ac:dyDescent="0.2">
      <c r="A767" s="53">
        <v>41516</v>
      </c>
      <c r="B767">
        <v>2360639</v>
      </c>
    </row>
    <row r="768" spans="1:2" x14ac:dyDescent="0.2">
      <c r="A768" s="53">
        <v>41523</v>
      </c>
      <c r="B768">
        <v>2356675</v>
      </c>
    </row>
    <row r="769" spans="1:2" x14ac:dyDescent="0.2">
      <c r="A769" s="53">
        <v>41530</v>
      </c>
      <c r="B769">
        <v>2350127</v>
      </c>
    </row>
    <row r="770" spans="1:2" x14ac:dyDescent="0.2">
      <c r="A770" s="53">
        <v>41537</v>
      </c>
      <c r="B770">
        <v>2346591</v>
      </c>
    </row>
    <row r="771" spans="1:2" x14ac:dyDescent="0.2">
      <c r="A771" s="53">
        <v>41544</v>
      </c>
      <c r="B771">
        <v>2338044</v>
      </c>
    </row>
    <row r="772" spans="1:2" x14ac:dyDescent="0.2">
      <c r="A772" s="53">
        <v>41551</v>
      </c>
      <c r="B772">
        <v>2350580</v>
      </c>
    </row>
    <row r="773" spans="1:2" x14ac:dyDescent="0.2">
      <c r="A773" s="53">
        <v>41558</v>
      </c>
      <c r="B773">
        <v>2340421</v>
      </c>
    </row>
    <row r="774" spans="1:2" x14ac:dyDescent="0.2">
      <c r="A774" s="53">
        <v>41565</v>
      </c>
      <c r="B774">
        <v>2327962</v>
      </c>
    </row>
    <row r="775" spans="1:2" x14ac:dyDescent="0.2">
      <c r="A775" s="53">
        <v>41572</v>
      </c>
      <c r="B775">
        <v>2318744</v>
      </c>
    </row>
    <row r="776" spans="1:2" x14ac:dyDescent="0.2">
      <c r="A776" s="53">
        <v>41579</v>
      </c>
      <c r="B776">
        <v>2314393</v>
      </c>
    </row>
    <row r="777" spans="1:2" x14ac:dyDescent="0.2">
      <c r="A777" s="53">
        <v>41586</v>
      </c>
      <c r="B777">
        <v>2305431</v>
      </c>
    </row>
    <row r="778" spans="1:2" x14ac:dyDescent="0.2">
      <c r="A778" s="53">
        <v>41593</v>
      </c>
      <c r="B778">
        <v>2299017</v>
      </c>
    </row>
    <row r="779" spans="1:2" x14ac:dyDescent="0.2">
      <c r="A779" s="53">
        <v>41600</v>
      </c>
      <c r="B779">
        <v>2293601</v>
      </c>
    </row>
    <row r="780" spans="1:2" x14ac:dyDescent="0.2">
      <c r="A780" s="53">
        <v>41607</v>
      </c>
      <c r="B780">
        <v>2290956</v>
      </c>
    </row>
    <row r="781" spans="1:2" x14ac:dyDescent="0.2">
      <c r="A781" s="53">
        <v>41614</v>
      </c>
      <c r="B781">
        <v>2280794</v>
      </c>
    </row>
    <row r="782" spans="1:2" x14ac:dyDescent="0.2">
      <c r="A782" s="53">
        <v>41621</v>
      </c>
      <c r="B782">
        <v>2283020</v>
      </c>
    </row>
    <row r="783" spans="1:2" x14ac:dyDescent="0.2">
      <c r="A783" s="53">
        <v>41628</v>
      </c>
      <c r="B783">
        <v>2287531</v>
      </c>
    </row>
    <row r="784" spans="1:2" x14ac:dyDescent="0.2">
      <c r="A784" s="53">
        <v>41635</v>
      </c>
      <c r="B784">
        <v>2285399</v>
      </c>
    </row>
    <row r="785" spans="1:2" x14ac:dyDescent="0.2">
      <c r="A785" s="53">
        <v>41642</v>
      </c>
      <c r="B785">
        <v>2278560</v>
      </c>
    </row>
    <row r="786" spans="1:2" x14ac:dyDescent="0.2">
      <c r="A786" s="53">
        <v>41649</v>
      </c>
      <c r="B786">
        <v>2220507</v>
      </c>
    </row>
    <row r="787" spans="1:2" x14ac:dyDescent="0.2">
      <c r="A787" s="53">
        <v>41656</v>
      </c>
      <c r="B787">
        <v>2197860</v>
      </c>
    </row>
    <row r="788" spans="1:2" x14ac:dyDescent="0.2">
      <c r="A788" s="53">
        <v>41663</v>
      </c>
      <c r="B788">
        <v>2221296</v>
      </c>
    </row>
    <row r="789" spans="1:2" x14ac:dyDescent="0.2">
      <c r="A789" s="53">
        <v>41670</v>
      </c>
      <c r="B789">
        <v>2217061</v>
      </c>
    </row>
    <row r="790" spans="1:2" x14ac:dyDescent="0.2">
      <c r="A790" s="53">
        <v>41677</v>
      </c>
      <c r="B790">
        <v>2190338</v>
      </c>
    </row>
    <row r="791" spans="1:2" x14ac:dyDescent="0.2">
      <c r="A791" s="53">
        <v>41684</v>
      </c>
      <c r="B791">
        <v>2190099</v>
      </c>
    </row>
    <row r="792" spans="1:2" x14ac:dyDescent="0.2">
      <c r="A792" s="53">
        <v>41691</v>
      </c>
      <c r="B792">
        <v>2184848</v>
      </c>
    </row>
    <row r="793" spans="1:2" x14ac:dyDescent="0.2">
      <c r="A793" s="53">
        <v>41698</v>
      </c>
      <c r="B793">
        <v>2181079</v>
      </c>
    </row>
    <row r="794" spans="1:2" x14ac:dyDescent="0.2">
      <c r="A794" s="53">
        <v>41705</v>
      </c>
      <c r="B794">
        <v>2172324</v>
      </c>
    </row>
    <row r="795" spans="1:2" x14ac:dyDescent="0.2">
      <c r="A795" s="53">
        <v>41712</v>
      </c>
      <c r="B795">
        <v>2167771</v>
      </c>
    </row>
    <row r="796" spans="1:2" x14ac:dyDescent="0.2">
      <c r="A796" s="53">
        <v>41719</v>
      </c>
      <c r="B796">
        <v>2166080</v>
      </c>
    </row>
    <row r="797" spans="1:2" x14ac:dyDescent="0.2">
      <c r="A797" s="53">
        <v>41726</v>
      </c>
      <c r="B797">
        <v>2152103</v>
      </c>
    </row>
    <row r="798" spans="1:2" x14ac:dyDescent="0.2">
      <c r="A798" s="53">
        <v>41733</v>
      </c>
      <c r="B798">
        <v>2160987</v>
      </c>
    </row>
    <row r="799" spans="1:2" x14ac:dyDescent="0.2">
      <c r="A799" s="53">
        <v>41740</v>
      </c>
      <c r="B799">
        <v>2169081</v>
      </c>
    </row>
    <row r="800" spans="1:2" x14ac:dyDescent="0.2">
      <c r="A800" s="53">
        <v>41747</v>
      </c>
      <c r="B800">
        <v>2167801</v>
      </c>
    </row>
    <row r="801" spans="1:2" x14ac:dyDescent="0.2">
      <c r="A801" s="53">
        <v>41754</v>
      </c>
      <c r="B801">
        <v>2169061</v>
      </c>
    </row>
    <row r="802" spans="1:2" x14ac:dyDescent="0.2">
      <c r="A802" s="53">
        <v>41761</v>
      </c>
      <c r="B802">
        <v>2217128</v>
      </c>
    </row>
    <row r="803" spans="1:2" x14ac:dyDescent="0.2">
      <c r="A803" s="53">
        <v>41768</v>
      </c>
      <c r="B803">
        <v>2167718</v>
      </c>
    </row>
    <row r="804" spans="1:2" x14ac:dyDescent="0.2">
      <c r="A804" s="53">
        <v>41775</v>
      </c>
      <c r="B804">
        <v>2185009</v>
      </c>
    </row>
    <row r="805" spans="1:2" x14ac:dyDescent="0.2">
      <c r="A805" s="53">
        <v>41782</v>
      </c>
      <c r="B805">
        <v>2163727</v>
      </c>
    </row>
    <row r="806" spans="1:2" x14ac:dyDescent="0.2">
      <c r="A806" s="53">
        <v>41789</v>
      </c>
      <c r="B806">
        <v>2197095</v>
      </c>
    </row>
    <row r="807" spans="1:2" x14ac:dyDescent="0.2">
      <c r="A807" s="53">
        <v>41796</v>
      </c>
      <c r="B807">
        <v>2172316</v>
      </c>
    </row>
    <row r="808" spans="1:2" x14ac:dyDescent="0.2">
      <c r="A808" s="53">
        <v>41803</v>
      </c>
      <c r="B808">
        <v>2124281</v>
      </c>
    </row>
    <row r="809" spans="1:2" x14ac:dyDescent="0.2">
      <c r="A809" s="53">
        <v>41810</v>
      </c>
      <c r="B809">
        <v>2079975</v>
      </c>
    </row>
    <row r="810" spans="1:2" x14ac:dyDescent="0.2">
      <c r="A810" s="53">
        <v>41817</v>
      </c>
      <c r="B810">
        <v>2088099</v>
      </c>
    </row>
    <row r="811" spans="1:2" x14ac:dyDescent="0.2">
      <c r="A811" s="53">
        <v>41824</v>
      </c>
      <c r="B811">
        <v>2070293</v>
      </c>
    </row>
    <row r="812" spans="1:2" x14ac:dyDescent="0.2">
      <c r="A812" s="53">
        <v>41831</v>
      </c>
      <c r="B812">
        <v>2057083</v>
      </c>
    </row>
    <row r="813" spans="1:2" x14ac:dyDescent="0.2">
      <c r="A813" s="53">
        <v>41838</v>
      </c>
      <c r="B813">
        <v>2062474</v>
      </c>
    </row>
    <row r="814" spans="1:2" x14ac:dyDescent="0.2">
      <c r="A814" s="53">
        <v>41845</v>
      </c>
      <c r="B814">
        <v>2044312</v>
      </c>
    </row>
    <row r="815" spans="1:2" x14ac:dyDescent="0.2">
      <c r="A815" s="53">
        <v>41852</v>
      </c>
      <c r="B815">
        <v>2059683</v>
      </c>
    </row>
    <row r="816" spans="1:2" x14ac:dyDescent="0.2">
      <c r="A816" s="53">
        <v>41859</v>
      </c>
      <c r="B816">
        <v>2025258</v>
      </c>
    </row>
    <row r="817" spans="1:2" x14ac:dyDescent="0.2">
      <c r="A817" s="53">
        <v>41866</v>
      </c>
      <c r="B817">
        <v>2023176</v>
      </c>
    </row>
    <row r="818" spans="1:2" x14ac:dyDescent="0.2">
      <c r="A818" s="53">
        <v>41873</v>
      </c>
      <c r="B818">
        <v>2013019</v>
      </c>
    </row>
    <row r="819" spans="1:2" x14ac:dyDescent="0.2">
      <c r="A819" s="53">
        <v>41880</v>
      </c>
      <c r="B819">
        <v>2038716</v>
      </c>
    </row>
    <row r="820" spans="1:2" x14ac:dyDescent="0.2">
      <c r="A820" s="53">
        <v>41887</v>
      </c>
      <c r="B820">
        <v>2012130</v>
      </c>
    </row>
    <row r="821" spans="1:2" x14ac:dyDescent="0.2">
      <c r="A821" s="53">
        <v>41894</v>
      </c>
      <c r="B821">
        <v>2003802</v>
      </c>
    </row>
    <row r="822" spans="1:2" x14ac:dyDescent="0.2">
      <c r="A822" s="53">
        <v>41901</v>
      </c>
      <c r="B822">
        <v>1988153</v>
      </c>
    </row>
    <row r="823" spans="1:2" x14ac:dyDescent="0.2">
      <c r="A823" s="53">
        <v>41908</v>
      </c>
      <c r="B823">
        <v>2038235</v>
      </c>
    </row>
    <row r="824" spans="1:2" x14ac:dyDescent="0.2">
      <c r="A824" s="53">
        <v>41915</v>
      </c>
      <c r="B824">
        <v>2053668</v>
      </c>
    </row>
    <row r="825" spans="1:2" x14ac:dyDescent="0.2">
      <c r="A825" s="53">
        <v>41922</v>
      </c>
      <c r="B825">
        <v>2042685</v>
      </c>
    </row>
    <row r="826" spans="1:2" x14ac:dyDescent="0.2">
      <c r="A826" s="53">
        <v>41929</v>
      </c>
      <c r="B826">
        <v>2029725</v>
      </c>
    </row>
    <row r="827" spans="1:2" x14ac:dyDescent="0.2">
      <c r="A827" s="53">
        <v>41936</v>
      </c>
      <c r="B827">
        <v>2032783</v>
      </c>
    </row>
    <row r="828" spans="1:2" x14ac:dyDescent="0.2">
      <c r="A828" s="53">
        <v>41943</v>
      </c>
      <c r="B828">
        <v>2052070</v>
      </c>
    </row>
    <row r="829" spans="1:2" x14ac:dyDescent="0.2">
      <c r="A829" s="53">
        <v>41950</v>
      </c>
      <c r="B829">
        <v>2029737</v>
      </c>
    </row>
    <row r="830" spans="1:2" x14ac:dyDescent="0.2">
      <c r="A830" s="53">
        <v>41957</v>
      </c>
      <c r="B830">
        <v>2028156</v>
      </c>
    </row>
    <row r="831" spans="1:2" x14ac:dyDescent="0.2">
      <c r="A831" s="53">
        <v>41964</v>
      </c>
      <c r="B831">
        <v>2033165</v>
      </c>
    </row>
    <row r="832" spans="1:2" x14ac:dyDescent="0.2">
      <c r="A832" s="53">
        <v>41971</v>
      </c>
      <c r="B832">
        <v>2053892</v>
      </c>
    </row>
    <row r="833" spans="1:2" x14ac:dyDescent="0.2">
      <c r="A833" s="53">
        <v>41978</v>
      </c>
      <c r="B833">
        <v>2038091</v>
      </c>
    </row>
    <row r="834" spans="1:2" x14ac:dyDescent="0.2">
      <c r="A834" s="53">
        <v>41985</v>
      </c>
      <c r="B834">
        <v>2034746</v>
      </c>
    </row>
    <row r="835" spans="1:2" x14ac:dyDescent="0.2">
      <c r="A835" s="53">
        <v>41992</v>
      </c>
      <c r="B835">
        <v>2134802</v>
      </c>
    </row>
    <row r="836" spans="1:2" x14ac:dyDescent="0.2">
      <c r="A836" s="53">
        <v>41999</v>
      </c>
      <c r="B836">
        <v>2150247</v>
      </c>
    </row>
    <row r="837" spans="1:2" x14ac:dyDescent="0.2">
      <c r="A837" s="53">
        <v>42006</v>
      </c>
      <c r="B837">
        <v>2215995</v>
      </c>
    </row>
    <row r="838" spans="1:2" x14ac:dyDescent="0.2">
      <c r="A838" s="53">
        <v>42013</v>
      </c>
      <c r="B838">
        <v>2168821</v>
      </c>
    </row>
    <row r="839" spans="1:2" x14ac:dyDescent="0.2">
      <c r="A839" s="53">
        <v>42020</v>
      </c>
      <c r="B839">
        <v>2158222</v>
      </c>
    </row>
    <row r="840" spans="1:2" x14ac:dyDescent="0.2">
      <c r="A840" s="53">
        <v>42027</v>
      </c>
      <c r="B840">
        <v>2159796</v>
      </c>
    </row>
    <row r="841" spans="1:2" x14ac:dyDescent="0.2">
      <c r="A841" s="53">
        <v>42034</v>
      </c>
      <c r="B841">
        <v>2181954</v>
      </c>
    </row>
    <row r="842" spans="1:2" x14ac:dyDescent="0.2">
      <c r="A842" s="53">
        <v>42041</v>
      </c>
      <c r="B842">
        <v>2150212</v>
      </c>
    </row>
    <row r="843" spans="1:2" x14ac:dyDescent="0.2">
      <c r="A843" s="53">
        <v>42048</v>
      </c>
      <c r="B843">
        <v>2153125</v>
      </c>
    </row>
    <row r="844" spans="1:2" x14ac:dyDescent="0.2">
      <c r="A844" s="53">
        <v>42055</v>
      </c>
      <c r="B844">
        <v>2167794</v>
      </c>
    </row>
    <row r="845" spans="1:2" x14ac:dyDescent="0.2">
      <c r="A845" s="53">
        <v>42062</v>
      </c>
      <c r="B845">
        <v>2155836</v>
      </c>
    </row>
    <row r="846" spans="1:2" x14ac:dyDescent="0.2">
      <c r="A846" s="53">
        <v>42069</v>
      </c>
      <c r="B846">
        <v>2134819</v>
      </c>
    </row>
    <row r="847" spans="1:2" x14ac:dyDescent="0.2">
      <c r="A847" s="53">
        <v>42076</v>
      </c>
      <c r="B847">
        <v>2142116</v>
      </c>
    </row>
    <row r="848" spans="1:2" x14ac:dyDescent="0.2">
      <c r="A848" s="53">
        <v>42083</v>
      </c>
      <c r="B848">
        <v>2157841</v>
      </c>
    </row>
    <row r="849" spans="1:2" x14ac:dyDescent="0.2">
      <c r="A849" s="53">
        <v>42090</v>
      </c>
      <c r="B849">
        <v>2250801</v>
      </c>
    </row>
    <row r="850" spans="1:2" x14ac:dyDescent="0.2">
      <c r="A850" s="53">
        <v>42097</v>
      </c>
      <c r="B850">
        <v>2334126</v>
      </c>
    </row>
    <row r="851" spans="1:2" x14ac:dyDescent="0.2">
      <c r="A851" s="53">
        <v>42104</v>
      </c>
      <c r="B851">
        <v>2348963</v>
      </c>
    </row>
    <row r="852" spans="1:2" x14ac:dyDescent="0.2">
      <c r="A852" s="53">
        <v>42111</v>
      </c>
      <c r="B852">
        <v>2344062</v>
      </c>
    </row>
    <row r="853" spans="1:2" x14ac:dyDescent="0.2">
      <c r="A853" s="53">
        <v>42118</v>
      </c>
      <c r="B853">
        <v>2360790</v>
      </c>
    </row>
    <row r="854" spans="1:2" x14ac:dyDescent="0.2">
      <c r="A854" s="53">
        <v>42125</v>
      </c>
      <c r="B854">
        <v>2372553</v>
      </c>
    </row>
    <row r="855" spans="1:2" x14ac:dyDescent="0.2">
      <c r="A855" s="53">
        <v>42132</v>
      </c>
      <c r="B855">
        <v>2377854</v>
      </c>
    </row>
    <row r="856" spans="1:2" x14ac:dyDescent="0.2">
      <c r="A856" s="53">
        <v>42139</v>
      </c>
      <c r="B856">
        <v>2388627</v>
      </c>
    </row>
    <row r="857" spans="1:2" x14ac:dyDescent="0.2">
      <c r="A857" s="53">
        <v>42146</v>
      </c>
      <c r="B857">
        <v>2402553</v>
      </c>
    </row>
    <row r="858" spans="1:2" x14ac:dyDescent="0.2">
      <c r="A858" s="53">
        <v>42153</v>
      </c>
      <c r="B858">
        <v>2416666</v>
      </c>
    </row>
    <row r="859" spans="1:2" x14ac:dyDescent="0.2">
      <c r="A859" s="53">
        <v>42160</v>
      </c>
      <c r="B859">
        <v>2428326</v>
      </c>
    </row>
    <row r="860" spans="1:2" x14ac:dyDescent="0.2">
      <c r="A860" s="53">
        <v>42167</v>
      </c>
      <c r="B860">
        <v>2442098</v>
      </c>
    </row>
    <row r="861" spans="1:2" x14ac:dyDescent="0.2">
      <c r="A861" s="53">
        <v>42174</v>
      </c>
      <c r="B861">
        <v>2451947</v>
      </c>
    </row>
    <row r="862" spans="1:2" x14ac:dyDescent="0.2">
      <c r="A862" s="53">
        <v>42181</v>
      </c>
      <c r="B862">
        <v>2539544</v>
      </c>
    </row>
    <row r="863" spans="1:2" x14ac:dyDescent="0.2">
      <c r="A863" s="53">
        <v>42188</v>
      </c>
      <c r="B863">
        <v>2497003</v>
      </c>
    </row>
    <row r="864" spans="1:2" x14ac:dyDescent="0.2">
      <c r="A864" s="53">
        <v>42195</v>
      </c>
      <c r="B864">
        <v>2508195</v>
      </c>
    </row>
    <row r="865" spans="1:2" x14ac:dyDescent="0.2">
      <c r="A865" s="53">
        <v>42202</v>
      </c>
      <c r="B865">
        <v>2518972</v>
      </c>
    </row>
    <row r="866" spans="1:2" x14ac:dyDescent="0.2">
      <c r="A866" s="53">
        <v>42209</v>
      </c>
      <c r="B866">
        <v>2525159</v>
      </c>
    </row>
    <row r="867" spans="1:2" x14ac:dyDescent="0.2">
      <c r="A867" s="53">
        <v>42216</v>
      </c>
      <c r="B867">
        <v>2536592</v>
      </c>
    </row>
    <row r="868" spans="1:2" x14ac:dyDescent="0.2">
      <c r="A868" s="53">
        <v>42223</v>
      </c>
      <c r="B868">
        <v>2536634</v>
      </c>
    </row>
    <row r="869" spans="1:2" x14ac:dyDescent="0.2">
      <c r="A869" s="53">
        <v>42230</v>
      </c>
      <c r="B869">
        <v>2541947</v>
      </c>
    </row>
    <row r="870" spans="1:2" x14ac:dyDescent="0.2">
      <c r="A870" s="53">
        <v>42237</v>
      </c>
      <c r="B870">
        <v>2549254</v>
      </c>
    </row>
    <row r="871" spans="1:2" x14ac:dyDescent="0.2">
      <c r="A871" s="53">
        <v>42244</v>
      </c>
      <c r="B871">
        <v>2558780</v>
      </c>
    </row>
    <row r="872" spans="1:2" x14ac:dyDescent="0.2">
      <c r="A872" s="53">
        <v>42251</v>
      </c>
      <c r="B872">
        <v>2568311</v>
      </c>
    </row>
    <row r="873" spans="1:2" x14ac:dyDescent="0.2">
      <c r="A873" s="53">
        <v>42258</v>
      </c>
      <c r="B873">
        <v>2587280</v>
      </c>
    </row>
    <row r="874" spans="1:2" x14ac:dyDescent="0.2">
      <c r="A874" s="53">
        <v>42265</v>
      </c>
      <c r="B874">
        <v>2602314</v>
      </c>
    </row>
    <row r="875" spans="1:2" x14ac:dyDescent="0.2">
      <c r="A875" s="53">
        <v>42272</v>
      </c>
      <c r="B875">
        <v>2620631</v>
      </c>
    </row>
    <row r="876" spans="1:2" x14ac:dyDescent="0.2">
      <c r="A876" s="53">
        <v>42279</v>
      </c>
      <c r="B876">
        <v>2626835</v>
      </c>
    </row>
    <row r="877" spans="1:2" x14ac:dyDescent="0.2">
      <c r="A877" s="53">
        <v>42286</v>
      </c>
      <c r="B877">
        <v>2632300</v>
      </c>
    </row>
    <row r="878" spans="1:2" x14ac:dyDescent="0.2">
      <c r="A878" s="53">
        <v>42293</v>
      </c>
      <c r="B878">
        <v>2640557</v>
      </c>
    </row>
    <row r="879" spans="1:2" x14ac:dyDescent="0.2">
      <c r="A879" s="53">
        <v>42300</v>
      </c>
      <c r="B879">
        <v>2653233</v>
      </c>
    </row>
    <row r="880" spans="1:2" x14ac:dyDescent="0.2">
      <c r="A880" s="53">
        <v>42307</v>
      </c>
      <c r="B880">
        <v>2664996</v>
      </c>
    </row>
    <row r="881" spans="1:2" x14ac:dyDescent="0.2">
      <c r="A881" s="53">
        <v>42314</v>
      </c>
      <c r="B881">
        <v>2668903</v>
      </c>
    </row>
    <row r="882" spans="1:2" x14ac:dyDescent="0.2">
      <c r="A882" s="53">
        <v>42321</v>
      </c>
      <c r="B882">
        <v>2682374</v>
      </c>
    </row>
    <row r="883" spans="1:2" x14ac:dyDescent="0.2">
      <c r="A883" s="53">
        <v>42328</v>
      </c>
      <c r="B883">
        <v>2692443</v>
      </c>
    </row>
    <row r="884" spans="1:2" x14ac:dyDescent="0.2">
      <c r="A884" s="53">
        <v>42335</v>
      </c>
      <c r="B884">
        <v>2706740</v>
      </c>
    </row>
    <row r="885" spans="1:2" x14ac:dyDescent="0.2">
      <c r="A885" s="53">
        <v>42342</v>
      </c>
      <c r="B885">
        <v>2718650</v>
      </c>
    </row>
    <row r="886" spans="1:2" x14ac:dyDescent="0.2">
      <c r="A886" s="53">
        <v>42349</v>
      </c>
      <c r="B886">
        <v>2731936</v>
      </c>
    </row>
    <row r="887" spans="1:2" x14ac:dyDescent="0.2">
      <c r="A887" s="53">
        <v>42356</v>
      </c>
      <c r="B887">
        <v>2759255</v>
      </c>
    </row>
    <row r="888" spans="1:2" x14ac:dyDescent="0.2">
      <c r="A888" s="53">
        <v>42363</v>
      </c>
      <c r="B888">
        <v>2767815</v>
      </c>
    </row>
    <row r="889" spans="1:2" x14ac:dyDescent="0.2">
      <c r="A889" s="53">
        <v>42370</v>
      </c>
      <c r="B889">
        <v>2781145</v>
      </c>
    </row>
    <row r="890" spans="1:2" x14ac:dyDescent="0.2">
      <c r="A890" s="53">
        <v>42377</v>
      </c>
      <c r="B890">
        <v>2766889</v>
      </c>
    </row>
    <row r="891" spans="1:2" x14ac:dyDescent="0.2">
      <c r="A891" s="53">
        <v>42384</v>
      </c>
      <c r="B891">
        <v>2778265</v>
      </c>
    </row>
    <row r="892" spans="1:2" x14ac:dyDescent="0.2">
      <c r="A892" s="53">
        <v>42391</v>
      </c>
      <c r="B892">
        <v>2794527</v>
      </c>
    </row>
    <row r="893" spans="1:2" x14ac:dyDescent="0.2">
      <c r="A893" s="53">
        <v>42398</v>
      </c>
      <c r="B893">
        <v>2808331</v>
      </c>
    </row>
    <row r="894" spans="1:2" x14ac:dyDescent="0.2">
      <c r="A894" s="53">
        <v>42405</v>
      </c>
      <c r="B894">
        <v>2811913</v>
      </c>
    </row>
    <row r="895" spans="1:2" x14ac:dyDescent="0.2">
      <c r="A895" s="53">
        <v>42412</v>
      </c>
      <c r="B895">
        <v>2827603</v>
      </c>
    </row>
    <row r="896" spans="1:2" x14ac:dyDescent="0.2">
      <c r="A896" s="53">
        <v>42419</v>
      </c>
      <c r="B896">
        <v>2837575</v>
      </c>
    </row>
    <row r="897" spans="1:2" x14ac:dyDescent="0.2">
      <c r="A897" s="53">
        <v>42426</v>
      </c>
      <c r="B897">
        <v>2850299</v>
      </c>
    </row>
    <row r="898" spans="1:2" x14ac:dyDescent="0.2">
      <c r="A898" s="53">
        <v>42433</v>
      </c>
      <c r="B898">
        <v>2859841</v>
      </c>
    </row>
    <row r="899" spans="1:2" x14ac:dyDescent="0.2">
      <c r="A899" s="53">
        <v>42440</v>
      </c>
      <c r="B899">
        <v>2872321</v>
      </c>
    </row>
    <row r="900" spans="1:2" x14ac:dyDescent="0.2">
      <c r="A900" s="53">
        <v>42447</v>
      </c>
      <c r="B900">
        <v>2886198</v>
      </c>
    </row>
    <row r="901" spans="1:2" x14ac:dyDescent="0.2">
      <c r="A901" s="53">
        <v>42454</v>
      </c>
      <c r="B901">
        <v>2897696</v>
      </c>
    </row>
    <row r="902" spans="1:2" x14ac:dyDescent="0.2">
      <c r="A902" s="53">
        <v>42461</v>
      </c>
      <c r="B902">
        <v>2941761</v>
      </c>
    </row>
    <row r="903" spans="1:2" x14ac:dyDescent="0.2">
      <c r="A903" s="53">
        <v>42468</v>
      </c>
      <c r="B903">
        <v>2953136</v>
      </c>
    </row>
    <row r="904" spans="1:2" x14ac:dyDescent="0.2">
      <c r="A904" s="53">
        <v>42475</v>
      </c>
      <c r="B904">
        <v>2966107</v>
      </c>
    </row>
    <row r="905" spans="1:2" x14ac:dyDescent="0.2">
      <c r="A905" s="53">
        <v>42482</v>
      </c>
      <c r="B905">
        <v>2983183</v>
      </c>
    </row>
    <row r="906" spans="1:2" x14ac:dyDescent="0.2">
      <c r="A906" s="53">
        <v>42489</v>
      </c>
      <c r="B906">
        <v>3000759</v>
      </c>
    </row>
    <row r="907" spans="1:2" x14ac:dyDescent="0.2">
      <c r="A907" s="53">
        <v>42496</v>
      </c>
      <c r="B907">
        <v>3017789</v>
      </c>
    </row>
    <row r="908" spans="1:2" x14ac:dyDescent="0.2">
      <c r="A908" s="53">
        <v>42503</v>
      </c>
      <c r="B908">
        <v>3032840</v>
      </c>
    </row>
    <row r="909" spans="1:2" x14ac:dyDescent="0.2">
      <c r="A909" s="53">
        <v>42510</v>
      </c>
      <c r="B909">
        <v>3054101</v>
      </c>
    </row>
    <row r="910" spans="1:2" x14ac:dyDescent="0.2">
      <c r="A910" s="53">
        <v>42517</v>
      </c>
      <c r="B910">
        <v>3067481</v>
      </c>
    </row>
    <row r="911" spans="1:2" x14ac:dyDescent="0.2">
      <c r="A911" s="53">
        <v>42524</v>
      </c>
      <c r="B911">
        <v>3078612</v>
      </c>
    </row>
    <row r="912" spans="1:2" x14ac:dyDescent="0.2">
      <c r="A912" s="53">
        <v>42531</v>
      </c>
      <c r="B912">
        <v>3093866</v>
      </c>
    </row>
    <row r="913" spans="1:2" x14ac:dyDescent="0.2">
      <c r="A913" s="53">
        <v>42538</v>
      </c>
      <c r="B913">
        <v>3109588</v>
      </c>
    </row>
    <row r="914" spans="1:2" x14ac:dyDescent="0.2">
      <c r="A914" s="53">
        <v>42545</v>
      </c>
      <c r="B914">
        <v>3131095</v>
      </c>
    </row>
    <row r="915" spans="1:2" x14ac:dyDescent="0.2">
      <c r="A915" s="53">
        <v>42552</v>
      </c>
      <c r="B915">
        <v>3232618</v>
      </c>
    </row>
    <row r="916" spans="1:2" x14ac:dyDescent="0.2">
      <c r="A916" s="53">
        <v>42559</v>
      </c>
      <c r="B916">
        <v>3237920</v>
      </c>
    </row>
    <row r="917" spans="1:2" x14ac:dyDescent="0.2">
      <c r="A917" s="53">
        <v>42566</v>
      </c>
      <c r="B917">
        <v>3249177</v>
      </c>
    </row>
    <row r="918" spans="1:2" x14ac:dyDescent="0.2">
      <c r="A918" s="53">
        <v>42573</v>
      </c>
      <c r="B918">
        <v>3265838</v>
      </c>
    </row>
    <row r="919" spans="1:2" x14ac:dyDescent="0.2">
      <c r="A919" s="53">
        <v>42580</v>
      </c>
      <c r="B919">
        <v>3284309</v>
      </c>
    </row>
    <row r="920" spans="1:2" x14ac:dyDescent="0.2">
      <c r="A920" s="53">
        <v>42587</v>
      </c>
      <c r="B920">
        <v>3286139</v>
      </c>
    </row>
    <row r="921" spans="1:2" x14ac:dyDescent="0.2">
      <c r="A921" s="53">
        <v>42594</v>
      </c>
      <c r="B921">
        <v>3296568</v>
      </c>
    </row>
    <row r="922" spans="1:2" x14ac:dyDescent="0.2">
      <c r="A922" s="53">
        <v>42601</v>
      </c>
      <c r="B922">
        <v>3313323</v>
      </c>
    </row>
    <row r="923" spans="1:2" x14ac:dyDescent="0.2">
      <c r="A923" s="53">
        <v>42608</v>
      </c>
      <c r="B923">
        <v>3330487</v>
      </c>
    </row>
    <row r="924" spans="1:2" x14ac:dyDescent="0.2">
      <c r="A924" s="53">
        <v>42615</v>
      </c>
      <c r="B924">
        <v>3341775</v>
      </c>
    </row>
    <row r="925" spans="1:2" x14ac:dyDescent="0.2">
      <c r="A925" s="53">
        <v>42622</v>
      </c>
      <c r="B925">
        <v>3358742</v>
      </c>
    </row>
    <row r="926" spans="1:2" x14ac:dyDescent="0.2">
      <c r="A926" s="53">
        <v>42629</v>
      </c>
      <c r="B926">
        <v>3372373</v>
      </c>
    </row>
    <row r="927" spans="1:2" x14ac:dyDescent="0.2">
      <c r="A927" s="53">
        <v>42636</v>
      </c>
      <c r="B927">
        <v>3391402</v>
      </c>
    </row>
    <row r="928" spans="1:2" x14ac:dyDescent="0.2">
      <c r="A928" s="53">
        <v>42643</v>
      </c>
      <c r="B928">
        <v>3438145</v>
      </c>
    </row>
    <row r="929" spans="1:2" x14ac:dyDescent="0.2">
      <c r="A929" s="53">
        <v>42650</v>
      </c>
      <c r="B929">
        <v>3451426</v>
      </c>
    </row>
    <row r="930" spans="1:2" x14ac:dyDescent="0.2">
      <c r="A930" s="53">
        <v>42657</v>
      </c>
      <c r="B930">
        <v>3469281</v>
      </c>
    </row>
    <row r="931" spans="1:2" x14ac:dyDescent="0.2">
      <c r="A931" s="53">
        <v>42664</v>
      </c>
      <c r="B931">
        <v>3494929</v>
      </c>
    </row>
    <row r="932" spans="1:2" x14ac:dyDescent="0.2">
      <c r="A932" s="53">
        <v>42671</v>
      </c>
      <c r="B932">
        <v>3507401</v>
      </c>
    </row>
    <row r="933" spans="1:2" x14ac:dyDescent="0.2">
      <c r="A933" s="53">
        <v>42678</v>
      </c>
      <c r="B933">
        <v>3518455</v>
      </c>
    </row>
    <row r="934" spans="1:2" x14ac:dyDescent="0.2">
      <c r="A934" s="53">
        <v>42685</v>
      </c>
      <c r="B934">
        <v>3534266</v>
      </c>
    </row>
    <row r="935" spans="1:2" x14ac:dyDescent="0.2">
      <c r="A935" s="53">
        <v>42692</v>
      </c>
      <c r="B935">
        <v>3553353</v>
      </c>
    </row>
    <row r="936" spans="1:2" x14ac:dyDescent="0.2">
      <c r="A936" s="53">
        <v>42699</v>
      </c>
      <c r="B936">
        <v>3566230</v>
      </c>
    </row>
    <row r="937" spans="1:2" x14ac:dyDescent="0.2">
      <c r="A937" s="53">
        <v>42706</v>
      </c>
      <c r="B937">
        <v>3587380</v>
      </c>
    </row>
    <row r="938" spans="1:2" x14ac:dyDescent="0.2">
      <c r="A938" s="53">
        <v>42713</v>
      </c>
      <c r="B938">
        <v>3609773</v>
      </c>
    </row>
    <row r="939" spans="1:2" x14ac:dyDescent="0.2">
      <c r="A939" s="53">
        <v>42720</v>
      </c>
      <c r="B939">
        <v>3630732</v>
      </c>
    </row>
    <row r="940" spans="1:2" x14ac:dyDescent="0.2">
      <c r="A940" s="53">
        <v>42727</v>
      </c>
      <c r="B940">
        <v>3685708</v>
      </c>
    </row>
    <row r="941" spans="1:2" x14ac:dyDescent="0.2">
      <c r="A941" s="53">
        <v>42734</v>
      </c>
      <c r="B941">
        <v>3662901</v>
      </c>
    </row>
    <row r="942" spans="1:2" x14ac:dyDescent="0.2">
      <c r="A942" s="53">
        <v>42741</v>
      </c>
      <c r="B942">
        <v>3672638</v>
      </c>
    </row>
    <row r="943" spans="1:2" x14ac:dyDescent="0.2">
      <c r="A943" s="53">
        <v>42748</v>
      </c>
      <c r="B943">
        <v>3697302</v>
      </c>
    </row>
    <row r="944" spans="1:2" x14ac:dyDescent="0.2">
      <c r="A944" s="53">
        <v>42755</v>
      </c>
      <c r="B944">
        <v>3719624</v>
      </c>
    </row>
    <row r="945" spans="1:2" x14ac:dyDescent="0.2">
      <c r="A945" s="53">
        <v>42762</v>
      </c>
      <c r="B945">
        <v>3740766</v>
      </c>
    </row>
    <row r="946" spans="1:2" x14ac:dyDescent="0.2">
      <c r="A946" s="53">
        <v>42769</v>
      </c>
      <c r="B946">
        <v>3749499</v>
      </c>
    </row>
    <row r="947" spans="1:2" x14ac:dyDescent="0.2">
      <c r="A947" s="53">
        <v>42776</v>
      </c>
      <c r="B947">
        <v>3770942</v>
      </c>
    </row>
    <row r="948" spans="1:2" x14ac:dyDescent="0.2">
      <c r="A948" s="53">
        <v>42783</v>
      </c>
      <c r="B948">
        <v>3787893</v>
      </c>
    </row>
    <row r="949" spans="1:2" x14ac:dyDescent="0.2">
      <c r="A949" s="53">
        <v>42790</v>
      </c>
      <c r="B949">
        <v>3808242</v>
      </c>
    </row>
    <row r="950" spans="1:2" x14ac:dyDescent="0.2">
      <c r="A950" s="53">
        <v>42797</v>
      </c>
      <c r="B950">
        <v>3820341</v>
      </c>
    </row>
    <row r="951" spans="1:2" x14ac:dyDescent="0.2">
      <c r="A951" s="53">
        <v>42804</v>
      </c>
      <c r="B951">
        <v>3839855</v>
      </c>
    </row>
    <row r="952" spans="1:2" x14ac:dyDescent="0.2">
      <c r="A952" s="53">
        <v>42811</v>
      </c>
      <c r="B952">
        <v>3856913</v>
      </c>
    </row>
    <row r="953" spans="1:2" x14ac:dyDescent="0.2">
      <c r="A953" s="53">
        <v>42818</v>
      </c>
      <c r="B953">
        <v>3877037</v>
      </c>
    </row>
    <row r="954" spans="1:2" x14ac:dyDescent="0.2">
      <c r="A954" s="53">
        <v>42825</v>
      </c>
      <c r="B954">
        <v>4100730</v>
      </c>
    </row>
    <row r="955" spans="1:2" x14ac:dyDescent="0.2">
      <c r="A955" s="53">
        <v>42832</v>
      </c>
      <c r="B955">
        <v>4116353</v>
      </c>
    </row>
    <row r="956" spans="1:2" x14ac:dyDescent="0.2">
      <c r="A956" s="53">
        <v>42839</v>
      </c>
      <c r="B956">
        <v>4129996</v>
      </c>
    </row>
    <row r="957" spans="1:2" x14ac:dyDescent="0.2">
      <c r="A957" s="53">
        <v>42846</v>
      </c>
      <c r="B957">
        <v>4139398</v>
      </c>
    </row>
    <row r="958" spans="1:2" x14ac:dyDescent="0.2">
      <c r="A958" s="53">
        <v>42853</v>
      </c>
      <c r="B958">
        <v>4148032</v>
      </c>
    </row>
    <row r="959" spans="1:2" x14ac:dyDescent="0.2">
      <c r="A959" s="53">
        <v>42860</v>
      </c>
      <c r="B959">
        <v>4156826</v>
      </c>
    </row>
    <row r="960" spans="1:2" x14ac:dyDescent="0.2">
      <c r="A960" s="53">
        <v>42867</v>
      </c>
      <c r="B960">
        <v>4170588</v>
      </c>
    </row>
    <row r="961" spans="1:2" x14ac:dyDescent="0.2">
      <c r="A961" s="53">
        <v>42874</v>
      </c>
      <c r="B961">
        <v>4185693</v>
      </c>
    </row>
    <row r="962" spans="1:2" x14ac:dyDescent="0.2">
      <c r="A962" s="53">
        <v>42881</v>
      </c>
      <c r="B962">
        <v>4195685</v>
      </c>
    </row>
    <row r="963" spans="1:2" x14ac:dyDescent="0.2">
      <c r="A963" s="53">
        <v>42888</v>
      </c>
      <c r="B963">
        <v>4204543</v>
      </c>
    </row>
    <row r="964" spans="1:2" x14ac:dyDescent="0.2">
      <c r="A964" s="53">
        <v>42895</v>
      </c>
      <c r="B964">
        <v>4218129</v>
      </c>
    </row>
    <row r="965" spans="1:2" x14ac:dyDescent="0.2">
      <c r="A965" s="53">
        <v>42902</v>
      </c>
      <c r="B965">
        <v>4232941</v>
      </c>
    </row>
    <row r="966" spans="1:2" x14ac:dyDescent="0.2">
      <c r="A966" s="53">
        <v>42909</v>
      </c>
      <c r="B966">
        <v>4246150</v>
      </c>
    </row>
    <row r="967" spans="1:2" x14ac:dyDescent="0.2">
      <c r="A967" s="53">
        <v>42916</v>
      </c>
      <c r="B967">
        <v>4209510</v>
      </c>
    </row>
    <row r="968" spans="1:2" x14ac:dyDescent="0.2">
      <c r="A968" s="53">
        <v>42923</v>
      </c>
      <c r="B968">
        <v>4214696</v>
      </c>
    </row>
    <row r="969" spans="1:2" x14ac:dyDescent="0.2">
      <c r="A969" s="53">
        <v>42930</v>
      </c>
      <c r="B969">
        <v>4229286</v>
      </c>
    </row>
    <row r="970" spans="1:2" x14ac:dyDescent="0.2">
      <c r="A970" s="53">
        <v>42937</v>
      </c>
      <c r="B970">
        <v>4235758</v>
      </c>
    </row>
    <row r="971" spans="1:2" x14ac:dyDescent="0.2">
      <c r="A971" s="53">
        <v>42944</v>
      </c>
      <c r="B971">
        <v>4248280</v>
      </c>
    </row>
    <row r="972" spans="1:2" x14ac:dyDescent="0.2">
      <c r="A972" s="53">
        <v>42951</v>
      </c>
      <c r="B972">
        <v>4246485</v>
      </c>
    </row>
    <row r="973" spans="1:2" x14ac:dyDescent="0.2">
      <c r="A973" s="53">
        <v>42958</v>
      </c>
      <c r="B973">
        <v>4255955</v>
      </c>
    </row>
    <row r="974" spans="1:2" x14ac:dyDescent="0.2">
      <c r="A974" s="53">
        <v>42965</v>
      </c>
      <c r="B974">
        <v>4265713</v>
      </c>
    </row>
    <row r="975" spans="1:2" x14ac:dyDescent="0.2">
      <c r="A975" s="53">
        <v>42972</v>
      </c>
      <c r="B975">
        <v>4278881</v>
      </c>
    </row>
    <row r="976" spans="1:2" x14ac:dyDescent="0.2">
      <c r="A976" s="53">
        <v>42979</v>
      </c>
      <c r="B976">
        <v>4283727</v>
      </c>
    </row>
    <row r="977" spans="1:2" x14ac:dyDescent="0.2">
      <c r="A977" s="53">
        <v>42986</v>
      </c>
      <c r="B977">
        <v>4299776</v>
      </c>
    </row>
    <row r="978" spans="1:2" x14ac:dyDescent="0.2">
      <c r="A978" s="53">
        <v>42993</v>
      </c>
      <c r="B978">
        <v>4308875</v>
      </c>
    </row>
    <row r="979" spans="1:2" x14ac:dyDescent="0.2">
      <c r="A979" s="53">
        <v>43000</v>
      </c>
      <c r="B979">
        <v>4328211</v>
      </c>
    </row>
    <row r="980" spans="1:2" x14ac:dyDescent="0.2">
      <c r="A980" s="53">
        <v>43007</v>
      </c>
      <c r="B980">
        <v>4318624</v>
      </c>
    </row>
    <row r="981" spans="1:2" x14ac:dyDescent="0.2">
      <c r="A981" s="53">
        <v>43014</v>
      </c>
      <c r="B981">
        <v>4337684</v>
      </c>
    </row>
    <row r="982" spans="1:2" x14ac:dyDescent="0.2">
      <c r="A982" s="53">
        <v>43021</v>
      </c>
      <c r="B982">
        <v>4371623</v>
      </c>
    </row>
    <row r="983" spans="1:2" x14ac:dyDescent="0.2">
      <c r="A983" s="53">
        <v>43028</v>
      </c>
      <c r="B983">
        <v>4363408</v>
      </c>
    </row>
    <row r="984" spans="1:2" x14ac:dyDescent="0.2">
      <c r="A984" s="53">
        <v>43035</v>
      </c>
      <c r="B984">
        <v>4371222</v>
      </c>
    </row>
    <row r="985" spans="1:2" x14ac:dyDescent="0.2">
      <c r="A985" s="53">
        <v>43042</v>
      </c>
      <c r="B985">
        <v>4373200</v>
      </c>
    </row>
    <row r="986" spans="1:2" x14ac:dyDescent="0.2">
      <c r="A986" s="53">
        <v>43049</v>
      </c>
      <c r="B986">
        <v>4387732</v>
      </c>
    </row>
    <row r="987" spans="1:2" x14ac:dyDescent="0.2">
      <c r="A987" s="53">
        <v>43056</v>
      </c>
      <c r="B987">
        <v>4411864</v>
      </c>
    </row>
    <row r="988" spans="1:2" x14ac:dyDescent="0.2">
      <c r="A988" s="53">
        <v>43063</v>
      </c>
      <c r="B988">
        <v>4427474</v>
      </c>
    </row>
    <row r="989" spans="1:2" x14ac:dyDescent="0.2">
      <c r="A989" s="53">
        <v>43070</v>
      </c>
      <c r="B989">
        <v>4440791</v>
      </c>
    </row>
    <row r="990" spans="1:2" x14ac:dyDescent="0.2">
      <c r="A990" s="53">
        <v>43077</v>
      </c>
      <c r="B990">
        <v>4456579</v>
      </c>
    </row>
    <row r="991" spans="1:2" x14ac:dyDescent="0.2">
      <c r="A991" s="53">
        <v>43084</v>
      </c>
      <c r="B991">
        <v>4471856</v>
      </c>
    </row>
    <row r="992" spans="1:2" x14ac:dyDescent="0.2">
      <c r="A992" s="53">
        <v>43091</v>
      </c>
      <c r="B992">
        <v>4487284</v>
      </c>
    </row>
    <row r="993" spans="1:2" x14ac:dyDescent="0.2">
      <c r="A993" s="53">
        <v>43098</v>
      </c>
      <c r="B993">
        <v>4471563</v>
      </c>
    </row>
    <row r="994" spans="1:2" x14ac:dyDescent="0.2">
      <c r="A994" s="53">
        <v>43105</v>
      </c>
      <c r="B994">
        <v>4466001</v>
      </c>
    </row>
    <row r="995" spans="1:2" x14ac:dyDescent="0.2">
      <c r="A995" s="53">
        <v>43112</v>
      </c>
      <c r="B995">
        <v>4472739</v>
      </c>
    </row>
    <row r="996" spans="1:2" x14ac:dyDescent="0.2">
      <c r="A996" s="53">
        <v>43119</v>
      </c>
      <c r="B996">
        <v>4484003</v>
      </c>
    </row>
    <row r="997" spans="1:2" x14ac:dyDescent="0.2">
      <c r="A997" s="53">
        <v>43126</v>
      </c>
      <c r="B997">
        <v>4493058</v>
      </c>
    </row>
    <row r="998" spans="1:2" x14ac:dyDescent="0.2">
      <c r="A998" s="53">
        <v>43133</v>
      </c>
      <c r="B998">
        <v>4491151</v>
      </c>
    </row>
    <row r="999" spans="1:2" x14ac:dyDescent="0.2">
      <c r="A999" s="53">
        <v>43140</v>
      </c>
      <c r="B999">
        <v>4493672</v>
      </c>
    </row>
    <row r="1000" spans="1:2" x14ac:dyDescent="0.2">
      <c r="A1000" s="53">
        <v>43147</v>
      </c>
      <c r="B1000">
        <v>4504781</v>
      </c>
    </row>
    <row r="1001" spans="1:2" x14ac:dyDescent="0.2">
      <c r="A1001" s="53">
        <v>43154</v>
      </c>
      <c r="B1001">
        <v>4511540</v>
      </c>
    </row>
    <row r="1002" spans="1:2" x14ac:dyDescent="0.2">
      <c r="A1002" s="53">
        <v>43161</v>
      </c>
      <c r="B1002">
        <v>4519360</v>
      </c>
    </row>
    <row r="1003" spans="1:2" x14ac:dyDescent="0.2">
      <c r="A1003" s="53">
        <v>43168</v>
      </c>
      <c r="B1003">
        <v>4530083</v>
      </c>
    </row>
    <row r="1004" spans="1:2" x14ac:dyDescent="0.2">
      <c r="A1004" s="53">
        <v>43175</v>
      </c>
      <c r="B1004">
        <v>4532642</v>
      </c>
    </row>
    <row r="1005" spans="1:2" x14ac:dyDescent="0.2">
      <c r="A1005" s="53">
        <v>43182</v>
      </c>
      <c r="B1005">
        <v>4539072</v>
      </c>
    </row>
    <row r="1006" spans="1:2" x14ac:dyDescent="0.2">
      <c r="A1006" s="53">
        <v>43189</v>
      </c>
      <c r="B1006">
        <v>4529579</v>
      </c>
    </row>
    <row r="1007" spans="1:2" x14ac:dyDescent="0.2">
      <c r="A1007" s="53">
        <v>43196</v>
      </c>
      <c r="B1007">
        <v>4531497</v>
      </c>
    </row>
    <row r="1008" spans="1:2" x14ac:dyDescent="0.2">
      <c r="A1008" s="53">
        <v>43203</v>
      </c>
      <c r="B1008">
        <v>4548153</v>
      </c>
    </row>
    <row r="1009" spans="1:2" x14ac:dyDescent="0.2">
      <c r="A1009" s="53">
        <v>43210</v>
      </c>
      <c r="B1009">
        <v>4543973</v>
      </c>
    </row>
    <row r="1010" spans="1:2" x14ac:dyDescent="0.2">
      <c r="A1010" s="53">
        <v>43217</v>
      </c>
      <c r="B1010">
        <v>4554344</v>
      </c>
    </row>
    <row r="1011" spans="1:2" x14ac:dyDescent="0.2">
      <c r="A1011" s="53">
        <v>43224</v>
      </c>
      <c r="B1011">
        <v>4552564</v>
      </c>
    </row>
    <row r="1012" spans="1:2" x14ac:dyDescent="0.2">
      <c r="A1012" s="53">
        <v>43231</v>
      </c>
      <c r="B1012">
        <v>4562061</v>
      </c>
    </row>
    <row r="1013" spans="1:2" x14ac:dyDescent="0.2">
      <c r="A1013" s="53">
        <v>43238</v>
      </c>
      <c r="B1013">
        <v>4561577</v>
      </c>
    </row>
    <row r="1014" spans="1:2" x14ac:dyDescent="0.2">
      <c r="A1014" s="53">
        <v>43245</v>
      </c>
      <c r="B1014">
        <v>4562651</v>
      </c>
    </row>
    <row r="1015" spans="1:2" x14ac:dyDescent="0.2">
      <c r="A1015" s="53">
        <v>43252</v>
      </c>
      <c r="B1015">
        <v>4567744</v>
      </c>
    </row>
    <row r="1016" spans="1:2" x14ac:dyDescent="0.2">
      <c r="A1016" s="53">
        <v>43259</v>
      </c>
      <c r="B1016">
        <v>4577214</v>
      </c>
    </row>
    <row r="1017" spans="1:2" x14ac:dyDescent="0.2">
      <c r="A1017" s="53">
        <v>43266</v>
      </c>
      <c r="B1017">
        <v>4578465</v>
      </c>
    </row>
    <row r="1018" spans="1:2" x14ac:dyDescent="0.2">
      <c r="A1018" s="53">
        <v>43273</v>
      </c>
      <c r="B1018">
        <v>4585571</v>
      </c>
    </row>
    <row r="1019" spans="1:2" x14ac:dyDescent="0.2">
      <c r="A1019" s="53">
        <v>43280</v>
      </c>
      <c r="B1019">
        <v>4592518</v>
      </c>
    </row>
    <row r="1020" spans="1:2" x14ac:dyDescent="0.2">
      <c r="A1020" s="53">
        <v>43287</v>
      </c>
      <c r="B1020">
        <v>4591235</v>
      </c>
    </row>
    <row r="1021" spans="1:2" x14ac:dyDescent="0.2">
      <c r="A1021" s="53">
        <v>43294</v>
      </c>
      <c r="B1021">
        <v>4599857</v>
      </c>
    </row>
    <row r="1022" spans="1:2" x14ac:dyDescent="0.2">
      <c r="A1022" s="53">
        <v>43301</v>
      </c>
      <c r="B1022">
        <v>4605004</v>
      </c>
    </row>
    <row r="1023" spans="1:2" x14ac:dyDescent="0.2">
      <c r="A1023" s="53">
        <v>43308</v>
      </c>
      <c r="B1023">
        <v>4612006</v>
      </c>
    </row>
    <row r="1024" spans="1:2" x14ac:dyDescent="0.2">
      <c r="A1024" s="53">
        <v>43315</v>
      </c>
      <c r="B1024">
        <v>4602258</v>
      </c>
    </row>
    <row r="1025" spans="1:2" x14ac:dyDescent="0.2">
      <c r="A1025" s="53">
        <v>43322</v>
      </c>
      <c r="B1025">
        <v>4608108</v>
      </c>
    </row>
    <row r="1026" spans="1:2" x14ac:dyDescent="0.2">
      <c r="A1026" s="53">
        <v>43329</v>
      </c>
      <c r="B1026">
        <v>4614032</v>
      </c>
    </row>
    <row r="1027" spans="1:2" x14ac:dyDescent="0.2">
      <c r="A1027" s="53">
        <v>43336</v>
      </c>
      <c r="B1027">
        <v>4619437</v>
      </c>
    </row>
    <row r="1028" spans="1:2" x14ac:dyDescent="0.2">
      <c r="A1028" s="53">
        <v>43343</v>
      </c>
      <c r="B1028">
        <v>4621355</v>
      </c>
    </row>
    <row r="1029" spans="1:2" x14ac:dyDescent="0.2">
      <c r="A1029" s="53">
        <v>43350</v>
      </c>
      <c r="B1029">
        <v>4633963</v>
      </c>
    </row>
    <row r="1030" spans="1:2" x14ac:dyDescent="0.2">
      <c r="A1030" s="53">
        <v>43357</v>
      </c>
      <c r="B1030">
        <v>4638843</v>
      </c>
    </row>
    <row r="1031" spans="1:2" x14ac:dyDescent="0.2">
      <c r="A1031" s="53">
        <v>43364</v>
      </c>
      <c r="B1031">
        <v>4645821</v>
      </c>
    </row>
    <row r="1032" spans="1:2" x14ac:dyDescent="0.2">
      <c r="A1032" s="53">
        <v>43371</v>
      </c>
      <c r="B1032">
        <v>4619792</v>
      </c>
    </row>
    <row r="1033" spans="1:2" x14ac:dyDescent="0.2">
      <c r="A1033" s="53">
        <v>43378</v>
      </c>
      <c r="B1033">
        <v>4625045</v>
      </c>
    </row>
    <row r="1034" spans="1:2" x14ac:dyDescent="0.2">
      <c r="A1034" s="53">
        <v>43385</v>
      </c>
      <c r="B1034">
        <v>4632893</v>
      </c>
    </row>
    <row r="1035" spans="1:2" x14ac:dyDescent="0.2">
      <c r="A1035" s="53">
        <v>43392</v>
      </c>
      <c r="B1035">
        <v>4628278</v>
      </c>
    </row>
    <row r="1036" spans="1:2" x14ac:dyDescent="0.2">
      <c r="A1036" s="53">
        <v>43399</v>
      </c>
      <c r="B1036">
        <v>4624792</v>
      </c>
    </row>
    <row r="1037" spans="1:2" x14ac:dyDescent="0.2">
      <c r="A1037" s="53">
        <v>43406</v>
      </c>
      <c r="B1037">
        <v>4622163</v>
      </c>
    </row>
    <row r="1038" spans="1:2" x14ac:dyDescent="0.2">
      <c r="A1038" s="53">
        <v>43413</v>
      </c>
      <c r="B1038">
        <v>4626222</v>
      </c>
    </row>
    <row r="1039" spans="1:2" x14ac:dyDescent="0.2">
      <c r="A1039" s="53">
        <v>43420</v>
      </c>
      <c r="B1039">
        <v>4638303</v>
      </c>
    </row>
    <row r="1040" spans="1:2" x14ac:dyDescent="0.2">
      <c r="A1040" s="53">
        <v>43427</v>
      </c>
      <c r="B1040">
        <v>4646891</v>
      </c>
    </row>
    <row r="1041" spans="1:2" x14ac:dyDescent="0.2">
      <c r="A1041" s="53">
        <v>43434</v>
      </c>
      <c r="B1041">
        <v>4660299</v>
      </c>
    </row>
    <row r="1042" spans="1:2" x14ac:dyDescent="0.2">
      <c r="A1042" s="53">
        <v>43441</v>
      </c>
      <c r="B1042">
        <v>4662985</v>
      </c>
    </row>
    <row r="1043" spans="1:2" x14ac:dyDescent="0.2">
      <c r="A1043" s="53">
        <v>43448</v>
      </c>
      <c r="B1043">
        <v>4668116</v>
      </c>
    </row>
    <row r="1044" spans="1:2" x14ac:dyDescent="0.2">
      <c r="A1044" s="53">
        <v>43455</v>
      </c>
      <c r="B1044">
        <v>4674919</v>
      </c>
    </row>
    <row r="1045" spans="1:2" x14ac:dyDescent="0.2">
      <c r="A1045" s="53">
        <v>43462</v>
      </c>
      <c r="B1045">
        <v>4669003</v>
      </c>
    </row>
    <row r="1046" spans="1:2" x14ac:dyDescent="0.2">
      <c r="A1046" s="53">
        <v>43469</v>
      </c>
      <c r="B1046">
        <v>4694301</v>
      </c>
    </row>
    <row r="1047" spans="1:2" x14ac:dyDescent="0.2">
      <c r="A1047" s="53">
        <v>43476</v>
      </c>
      <c r="B1047">
        <v>4703402</v>
      </c>
    </row>
    <row r="1048" spans="1:2" x14ac:dyDescent="0.2">
      <c r="A1048" s="53">
        <v>43483</v>
      </c>
      <c r="B1048">
        <v>4705948</v>
      </c>
    </row>
    <row r="1049" spans="1:2" x14ac:dyDescent="0.2">
      <c r="A1049" s="53">
        <v>43490</v>
      </c>
      <c r="B1049">
        <v>4708899</v>
      </c>
    </row>
    <row r="1050" spans="1:2" x14ac:dyDescent="0.2">
      <c r="A1050" s="53">
        <v>43497</v>
      </c>
      <c r="B1050">
        <v>4695505</v>
      </c>
    </row>
    <row r="1051" spans="1:2" x14ac:dyDescent="0.2">
      <c r="A1051" s="53">
        <v>43504</v>
      </c>
      <c r="B1051">
        <v>4696466</v>
      </c>
    </row>
    <row r="1052" spans="1:2" x14ac:dyDescent="0.2">
      <c r="A1052" s="53">
        <v>43511</v>
      </c>
      <c r="B1052">
        <v>4702787</v>
      </c>
    </row>
    <row r="1053" spans="1:2" x14ac:dyDescent="0.2">
      <c r="A1053" s="53">
        <v>43518</v>
      </c>
      <c r="B1053">
        <v>4692062</v>
      </c>
    </row>
    <row r="1054" spans="1:2" x14ac:dyDescent="0.2">
      <c r="A1054" s="53">
        <v>43525</v>
      </c>
      <c r="B1054">
        <v>4686299</v>
      </c>
    </row>
    <row r="1055" spans="1:2" x14ac:dyDescent="0.2">
      <c r="A1055" s="53">
        <v>43532</v>
      </c>
      <c r="B1055">
        <v>4691325</v>
      </c>
    </row>
    <row r="1056" spans="1:2" x14ac:dyDescent="0.2">
      <c r="A1056" s="53">
        <v>43539</v>
      </c>
      <c r="B1056">
        <v>4680588</v>
      </c>
    </row>
    <row r="1057" spans="1:2" x14ac:dyDescent="0.2">
      <c r="A1057" s="53">
        <v>43546</v>
      </c>
      <c r="B1057">
        <v>4676984</v>
      </c>
    </row>
    <row r="1058" spans="1:2" x14ac:dyDescent="0.2">
      <c r="A1058" s="53">
        <v>43553</v>
      </c>
      <c r="B1058">
        <v>4695785</v>
      </c>
    </row>
    <row r="1059" spans="1:2" x14ac:dyDescent="0.2">
      <c r="A1059" s="53">
        <v>43560</v>
      </c>
      <c r="B1059">
        <v>4699605</v>
      </c>
    </row>
    <row r="1060" spans="1:2" x14ac:dyDescent="0.2">
      <c r="A1060" s="53">
        <v>43567</v>
      </c>
      <c r="B1060">
        <v>4701826</v>
      </c>
    </row>
    <row r="1061" spans="1:2" x14ac:dyDescent="0.2">
      <c r="A1061" s="53">
        <v>43574</v>
      </c>
      <c r="B1061">
        <v>4707931</v>
      </c>
    </row>
    <row r="1062" spans="1:2" x14ac:dyDescent="0.2">
      <c r="A1062" s="53">
        <v>43581</v>
      </c>
      <c r="B1062">
        <v>4697616</v>
      </c>
    </row>
    <row r="1063" spans="1:2" x14ac:dyDescent="0.2">
      <c r="A1063" s="53">
        <v>43588</v>
      </c>
      <c r="B1063">
        <v>4683918</v>
      </c>
    </row>
    <row r="1064" spans="1:2" x14ac:dyDescent="0.2">
      <c r="A1064" s="53">
        <v>43595</v>
      </c>
      <c r="B1064">
        <v>4685377</v>
      </c>
    </row>
    <row r="1065" spans="1:2" x14ac:dyDescent="0.2">
      <c r="A1065" s="53">
        <v>43602</v>
      </c>
      <c r="B1065">
        <v>4684866</v>
      </c>
    </row>
    <row r="1066" spans="1:2" x14ac:dyDescent="0.2">
      <c r="A1066" s="53">
        <v>43609</v>
      </c>
      <c r="B1066">
        <v>4692616</v>
      </c>
    </row>
    <row r="1067" spans="1:2" x14ac:dyDescent="0.2">
      <c r="A1067" s="53">
        <v>43616</v>
      </c>
      <c r="B1067">
        <v>4685961</v>
      </c>
    </row>
    <row r="1068" spans="1:2" x14ac:dyDescent="0.2">
      <c r="A1068" s="53">
        <v>43623</v>
      </c>
      <c r="B1068">
        <v>4690441</v>
      </c>
    </row>
    <row r="1069" spans="1:2" x14ac:dyDescent="0.2">
      <c r="A1069" s="53">
        <v>43630</v>
      </c>
      <c r="B1069">
        <v>4681351</v>
      </c>
    </row>
    <row r="1070" spans="1:2" x14ac:dyDescent="0.2">
      <c r="A1070" s="53">
        <v>43637</v>
      </c>
      <c r="B1070">
        <v>4682680</v>
      </c>
    </row>
    <row r="1071" spans="1:2" x14ac:dyDescent="0.2">
      <c r="A1071" s="53">
        <v>43644</v>
      </c>
      <c r="B1071">
        <v>4692614</v>
      </c>
    </row>
    <row r="1072" spans="1:2" x14ac:dyDescent="0.2">
      <c r="A1072" s="53">
        <v>43651</v>
      </c>
      <c r="B1072">
        <v>4677463</v>
      </c>
    </row>
    <row r="1073" spans="1:2" x14ac:dyDescent="0.2">
      <c r="A1073" s="53">
        <v>43658</v>
      </c>
      <c r="B1073">
        <v>4684376</v>
      </c>
    </row>
    <row r="1074" spans="1:2" x14ac:dyDescent="0.2">
      <c r="A1074" s="53">
        <v>43665</v>
      </c>
      <c r="B1074">
        <v>4688182</v>
      </c>
    </row>
    <row r="1075" spans="1:2" x14ac:dyDescent="0.2">
      <c r="A1075" s="53">
        <v>43672</v>
      </c>
      <c r="B1075">
        <v>4685716</v>
      </c>
    </row>
    <row r="1076" spans="1:2" x14ac:dyDescent="0.2">
      <c r="A1076" s="53">
        <v>43679</v>
      </c>
      <c r="B1076">
        <v>4679180</v>
      </c>
    </row>
    <row r="1077" spans="1:2" x14ac:dyDescent="0.2">
      <c r="A1077" s="53">
        <v>43686</v>
      </c>
      <c r="B1077">
        <v>4677751</v>
      </c>
    </row>
    <row r="1078" spans="1:2" x14ac:dyDescent="0.2">
      <c r="A1078" s="53">
        <v>43693</v>
      </c>
      <c r="B1078">
        <v>4676077</v>
      </c>
    </row>
    <row r="1079" spans="1:2" x14ac:dyDescent="0.2">
      <c r="A1079" s="53">
        <v>43700</v>
      </c>
      <c r="B1079">
        <v>4681001</v>
      </c>
    </row>
    <row r="1080" spans="1:2" x14ac:dyDescent="0.2">
      <c r="A1080" s="53">
        <v>43707</v>
      </c>
      <c r="B1080">
        <v>4683714</v>
      </c>
    </row>
    <row r="1081" spans="1:2" x14ac:dyDescent="0.2">
      <c r="A1081" s="53">
        <v>43714</v>
      </c>
      <c r="B1081">
        <v>4681637</v>
      </c>
    </row>
    <row r="1082" spans="1:2" x14ac:dyDescent="0.2">
      <c r="A1082" s="53">
        <v>43721</v>
      </c>
      <c r="B1082">
        <v>4674603</v>
      </c>
    </row>
    <row r="1083" spans="1:2" x14ac:dyDescent="0.2">
      <c r="A1083" s="53">
        <v>43728</v>
      </c>
      <c r="B1083">
        <v>4662978</v>
      </c>
    </row>
    <row r="1084" spans="1:2" x14ac:dyDescent="0.2">
      <c r="A1084" s="53">
        <v>43735</v>
      </c>
      <c r="B1084">
        <v>4638104</v>
      </c>
    </row>
    <row r="1085" spans="1:2" x14ac:dyDescent="0.2">
      <c r="A1085" s="53">
        <v>43742</v>
      </c>
      <c r="B1085">
        <v>4695111</v>
      </c>
    </row>
    <row r="1086" spans="1:2" x14ac:dyDescent="0.2">
      <c r="A1086" s="53">
        <v>43749</v>
      </c>
      <c r="B1086">
        <v>4692260</v>
      </c>
    </row>
    <row r="1087" spans="1:2" x14ac:dyDescent="0.2">
      <c r="A1087" s="53">
        <v>43756</v>
      </c>
      <c r="B1087">
        <v>4687115</v>
      </c>
    </row>
    <row r="1088" spans="1:2" x14ac:dyDescent="0.2">
      <c r="A1088" s="53">
        <v>43763</v>
      </c>
      <c r="B1088">
        <v>4680875</v>
      </c>
    </row>
    <row r="1089" spans="1:2" x14ac:dyDescent="0.2">
      <c r="A1089" s="53">
        <v>43770</v>
      </c>
      <c r="B1089">
        <v>4676258</v>
      </c>
    </row>
    <row r="1090" spans="1:2" x14ac:dyDescent="0.2">
      <c r="A1090" s="53">
        <v>43777</v>
      </c>
      <c r="B1090">
        <v>4684135</v>
      </c>
    </row>
    <row r="1091" spans="1:2" x14ac:dyDescent="0.2">
      <c r="A1091" s="53">
        <v>43784</v>
      </c>
      <c r="B1091">
        <v>4691919</v>
      </c>
    </row>
    <row r="1092" spans="1:2" x14ac:dyDescent="0.2">
      <c r="A1092" s="53">
        <v>43791</v>
      </c>
      <c r="B1092">
        <v>4696531</v>
      </c>
    </row>
    <row r="1093" spans="1:2" x14ac:dyDescent="0.2">
      <c r="A1093" s="53">
        <v>43798</v>
      </c>
      <c r="B1093">
        <v>4698291</v>
      </c>
    </row>
    <row r="1094" spans="1:2" x14ac:dyDescent="0.2">
      <c r="A1094" s="53">
        <v>43805</v>
      </c>
      <c r="B1094">
        <v>4709281</v>
      </c>
    </row>
    <row r="1095" spans="1:2" x14ac:dyDescent="0.2">
      <c r="A1095" s="53">
        <v>43812</v>
      </c>
      <c r="B1095">
        <v>4713568</v>
      </c>
    </row>
    <row r="1096" spans="1:2" x14ac:dyDescent="0.2">
      <c r="A1096" s="53">
        <v>43819</v>
      </c>
      <c r="B1096">
        <v>4682592</v>
      </c>
    </row>
    <row r="1097" spans="1:2" x14ac:dyDescent="0.2">
      <c r="A1097" s="53">
        <v>43826</v>
      </c>
      <c r="B1097">
        <v>4691998</v>
      </c>
    </row>
    <row r="1098" spans="1:2" x14ac:dyDescent="0.2">
      <c r="A1098" s="53">
        <v>43833</v>
      </c>
      <c r="B1098">
        <v>4664037</v>
      </c>
    </row>
    <row r="1099" spans="1:2" x14ac:dyDescent="0.2">
      <c r="A1099" s="53">
        <v>43840</v>
      </c>
      <c r="B1099">
        <v>4655772</v>
      </c>
    </row>
    <row r="1100" spans="1:2" x14ac:dyDescent="0.2">
      <c r="A1100" s="53">
        <v>43847</v>
      </c>
      <c r="B1100">
        <v>4660340</v>
      </c>
    </row>
    <row r="1101" spans="1:2" x14ac:dyDescent="0.2">
      <c r="A1101" s="53">
        <v>43854</v>
      </c>
      <c r="B1101">
        <v>4674369</v>
      </c>
    </row>
    <row r="1102" spans="1:2" x14ac:dyDescent="0.2">
      <c r="A1102" s="53">
        <v>43861</v>
      </c>
      <c r="B1102">
        <v>4671365</v>
      </c>
    </row>
    <row r="1103" spans="1:2" x14ac:dyDescent="0.2">
      <c r="A1103" s="53">
        <v>43868</v>
      </c>
      <c r="B1103">
        <v>4668900</v>
      </c>
    </row>
    <row r="1104" spans="1:2" x14ac:dyDescent="0.2">
      <c r="A1104" s="53">
        <v>43875</v>
      </c>
      <c r="B1104">
        <v>4679726</v>
      </c>
    </row>
    <row r="1105" spans="1:2" x14ac:dyDescent="0.2">
      <c r="A1105" s="53">
        <v>43882</v>
      </c>
      <c r="B1105">
        <v>4688301</v>
      </c>
    </row>
    <row r="1106" spans="1:2" x14ac:dyDescent="0.2">
      <c r="A1106" s="53">
        <v>43889</v>
      </c>
      <c r="B1106">
        <v>4691852</v>
      </c>
    </row>
    <row r="1107" spans="1:2" x14ac:dyDescent="0.2">
      <c r="A1107" s="53">
        <v>43896</v>
      </c>
      <c r="B1107">
        <v>4702214</v>
      </c>
    </row>
    <row r="1108" spans="1:2" x14ac:dyDescent="0.2">
      <c r="A1108" s="53">
        <v>43903</v>
      </c>
      <c r="B1108">
        <v>4704239</v>
      </c>
    </row>
    <row r="1109" spans="1:2" x14ac:dyDescent="0.2">
      <c r="A1109" s="53">
        <v>43910</v>
      </c>
      <c r="B1109">
        <v>4927267</v>
      </c>
    </row>
    <row r="1110" spans="1:2" x14ac:dyDescent="0.2">
      <c r="A1110" s="53">
        <v>43917</v>
      </c>
      <c r="B1110">
        <v>5062687</v>
      </c>
    </row>
    <row r="1111" spans="1:2" x14ac:dyDescent="0.2">
      <c r="A1111" s="53">
        <v>43924</v>
      </c>
      <c r="B1111">
        <v>5199822</v>
      </c>
    </row>
    <row r="1112" spans="1:2" x14ac:dyDescent="0.2">
      <c r="A1112" s="53">
        <v>43931</v>
      </c>
      <c r="B1112">
        <v>5257490</v>
      </c>
    </row>
    <row r="1113" spans="1:2" x14ac:dyDescent="0.2">
      <c r="A1113" s="53">
        <v>43938</v>
      </c>
      <c r="B1113">
        <v>5282926</v>
      </c>
    </row>
    <row r="1114" spans="1:2" x14ac:dyDescent="0.2">
      <c r="A1114" s="53">
        <v>43945</v>
      </c>
      <c r="B1114">
        <v>5347042</v>
      </c>
    </row>
    <row r="1115" spans="1:2" x14ac:dyDescent="0.2">
      <c r="A1115" s="53">
        <v>43952</v>
      </c>
      <c r="B1115">
        <v>5395184</v>
      </c>
    </row>
    <row r="1116" spans="1:2" x14ac:dyDescent="0.2">
      <c r="A1116" s="53">
        <v>43959</v>
      </c>
      <c r="B1116">
        <v>5451001</v>
      </c>
    </row>
    <row r="1117" spans="1:2" x14ac:dyDescent="0.2">
      <c r="A1117" s="53">
        <v>43966</v>
      </c>
      <c r="B1117">
        <v>5505521</v>
      </c>
    </row>
    <row r="1118" spans="1:2" x14ac:dyDescent="0.2">
      <c r="A1118" s="53">
        <v>43973</v>
      </c>
      <c r="B1118">
        <v>5555276</v>
      </c>
    </row>
    <row r="1119" spans="1:2" x14ac:dyDescent="0.2">
      <c r="A1119" s="53">
        <v>43980</v>
      </c>
      <c r="B1119">
        <v>5596070</v>
      </c>
    </row>
    <row r="1120" spans="1:2" x14ac:dyDescent="0.2">
      <c r="A1120" s="53">
        <v>43987</v>
      </c>
      <c r="B1120">
        <v>5655414</v>
      </c>
    </row>
    <row r="1121" spans="1:2" x14ac:dyDescent="0.2">
      <c r="A1121" s="53">
        <v>43994</v>
      </c>
      <c r="B1121">
        <v>5630275</v>
      </c>
    </row>
    <row r="1122" spans="1:2" x14ac:dyDescent="0.2">
      <c r="A1122" s="53">
        <v>44001</v>
      </c>
      <c r="B1122">
        <v>5636378</v>
      </c>
    </row>
    <row r="1123" spans="1:2" x14ac:dyDescent="0.2">
      <c r="A1123" s="53">
        <v>44008</v>
      </c>
      <c r="B1123">
        <v>6236143</v>
      </c>
    </row>
    <row r="1124" spans="1:2" x14ac:dyDescent="0.2">
      <c r="A1124" s="53">
        <v>44015</v>
      </c>
      <c r="B1124">
        <v>6288974</v>
      </c>
    </row>
    <row r="1125" spans="1:2" x14ac:dyDescent="0.2">
      <c r="A1125" s="53">
        <v>44022</v>
      </c>
      <c r="B1125">
        <v>6309160</v>
      </c>
    </row>
    <row r="1126" spans="1:2" x14ac:dyDescent="0.2">
      <c r="A1126" s="53">
        <v>44029</v>
      </c>
      <c r="B1126">
        <v>6322604</v>
      </c>
    </row>
    <row r="1127" spans="1:2" x14ac:dyDescent="0.2">
      <c r="A1127" s="53">
        <v>44036</v>
      </c>
      <c r="B1127">
        <v>6351419</v>
      </c>
    </row>
    <row r="1128" spans="1:2" x14ac:dyDescent="0.2">
      <c r="A1128" s="53">
        <v>44043</v>
      </c>
      <c r="B1128">
        <v>6360822</v>
      </c>
    </row>
    <row r="1129" spans="1:2" x14ac:dyDescent="0.2">
      <c r="A1129" s="53">
        <v>44050</v>
      </c>
      <c r="B1129">
        <v>6385307</v>
      </c>
    </row>
    <row r="1130" spans="1:2" x14ac:dyDescent="0.2">
      <c r="A1130" s="53">
        <v>44057</v>
      </c>
      <c r="B1130">
        <v>6404662</v>
      </c>
    </row>
    <row r="1131" spans="1:2" x14ac:dyDescent="0.2">
      <c r="A1131" s="53">
        <v>44064</v>
      </c>
      <c r="B1131">
        <v>6424042</v>
      </c>
    </row>
    <row r="1132" spans="1:2" x14ac:dyDescent="0.2">
      <c r="A1132" s="53">
        <v>44071</v>
      </c>
      <c r="B1132">
        <v>6440237</v>
      </c>
    </row>
    <row r="1133" spans="1:2" x14ac:dyDescent="0.2">
      <c r="A1133" s="53">
        <v>44078</v>
      </c>
      <c r="B1133">
        <v>6458857</v>
      </c>
    </row>
    <row r="1134" spans="1:2" x14ac:dyDescent="0.2">
      <c r="A1134" s="53">
        <v>44085</v>
      </c>
      <c r="B1134">
        <v>6474612</v>
      </c>
    </row>
    <row r="1135" spans="1:2" x14ac:dyDescent="0.2">
      <c r="A1135" s="53">
        <v>44092</v>
      </c>
      <c r="B1135">
        <v>6502422</v>
      </c>
    </row>
    <row r="1136" spans="1:2" x14ac:dyDescent="0.2">
      <c r="A1136" s="53">
        <v>44099</v>
      </c>
      <c r="B1136">
        <v>6534815</v>
      </c>
    </row>
    <row r="1137" spans="1:2" x14ac:dyDescent="0.2">
      <c r="A1137" s="53">
        <v>44106</v>
      </c>
      <c r="B1137">
        <v>6705112</v>
      </c>
    </row>
    <row r="1138" spans="1:2" x14ac:dyDescent="0.2">
      <c r="A1138" s="53">
        <v>44113</v>
      </c>
      <c r="B1138">
        <v>6725697</v>
      </c>
    </row>
    <row r="1139" spans="1:2" x14ac:dyDescent="0.2">
      <c r="A1139" s="53">
        <v>44120</v>
      </c>
      <c r="B1139">
        <v>6743525</v>
      </c>
    </row>
    <row r="1140" spans="1:2" x14ac:dyDescent="0.2">
      <c r="A1140" s="53">
        <v>44127</v>
      </c>
      <c r="B1140">
        <v>6781825</v>
      </c>
    </row>
    <row r="1141" spans="1:2" x14ac:dyDescent="0.2">
      <c r="A1141" s="53">
        <v>44134</v>
      </c>
      <c r="B1141">
        <v>6775763</v>
      </c>
    </row>
    <row r="1142" spans="1:2" x14ac:dyDescent="0.2">
      <c r="A1142" s="53">
        <v>44141</v>
      </c>
      <c r="B1142">
        <v>6796905</v>
      </c>
    </row>
    <row r="1143" spans="1:2" x14ac:dyDescent="0.2">
      <c r="A1143" s="53">
        <v>44148</v>
      </c>
      <c r="B1143">
        <v>6833483</v>
      </c>
    </row>
    <row r="1144" spans="1:2" x14ac:dyDescent="0.2">
      <c r="A1144" s="53">
        <v>44155</v>
      </c>
      <c r="B1144">
        <v>6867814</v>
      </c>
    </row>
    <row r="1145" spans="1:2" x14ac:dyDescent="0.2">
      <c r="A1145" s="53">
        <v>44162</v>
      </c>
      <c r="B1145">
        <v>6883402</v>
      </c>
    </row>
    <row r="1146" spans="1:2" x14ac:dyDescent="0.2">
      <c r="A1146" s="53">
        <v>44169</v>
      </c>
      <c r="B1146">
        <v>6923120</v>
      </c>
    </row>
    <row r="1147" spans="1:2" x14ac:dyDescent="0.2">
      <c r="A1147" s="53">
        <v>44176</v>
      </c>
      <c r="B1147">
        <v>6949632</v>
      </c>
    </row>
    <row r="1148" spans="1:2" x14ac:dyDescent="0.2">
      <c r="A1148" s="53">
        <v>44183</v>
      </c>
      <c r="B1148">
        <v>7008896</v>
      </c>
    </row>
    <row r="1149" spans="1:2" x14ac:dyDescent="0.2">
      <c r="A1149" s="53">
        <v>44190</v>
      </c>
      <c r="B1149">
        <v>7014661</v>
      </c>
    </row>
    <row r="1150" spans="1:2" x14ac:dyDescent="0.2">
      <c r="A1150" s="53">
        <v>44197</v>
      </c>
      <c r="B1150">
        <v>6979324</v>
      </c>
    </row>
    <row r="1151" spans="1:2" x14ac:dyDescent="0.2">
      <c r="A1151" s="53">
        <v>44204</v>
      </c>
      <c r="B1151">
        <v>6984713</v>
      </c>
    </row>
    <row r="1152" spans="1:2" x14ac:dyDescent="0.2">
      <c r="A1152" s="53">
        <v>44211</v>
      </c>
      <c r="B1152">
        <v>7015645</v>
      </c>
    </row>
    <row r="1153" spans="1:2" x14ac:dyDescent="0.2">
      <c r="A1153" s="53">
        <v>44218</v>
      </c>
      <c r="B1153">
        <v>7024240</v>
      </c>
    </row>
    <row r="1154" spans="1:2" x14ac:dyDescent="0.2">
      <c r="A1154" s="53">
        <v>44225</v>
      </c>
      <c r="B1154">
        <v>7033256</v>
      </c>
    </row>
    <row r="1155" spans="1:2" x14ac:dyDescent="0.2">
      <c r="A1155" s="53">
        <v>44232</v>
      </c>
      <c r="B1155">
        <v>7054472</v>
      </c>
    </row>
    <row r="1156" spans="1:2" x14ac:dyDescent="0.2">
      <c r="A1156" s="53">
        <v>44239</v>
      </c>
      <c r="B1156">
        <v>7079135</v>
      </c>
    </row>
    <row r="1157" spans="1:2" x14ac:dyDescent="0.2">
      <c r="A1157" s="53">
        <v>44246</v>
      </c>
      <c r="B1157">
        <v>7101159</v>
      </c>
    </row>
    <row r="1158" spans="1:2" x14ac:dyDescent="0.2">
      <c r="A1158" s="53">
        <v>44253</v>
      </c>
      <c r="B1158">
        <v>7110487</v>
      </c>
    </row>
    <row r="1159" spans="1:2" x14ac:dyDescent="0.2">
      <c r="A1159" s="53">
        <v>44260</v>
      </c>
      <c r="B1159">
        <v>7120334</v>
      </c>
    </row>
    <row r="1160" spans="1:2" x14ac:dyDescent="0.2">
      <c r="A1160" s="53">
        <v>44267</v>
      </c>
      <c r="B1160">
        <v>7137484</v>
      </c>
    </row>
    <row r="1161" spans="1:2" x14ac:dyDescent="0.2">
      <c r="A1161" s="53">
        <v>44274</v>
      </c>
      <c r="B1161">
        <v>7162230</v>
      </c>
    </row>
    <row r="1162" spans="1:2" x14ac:dyDescent="0.2">
      <c r="A1162" s="53">
        <v>44281</v>
      </c>
      <c r="B1162">
        <v>7505021</v>
      </c>
    </row>
    <row r="1163" spans="1:2" x14ac:dyDescent="0.2">
      <c r="A1163" s="53">
        <v>44288</v>
      </c>
      <c r="B1163">
        <v>7494111</v>
      </c>
    </row>
    <row r="1164" spans="1:2" x14ac:dyDescent="0.2">
      <c r="A1164" s="53">
        <v>44295</v>
      </c>
      <c r="B1164">
        <v>7514267</v>
      </c>
    </row>
    <row r="1165" spans="1:2" x14ac:dyDescent="0.2">
      <c r="A1165" s="53">
        <v>44302</v>
      </c>
      <c r="B1165">
        <v>7522199</v>
      </c>
    </row>
    <row r="1166" spans="1:2" x14ac:dyDescent="0.2">
      <c r="A1166" s="53">
        <v>44309</v>
      </c>
      <c r="B1166">
        <v>7558280</v>
      </c>
    </row>
    <row r="1167" spans="1:2" x14ac:dyDescent="0.2">
      <c r="A1167" s="53">
        <v>44316</v>
      </c>
      <c r="B1167">
        <v>7567945</v>
      </c>
    </row>
    <row r="1168" spans="1:2" x14ac:dyDescent="0.2">
      <c r="A1168" s="53">
        <v>44323</v>
      </c>
      <c r="B1168">
        <v>7588768</v>
      </c>
    </row>
    <row r="1169" spans="1:2" x14ac:dyDescent="0.2">
      <c r="A1169" s="53">
        <v>44330</v>
      </c>
      <c r="B1169">
        <v>7615694</v>
      </c>
    </row>
    <row r="1170" spans="1:2" x14ac:dyDescent="0.2">
      <c r="A1170" s="53">
        <v>44337</v>
      </c>
      <c r="B1170">
        <v>7643170</v>
      </c>
    </row>
    <row r="1171" spans="1:2" x14ac:dyDescent="0.2">
      <c r="A1171" s="53">
        <v>44344</v>
      </c>
      <c r="B1171">
        <v>7657629</v>
      </c>
    </row>
    <row r="1172" spans="1:2" x14ac:dyDescent="0.2">
      <c r="A1172" s="53">
        <v>44351</v>
      </c>
      <c r="B1172">
        <v>7680137</v>
      </c>
    </row>
    <row r="1173" spans="1:2" x14ac:dyDescent="0.2">
      <c r="A1173" s="53">
        <v>44358</v>
      </c>
      <c r="B1173">
        <v>7700937</v>
      </c>
    </row>
    <row r="1174" spans="1:2" x14ac:dyDescent="0.2">
      <c r="A1174" s="53">
        <v>44365</v>
      </c>
      <c r="B1174">
        <v>7736536</v>
      </c>
    </row>
    <row r="1175" spans="1:2" x14ac:dyDescent="0.2">
      <c r="A1175" s="53">
        <v>44372</v>
      </c>
      <c r="B1175">
        <v>7877127</v>
      </c>
    </row>
    <row r="1176" spans="1:2" x14ac:dyDescent="0.2">
      <c r="A1176" s="53">
        <v>44379</v>
      </c>
      <c r="B1176">
        <v>7907807</v>
      </c>
    </row>
    <row r="1177" spans="1:2" x14ac:dyDescent="0.2">
      <c r="A1177" s="53">
        <v>44386</v>
      </c>
      <c r="B1177">
        <v>7926550</v>
      </c>
    </row>
    <row r="1178" spans="1:2" x14ac:dyDescent="0.2">
      <c r="A1178" s="53">
        <v>44393</v>
      </c>
      <c r="B1178">
        <v>7950657</v>
      </c>
    </row>
    <row r="1179" spans="1:2" x14ac:dyDescent="0.2">
      <c r="A1179" s="53">
        <v>44400</v>
      </c>
      <c r="B1179">
        <v>7988045</v>
      </c>
    </row>
    <row r="1180" spans="1:2" x14ac:dyDescent="0.2">
      <c r="A1180" s="53">
        <v>44407</v>
      </c>
      <c r="B1180">
        <v>7987364</v>
      </c>
    </row>
    <row r="1181" spans="1:2" x14ac:dyDescent="0.2">
      <c r="A1181" s="53">
        <v>44414</v>
      </c>
      <c r="B1181">
        <v>8009676</v>
      </c>
    </row>
    <row r="1182" spans="1:2" x14ac:dyDescent="0.2">
      <c r="A1182" s="53">
        <v>44421</v>
      </c>
      <c r="B1182">
        <v>8036014</v>
      </c>
    </row>
    <row r="1183" spans="1:2" x14ac:dyDescent="0.2">
      <c r="A1183" s="53">
        <v>44428</v>
      </c>
      <c r="B1183">
        <v>8052776</v>
      </c>
    </row>
    <row r="1184" spans="1:2" x14ac:dyDescent="0.2">
      <c r="A1184" s="53">
        <v>44435</v>
      </c>
      <c r="B1184">
        <v>8191312</v>
      </c>
    </row>
    <row r="1185" spans="1:2" x14ac:dyDescent="0.2">
      <c r="A1185" s="53">
        <v>44442</v>
      </c>
      <c r="B1185">
        <v>8207534</v>
      </c>
    </row>
    <row r="1186" spans="1:2" x14ac:dyDescent="0.2">
      <c r="A1186" s="53">
        <v>44449</v>
      </c>
      <c r="B1186">
        <v>8222733</v>
      </c>
    </row>
    <row r="1187" spans="1:2" x14ac:dyDescent="0.2">
      <c r="A1187" s="53">
        <v>44456</v>
      </c>
      <c r="B1187">
        <v>8244572</v>
      </c>
    </row>
    <row r="1188" spans="1:2" x14ac:dyDescent="0.2">
      <c r="A1188" s="53">
        <v>44463</v>
      </c>
      <c r="B1188">
        <v>8273207</v>
      </c>
    </row>
    <row r="1189" spans="1:2" x14ac:dyDescent="0.2">
      <c r="A1189" s="53">
        <v>44470</v>
      </c>
      <c r="B1189">
        <v>8289148</v>
      </c>
    </row>
    <row r="1190" spans="1:2" x14ac:dyDescent="0.2">
      <c r="A1190" s="53">
        <v>44477</v>
      </c>
      <c r="B1190">
        <v>8314285</v>
      </c>
    </row>
    <row r="1191" spans="1:2" x14ac:dyDescent="0.2">
      <c r="A1191" s="53">
        <v>44484</v>
      </c>
      <c r="B1191">
        <v>8336713</v>
      </c>
    </row>
    <row r="1192" spans="1:2" x14ac:dyDescent="0.2">
      <c r="A1192" s="53">
        <v>44491</v>
      </c>
      <c r="B1192">
        <v>8368278</v>
      </c>
    </row>
    <row r="1193" spans="1:2" x14ac:dyDescent="0.2">
      <c r="A1193" s="53">
        <v>44498</v>
      </c>
      <c r="B1193">
        <v>8366071</v>
      </c>
    </row>
    <row r="1194" spans="1:2" x14ac:dyDescent="0.2">
      <c r="A1194" s="53">
        <v>44505</v>
      </c>
      <c r="B1194">
        <v>8382672</v>
      </c>
    </row>
    <row r="1195" spans="1:2" x14ac:dyDescent="0.2">
      <c r="A1195" s="53">
        <v>44512</v>
      </c>
      <c r="B1195">
        <v>8414393</v>
      </c>
    </row>
    <row r="1196" spans="1:2" x14ac:dyDescent="0.2">
      <c r="A1196" s="53">
        <v>44519</v>
      </c>
      <c r="B1196">
        <v>8442311</v>
      </c>
    </row>
    <row r="1197" spans="1:2" x14ac:dyDescent="0.2">
      <c r="A1197" s="53">
        <v>44526</v>
      </c>
      <c r="B1197">
        <v>8456991</v>
      </c>
    </row>
    <row r="1198" spans="1:2" x14ac:dyDescent="0.2">
      <c r="A1198" s="53">
        <v>44533</v>
      </c>
      <c r="B1198">
        <v>8469908</v>
      </c>
    </row>
    <row r="1199" spans="1:2" x14ac:dyDescent="0.2">
      <c r="A1199" s="53">
        <v>44540</v>
      </c>
      <c r="B1199">
        <v>8496633</v>
      </c>
    </row>
    <row r="1200" spans="1:2" x14ac:dyDescent="0.2">
      <c r="A1200" s="53">
        <v>44547</v>
      </c>
      <c r="B1200">
        <v>8511461</v>
      </c>
    </row>
    <row r="1201" spans="1:2" x14ac:dyDescent="0.2">
      <c r="A1201" s="53">
        <v>44554</v>
      </c>
      <c r="B1201">
        <v>8512308</v>
      </c>
    </row>
    <row r="1202" spans="1:2" x14ac:dyDescent="0.2">
      <c r="A1202" s="53">
        <v>44561</v>
      </c>
      <c r="B1202">
        <v>8566372</v>
      </c>
    </row>
    <row r="1203" spans="1:2" x14ac:dyDescent="0.2">
      <c r="A1203" s="53">
        <v>44568</v>
      </c>
      <c r="B1203">
        <v>8573280</v>
      </c>
    </row>
    <row r="1204" spans="1:2" x14ac:dyDescent="0.2">
      <c r="A1204" s="53">
        <v>44575</v>
      </c>
      <c r="B1204">
        <v>8593991</v>
      </c>
    </row>
    <row r="1205" spans="1:2" x14ac:dyDescent="0.2">
      <c r="A1205" s="53">
        <v>44582</v>
      </c>
      <c r="B1205">
        <v>8600346</v>
      </c>
    </row>
    <row r="1206" spans="1:2" x14ac:dyDescent="0.2">
      <c r="A1206" s="53">
        <v>44589</v>
      </c>
      <c r="B1206">
        <v>8622576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67"/>
  <sheetViews>
    <sheetView zoomScale="180" zoomScaleNormal="180" workbookViewId="0">
      <pane ySplit="7" topLeftCell="A840" activePane="bottomLeft" state="frozen"/>
      <selection activeCell="B1" sqref="B1"/>
      <selection pane="bottomLeft" activeCell="C873" sqref="C873"/>
    </sheetView>
  </sheetViews>
  <sheetFormatPr baseColWidth="10" defaultColWidth="9.1640625" defaultRowHeight="15" x14ac:dyDescent="0.2"/>
  <cols>
    <col min="1" max="2" width="13.83203125" style="4" customWidth="1"/>
    <col min="3" max="14" width="9.1640625" style="52" customWidth="1"/>
    <col min="15" max="16384" width="9.1640625" style="52"/>
  </cols>
  <sheetData>
    <row r="1" spans="1:4" x14ac:dyDescent="0.2">
      <c r="A1" s="5" t="s">
        <v>43</v>
      </c>
      <c r="B1" s="3"/>
    </row>
    <row r="2" spans="1:4" x14ac:dyDescent="0.2">
      <c r="A2" s="3"/>
      <c r="B2" s="3"/>
    </row>
    <row r="3" spans="1:4" x14ac:dyDescent="0.2">
      <c r="A3" s="2" t="s">
        <v>44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2" t="s">
        <v>45</v>
      </c>
      <c r="B7" s="23" t="s">
        <v>46</v>
      </c>
    </row>
    <row r="8" spans="1:4" x14ac:dyDescent="0.2">
      <c r="A8" s="40">
        <v>18264</v>
      </c>
      <c r="B8" s="21">
        <f>VLOOKUP(A8,'Database Rates'!$A$1:$D$1000,2,FALSE)</f>
        <v>1.5</v>
      </c>
      <c r="D8" s="52">
        <f>VLOOKUP(A8,'Database Rates'!$A$1:$D$1000,2,FALSE)</f>
        <v>1.5</v>
      </c>
    </row>
    <row r="9" spans="1:4" x14ac:dyDescent="0.2">
      <c r="A9" s="41">
        <v>18295</v>
      </c>
      <c r="B9" s="21">
        <f>VLOOKUP(A9,'Database Rates'!$A$1:$D$1000,2,FALSE)</f>
        <v>1.5</v>
      </c>
    </row>
    <row r="10" spans="1:4" x14ac:dyDescent="0.2">
      <c r="A10" s="41">
        <v>18323</v>
      </c>
      <c r="B10" s="21">
        <f>VLOOKUP(A10,'Database Rates'!$A$1:$D$1000,2,FALSE)</f>
        <v>1.5</v>
      </c>
    </row>
    <row r="11" spans="1:4" x14ac:dyDescent="0.2">
      <c r="A11" s="41">
        <v>18354</v>
      </c>
      <c r="B11" s="21">
        <f>VLOOKUP(A11,'Database Rates'!$A$1:$D$1000,2,FALSE)</f>
        <v>1.5</v>
      </c>
    </row>
    <row r="12" spans="1:4" x14ac:dyDescent="0.2">
      <c r="A12" s="41">
        <v>18384</v>
      </c>
      <c r="B12" s="21">
        <f>VLOOKUP(A12,'Database Rates'!$A$1:$D$1000,2,FALSE)</f>
        <v>1.5</v>
      </c>
    </row>
    <row r="13" spans="1:4" x14ac:dyDescent="0.2">
      <c r="A13" s="41">
        <v>18415</v>
      </c>
      <c r="B13" s="21">
        <f>VLOOKUP(A13,'Database Rates'!$A$1:$D$1000,2,FALSE)</f>
        <v>1.5</v>
      </c>
    </row>
    <row r="14" spans="1:4" x14ac:dyDescent="0.2">
      <c r="A14" s="41">
        <v>18445</v>
      </c>
      <c r="B14" s="21">
        <f>VLOOKUP(A14,'Database Rates'!$A$1:$D$1000,2,FALSE)</f>
        <v>1.5</v>
      </c>
    </row>
    <row r="15" spans="1:4" x14ac:dyDescent="0.2">
      <c r="A15" s="41">
        <v>18476</v>
      </c>
      <c r="B15" s="21">
        <f>VLOOKUP(A15,'Database Rates'!$A$1:$D$1000,2,FALSE)</f>
        <v>1.59</v>
      </c>
    </row>
    <row r="16" spans="1:4" x14ac:dyDescent="0.2">
      <c r="A16" s="41">
        <v>18507</v>
      </c>
      <c r="B16" s="21">
        <f>VLOOKUP(A16,'Database Rates'!$A$1:$D$1000,2,FALSE)</f>
        <v>1.75</v>
      </c>
    </row>
    <row r="17" spans="1:2" x14ac:dyDescent="0.2">
      <c r="A17" s="41">
        <v>18537</v>
      </c>
      <c r="B17" s="21">
        <f>VLOOKUP(A17,'Database Rates'!$A$1:$D$1000,2,FALSE)</f>
        <v>1.75</v>
      </c>
    </row>
    <row r="18" spans="1:2" x14ac:dyDescent="0.2">
      <c r="A18" s="41">
        <v>18568</v>
      </c>
      <c r="B18" s="21">
        <f>VLOOKUP(A18,'Database Rates'!$A$1:$D$1000,2,FALSE)</f>
        <v>1.75</v>
      </c>
    </row>
    <row r="19" spans="1:2" x14ac:dyDescent="0.2">
      <c r="A19" s="41">
        <v>18598</v>
      </c>
      <c r="B19" s="21">
        <f>VLOOKUP(A19,'Database Rates'!$A$1:$D$1000,2,FALSE)</f>
        <v>1.75</v>
      </c>
    </row>
    <row r="20" spans="1:2" x14ac:dyDescent="0.2">
      <c r="A20" s="41">
        <v>18629</v>
      </c>
      <c r="B20" s="21">
        <f>VLOOKUP(A20,'Database Rates'!$A$1:$D$1000,2,FALSE)</f>
        <v>1.75</v>
      </c>
    </row>
    <row r="21" spans="1:2" x14ac:dyDescent="0.2">
      <c r="A21" s="41">
        <v>18660</v>
      </c>
      <c r="B21" s="21">
        <f>VLOOKUP(A21,'Database Rates'!$A$1:$D$1000,2,FALSE)</f>
        <v>1.75</v>
      </c>
    </row>
    <row r="22" spans="1:2" x14ac:dyDescent="0.2">
      <c r="A22" s="41">
        <v>18688</v>
      </c>
      <c r="B22" s="21">
        <f>VLOOKUP(A22,'Database Rates'!$A$1:$D$1000,2,FALSE)</f>
        <v>1.75</v>
      </c>
    </row>
    <row r="23" spans="1:2" x14ac:dyDescent="0.2">
      <c r="A23" s="41">
        <v>18719</v>
      </c>
      <c r="B23" s="21">
        <f>VLOOKUP(A23,'Database Rates'!$A$1:$D$1000,2,FALSE)</f>
        <v>1.75</v>
      </c>
    </row>
    <row r="24" spans="1:2" x14ac:dyDescent="0.2">
      <c r="A24" s="41">
        <v>18749</v>
      </c>
      <c r="B24" s="21">
        <f>VLOOKUP(A24,'Database Rates'!$A$1:$D$1000,2,FALSE)</f>
        <v>1.75</v>
      </c>
    </row>
    <row r="25" spans="1:2" x14ac:dyDescent="0.2">
      <c r="A25" s="41">
        <v>18780</v>
      </c>
      <c r="B25" s="21">
        <f>VLOOKUP(A25,'Database Rates'!$A$1:$D$1000,2,FALSE)</f>
        <v>1.75</v>
      </c>
    </row>
    <row r="26" spans="1:2" x14ac:dyDescent="0.2">
      <c r="A26" s="41">
        <v>18810</v>
      </c>
      <c r="B26" s="21">
        <f>VLOOKUP(A26,'Database Rates'!$A$1:$D$1000,2,FALSE)</f>
        <v>1.75</v>
      </c>
    </row>
    <row r="27" spans="1:2" x14ac:dyDescent="0.2">
      <c r="A27" s="41">
        <v>18841</v>
      </c>
      <c r="B27" s="21">
        <f>VLOOKUP(A27,'Database Rates'!$A$1:$D$1000,2,FALSE)</f>
        <v>1.75</v>
      </c>
    </row>
    <row r="28" spans="1:2" x14ac:dyDescent="0.2">
      <c r="A28" s="41">
        <v>18872</v>
      </c>
      <c r="B28" s="21">
        <f>VLOOKUP(A28,'Database Rates'!$A$1:$D$1000,2,FALSE)</f>
        <v>1.75</v>
      </c>
    </row>
    <row r="29" spans="1:2" x14ac:dyDescent="0.2">
      <c r="A29" s="41">
        <v>18902</v>
      </c>
      <c r="B29" s="21">
        <f>VLOOKUP(A29,'Database Rates'!$A$1:$D$1000,2,FALSE)</f>
        <v>1.75</v>
      </c>
    </row>
    <row r="30" spans="1:2" x14ac:dyDescent="0.2">
      <c r="A30" s="41">
        <v>18933</v>
      </c>
      <c r="B30" s="21">
        <f>VLOOKUP(A30,'Database Rates'!$A$1:$D$1000,2,FALSE)</f>
        <v>1.75</v>
      </c>
    </row>
    <row r="31" spans="1:2" x14ac:dyDescent="0.2">
      <c r="A31" s="41">
        <v>18963</v>
      </c>
      <c r="B31" s="21">
        <f>VLOOKUP(A31,'Database Rates'!$A$1:$D$1000,2,FALSE)</f>
        <v>1.75</v>
      </c>
    </row>
    <row r="32" spans="1:2" x14ac:dyDescent="0.2">
      <c r="A32" s="41">
        <v>18994</v>
      </c>
      <c r="B32" s="21">
        <f>VLOOKUP(A32,'Database Rates'!$A$1:$D$1000,2,FALSE)</f>
        <v>1.75</v>
      </c>
    </row>
    <row r="33" spans="1:2" x14ac:dyDescent="0.2">
      <c r="A33" s="41">
        <v>19025</v>
      </c>
      <c r="B33" s="21">
        <f>VLOOKUP(A33,'Database Rates'!$A$1:$D$1000,2,FALSE)</f>
        <v>1.75</v>
      </c>
    </row>
    <row r="34" spans="1:2" x14ac:dyDescent="0.2">
      <c r="A34" s="41">
        <v>19054</v>
      </c>
      <c r="B34" s="21">
        <f>VLOOKUP(A34,'Database Rates'!$A$1:$D$1000,2,FALSE)</f>
        <v>1.75</v>
      </c>
    </row>
    <row r="35" spans="1:2" x14ac:dyDescent="0.2">
      <c r="A35" s="41">
        <v>19085</v>
      </c>
      <c r="B35" s="21">
        <f>VLOOKUP(A35,'Database Rates'!$A$1:$D$1000,2,FALSE)</f>
        <v>1.75</v>
      </c>
    </row>
    <row r="36" spans="1:2" x14ac:dyDescent="0.2">
      <c r="A36" s="41">
        <v>19115</v>
      </c>
      <c r="B36" s="21">
        <f>VLOOKUP(A36,'Database Rates'!$A$1:$D$1000,2,FALSE)</f>
        <v>1.75</v>
      </c>
    </row>
    <row r="37" spans="1:2" x14ac:dyDescent="0.2">
      <c r="A37" s="41">
        <v>19146</v>
      </c>
      <c r="B37" s="21">
        <f>VLOOKUP(A37,'Database Rates'!$A$1:$D$1000,2,FALSE)</f>
        <v>1.75</v>
      </c>
    </row>
    <row r="38" spans="1:2" x14ac:dyDescent="0.2">
      <c r="A38" s="41">
        <v>19176</v>
      </c>
      <c r="B38" s="21">
        <f>VLOOKUP(A38,'Database Rates'!$A$1:$D$1000,2,FALSE)</f>
        <v>1.75</v>
      </c>
    </row>
    <row r="39" spans="1:2" x14ac:dyDescent="0.2">
      <c r="A39" s="41">
        <v>19207</v>
      </c>
      <c r="B39" s="21">
        <f>VLOOKUP(A39,'Database Rates'!$A$1:$D$1000,2,FALSE)</f>
        <v>1.75</v>
      </c>
    </row>
    <row r="40" spans="1:2" x14ac:dyDescent="0.2">
      <c r="A40" s="41">
        <v>19238</v>
      </c>
      <c r="B40" s="21">
        <f>VLOOKUP(A40,'Database Rates'!$A$1:$D$1000,2,FALSE)</f>
        <v>1.75</v>
      </c>
    </row>
    <row r="41" spans="1:2" x14ac:dyDescent="0.2">
      <c r="A41" s="41">
        <v>19268</v>
      </c>
      <c r="B41" s="21">
        <f>VLOOKUP(A41,'Database Rates'!$A$1:$D$1000,2,FALSE)</f>
        <v>1.75</v>
      </c>
    </row>
    <row r="42" spans="1:2" x14ac:dyDescent="0.2">
      <c r="A42" s="41">
        <v>19299</v>
      </c>
      <c r="B42" s="21">
        <f>VLOOKUP(A42,'Database Rates'!$A$1:$D$1000,2,FALSE)</f>
        <v>1.75</v>
      </c>
    </row>
    <row r="43" spans="1:2" x14ac:dyDescent="0.2">
      <c r="A43" s="41">
        <v>19329</v>
      </c>
      <c r="B43" s="21">
        <f>VLOOKUP(A43,'Database Rates'!$A$1:$D$1000,2,FALSE)</f>
        <v>1.75</v>
      </c>
    </row>
    <row r="44" spans="1:2" x14ac:dyDescent="0.2">
      <c r="A44" s="41">
        <v>19360</v>
      </c>
      <c r="B44" s="21">
        <f>VLOOKUP(A44,'Database Rates'!$A$1:$D$1000,2,FALSE)</f>
        <v>1.88</v>
      </c>
    </row>
    <row r="45" spans="1:2" x14ac:dyDescent="0.2">
      <c r="A45" s="41">
        <v>19391</v>
      </c>
      <c r="B45" s="21">
        <f>VLOOKUP(A45,'Database Rates'!$A$1:$D$1000,2,FALSE)</f>
        <v>2</v>
      </c>
    </row>
    <row r="46" spans="1:2" x14ac:dyDescent="0.2">
      <c r="A46" s="41">
        <v>19419</v>
      </c>
      <c r="B46" s="21">
        <f>VLOOKUP(A46,'Database Rates'!$A$1:$D$1000,2,FALSE)</f>
        <v>2</v>
      </c>
    </row>
    <row r="47" spans="1:2" x14ac:dyDescent="0.2">
      <c r="A47" s="41">
        <v>19450</v>
      </c>
      <c r="B47" s="21">
        <f>VLOOKUP(A47,'Database Rates'!$A$1:$D$1000,2,FALSE)</f>
        <v>2</v>
      </c>
    </row>
    <row r="48" spans="1:2" x14ac:dyDescent="0.2">
      <c r="A48" s="41">
        <v>19480</v>
      </c>
      <c r="B48" s="21">
        <f>VLOOKUP(A48,'Database Rates'!$A$1:$D$1000,2,FALSE)</f>
        <v>2</v>
      </c>
    </row>
    <row r="49" spans="1:2" x14ac:dyDescent="0.2">
      <c r="A49" s="41">
        <v>19511</v>
      </c>
      <c r="B49" s="21">
        <f>VLOOKUP(A49,'Database Rates'!$A$1:$D$1000,2,FALSE)</f>
        <v>2</v>
      </c>
    </row>
    <row r="50" spans="1:2" x14ac:dyDescent="0.2">
      <c r="A50" s="41">
        <v>19541</v>
      </c>
      <c r="B50" s="21">
        <f>VLOOKUP(A50,'Database Rates'!$A$1:$D$1000,2,FALSE)</f>
        <v>2</v>
      </c>
    </row>
    <row r="51" spans="1:2" x14ac:dyDescent="0.2">
      <c r="A51" s="41">
        <v>19572</v>
      </c>
      <c r="B51" s="21">
        <f>VLOOKUP(A51,'Database Rates'!$A$1:$D$1000,2,FALSE)</f>
        <v>2</v>
      </c>
    </row>
    <row r="52" spans="1:2" x14ac:dyDescent="0.2">
      <c r="A52" s="41">
        <v>19603</v>
      </c>
      <c r="B52" s="21">
        <f>VLOOKUP(A52,'Database Rates'!$A$1:$D$1000,2,FALSE)</f>
        <v>2</v>
      </c>
    </row>
    <row r="53" spans="1:2" x14ac:dyDescent="0.2">
      <c r="A53" s="41">
        <v>19633</v>
      </c>
      <c r="B53" s="21">
        <f>VLOOKUP(A53,'Database Rates'!$A$1:$D$1000,2,FALSE)</f>
        <v>2</v>
      </c>
    </row>
    <row r="54" spans="1:2" x14ac:dyDescent="0.2">
      <c r="A54" s="41">
        <v>19664</v>
      </c>
      <c r="B54" s="21">
        <f>VLOOKUP(A54,'Database Rates'!$A$1:$D$1000,2,FALSE)</f>
        <v>2</v>
      </c>
    </row>
    <row r="55" spans="1:2" x14ac:dyDescent="0.2">
      <c r="A55" s="41">
        <v>19694</v>
      </c>
      <c r="B55" s="21">
        <f>VLOOKUP(A55,'Database Rates'!$A$1:$D$1000,2,FALSE)</f>
        <v>2</v>
      </c>
    </row>
    <row r="56" spans="1:2" x14ac:dyDescent="0.2">
      <c r="A56" s="41">
        <v>19725</v>
      </c>
      <c r="B56" s="21">
        <f>VLOOKUP(A56,'Database Rates'!$A$1:$D$1000,2,FALSE)</f>
        <v>2</v>
      </c>
    </row>
    <row r="57" spans="1:2" x14ac:dyDescent="0.2">
      <c r="A57" s="41">
        <v>19756</v>
      </c>
      <c r="B57" s="21">
        <f>VLOOKUP(A57,'Database Rates'!$A$1:$D$1000,2,FALSE)</f>
        <v>1.79</v>
      </c>
    </row>
    <row r="58" spans="1:2" x14ac:dyDescent="0.2">
      <c r="A58" s="41">
        <v>19784</v>
      </c>
      <c r="B58" s="21">
        <f>VLOOKUP(A58,'Database Rates'!$A$1:$D$1000,2,FALSE)</f>
        <v>1.75</v>
      </c>
    </row>
    <row r="59" spans="1:2" x14ac:dyDescent="0.2">
      <c r="A59" s="41">
        <v>19815</v>
      </c>
      <c r="B59" s="21">
        <f>VLOOKUP(A59,'Database Rates'!$A$1:$D$1000,2,FALSE)</f>
        <v>1.63</v>
      </c>
    </row>
    <row r="60" spans="1:2" x14ac:dyDescent="0.2">
      <c r="A60" s="41">
        <v>19845</v>
      </c>
      <c r="B60" s="21">
        <f>VLOOKUP(A60,'Database Rates'!$A$1:$D$1000,2,FALSE)</f>
        <v>1.5</v>
      </c>
    </row>
    <row r="61" spans="1:2" x14ac:dyDescent="0.2">
      <c r="A61" s="41">
        <v>19876</v>
      </c>
      <c r="B61" s="21">
        <f>VLOOKUP(A61,'Database Rates'!$A$1:$D$1000,2,FALSE)</f>
        <v>1.5</v>
      </c>
    </row>
    <row r="62" spans="1:2" x14ac:dyDescent="0.2">
      <c r="A62" s="41">
        <v>19906</v>
      </c>
      <c r="B62" s="21">
        <f>VLOOKUP(A62,'Database Rates'!$A$1:$D$1000,2,FALSE)</f>
        <v>1.5</v>
      </c>
    </row>
    <row r="63" spans="1:2" x14ac:dyDescent="0.2">
      <c r="A63" s="41">
        <v>19937</v>
      </c>
      <c r="B63" s="21">
        <f>VLOOKUP(A63,'Database Rates'!$A$1:$D$1000,2,FALSE)</f>
        <v>1.5</v>
      </c>
    </row>
    <row r="64" spans="1:2" x14ac:dyDescent="0.2">
      <c r="A64" s="41">
        <v>19968</v>
      </c>
      <c r="B64" s="21">
        <f>VLOOKUP(A64,'Database Rates'!$A$1:$D$1000,2,FALSE)</f>
        <v>1.5</v>
      </c>
    </row>
    <row r="65" spans="1:2" x14ac:dyDescent="0.2">
      <c r="A65" s="41">
        <v>19998</v>
      </c>
      <c r="B65" s="21">
        <f>VLOOKUP(A65,'Database Rates'!$A$1:$D$1000,2,FALSE)</f>
        <v>1.5</v>
      </c>
    </row>
    <row r="66" spans="1:2" x14ac:dyDescent="0.2">
      <c r="A66" s="41">
        <v>20029</v>
      </c>
      <c r="B66" s="21">
        <f>VLOOKUP(A66,'Database Rates'!$A$1:$D$1000,2,FALSE)</f>
        <v>1.5</v>
      </c>
    </row>
    <row r="67" spans="1:2" x14ac:dyDescent="0.2">
      <c r="A67" s="41">
        <v>20059</v>
      </c>
      <c r="B67" s="21">
        <f>VLOOKUP(A67,'Database Rates'!$A$1:$D$1000,2,FALSE)</f>
        <v>1.5</v>
      </c>
    </row>
    <row r="68" spans="1:2" x14ac:dyDescent="0.2">
      <c r="A68" s="41">
        <v>20090</v>
      </c>
      <c r="B68" s="21">
        <f>VLOOKUP(A68,'Database Rates'!$A$1:$D$1000,2,FALSE)</f>
        <v>1.5</v>
      </c>
    </row>
    <row r="69" spans="1:2" x14ac:dyDescent="0.2">
      <c r="A69" s="41">
        <v>20121</v>
      </c>
      <c r="B69" s="21">
        <f>VLOOKUP(A69,'Database Rates'!$A$1:$D$1000,2,FALSE)</f>
        <v>1.5</v>
      </c>
    </row>
    <row r="70" spans="1:2" x14ac:dyDescent="0.2">
      <c r="A70" s="41">
        <v>20149</v>
      </c>
      <c r="B70" s="21">
        <f>VLOOKUP(A70,'Database Rates'!$A$1:$D$1000,2,FALSE)</f>
        <v>1.5</v>
      </c>
    </row>
    <row r="71" spans="1:2" x14ac:dyDescent="0.2">
      <c r="A71" s="41">
        <v>20180</v>
      </c>
      <c r="B71" s="21">
        <f>VLOOKUP(A71,'Database Rates'!$A$1:$D$1000,2,FALSE)</f>
        <v>1.63</v>
      </c>
    </row>
    <row r="72" spans="1:2" x14ac:dyDescent="0.2">
      <c r="A72" s="41">
        <v>20210</v>
      </c>
      <c r="B72" s="21">
        <f>VLOOKUP(A72,'Database Rates'!$A$1:$D$1000,2,FALSE)</f>
        <v>1.75</v>
      </c>
    </row>
    <row r="73" spans="1:2" x14ac:dyDescent="0.2">
      <c r="A73" s="41">
        <v>20241</v>
      </c>
      <c r="B73" s="21">
        <f>VLOOKUP(A73,'Database Rates'!$A$1:$D$1000,2,FALSE)</f>
        <v>1.75</v>
      </c>
    </row>
    <row r="74" spans="1:2" x14ac:dyDescent="0.2">
      <c r="A74" s="41">
        <v>20271</v>
      </c>
      <c r="B74" s="21">
        <f>VLOOKUP(A74,'Database Rates'!$A$1:$D$1000,2,FALSE)</f>
        <v>1.75</v>
      </c>
    </row>
    <row r="75" spans="1:2" x14ac:dyDescent="0.2">
      <c r="A75" s="41">
        <v>20302</v>
      </c>
      <c r="B75" s="21">
        <f>VLOOKUP(A75,'Database Rates'!$A$1:$D$1000,2,FALSE)</f>
        <v>1.97</v>
      </c>
    </row>
    <row r="76" spans="1:2" x14ac:dyDescent="0.2">
      <c r="A76" s="41">
        <v>20333</v>
      </c>
      <c r="B76" s="21">
        <f>VLOOKUP(A76,'Database Rates'!$A$1:$D$1000,2,FALSE)</f>
        <v>2.1800000000000002</v>
      </c>
    </row>
    <row r="77" spans="1:2" x14ac:dyDescent="0.2">
      <c r="A77" s="41">
        <v>20363</v>
      </c>
      <c r="B77" s="21">
        <f>VLOOKUP(A77,'Database Rates'!$A$1:$D$1000,2,FALSE)</f>
        <v>2.25</v>
      </c>
    </row>
    <row r="78" spans="1:2" x14ac:dyDescent="0.2">
      <c r="A78" s="41">
        <v>20394</v>
      </c>
      <c r="B78" s="21">
        <f>VLOOKUP(A78,'Database Rates'!$A$1:$D$1000,2,FALSE)</f>
        <v>2.36</v>
      </c>
    </row>
    <row r="79" spans="1:2" x14ac:dyDescent="0.2">
      <c r="A79" s="41">
        <v>20424</v>
      </c>
      <c r="B79" s="21">
        <f>VLOOKUP(A79,'Database Rates'!$A$1:$D$1000,2,FALSE)</f>
        <v>2.5</v>
      </c>
    </row>
    <row r="80" spans="1:2" x14ac:dyDescent="0.2">
      <c r="A80" s="41">
        <v>20455</v>
      </c>
      <c r="B80" s="21">
        <f>VLOOKUP(A80,'Database Rates'!$A$1:$D$1000,2,FALSE)</f>
        <v>2.5</v>
      </c>
    </row>
    <row r="81" spans="1:2" x14ac:dyDescent="0.2">
      <c r="A81" s="41">
        <v>20486</v>
      </c>
      <c r="B81" s="21">
        <f>VLOOKUP(A81,'Database Rates'!$A$1:$D$1000,2,FALSE)</f>
        <v>2.5</v>
      </c>
    </row>
    <row r="82" spans="1:2" x14ac:dyDescent="0.2">
      <c r="A82" s="41">
        <v>20515</v>
      </c>
      <c r="B82" s="21">
        <f>VLOOKUP(A82,'Database Rates'!$A$1:$D$1000,2,FALSE)</f>
        <v>2.5</v>
      </c>
    </row>
    <row r="83" spans="1:2" x14ac:dyDescent="0.2">
      <c r="A83" s="41">
        <v>20546</v>
      </c>
      <c r="B83" s="21">
        <f>VLOOKUP(A83,'Database Rates'!$A$1:$D$1000,2,FALSE)</f>
        <v>2.65</v>
      </c>
    </row>
    <row r="84" spans="1:2" x14ac:dyDescent="0.2">
      <c r="A84" s="41">
        <v>20576</v>
      </c>
      <c r="B84" s="21">
        <f>VLOOKUP(A84,'Database Rates'!$A$1:$D$1000,2,FALSE)</f>
        <v>2.75</v>
      </c>
    </row>
    <row r="85" spans="1:2" x14ac:dyDescent="0.2">
      <c r="A85" s="41">
        <v>20607</v>
      </c>
      <c r="B85" s="21">
        <f>VLOOKUP(A85,'Database Rates'!$A$1:$D$1000,2,FALSE)</f>
        <v>2.75</v>
      </c>
    </row>
    <row r="86" spans="1:2" x14ac:dyDescent="0.2">
      <c r="A86" s="41">
        <v>20637</v>
      </c>
      <c r="B86" s="21">
        <f>VLOOKUP(A86,'Database Rates'!$A$1:$D$1000,2,FALSE)</f>
        <v>2.75</v>
      </c>
    </row>
    <row r="87" spans="1:2" x14ac:dyDescent="0.2">
      <c r="A87" s="41">
        <v>20668</v>
      </c>
      <c r="B87" s="21">
        <f>VLOOKUP(A87,'Database Rates'!$A$1:$D$1000,2,FALSE)</f>
        <v>2.81</v>
      </c>
    </row>
    <row r="88" spans="1:2" x14ac:dyDescent="0.2">
      <c r="A88" s="41">
        <v>20699</v>
      </c>
      <c r="B88" s="21">
        <f>VLOOKUP(A88,'Database Rates'!$A$1:$D$1000,2,FALSE)</f>
        <v>3</v>
      </c>
    </row>
    <row r="89" spans="1:2" x14ac:dyDescent="0.2">
      <c r="A89" s="41">
        <v>20729</v>
      </c>
      <c r="B89" s="21">
        <f>VLOOKUP(A89,'Database Rates'!$A$1:$D$1000,2,FALSE)</f>
        <v>3</v>
      </c>
    </row>
    <row r="90" spans="1:2" x14ac:dyDescent="0.2">
      <c r="A90" s="41">
        <v>20760</v>
      </c>
      <c r="B90" s="21">
        <f>VLOOKUP(A90,'Database Rates'!$A$1:$D$1000,2,FALSE)</f>
        <v>3</v>
      </c>
    </row>
    <row r="91" spans="1:2" x14ac:dyDescent="0.2">
      <c r="A91" s="41">
        <v>20790</v>
      </c>
      <c r="B91" s="21">
        <f>VLOOKUP(A91,'Database Rates'!$A$1:$D$1000,2,FALSE)</f>
        <v>3</v>
      </c>
    </row>
    <row r="92" spans="1:2" x14ac:dyDescent="0.2">
      <c r="A92" s="41">
        <v>20821</v>
      </c>
      <c r="B92" s="21">
        <f>VLOOKUP(A92,'Database Rates'!$A$1:$D$1000,2,FALSE)</f>
        <v>3</v>
      </c>
    </row>
    <row r="93" spans="1:2" x14ac:dyDescent="0.2">
      <c r="A93" s="41">
        <v>20852</v>
      </c>
      <c r="B93" s="21">
        <f>VLOOKUP(A93,'Database Rates'!$A$1:$D$1000,2,FALSE)</f>
        <v>3</v>
      </c>
    </row>
    <row r="94" spans="1:2" x14ac:dyDescent="0.2">
      <c r="A94" s="41">
        <v>20880</v>
      </c>
      <c r="B94" s="21">
        <f>VLOOKUP(A94,'Database Rates'!$A$1:$D$1000,2,FALSE)</f>
        <v>3</v>
      </c>
    </row>
    <row r="95" spans="1:2" x14ac:dyDescent="0.2">
      <c r="A95" s="41">
        <v>20911</v>
      </c>
      <c r="B95" s="21">
        <f>VLOOKUP(A95,'Database Rates'!$A$1:$D$1000,2,FALSE)</f>
        <v>3</v>
      </c>
    </row>
    <row r="96" spans="1:2" x14ac:dyDescent="0.2">
      <c r="A96" s="41">
        <v>20941</v>
      </c>
      <c r="B96" s="21">
        <f>VLOOKUP(A96,'Database Rates'!$A$1:$D$1000,2,FALSE)</f>
        <v>3</v>
      </c>
    </row>
    <row r="97" spans="1:2" x14ac:dyDescent="0.2">
      <c r="A97" s="41">
        <v>20972</v>
      </c>
      <c r="B97" s="21">
        <f>VLOOKUP(A97,'Database Rates'!$A$1:$D$1000,2,FALSE)</f>
        <v>3</v>
      </c>
    </row>
    <row r="98" spans="1:2" x14ac:dyDescent="0.2">
      <c r="A98" s="41">
        <v>21002</v>
      </c>
      <c r="B98" s="21">
        <f>VLOOKUP(A98,'Database Rates'!$A$1:$D$1000,2,FALSE)</f>
        <v>3</v>
      </c>
    </row>
    <row r="99" spans="1:2" x14ac:dyDescent="0.2">
      <c r="A99" s="41">
        <v>21033</v>
      </c>
      <c r="B99" s="21">
        <f>VLOOKUP(A99,'Database Rates'!$A$1:$D$1000,2,FALSE)</f>
        <v>3.15</v>
      </c>
    </row>
    <row r="100" spans="1:2" x14ac:dyDescent="0.2">
      <c r="A100" s="41">
        <v>21064</v>
      </c>
      <c r="B100" s="21">
        <f>VLOOKUP(A100,'Database Rates'!$A$1:$D$1000,2,FALSE)</f>
        <v>3.5</v>
      </c>
    </row>
    <row r="101" spans="1:2" x14ac:dyDescent="0.2">
      <c r="A101" s="41">
        <v>21094</v>
      </c>
      <c r="B101" s="21">
        <f>VLOOKUP(A101,'Database Rates'!$A$1:$D$1000,2,FALSE)</f>
        <v>3.5</v>
      </c>
    </row>
    <row r="102" spans="1:2" x14ac:dyDescent="0.2">
      <c r="A102" s="41">
        <v>21125</v>
      </c>
      <c r="B102" s="21">
        <f>VLOOKUP(A102,'Database Rates'!$A$1:$D$1000,2,FALSE)</f>
        <v>3.23</v>
      </c>
    </row>
    <row r="103" spans="1:2" x14ac:dyDescent="0.2">
      <c r="A103" s="41">
        <v>21155</v>
      </c>
      <c r="B103" s="21">
        <f>VLOOKUP(A103,'Database Rates'!$A$1:$D$1000,2,FALSE)</f>
        <v>3</v>
      </c>
    </row>
    <row r="104" spans="1:2" x14ac:dyDescent="0.2">
      <c r="A104" s="41">
        <v>21186</v>
      </c>
      <c r="B104" s="21">
        <f>VLOOKUP(A104,'Database Rates'!$A$1:$D$1000,2,FALSE)</f>
        <v>2.94</v>
      </c>
    </row>
    <row r="105" spans="1:2" x14ac:dyDescent="0.2">
      <c r="A105" s="41">
        <v>21217</v>
      </c>
      <c r="B105" s="21">
        <f>VLOOKUP(A105,'Database Rates'!$A$1:$D$1000,2,FALSE)</f>
        <v>2.75</v>
      </c>
    </row>
    <row r="106" spans="1:2" x14ac:dyDescent="0.2">
      <c r="A106" s="41">
        <v>21245</v>
      </c>
      <c r="B106" s="21">
        <f>VLOOKUP(A106,'Database Rates'!$A$1:$D$1000,2,FALSE)</f>
        <v>2.35</v>
      </c>
    </row>
    <row r="107" spans="1:2" x14ac:dyDescent="0.2">
      <c r="A107" s="41">
        <v>21276</v>
      </c>
      <c r="B107" s="21">
        <f>VLOOKUP(A107,'Database Rates'!$A$1:$D$1000,2,FALSE)</f>
        <v>2.0299999999999998</v>
      </c>
    </row>
    <row r="108" spans="1:2" x14ac:dyDescent="0.2">
      <c r="A108" s="41">
        <v>21306</v>
      </c>
      <c r="B108" s="21">
        <f>VLOOKUP(A108,'Database Rates'!$A$1:$D$1000,2,FALSE)</f>
        <v>1.75</v>
      </c>
    </row>
    <row r="109" spans="1:2" x14ac:dyDescent="0.2">
      <c r="A109" s="41">
        <v>21337</v>
      </c>
      <c r="B109" s="21">
        <f>VLOOKUP(A109,'Database Rates'!$A$1:$D$1000,2,FALSE)</f>
        <v>1.75</v>
      </c>
    </row>
    <row r="110" spans="1:2" x14ac:dyDescent="0.2">
      <c r="A110" s="41">
        <v>21367</v>
      </c>
      <c r="B110" s="21">
        <f>VLOOKUP(A110,'Database Rates'!$A$1:$D$1000,2,FALSE)</f>
        <v>1.75</v>
      </c>
    </row>
    <row r="111" spans="1:2" x14ac:dyDescent="0.2">
      <c r="A111" s="41">
        <v>21398</v>
      </c>
      <c r="B111" s="21">
        <f>VLOOKUP(A111,'Database Rates'!$A$1:$D$1000,2,FALSE)</f>
        <v>1.75</v>
      </c>
    </row>
    <row r="112" spans="1:2" x14ac:dyDescent="0.2">
      <c r="A112" s="41">
        <v>21429</v>
      </c>
      <c r="B112" s="21">
        <f>VLOOKUP(A112,'Database Rates'!$A$1:$D$1000,2,FALSE)</f>
        <v>1.91</v>
      </c>
    </row>
    <row r="113" spans="1:2" x14ac:dyDescent="0.2">
      <c r="A113" s="41">
        <v>21459</v>
      </c>
      <c r="B113" s="21">
        <f>VLOOKUP(A113,'Database Rates'!$A$1:$D$1000,2,FALSE)</f>
        <v>2</v>
      </c>
    </row>
    <row r="114" spans="1:2" x14ac:dyDescent="0.2">
      <c r="A114" s="41">
        <v>21490</v>
      </c>
      <c r="B114" s="21">
        <f>VLOOKUP(A114,'Database Rates'!$A$1:$D$1000,2,FALSE)</f>
        <v>2.4</v>
      </c>
    </row>
    <row r="115" spans="1:2" x14ac:dyDescent="0.2">
      <c r="A115" s="41">
        <v>21520</v>
      </c>
      <c r="B115" s="21">
        <f>VLOOKUP(A115,'Database Rates'!$A$1:$D$1000,2,FALSE)</f>
        <v>2.5</v>
      </c>
    </row>
    <row r="116" spans="1:2" x14ac:dyDescent="0.2">
      <c r="A116" s="41">
        <v>21551</v>
      </c>
      <c r="B116" s="21">
        <f>VLOOKUP(A116,'Database Rates'!$A$1:$D$1000,2,FALSE)</f>
        <v>2.5</v>
      </c>
    </row>
    <row r="117" spans="1:2" x14ac:dyDescent="0.2">
      <c r="A117" s="41">
        <v>21582</v>
      </c>
      <c r="B117" s="21">
        <f>VLOOKUP(A117,'Database Rates'!$A$1:$D$1000,2,FALSE)</f>
        <v>2.5</v>
      </c>
    </row>
    <row r="118" spans="1:2" x14ac:dyDescent="0.2">
      <c r="A118" s="41">
        <v>21610</v>
      </c>
      <c r="B118" s="21">
        <f>VLOOKUP(A118,'Database Rates'!$A$1:$D$1000,2,FALSE)</f>
        <v>2.92</v>
      </c>
    </row>
    <row r="119" spans="1:2" x14ac:dyDescent="0.2">
      <c r="A119" s="41">
        <v>21641</v>
      </c>
      <c r="B119" s="21">
        <f>VLOOKUP(A119,'Database Rates'!$A$1:$D$1000,2,FALSE)</f>
        <v>3</v>
      </c>
    </row>
    <row r="120" spans="1:2" x14ac:dyDescent="0.2">
      <c r="A120" s="41">
        <v>21671</v>
      </c>
      <c r="B120" s="21">
        <f>VLOOKUP(A120,'Database Rates'!$A$1:$D$1000,2,FALSE)</f>
        <v>3.05</v>
      </c>
    </row>
    <row r="121" spans="1:2" x14ac:dyDescent="0.2">
      <c r="A121" s="41">
        <v>21702</v>
      </c>
      <c r="B121" s="21">
        <f>VLOOKUP(A121,'Database Rates'!$A$1:$D$1000,2,FALSE)</f>
        <v>3.5</v>
      </c>
    </row>
    <row r="122" spans="1:2" x14ac:dyDescent="0.2">
      <c r="A122" s="41">
        <v>21732</v>
      </c>
      <c r="B122" s="21">
        <f>VLOOKUP(A122,'Database Rates'!$A$1:$D$1000,2,FALSE)</f>
        <v>3.5</v>
      </c>
    </row>
    <row r="123" spans="1:2" x14ac:dyDescent="0.2">
      <c r="A123" s="41">
        <v>21763</v>
      </c>
      <c r="B123" s="21">
        <f>VLOOKUP(A123,'Database Rates'!$A$1:$D$1000,2,FALSE)</f>
        <v>3.5</v>
      </c>
    </row>
    <row r="124" spans="1:2" x14ac:dyDescent="0.2">
      <c r="A124" s="41">
        <v>21794</v>
      </c>
      <c r="B124" s="21">
        <f>VLOOKUP(A124,'Database Rates'!$A$1:$D$1000,2,FALSE)</f>
        <v>3.83</v>
      </c>
    </row>
    <row r="125" spans="1:2" x14ac:dyDescent="0.2">
      <c r="A125" s="41">
        <v>21824</v>
      </c>
      <c r="B125" s="21">
        <f>VLOOKUP(A125,'Database Rates'!$A$1:$D$1000,2,FALSE)</f>
        <v>4</v>
      </c>
    </row>
    <row r="126" spans="1:2" x14ac:dyDescent="0.2">
      <c r="A126" s="41">
        <v>21855</v>
      </c>
      <c r="B126" s="21">
        <f>VLOOKUP(A126,'Database Rates'!$A$1:$D$1000,2,FALSE)</f>
        <v>4</v>
      </c>
    </row>
    <row r="127" spans="1:2" x14ac:dyDescent="0.2">
      <c r="A127" s="41">
        <v>21885</v>
      </c>
      <c r="B127" s="21">
        <f>VLOOKUP(A127,'Database Rates'!$A$1:$D$1000,2,FALSE)</f>
        <v>4</v>
      </c>
    </row>
    <row r="128" spans="1:2" x14ac:dyDescent="0.2">
      <c r="A128" s="41">
        <v>21916</v>
      </c>
      <c r="B128" s="21">
        <f>VLOOKUP(A128,'Database Rates'!$A$1:$D$1000,2,FALSE)</f>
        <v>4</v>
      </c>
    </row>
    <row r="129" spans="1:2" x14ac:dyDescent="0.2">
      <c r="A129" s="41">
        <v>21947</v>
      </c>
      <c r="B129" s="21">
        <f>VLOOKUP(A129,'Database Rates'!$A$1:$D$1000,2,FALSE)</f>
        <v>4</v>
      </c>
    </row>
    <row r="130" spans="1:2" x14ac:dyDescent="0.2">
      <c r="A130" s="41">
        <v>21976</v>
      </c>
      <c r="B130" s="21">
        <f>VLOOKUP(A130,'Database Rates'!$A$1:$D$1000,2,FALSE)</f>
        <v>4</v>
      </c>
    </row>
    <row r="131" spans="1:2" x14ac:dyDescent="0.2">
      <c r="A131" s="41">
        <v>22007</v>
      </c>
      <c r="B131" s="21">
        <f>VLOOKUP(A131,'Database Rates'!$A$1:$D$1000,2,FALSE)</f>
        <v>4</v>
      </c>
    </row>
    <row r="132" spans="1:2" x14ac:dyDescent="0.2">
      <c r="A132" s="41">
        <v>22037</v>
      </c>
      <c r="B132" s="21">
        <f>VLOOKUP(A132,'Database Rates'!$A$1:$D$1000,2,FALSE)</f>
        <v>4</v>
      </c>
    </row>
    <row r="133" spans="1:2" x14ac:dyDescent="0.2">
      <c r="A133" s="41">
        <v>22068</v>
      </c>
      <c r="B133" s="21">
        <f>VLOOKUP(A133,'Database Rates'!$A$1:$D$1000,2,FALSE)</f>
        <v>3.65</v>
      </c>
    </row>
    <row r="134" spans="1:2" x14ac:dyDescent="0.2">
      <c r="A134" s="41">
        <v>22098</v>
      </c>
      <c r="B134" s="21">
        <f>VLOOKUP(A134,'Database Rates'!$A$1:$D$1000,2,FALSE)</f>
        <v>3.5</v>
      </c>
    </row>
    <row r="135" spans="1:2" x14ac:dyDescent="0.2">
      <c r="A135" s="41">
        <v>22129</v>
      </c>
      <c r="B135" s="21">
        <f>VLOOKUP(A135,'Database Rates'!$A$1:$D$1000,2,FALSE)</f>
        <v>3.18</v>
      </c>
    </row>
    <row r="136" spans="1:2" x14ac:dyDescent="0.2">
      <c r="A136" s="41">
        <v>22160</v>
      </c>
      <c r="B136" s="21">
        <f>VLOOKUP(A136,'Database Rates'!$A$1:$D$1000,2,FALSE)</f>
        <v>3</v>
      </c>
    </row>
    <row r="137" spans="1:2" x14ac:dyDescent="0.2">
      <c r="A137" s="41">
        <v>22190</v>
      </c>
      <c r="B137" s="21">
        <f>VLOOKUP(A137,'Database Rates'!$A$1:$D$1000,2,FALSE)</f>
        <v>3</v>
      </c>
    </row>
    <row r="138" spans="1:2" x14ac:dyDescent="0.2">
      <c r="A138" s="41">
        <v>22221</v>
      </c>
      <c r="B138" s="21">
        <f>VLOOKUP(A138,'Database Rates'!$A$1:$D$1000,2,FALSE)</f>
        <v>3</v>
      </c>
    </row>
    <row r="139" spans="1:2" x14ac:dyDescent="0.2">
      <c r="A139" s="41">
        <v>22251</v>
      </c>
      <c r="B139" s="21">
        <f>VLOOKUP(A139,'Database Rates'!$A$1:$D$1000,2,FALSE)</f>
        <v>3</v>
      </c>
    </row>
    <row r="140" spans="1:2" x14ac:dyDescent="0.2">
      <c r="A140" s="41">
        <v>22282</v>
      </c>
      <c r="B140" s="21">
        <f>VLOOKUP(A140,'Database Rates'!$A$1:$D$1000,2,FALSE)</f>
        <v>3</v>
      </c>
    </row>
    <row r="141" spans="1:2" x14ac:dyDescent="0.2">
      <c r="A141" s="41">
        <v>22313</v>
      </c>
      <c r="B141" s="21">
        <f>VLOOKUP(A141,'Database Rates'!$A$1:$D$1000,2,FALSE)</f>
        <v>3</v>
      </c>
    </row>
    <row r="142" spans="1:2" x14ac:dyDescent="0.2">
      <c r="A142" s="41">
        <v>22341</v>
      </c>
      <c r="B142" s="21">
        <f>VLOOKUP(A142,'Database Rates'!$A$1:$D$1000,2,FALSE)</f>
        <v>3</v>
      </c>
    </row>
    <row r="143" spans="1:2" x14ac:dyDescent="0.2">
      <c r="A143" s="41">
        <v>22372</v>
      </c>
      <c r="B143" s="21">
        <f>VLOOKUP(A143,'Database Rates'!$A$1:$D$1000,2,FALSE)</f>
        <v>3</v>
      </c>
    </row>
    <row r="144" spans="1:2" x14ac:dyDescent="0.2">
      <c r="A144" s="41">
        <v>22402</v>
      </c>
      <c r="B144" s="21">
        <f>VLOOKUP(A144,'Database Rates'!$A$1:$D$1000,2,FALSE)</f>
        <v>3</v>
      </c>
    </row>
    <row r="145" spans="1:2" x14ac:dyDescent="0.2">
      <c r="A145" s="41">
        <v>22433</v>
      </c>
      <c r="B145" s="21">
        <f>VLOOKUP(A145,'Database Rates'!$A$1:$D$1000,2,FALSE)</f>
        <v>3</v>
      </c>
    </row>
    <row r="146" spans="1:2" x14ac:dyDescent="0.2">
      <c r="A146" s="41">
        <v>22463</v>
      </c>
      <c r="B146" s="21">
        <f>VLOOKUP(A146,'Database Rates'!$A$1:$D$1000,2,FALSE)</f>
        <v>3</v>
      </c>
    </row>
    <row r="147" spans="1:2" x14ac:dyDescent="0.2">
      <c r="A147" s="41">
        <v>22494</v>
      </c>
      <c r="B147" s="21">
        <f>VLOOKUP(A147,'Database Rates'!$A$1:$D$1000,2,FALSE)</f>
        <v>3</v>
      </c>
    </row>
    <row r="148" spans="1:2" x14ac:dyDescent="0.2">
      <c r="A148" s="41">
        <v>22525</v>
      </c>
      <c r="B148" s="21">
        <f>VLOOKUP(A148,'Database Rates'!$A$1:$D$1000,2,FALSE)</f>
        <v>3</v>
      </c>
    </row>
    <row r="149" spans="1:2" x14ac:dyDescent="0.2">
      <c r="A149" s="41">
        <v>22555</v>
      </c>
      <c r="B149" s="21">
        <f>VLOOKUP(A149,'Database Rates'!$A$1:$D$1000,2,FALSE)</f>
        <v>3</v>
      </c>
    </row>
    <row r="150" spans="1:2" x14ac:dyDescent="0.2">
      <c r="A150" s="41">
        <v>22586</v>
      </c>
      <c r="B150" s="21">
        <f>VLOOKUP(A150,'Database Rates'!$A$1:$D$1000,2,FALSE)</f>
        <v>3</v>
      </c>
    </row>
    <row r="151" spans="1:2" x14ac:dyDescent="0.2">
      <c r="A151" s="41">
        <v>22616</v>
      </c>
      <c r="B151" s="21">
        <f>VLOOKUP(A151,'Database Rates'!$A$1:$D$1000,2,FALSE)</f>
        <v>3</v>
      </c>
    </row>
    <row r="152" spans="1:2" x14ac:dyDescent="0.2">
      <c r="A152" s="41">
        <v>22647</v>
      </c>
      <c r="B152" s="21">
        <f>VLOOKUP(A152,'Database Rates'!$A$1:$D$1000,2,FALSE)</f>
        <v>3</v>
      </c>
    </row>
    <row r="153" spans="1:2" x14ac:dyDescent="0.2">
      <c r="A153" s="41">
        <v>22678</v>
      </c>
      <c r="B153" s="21">
        <f>VLOOKUP(A153,'Database Rates'!$A$1:$D$1000,2,FALSE)</f>
        <v>3</v>
      </c>
    </row>
    <row r="154" spans="1:2" x14ac:dyDescent="0.2">
      <c r="A154" s="41">
        <v>22706</v>
      </c>
      <c r="B154" s="21">
        <f>VLOOKUP(A154,'Database Rates'!$A$1:$D$1000,2,FALSE)</f>
        <v>3</v>
      </c>
    </row>
    <row r="155" spans="1:2" x14ac:dyDescent="0.2">
      <c r="A155" s="41">
        <v>22737</v>
      </c>
      <c r="B155" s="21">
        <f>VLOOKUP(A155,'Database Rates'!$A$1:$D$1000,2,FALSE)</f>
        <v>3</v>
      </c>
    </row>
    <row r="156" spans="1:2" x14ac:dyDescent="0.2">
      <c r="A156" s="41">
        <v>22767</v>
      </c>
      <c r="B156" s="21">
        <f>VLOOKUP(A156,'Database Rates'!$A$1:$D$1000,2,FALSE)</f>
        <v>3</v>
      </c>
    </row>
    <row r="157" spans="1:2" x14ac:dyDescent="0.2">
      <c r="A157" s="41">
        <v>22798</v>
      </c>
      <c r="B157" s="21">
        <f>VLOOKUP(A157,'Database Rates'!$A$1:$D$1000,2,FALSE)</f>
        <v>3</v>
      </c>
    </row>
    <row r="158" spans="1:2" x14ac:dyDescent="0.2">
      <c r="A158" s="41">
        <v>22828</v>
      </c>
      <c r="B158" s="21">
        <f>VLOOKUP(A158,'Database Rates'!$A$1:$D$1000,2,FALSE)</f>
        <v>3</v>
      </c>
    </row>
    <row r="159" spans="1:2" x14ac:dyDescent="0.2">
      <c r="A159" s="41">
        <v>22859</v>
      </c>
      <c r="B159" s="21">
        <f>VLOOKUP(A159,'Database Rates'!$A$1:$D$1000,2,FALSE)</f>
        <v>3</v>
      </c>
    </row>
    <row r="160" spans="1:2" x14ac:dyDescent="0.2">
      <c r="A160" s="41">
        <v>22890</v>
      </c>
      <c r="B160" s="21">
        <f>VLOOKUP(A160,'Database Rates'!$A$1:$D$1000,2,FALSE)</f>
        <v>3</v>
      </c>
    </row>
    <row r="161" spans="1:2" x14ac:dyDescent="0.2">
      <c r="A161" s="41">
        <v>22920</v>
      </c>
      <c r="B161" s="21">
        <f>VLOOKUP(A161,'Database Rates'!$A$1:$D$1000,2,FALSE)</f>
        <v>3</v>
      </c>
    </row>
    <row r="162" spans="1:2" x14ac:dyDescent="0.2">
      <c r="A162" s="41">
        <v>22951</v>
      </c>
      <c r="B162" s="21">
        <f>VLOOKUP(A162,'Database Rates'!$A$1:$D$1000,2,FALSE)</f>
        <v>3</v>
      </c>
    </row>
    <row r="163" spans="1:2" x14ac:dyDescent="0.2">
      <c r="A163" s="41">
        <v>22981</v>
      </c>
      <c r="B163" s="21">
        <f>VLOOKUP(A163,'Database Rates'!$A$1:$D$1000,2,FALSE)</f>
        <v>3</v>
      </c>
    </row>
    <row r="164" spans="1:2" x14ac:dyDescent="0.2">
      <c r="A164" s="41">
        <v>23012</v>
      </c>
      <c r="B164" s="21">
        <f>VLOOKUP(A164,'Database Rates'!$A$1:$D$1000,2,FALSE)</f>
        <v>3</v>
      </c>
    </row>
    <row r="165" spans="1:2" x14ac:dyDescent="0.2">
      <c r="A165" s="41">
        <v>23043</v>
      </c>
      <c r="B165" s="21">
        <f>VLOOKUP(A165,'Database Rates'!$A$1:$D$1000,2,FALSE)</f>
        <v>3</v>
      </c>
    </row>
    <row r="166" spans="1:2" x14ac:dyDescent="0.2">
      <c r="A166" s="41">
        <v>23071</v>
      </c>
      <c r="B166" s="21">
        <f>VLOOKUP(A166,'Database Rates'!$A$1:$D$1000,2,FALSE)</f>
        <v>3</v>
      </c>
    </row>
    <row r="167" spans="1:2" x14ac:dyDescent="0.2">
      <c r="A167" s="41">
        <v>23102</v>
      </c>
      <c r="B167" s="21">
        <f>VLOOKUP(A167,'Database Rates'!$A$1:$D$1000,2,FALSE)</f>
        <v>3</v>
      </c>
    </row>
    <row r="168" spans="1:2" x14ac:dyDescent="0.2">
      <c r="A168" s="41">
        <v>23132</v>
      </c>
      <c r="B168" s="21">
        <f>VLOOKUP(A168,'Database Rates'!$A$1:$D$1000,2,FALSE)</f>
        <v>3</v>
      </c>
    </row>
    <row r="169" spans="1:2" x14ac:dyDescent="0.2">
      <c r="A169" s="41">
        <v>23163</v>
      </c>
      <c r="B169" s="21">
        <f>VLOOKUP(A169,'Database Rates'!$A$1:$D$1000,2,FALSE)</f>
        <v>3</v>
      </c>
    </row>
    <row r="170" spans="1:2" x14ac:dyDescent="0.2">
      <c r="A170" s="41">
        <v>23193</v>
      </c>
      <c r="B170" s="21">
        <f>VLOOKUP(A170,'Database Rates'!$A$1:$D$1000,2,FALSE)</f>
        <v>3.24</v>
      </c>
    </row>
    <row r="171" spans="1:2" x14ac:dyDescent="0.2">
      <c r="A171" s="41">
        <v>23224</v>
      </c>
      <c r="B171" s="21">
        <f>VLOOKUP(A171,'Database Rates'!$A$1:$D$1000,2,FALSE)</f>
        <v>3.5</v>
      </c>
    </row>
    <row r="172" spans="1:2" x14ac:dyDescent="0.2">
      <c r="A172" s="41">
        <v>23255</v>
      </c>
      <c r="B172" s="21">
        <f>VLOOKUP(A172,'Database Rates'!$A$1:$D$1000,2,FALSE)</f>
        <v>3.5</v>
      </c>
    </row>
    <row r="173" spans="1:2" x14ac:dyDescent="0.2">
      <c r="A173" s="41">
        <v>23285</v>
      </c>
      <c r="B173" s="21">
        <f>VLOOKUP(A173,'Database Rates'!$A$1:$D$1000,2,FALSE)</f>
        <v>3.5</v>
      </c>
    </row>
    <row r="174" spans="1:2" x14ac:dyDescent="0.2">
      <c r="A174" s="41">
        <v>23316</v>
      </c>
      <c r="B174" s="21">
        <f>VLOOKUP(A174,'Database Rates'!$A$1:$D$1000,2,FALSE)</f>
        <v>3.5</v>
      </c>
    </row>
    <row r="175" spans="1:2" x14ac:dyDescent="0.2">
      <c r="A175" s="41">
        <v>23346</v>
      </c>
      <c r="B175" s="21">
        <f>VLOOKUP(A175,'Database Rates'!$A$1:$D$1000,2,FALSE)</f>
        <v>3.5</v>
      </c>
    </row>
    <row r="176" spans="1:2" x14ac:dyDescent="0.2">
      <c r="A176" s="41">
        <v>23377</v>
      </c>
      <c r="B176" s="21">
        <f>VLOOKUP(A176,'Database Rates'!$A$1:$D$1000,2,FALSE)</f>
        <v>3.5</v>
      </c>
    </row>
    <row r="177" spans="1:2" x14ac:dyDescent="0.2">
      <c r="A177" s="41">
        <v>23408</v>
      </c>
      <c r="B177" s="21">
        <f>VLOOKUP(A177,'Database Rates'!$A$1:$D$1000,2,FALSE)</f>
        <v>3.5</v>
      </c>
    </row>
    <row r="178" spans="1:2" x14ac:dyDescent="0.2">
      <c r="A178" s="41">
        <v>23437</v>
      </c>
      <c r="B178" s="21">
        <f>VLOOKUP(A178,'Database Rates'!$A$1:$D$1000,2,FALSE)</f>
        <v>3.5</v>
      </c>
    </row>
    <row r="179" spans="1:2" x14ac:dyDescent="0.2">
      <c r="A179" s="41">
        <v>23468</v>
      </c>
      <c r="B179" s="21">
        <f>VLOOKUP(A179,'Database Rates'!$A$1:$D$1000,2,FALSE)</f>
        <v>3.5</v>
      </c>
    </row>
    <row r="180" spans="1:2" x14ac:dyDescent="0.2">
      <c r="A180" s="41">
        <v>23498</v>
      </c>
      <c r="B180" s="21">
        <f>VLOOKUP(A180,'Database Rates'!$A$1:$D$1000,2,FALSE)</f>
        <v>3.5</v>
      </c>
    </row>
    <row r="181" spans="1:2" x14ac:dyDescent="0.2">
      <c r="A181" s="41">
        <v>23529</v>
      </c>
      <c r="B181" s="21">
        <f>VLOOKUP(A181,'Database Rates'!$A$1:$D$1000,2,FALSE)</f>
        <v>3.5</v>
      </c>
    </row>
    <row r="182" spans="1:2" x14ac:dyDescent="0.2">
      <c r="A182" s="41">
        <v>23559</v>
      </c>
      <c r="B182" s="21">
        <f>VLOOKUP(A182,'Database Rates'!$A$1:$D$1000,2,FALSE)</f>
        <v>3.5</v>
      </c>
    </row>
    <row r="183" spans="1:2" x14ac:dyDescent="0.2">
      <c r="A183" s="41">
        <v>23590</v>
      </c>
      <c r="B183" s="21">
        <f>VLOOKUP(A183,'Database Rates'!$A$1:$D$1000,2,FALSE)</f>
        <v>3.5</v>
      </c>
    </row>
    <row r="184" spans="1:2" x14ac:dyDescent="0.2">
      <c r="A184" s="41">
        <v>23621</v>
      </c>
      <c r="B184" s="21">
        <f>VLOOKUP(A184,'Database Rates'!$A$1:$D$1000,2,FALSE)</f>
        <v>3.5</v>
      </c>
    </row>
    <row r="185" spans="1:2" x14ac:dyDescent="0.2">
      <c r="A185" s="41">
        <v>23651</v>
      </c>
      <c r="B185" s="21">
        <f>VLOOKUP(A185,'Database Rates'!$A$1:$D$1000,2,FALSE)</f>
        <v>3.5</v>
      </c>
    </row>
    <row r="186" spans="1:2" x14ac:dyDescent="0.2">
      <c r="A186" s="41">
        <v>23682</v>
      </c>
      <c r="B186" s="21">
        <f>VLOOKUP(A186,'Database Rates'!$A$1:$D$1000,2,FALSE)</f>
        <v>3.62</v>
      </c>
    </row>
    <row r="187" spans="1:2" x14ac:dyDescent="0.2">
      <c r="A187" s="41">
        <v>23712</v>
      </c>
      <c r="B187" s="21">
        <f>VLOOKUP(A187,'Database Rates'!$A$1:$D$1000,2,FALSE)</f>
        <v>4</v>
      </c>
    </row>
    <row r="188" spans="1:2" x14ac:dyDescent="0.2">
      <c r="A188" s="41">
        <v>23743</v>
      </c>
      <c r="B188" s="21">
        <f>VLOOKUP(A188,'Database Rates'!$A$1:$D$1000,2,FALSE)</f>
        <v>4</v>
      </c>
    </row>
    <row r="189" spans="1:2" x14ac:dyDescent="0.2">
      <c r="A189" s="41">
        <v>23774</v>
      </c>
      <c r="B189" s="21">
        <f>VLOOKUP(A189,'Database Rates'!$A$1:$D$1000,2,FALSE)</f>
        <v>4</v>
      </c>
    </row>
    <row r="190" spans="1:2" x14ac:dyDescent="0.2">
      <c r="A190" s="41">
        <v>23802</v>
      </c>
      <c r="B190" s="21">
        <f>VLOOKUP(A190,'Database Rates'!$A$1:$D$1000,2,FALSE)</f>
        <v>4</v>
      </c>
    </row>
    <row r="191" spans="1:2" x14ac:dyDescent="0.2">
      <c r="A191" s="41">
        <v>23833</v>
      </c>
      <c r="B191" s="21">
        <f>VLOOKUP(A191,'Database Rates'!$A$1:$D$1000,2,FALSE)</f>
        <v>4</v>
      </c>
    </row>
    <row r="192" spans="1:2" x14ac:dyDescent="0.2">
      <c r="A192" s="41">
        <v>23863</v>
      </c>
      <c r="B192" s="21">
        <f>VLOOKUP(A192,'Database Rates'!$A$1:$D$1000,2,FALSE)</f>
        <v>4</v>
      </c>
    </row>
    <row r="193" spans="1:2" x14ac:dyDescent="0.2">
      <c r="A193" s="41">
        <v>23894</v>
      </c>
      <c r="B193" s="21">
        <f>VLOOKUP(A193,'Database Rates'!$A$1:$D$1000,2,FALSE)</f>
        <v>4</v>
      </c>
    </row>
    <row r="194" spans="1:2" x14ac:dyDescent="0.2">
      <c r="A194" s="41">
        <v>23924</v>
      </c>
      <c r="B194" s="21">
        <f>VLOOKUP(A194,'Database Rates'!$A$1:$D$1000,2,FALSE)</f>
        <v>4</v>
      </c>
    </row>
    <row r="195" spans="1:2" x14ac:dyDescent="0.2">
      <c r="A195" s="41">
        <v>23955</v>
      </c>
      <c r="B195" s="21">
        <f>VLOOKUP(A195,'Database Rates'!$A$1:$D$1000,2,FALSE)</f>
        <v>4</v>
      </c>
    </row>
    <row r="196" spans="1:2" x14ac:dyDescent="0.2">
      <c r="A196" s="41">
        <v>23986</v>
      </c>
      <c r="B196" s="21">
        <f>VLOOKUP(A196,'Database Rates'!$A$1:$D$1000,2,FALSE)</f>
        <v>4</v>
      </c>
    </row>
    <row r="197" spans="1:2" x14ac:dyDescent="0.2">
      <c r="A197" s="41">
        <v>24016</v>
      </c>
      <c r="B197" s="21">
        <f>VLOOKUP(A197,'Database Rates'!$A$1:$D$1000,2,FALSE)</f>
        <v>4</v>
      </c>
    </row>
    <row r="198" spans="1:2" x14ac:dyDescent="0.2">
      <c r="A198" s="41">
        <v>24047</v>
      </c>
      <c r="B198" s="21">
        <f>VLOOKUP(A198,'Database Rates'!$A$1:$D$1000,2,FALSE)</f>
        <v>4</v>
      </c>
    </row>
    <row r="199" spans="1:2" x14ac:dyDescent="0.2">
      <c r="A199" s="41">
        <v>24077</v>
      </c>
      <c r="B199" s="21">
        <f>VLOOKUP(A199,'Database Rates'!$A$1:$D$1000,2,FALSE)</f>
        <v>4.42</v>
      </c>
    </row>
    <row r="200" spans="1:2" x14ac:dyDescent="0.2">
      <c r="A200" s="41">
        <v>24108</v>
      </c>
      <c r="B200" s="21">
        <f>VLOOKUP(A200,'Database Rates'!$A$1:$D$1000,2,FALSE)</f>
        <v>4.5</v>
      </c>
    </row>
    <row r="201" spans="1:2" x14ac:dyDescent="0.2">
      <c r="A201" s="41">
        <v>24139</v>
      </c>
      <c r="B201" s="21">
        <f>VLOOKUP(A201,'Database Rates'!$A$1:$D$1000,2,FALSE)</f>
        <v>4.5</v>
      </c>
    </row>
    <row r="202" spans="1:2" x14ac:dyDescent="0.2">
      <c r="A202" s="41">
        <v>24167</v>
      </c>
      <c r="B202" s="21">
        <f>VLOOKUP(A202,'Database Rates'!$A$1:$D$1000,2,FALSE)</f>
        <v>4.5</v>
      </c>
    </row>
    <row r="203" spans="1:2" x14ac:dyDescent="0.2">
      <c r="A203" s="41">
        <v>24198</v>
      </c>
      <c r="B203" s="21">
        <f>VLOOKUP(A203,'Database Rates'!$A$1:$D$1000,2,FALSE)</f>
        <v>4.5</v>
      </c>
    </row>
    <row r="204" spans="1:2" x14ac:dyDescent="0.2">
      <c r="A204" s="41">
        <v>24228</v>
      </c>
      <c r="B204" s="21">
        <f>VLOOKUP(A204,'Database Rates'!$A$1:$D$1000,2,FALSE)</f>
        <v>4.5</v>
      </c>
    </row>
    <row r="205" spans="1:2" x14ac:dyDescent="0.2">
      <c r="A205" s="41">
        <v>24259</v>
      </c>
      <c r="B205" s="21">
        <f>VLOOKUP(A205,'Database Rates'!$A$1:$D$1000,2,FALSE)</f>
        <v>4.5</v>
      </c>
    </row>
    <row r="206" spans="1:2" x14ac:dyDescent="0.2">
      <c r="A206" s="41">
        <v>24289</v>
      </c>
      <c r="B206" s="21">
        <f>VLOOKUP(A206,'Database Rates'!$A$1:$D$1000,2,FALSE)</f>
        <v>4.5</v>
      </c>
    </row>
    <row r="207" spans="1:2" x14ac:dyDescent="0.2">
      <c r="A207" s="41">
        <v>24320</v>
      </c>
      <c r="B207" s="21">
        <f>VLOOKUP(A207,'Database Rates'!$A$1:$D$1000,2,FALSE)</f>
        <v>4.5</v>
      </c>
    </row>
    <row r="208" spans="1:2" x14ac:dyDescent="0.2">
      <c r="A208" s="41">
        <v>24351</v>
      </c>
      <c r="B208" s="21">
        <f>VLOOKUP(A208,'Database Rates'!$A$1:$D$1000,2,FALSE)</f>
        <v>4.5</v>
      </c>
    </row>
    <row r="209" spans="1:2" x14ac:dyDescent="0.2">
      <c r="A209" s="41">
        <v>24381</v>
      </c>
      <c r="B209" s="21">
        <f>VLOOKUP(A209,'Database Rates'!$A$1:$D$1000,2,FALSE)</f>
        <v>4.5</v>
      </c>
    </row>
    <row r="210" spans="1:2" x14ac:dyDescent="0.2">
      <c r="A210" s="41">
        <v>24412</v>
      </c>
      <c r="B210" s="21">
        <f>VLOOKUP(A210,'Database Rates'!$A$1:$D$1000,2,FALSE)</f>
        <v>4.5</v>
      </c>
    </row>
    <row r="211" spans="1:2" x14ac:dyDescent="0.2">
      <c r="A211" s="41">
        <v>24442</v>
      </c>
      <c r="B211" s="21">
        <f>VLOOKUP(A211,'Database Rates'!$A$1:$D$1000,2,FALSE)</f>
        <v>4.5</v>
      </c>
    </row>
    <row r="212" spans="1:2" x14ac:dyDescent="0.2">
      <c r="A212" s="41">
        <v>24473</v>
      </c>
      <c r="B212" s="21">
        <f>VLOOKUP(A212,'Database Rates'!$A$1:$D$1000,2,FALSE)</f>
        <v>4.5</v>
      </c>
    </row>
    <row r="213" spans="1:2" x14ac:dyDescent="0.2">
      <c r="A213" s="41">
        <v>24504</v>
      </c>
      <c r="B213" s="21">
        <f>VLOOKUP(A213,'Database Rates'!$A$1:$D$1000,2,FALSE)</f>
        <v>4.5</v>
      </c>
    </row>
    <row r="214" spans="1:2" x14ac:dyDescent="0.2">
      <c r="A214" s="41">
        <v>24532</v>
      </c>
      <c r="B214" s="21">
        <f>VLOOKUP(A214,'Database Rates'!$A$1:$D$1000,2,FALSE)</f>
        <v>4.5</v>
      </c>
    </row>
    <row r="215" spans="1:2" x14ac:dyDescent="0.2">
      <c r="A215" s="41">
        <v>24563</v>
      </c>
      <c r="B215" s="21">
        <f>VLOOKUP(A215,'Database Rates'!$A$1:$D$1000,2,FALSE)</f>
        <v>4.0999999999999996</v>
      </c>
    </row>
    <row r="216" spans="1:2" x14ac:dyDescent="0.2">
      <c r="A216" s="41">
        <v>24593</v>
      </c>
      <c r="B216" s="21">
        <f>VLOOKUP(A216,'Database Rates'!$A$1:$D$1000,2,FALSE)</f>
        <v>4</v>
      </c>
    </row>
    <row r="217" spans="1:2" x14ac:dyDescent="0.2">
      <c r="A217" s="41">
        <v>24624</v>
      </c>
      <c r="B217" s="21">
        <f>VLOOKUP(A217,'Database Rates'!$A$1:$D$1000,2,FALSE)</f>
        <v>4</v>
      </c>
    </row>
    <row r="218" spans="1:2" x14ac:dyDescent="0.2">
      <c r="A218" s="41">
        <v>24654</v>
      </c>
      <c r="B218" s="21">
        <f>VLOOKUP(A218,'Database Rates'!$A$1:$D$1000,2,FALSE)</f>
        <v>4</v>
      </c>
    </row>
    <row r="219" spans="1:2" x14ac:dyDescent="0.2">
      <c r="A219" s="41">
        <v>24685</v>
      </c>
      <c r="B219" s="21">
        <f>VLOOKUP(A219,'Database Rates'!$A$1:$D$1000,2,FALSE)</f>
        <v>4</v>
      </c>
    </row>
    <row r="220" spans="1:2" x14ac:dyDescent="0.2">
      <c r="A220" s="41">
        <v>24716</v>
      </c>
      <c r="B220" s="21">
        <f>VLOOKUP(A220,'Database Rates'!$A$1:$D$1000,2,FALSE)</f>
        <v>4</v>
      </c>
    </row>
    <row r="221" spans="1:2" x14ac:dyDescent="0.2">
      <c r="A221" s="41">
        <v>24746</v>
      </c>
      <c r="B221" s="21">
        <f>VLOOKUP(A221,'Database Rates'!$A$1:$D$1000,2,FALSE)</f>
        <v>4</v>
      </c>
    </row>
    <row r="222" spans="1:2" x14ac:dyDescent="0.2">
      <c r="A222" s="41">
        <v>24777</v>
      </c>
      <c r="B222" s="21">
        <f>VLOOKUP(A222,'Database Rates'!$A$1:$D$1000,2,FALSE)</f>
        <v>4.18</v>
      </c>
    </row>
    <row r="223" spans="1:2" x14ac:dyDescent="0.2">
      <c r="A223" s="41">
        <v>24807</v>
      </c>
      <c r="B223" s="21">
        <f>VLOOKUP(A223,'Database Rates'!$A$1:$D$1000,2,FALSE)</f>
        <v>4.5</v>
      </c>
    </row>
    <row r="224" spans="1:2" x14ac:dyDescent="0.2">
      <c r="A224" s="41">
        <v>24838</v>
      </c>
      <c r="B224" s="21">
        <f>VLOOKUP(A224,'Database Rates'!$A$1:$D$1000,2,FALSE)</f>
        <v>4.5</v>
      </c>
    </row>
    <row r="225" spans="1:2" x14ac:dyDescent="0.2">
      <c r="A225" s="41">
        <v>24869</v>
      </c>
      <c r="B225" s="21">
        <f>VLOOKUP(A225,'Database Rates'!$A$1:$D$1000,2,FALSE)</f>
        <v>4.5</v>
      </c>
    </row>
    <row r="226" spans="1:2" x14ac:dyDescent="0.2">
      <c r="A226" s="41">
        <v>24898</v>
      </c>
      <c r="B226" s="21">
        <f>VLOOKUP(A226,'Database Rates'!$A$1:$D$1000,2,FALSE)</f>
        <v>4.66</v>
      </c>
    </row>
    <row r="227" spans="1:2" x14ac:dyDescent="0.2">
      <c r="A227" s="41">
        <v>24929</v>
      </c>
      <c r="B227" s="21">
        <f>VLOOKUP(A227,'Database Rates'!$A$1:$D$1000,2,FALSE)</f>
        <v>5.2</v>
      </c>
    </row>
    <row r="228" spans="1:2" x14ac:dyDescent="0.2">
      <c r="A228" s="41">
        <v>24959</v>
      </c>
      <c r="B228" s="21">
        <f>VLOOKUP(A228,'Database Rates'!$A$1:$D$1000,2,FALSE)</f>
        <v>5.5</v>
      </c>
    </row>
    <row r="229" spans="1:2" x14ac:dyDescent="0.2">
      <c r="A229" s="41">
        <v>24990</v>
      </c>
      <c r="B229" s="21">
        <f>VLOOKUP(A229,'Database Rates'!$A$1:$D$1000,2,FALSE)</f>
        <v>5.5</v>
      </c>
    </row>
    <row r="230" spans="1:2" x14ac:dyDescent="0.2">
      <c r="A230" s="41">
        <v>25020</v>
      </c>
      <c r="B230" s="21">
        <f>VLOOKUP(A230,'Database Rates'!$A$1:$D$1000,2,FALSE)</f>
        <v>5.5</v>
      </c>
    </row>
    <row r="231" spans="1:2" x14ac:dyDescent="0.2">
      <c r="A231" s="41">
        <v>25051</v>
      </c>
      <c r="B231" s="21">
        <f>VLOOKUP(A231,'Database Rates'!$A$1:$D$1000,2,FALSE)</f>
        <v>5.48</v>
      </c>
    </row>
    <row r="232" spans="1:2" x14ac:dyDescent="0.2">
      <c r="A232" s="41">
        <v>25082</v>
      </c>
      <c r="B232" s="21">
        <f>VLOOKUP(A232,'Database Rates'!$A$1:$D$1000,2,FALSE)</f>
        <v>5.25</v>
      </c>
    </row>
    <row r="233" spans="1:2" x14ac:dyDescent="0.2">
      <c r="A233" s="41">
        <v>25112</v>
      </c>
      <c r="B233" s="21">
        <f>VLOOKUP(A233,'Database Rates'!$A$1:$D$1000,2,FALSE)</f>
        <v>5.25</v>
      </c>
    </row>
    <row r="234" spans="1:2" x14ac:dyDescent="0.2">
      <c r="A234" s="41">
        <v>25143</v>
      </c>
      <c r="B234" s="21">
        <f>VLOOKUP(A234,'Database Rates'!$A$1:$D$1000,2,FALSE)</f>
        <v>5.25</v>
      </c>
    </row>
    <row r="235" spans="1:2" x14ac:dyDescent="0.2">
      <c r="A235" s="41">
        <v>25173</v>
      </c>
      <c r="B235" s="21">
        <f>VLOOKUP(A235,'Database Rates'!$A$1:$D$1000,2,FALSE)</f>
        <v>5.36</v>
      </c>
    </row>
    <row r="236" spans="1:2" x14ac:dyDescent="0.2">
      <c r="A236" s="41">
        <v>25204</v>
      </c>
      <c r="B236" s="21">
        <f>VLOOKUP(A236,'Database Rates'!$A$1:$D$1000,2,FALSE)</f>
        <v>5.5</v>
      </c>
    </row>
    <row r="237" spans="1:2" x14ac:dyDescent="0.2">
      <c r="A237" s="41">
        <v>25235</v>
      </c>
      <c r="B237" s="21">
        <f>VLOOKUP(A237,'Database Rates'!$A$1:$D$1000,2,FALSE)</f>
        <v>5.5</v>
      </c>
    </row>
    <row r="238" spans="1:2" x14ac:dyDescent="0.2">
      <c r="A238" s="41">
        <v>25263</v>
      </c>
      <c r="B238" s="21">
        <f>VLOOKUP(A238,'Database Rates'!$A$1:$D$1000,2,FALSE)</f>
        <v>5.5</v>
      </c>
    </row>
    <row r="239" spans="1:2" x14ac:dyDescent="0.2">
      <c r="A239" s="41">
        <v>25294</v>
      </c>
      <c r="B239" s="21">
        <f>VLOOKUP(A239,'Database Rates'!$A$1:$D$1000,2,FALSE)</f>
        <v>5.95</v>
      </c>
    </row>
    <row r="240" spans="1:2" x14ac:dyDescent="0.2">
      <c r="A240" s="41">
        <v>25324</v>
      </c>
      <c r="B240" s="21">
        <f>VLOOKUP(A240,'Database Rates'!$A$1:$D$1000,2,FALSE)</f>
        <v>6</v>
      </c>
    </row>
    <row r="241" spans="1:2" x14ac:dyDescent="0.2">
      <c r="A241" s="41">
        <v>25355</v>
      </c>
      <c r="B241" s="21">
        <f>VLOOKUP(A241,'Database Rates'!$A$1:$D$1000,2,FALSE)</f>
        <v>6</v>
      </c>
    </row>
    <row r="242" spans="1:2" x14ac:dyDescent="0.2">
      <c r="A242" s="41">
        <v>25385</v>
      </c>
      <c r="B242" s="21">
        <f>VLOOKUP(A242,'Database Rates'!$A$1:$D$1000,2,FALSE)</f>
        <v>6</v>
      </c>
    </row>
    <row r="243" spans="1:2" x14ac:dyDescent="0.2">
      <c r="A243" s="41">
        <v>25416</v>
      </c>
      <c r="B243" s="21">
        <f>VLOOKUP(A243,'Database Rates'!$A$1:$D$1000,2,FALSE)</f>
        <v>6</v>
      </c>
    </row>
    <row r="244" spans="1:2" x14ac:dyDescent="0.2">
      <c r="A244" s="41">
        <v>25447</v>
      </c>
      <c r="B244" s="21">
        <f>VLOOKUP(A244,'Database Rates'!$A$1:$D$1000,2,FALSE)</f>
        <v>6</v>
      </c>
    </row>
    <row r="245" spans="1:2" x14ac:dyDescent="0.2">
      <c r="A245" s="41">
        <v>25477</v>
      </c>
      <c r="B245" s="21">
        <f>VLOOKUP(A245,'Database Rates'!$A$1:$D$1000,2,FALSE)</f>
        <v>6</v>
      </c>
    </row>
    <row r="246" spans="1:2" x14ac:dyDescent="0.2">
      <c r="A246" s="41">
        <v>25508</v>
      </c>
      <c r="B246" s="21">
        <f>VLOOKUP(A246,'Database Rates'!$A$1:$D$1000,2,FALSE)</f>
        <v>6</v>
      </c>
    </row>
    <row r="247" spans="1:2" x14ac:dyDescent="0.2">
      <c r="A247" s="41">
        <v>25538</v>
      </c>
      <c r="B247" s="21">
        <f>VLOOKUP(A247,'Database Rates'!$A$1:$D$1000,2,FALSE)</f>
        <v>6</v>
      </c>
    </row>
    <row r="248" spans="1:2" x14ac:dyDescent="0.2">
      <c r="A248" s="41">
        <v>25569</v>
      </c>
      <c r="B248" s="21">
        <f>VLOOKUP(A248,'Database Rates'!$A$1:$D$1000,2,FALSE)</f>
        <v>6</v>
      </c>
    </row>
    <row r="249" spans="1:2" x14ac:dyDescent="0.2">
      <c r="A249" s="41">
        <v>25600</v>
      </c>
      <c r="B249" s="21">
        <f>VLOOKUP(A249,'Database Rates'!$A$1:$D$1000,2,FALSE)</f>
        <v>6</v>
      </c>
    </row>
    <row r="250" spans="1:2" x14ac:dyDescent="0.2">
      <c r="A250" s="41">
        <v>25628</v>
      </c>
      <c r="B250" s="21">
        <f>VLOOKUP(A250,'Database Rates'!$A$1:$D$1000,2,FALSE)</f>
        <v>6</v>
      </c>
    </row>
    <row r="251" spans="1:2" x14ac:dyDescent="0.2">
      <c r="A251" s="41">
        <v>25659</v>
      </c>
      <c r="B251" s="21">
        <f>VLOOKUP(A251,'Database Rates'!$A$1:$D$1000,2,FALSE)</f>
        <v>6</v>
      </c>
    </row>
    <row r="252" spans="1:2" x14ac:dyDescent="0.2">
      <c r="A252" s="41">
        <v>25689</v>
      </c>
      <c r="B252" s="21">
        <f>VLOOKUP(A252,'Database Rates'!$A$1:$D$1000,2,FALSE)</f>
        <v>6</v>
      </c>
    </row>
    <row r="253" spans="1:2" x14ac:dyDescent="0.2">
      <c r="A253" s="41">
        <v>25720</v>
      </c>
      <c r="B253" s="21">
        <f>VLOOKUP(A253,'Database Rates'!$A$1:$D$1000,2,FALSE)</f>
        <v>6</v>
      </c>
    </row>
    <row r="254" spans="1:2" x14ac:dyDescent="0.2">
      <c r="A254" s="41">
        <v>25750</v>
      </c>
      <c r="B254" s="21">
        <f>VLOOKUP(A254,'Database Rates'!$A$1:$D$1000,2,FALSE)</f>
        <v>6</v>
      </c>
    </row>
    <row r="255" spans="1:2" x14ac:dyDescent="0.2">
      <c r="A255" s="41">
        <v>25781</v>
      </c>
      <c r="B255" s="21">
        <f>VLOOKUP(A255,'Database Rates'!$A$1:$D$1000,2,FALSE)</f>
        <v>6</v>
      </c>
    </row>
    <row r="256" spans="1:2" x14ac:dyDescent="0.2">
      <c r="A256" s="41">
        <v>25812</v>
      </c>
      <c r="B256" s="21">
        <f>VLOOKUP(A256,'Database Rates'!$A$1:$D$1000,2,FALSE)</f>
        <v>6</v>
      </c>
    </row>
    <row r="257" spans="1:2" x14ac:dyDescent="0.2">
      <c r="A257" s="41">
        <v>25842</v>
      </c>
      <c r="B257" s="21">
        <f>VLOOKUP(A257,'Database Rates'!$A$1:$D$1000,2,FALSE)</f>
        <v>6</v>
      </c>
    </row>
    <row r="258" spans="1:2" x14ac:dyDescent="0.2">
      <c r="A258" s="41">
        <v>25873</v>
      </c>
      <c r="B258" s="21">
        <f>VLOOKUP(A258,'Database Rates'!$A$1:$D$1000,2,FALSE)</f>
        <v>5.85</v>
      </c>
    </row>
    <row r="259" spans="1:2" x14ac:dyDescent="0.2">
      <c r="A259" s="41">
        <v>25903</v>
      </c>
      <c r="B259" s="21">
        <f>VLOOKUP(A259,'Database Rates'!$A$1:$D$1000,2,FALSE)</f>
        <v>5.52</v>
      </c>
    </row>
    <row r="260" spans="1:2" x14ac:dyDescent="0.2">
      <c r="A260" s="41">
        <v>25934</v>
      </c>
      <c r="B260" s="21">
        <f>VLOOKUP(A260,'Database Rates'!$A$1:$D$1000,2,FALSE)</f>
        <v>5.23</v>
      </c>
    </row>
    <row r="261" spans="1:2" x14ac:dyDescent="0.2">
      <c r="A261" s="41">
        <v>25965</v>
      </c>
      <c r="B261" s="21">
        <f>VLOOKUP(A261,'Database Rates'!$A$1:$D$1000,2,FALSE)</f>
        <v>4.91</v>
      </c>
    </row>
    <row r="262" spans="1:2" x14ac:dyDescent="0.2">
      <c r="A262" s="41">
        <v>25993</v>
      </c>
      <c r="B262" s="21">
        <f>VLOOKUP(A262,'Database Rates'!$A$1:$D$1000,2,FALSE)</f>
        <v>4.75</v>
      </c>
    </row>
    <row r="263" spans="1:2" x14ac:dyDescent="0.2">
      <c r="A263" s="41">
        <v>26024</v>
      </c>
      <c r="B263" s="21">
        <f>VLOOKUP(A263,'Database Rates'!$A$1:$D$1000,2,FALSE)</f>
        <v>4.75</v>
      </c>
    </row>
    <row r="264" spans="1:2" x14ac:dyDescent="0.2">
      <c r="A264" s="41">
        <v>26054</v>
      </c>
      <c r="B264" s="21">
        <f>VLOOKUP(A264,'Database Rates'!$A$1:$D$1000,2,FALSE)</f>
        <v>4.75</v>
      </c>
    </row>
    <row r="265" spans="1:2" x14ac:dyDescent="0.2">
      <c r="A265" s="41">
        <v>26085</v>
      </c>
      <c r="B265" s="21">
        <f>VLOOKUP(A265,'Database Rates'!$A$1:$D$1000,2,FALSE)</f>
        <v>4.75</v>
      </c>
    </row>
    <row r="266" spans="1:2" x14ac:dyDescent="0.2">
      <c r="A266" s="41">
        <v>26115</v>
      </c>
      <c r="B266" s="21">
        <f>VLOOKUP(A266,'Database Rates'!$A$1:$D$1000,2,FALSE)</f>
        <v>4.88</v>
      </c>
    </row>
    <row r="267" spans="1:2" x14ac:dyDescent="0.2">
      <c r="A267" s="41">
        <v>26146</v>
      </c>
      <c r="B267" s="21">
        <f>VLOOKUP(A267,'Database Rates'!$A$1:$D$1000,2,FALSE)</f>
        <v>5</v>
      </c>
    </row>
    <row r="268" spans="1:2" x14ac:dyDescent="0.2">
      <c r="A268" s="41">
        <v>26177</v>
      </c>
      <c r="B268" s="21">
        <f>VLOOKUP(A268,'Database Rates'!$A$1:$D$1000,2,FALSE)</f>
        <v>5</v>
      </c>
    </row>
    <row r="269" spans="1:2" x14ac:dyDescent="0.2">
      <c r="A269" s="41">
        <v>26207</v>
      </c>
      <c r="B269" s="21">
        <f>VLOOKUP(A269,'Database Rates'!$A$1:$D$1000,2,FALSE)</f>
        <v>5</v>
      </c>
    </row>
    <row r="270" spans="1:2" x14ac:dyDescent="0.2">
      <c r="A270" s="41">
        <v>26238</v>
      </c>
      <c r="B270" s="21">
        <f>VLOOKUP(A270,'Database Rates'!$A$1:$D$1000,2,FALSE)</f>
        <v>4.9000000000000004</v>
      </c>
    </row>
    <row r="271" spans="1:2" x14ac:dyDescent="0.2">
      <c r="A271" s="41">
        <v>26268</v>
      </c>
      <c r="B271" s="21">
        <f>VLOOKUP(A271,'Database Rates'!$A$1:$D$1000,2,FALSE)</f>
        <v>4.63</v>
      </c>
    </row>
    <row r="272" spans="1:2" x14ac:dyDescent="0.2">
      <c r="A272" s="41">
        <v>26299</v>
      </c>
      <c r="B272" s="21">
        <f>VLOOKUP(A272,'Database Rates'!$A$1:$D$1000,2,FALSE)</f>
        <v>4.5</v>
      </c>
    </row>
    <row r="273" spans="1:2" x14ac:dyDescent="0.2">
      <c r="A273" s="41">
        <v>26330</v>
      </c>
      <c r="B273" s="21">
        <f>VLOOKUP(A273,'Database Rates'!$A$1:$D$1000,2,FALSE)</f>
        <v>4.5</v>
      </c>
    </row>
    <row r="274" spans="1:2" x14ac:dyDescent="0.2">
      <c r="A274" s="41">
        <v>26359</v>
      </c>
      <c r="B274" s="21">
        <f>VLOOKUP(A274,'Database Rates'!$A$1:$D$1000,2,FALSE)</f>
        <v>4.5</v>
      </c>
    </row>
    <row r="275" spans="1:2" x14ac:dyDescent="0.2">
      <c r="A275" s="41">
        <v>26390</v>
      </c>
      <c r="B275" s="21">
        <f>VLOOKUP(A275,'Database Rates'!$A$1:$D$1000,2,FALSE)</f>
        <v>4.5</v>
      </c>
    </row>
    <row r="276" spans="1:2" x14ac:dyDescent="0.2">
      <c r="A276" s="41">
        <v>26420</v>
      </c>
      <c r="B276" s="21">
        <f>VLOOKUP(A276,'Database Rates'!$A$1:$D$1000,2,FALSE)</f>
        <v>4.5</v>
      </c>
    </row>
    <row r="277" spans="1:2" x14ac:dyDescent="0.2">
      <c r="A277" s="41">
        <v>26451</v>
      </c>
      <c r="B277" s="21">
        <f>VLOOKUP(A277,'Database Rates'!$A$1:$D$1000,2,FALSE)</f>
        <v>4.5</v>
      </c>
    </row>
    <row r="278" spans="1:2" x14ac:dyDescent="0.2">
      <c r="A278" s="41">
        <v>26481</v>
      </c>
      <c r="B278" s="21">
        <f>VLOOKUP(A278,'Database Rates'!$A$1:$D$1000,2,FALSE)</f>
        <v>4.5</v>
      </c>
    </row>
    <row r="279" spans="1:2" x14ac:dyDescent="0.2">
      <c r="A279" s="41">
        <v>26512</v>
      </c>
      <c r="B279" s="21">
        <f>VLOOKUP(A279,'Database Rates'!$A$1:$D$1000,2,FALSE)</f>
        <v>4.5</v>
      </c>
    </row>
    <row r="280" spans="1:2" x14ac:dyDescent="0.2">
      <c r="A280" s="41">
        <v>26543</v>
      </c>
      <c r="B280" s="21">
        <f>VLOOKUP(A280,'Database Rates'!$A$1:$D$1000,2,FALSE)</f>
        <v>4.5</v>
      </c>
    </row>
    <row r="281" spans="1:2" x14ac:dyDescent="0.2">
      <c r="A281" s="41">
        <v>26573</v>
      </c>
      <c r="B281" s="21">
        <f>VLOOKUP(A281,'Database Rates'!$A$1:$D$1000,2,FALSE)</f>
        <v>4.5</v>
      </c>
    </row>
    <row r="282" spans="1:2" x14ac:dyDescent="0.2">
      <c r="A282" s="41">
        <v>26604</v>
      </c>
      <c r="B282" s="21">
        <f>VLOOKUP(A282,'Database Rates'!$A$1:$D$1000,2,FALSE)</f>
        <v>4.5</v>
      </c>
    </row>
    <row r="283" spans="1:2" x14ac:dyDescent="0.2">
      <c r="A283" s="41">
        <v>26634</v>
      </c>
      <c r="B283" s="21">
        <f>VLOOKUP(A283,'Database Rates'!$A$1:$D$1000,2,FALSE)</f>
        <v>4.5</v>
      </c>
    </row>
    <row r="284" spans="1:2" x14ac:dyDescent="0.2">
      <c r="A284" s="41">
        <v>26665</v>
      </c>
      <c r="B284" s="21">
        <f>VLOOKUP(A284,'Database Rates'!$A$1:$D$1000,2,FALSE)</f>
        <v>4.7699999999999996</v>
      </c>
    </row>
    <row r="285" spans="1:2" x14ac:dyDescent="0.2">
      <c r="A285" s="41">
        <v>26696</v>
      </c>
      <c r="B285" s="21">
        <f>VLOOKUP(A285,'Database Rates'!$A$1:$D$1000,2,FALSE)</f>
        <v>5.05</v>
      </c>
    </row>
    <row r="286" spans="1:2" x14ac:dyDescent="0.2">
      <c r="A286" s="41">
        <v>26724</v>
      </c>
      <c r="B286" s="21">
        <f>VLOOKUP(A286,'Database Rates'!$A$1:$D$1000,2,FALSE)</f>
        <v>5.5</v>
      </c>
    </row>
    <row r="287" spans="1:2" x14ac:dyDescent="0.2">
      <c r="A287" s="41">
        <v>26755</v>
      </c>
      <c r="B287" s="21">
        <f>VLOOKUP(A287,'Database Rates'!$A$1:$D$1000,2,FALSE)</f>
        <v>5.5</v>
      </c>
    </row>
    <row r="288" spans="1:2" x14ac:dyDescent="0.2">
      <c r="A288" s="41">
        <v>26785</v>
      </c>
      <c r="B288" s="21">
        <f>VLOOKUP(A288,'Database Rates'!$A$1:$D$1000,2,FALSE)</f>
        <v>5.9</v>
      </c>
    </row>
    <row r="289" spans="1:2" x14ac:dyDescent="0.2">
      <c r="A289" s="41">
        <v>26816</v>
      </c>
      <c r="B289" s="21">
        <f>VLOOKUP(A289,'Database Rates'!$A$1:$D$1000,2,FALSE)</f>
        <v>6.33</v>
      </c>
    </row>
    <row r="290" spans="1:2" x14ac:dyDescent="0.2">
      <c r="A290" s="41">
        <v>26846</v>
      </c>
      <c r="B290" s="21">
        <f>VLOOKUP(A290,'Database Rates'!$A$1:$D$1000,2,FALSE)</f>
        <v>6.98</v>
      </c>
    </row>
    <row r="291" spans="1:2" x14ac:dyDescent="0.2">
      <c r="A291" s="41">
        <v>26877</v>
      </c>
      <c r="B291" s="21">
        <f>VLOOKUP(A291,'Database Rates'!$A$1:$D$1000,2,FALSE)</f>
        <v>7.29</v>
      </c>
    </row>
    <row r="292" spans="1:2" x14ac:dyDescent="0.2">
      <c r="A292" s="41">
        <v>26908</v>
      </c>
      <c r="B292" s="21">
        <f>VLOOKUP(A292,'Database Rates'!$A$1:$D$1000,2,FALSE)</f>
        <v>7.5</v>
      </c>
    </row>
    <row r="293" spans="1:2" x14ac:dyDescent="0.2">
      <c r="A293" s="41">
        <v>26938</v>
      </c>
      <c r="B293" s="21">
        <f>VLOOKUP(A293,'Database Rates'!$A$1:$D$1000,2,FALSE)</f>
        <v>7.5</v>
      </c>
    </row>
    <row r="294" spans="1:2" x14ac:dyDescent="0.2">
      <c r="A294" s="41">
        <v>26969</v>
      </c>
      <c r="B294" s="21">
        <f>VLOOKUP(A294,'Database Rates'!$A$1:$D$1000,2,FALSE)</f>
        <v>7.5</v>
      </c>
    </row>
    <row r="295" spans="1:2" x14ac:dyDescent="0.2">
      <c r="A295" s="41">
        <v>26999</v>
      </c>
      <c r="B295" s="21">
        <f>VLOOKUP(A295,'Database Rates'!$A$1:$D$1000,2,FALSE)</f>
        <v>7.5</v>
      </c>
    </row>
    <row r="296" spans="1:2" x14ac:dyDescent="0.2">
      <c r="A296" s="41">
        <v>27030</v>
      </c>
      <c r="B296" s="21">
        <f>VLOOKUP(A296,'Database Rates'!$A$1:$D$1000,2,FALSE)</f>
        <v>7.5</v>
      </c>
    </row>
    <row r="297" spans="1:2" x14ac:dyDescent="0.2">
      <c r="A297" s="41">
        <v>27061</v>
      </c>
      <c r="B297" s="21">
        <f>VLOOKUP(A297,'Database Rates'!$A$1:$D$1000,2,FALSE)</f>
        <v>7.5</v>
      </c>
    </row>
    <row r="298" spans="1:2" x14ac:dyDescent="0.2">
      <c r="A298" s="41">
        <v>27089</v>
      </c>
      <c r="B298" s="21">
        <f>VLOOKUP(A298,'Database Rates'!$A$1:$D$1000,2,FALSE)</f>
        <v>7.5</v>
      </c>
    </row>
    <row r="299" spans="1:2" x14ac:dyDescent="0.2">
      <c r="A299" s="41">
        <v>27120</v>
      </c>
      <c r="B299" s="21">
        <f>VLOOKUP(A299,'Database Rates'!$A$1:$D$1000,2,FALSE)</f>
        <v>7.6</v>
      </c>
    </row>
    <row r="300" spans="1:2" x14ac:dyDescent="0.2">
      <c r="A300" s="41">
        <v>27150</v>
      </c>
      <c r="B300" s="21">
        <f>VLOOKUP(A300,'Database Rates'!$A$1:$D$1000,2,FALSE)</f>
        <v>8</v>
      </c>
    </row>
    <row r="301" spans="1:2" x14ac:dyDescent="0.2">
      <c r="A301" s="41">
        <v>27181</v>
      </c>
      <c r="B301" s="21">
        <f>VLOOKUP(A301,'Database Rates'!$A$1:$D$1000,2,FALSE)</f>
        <v>8</v>
      </c>
    </row>
    <row r="302" spans="1:2" x14ac:dyDescent="0.2">
      <c r="A302" s="41">
        <v>27211</v>
      </c>
      <c r="B302" s="21">
        <f>VLOOKUP(A302,'Database Rates'!$A$1:$D$1000,2,FALSE)</f>
        <v>8</v>
      </c>
    </row>
    <row r="303" spans="1:2" x14ac:dyDescent="0.2">
      <c r="A303" s="41">
        <v>27242</v>
      </c>
      <c r="B303" s="21">
        <f>VLOOKUP(A303,'Database Rates'!$A$1:$D$1000,2,FALSE)</f>
        <v>8</v>
      </c>
    </row>
    <row r="304" spans="1:2" x14ac:dyDescent="0.2">
      <c r="A304" s="41">
        <v>27273</v>
      </c>
      <c r="B304" s="21">
        <f>VLOOKUP(A304,'Database Rates'!$A$1:$D$1000,2,FALSE)</f>
        <v>8</v>
      </c>
    </row>
    <row r="305" spans="1:2" x14ac:dyDescent="0.2">
      <c r="A305" s="41">
        <v>27303</v>
      </c>
      <c r="B305" s="21">
        <f>VLOOKUP(A305,'Database Rates'!$A$1:$D$1000,2,FALSE)</f>
        <v>8</v>
      </c>
    </row>
    <row r="306" spans="1:2" x14ac:dyDescent="0.2">
      <c r="A306" s="41">
        <v>27334</v>
      </c>
      <c r="B306" s="21">
        <f>VLOOKUP(A306,'Database Rates'!$A$1:$D$1000,2,FALSE)</f>
        <v>8</v>
      </c>
    </row>
    <row r="307" spans="1:2" x14ac:dyDescent="0.2">
      <c r="A307" s="41">
        <v>27364</v>
      </c>
      <c r="B307" s="21">
        <f>VLOOKUP(A307,'Database Rates'!$A$1:$D$1000,2,FALSE)</f>
        <v>7.81</v>
      </c>
    </row>
    <row r="308" spans="1:2" x14ac:dyDescent="0.2">
      <c r="A308" s="41">
        <v>27395</v>
      </c>
      <c r="B308" s="21">
        <f>VLOOKUP(A308,'Database Rates'!$A$1:$D$1000,2,FALSE)</f>
        <v>7.4</v>
      </c>
    </row>
    <row r="309" spans="1:2" x14ac:dyDescent="0.2">
      <c r="A309" s="41">
        <v>27426</v>
      </c>
      <c r="B309" s="21">
        <f>VLOOKUP(A309,'Database Rates'!$A$1:$D$1000,2,FALSE)</f>
        <v>6.82</v>
      </c>
    </row>
    <row r="310" spans="1:2" x14ac:dyDescent="0.2">
      <c r="A310" s="41">
        <v>27454</v>
      </c>
      <c r="B310" s="21">
        <f>VLOOKUP(A310,'Database Rates'!$A$1:$D$1000,2,FALSE)</f>
        <v>6.4</v>
      </c>
    </row>
    <row r="311" spans="1:2" x14ac:dyDescent="0.2">
      <c r="A311" s="41">
        <v>27485</v>
      </c>
      <c r="B311" s="21">
        <f>VLOOKUP(A311,'Database Rates'!$A$1:$D$1000,2,FALSE)</f>
        <v>6.25</v>
      </c>
    </row>
    <row r="312" spans="1:2" x14ac:dyDescent="0.2">
      <c r="A312" s="41">
        <v>27515</v>
      </c>
      <c r="B312" s="21">
        <f>VLOOKUP(A312,'Database Rates'!$A$1:$D$1000,2,FALSE)</f>
        <v>6.12</v>
      </c>
    </row>
    <row r="313" spans="1:2" x14ac:dyDescent="0.2">
      <c r="A313" s="41">
        <v>27546</v>
      </c>
      <c r="B313" s="21">
        <f>VLOOKUP(A313,'Database Rates'!$A$1:$D$1000,2,FALSE)</f>
        <v>6</v>
      </c>
    </row>
    <row r="314" spans="1:2" x14ac:dyDescent="0.2">
      <c r="A314" s="41">
        <v>27576</v>
      </c>
      <c r="B314" s="21">
        <f>VLOOKUP(A314,'Database Rates'!$A$1:$D$1000,2,FALSE)</f>
        <v>6</v>
      </c>
    </row>
    <row r="315" spans="1:2" x14ac:dyDescent="0.2">
      <c r="A315" s="41">
        <v>27607</v>
      </c>
      <c r="B315" s="21">
        <f>VLOOKUP(A315,'Database Rates'!$A$1:$D$1000,2,FALSE)</f>
        <v>6</v>
      </c>
    </row>
    <row r="316" spans="1:2" x14ac:dyDescent="0.2">
      <c r="A316" s="41">
        <v>27638</v>
      </c>
      <c r="B316" s="21">
        <f>VLOOKUP(A316,'Database Rates'!$A$1:$D$1000,2,FALSE)</f>
        <v>6</v>
      </c>
    </row>
    <row r="317" spans="1:2" x14ac:dyDescent="0.2">
      <c r="A317" s="41">
        <v>27668</v>
      </c>
      <c r="B317" s="21">
        <f>VLOOKUP(A317,'Database Rates'!$A$1:$D$1000,2,FALSE)</f>
        <v>6</v>
      </c>
    </row>
    <row r="318" spans="1:2" x14ac:dyDescent="0.2">
      <c r="A318" s="41">
        <v>27699</v>
      </c>
      <c r="B318" s="21">
        <f>VLOOKUP(A318,'Database Rates'!$A$1:$D$1000,2,FALSE)</f>
        <v>6</v>
      </c>
    </row>
    <row r="319" spans="1:2" x14ac:dyDescent="0.2">
      <c r="A319" s="41">
        <v>27729</v>
      </c>
      <c r="B319" s="21">
        <f>VLOOKUP(A319,'Database Rates'!$A$1:$D$1000,2,FALSE)</f>
        <v>6</v>
      </c>
    </row>
    <row r="320" spans="1:2" x14ac:dyDescent="0.2">
      <c r="A320" s="41">
        <v>27760</v>
      </c>
      <c r="B320" s="21">
        <f>VLOOKUP(A320,'Database Rates'!$A$1:$D$1000,2,FALSE)</f>
        <v>5.79</v>
      </c>
    </row>
    <row r="321" spans="1:2" x14ac:dyDescent="0.2">
      <c r="A321" s="41">
        <v>27791</v>
      </c>
      <c r="B321" s="21">
        <f>VLOOKUP(A321,'Database Rates'!$A$1:$D$1000,2,FALSE)</f>
        <v>5.5</v>
      </c>
    </row>
    <row r="322" spans="1:2" x14ac:dyDescent="0.2">
      <c r="A322" s="41">
        <v>27820</v>
      </c>
      <c r="B322" s="21">
        <f>VLOOKUP(A322,'Database Rates'!$A$1:$D$1000,2,FALSE)</f>
        <v>5.5</v>
      </c>
    </row>
    <row r="323" spans="1:2" x14ac:dyDescent="0.2">
      <c r="A323" s="41">
        <v>27851</v>
      </c>
      <c r="B323" s="21">
        <f>VLOOKUP(A323,'Database Rates'!$A$1:$D$1000,2,FALSE)</f>
        <v>5.5</v>
      </c>
    </row>
    <row r="324" spans="1:2" x14ac:dyDescent="0.2">
      <c r="A324" s="41">
        <v>27881</v>
      </c>
      <c r="B324" s="21">
        <f>VLOOKUP(A324,'Database Rates'!$A$1:$D$1000,2,FALSE)</f>
        <v>5.5</v>
      </c>
    </row>
    <row r="325" spans="1:2" x14ac:dyDescent="0.2">
      <c r="A325" s="41">
        <v>27912</v>
      </c>
      <c r="B325" s="21">
        <f>VLOOKUP(A325,'Database Rates'!$A$1:$D$1000,2,FALSE)</f>
        <v>5.5</v>
      </c>
    </row>
    <row r="326" spans="1:2" x14ac:dyDescent="0.2">
      <c r="A326" s="41">
        <v>27942</v>
      </c>
      <c r="B326" s="21">
        <f>VLOOKUP(A326,'Database Rates'!$A$1:$D$1000,2,FALSE)</f>
        <v>5.5</v>
      </c>
    </row>
    <row r="327" spans="1:2" x14ac:dyDescent="0.2">
      <c r="A327" s="41">
        <v>27973</v>
      </c>
      <c r="B327" s="21">
        <f>VLOOKUP(A327,'Database Rates'!$A$1:$D$1000,2,FALSE)</f>
        <v>5.5</v>
      </c>
    </row>
    <row r="328" spans="1:2" x14ac:dyDescent="0.2">
      <c r="A328" s="41">
        <v>28004</v>
      </c>
      <c r="B328" s="21">
        <f>VLOOKUP(A328,'Database Rates'!$A$1:$D$1000,2,FALSE)</f>
        <v>5.5</v>
      </c>
    </row>
    <row r="329" spans="1:2" x14ac:dyDescent="0.2">
      <c r="A329" s="41">
        <v>28034</v>
      </c>
      <c r="B329" s="21">
        <f>VLOOKUP(A329,'Database Rates'!$A$1:$D$1000,2,FALSE)</f>
        <v>5.5</v>
      </c>
    </row>
    <row r="330" spans="1:2" x14ac:dyDescent="0.2">
      <c r="A330" s="41">
        <v>28065</v>
      </c>
      <c r="B330" s="21">
        <f>VLOOKUP(A330,'Database Rates'!$A$1:$D$1000,2,FALSE)</f>
        <v>5.43</v>
      </c>
    </row>
    <row r="331" spans="1:2" x14ac:dyDescent="0.2">
      <c r="A331" s="41">
        <v>28095</v>
      </c>
      <c r="B331" s="21">
        <f>VLOOKUP(A331,'Database Rates'!$A$1:$D$1000,2,FALSE)</f>
        <v>5.25</v>
      </c>
    </row>
    <row r="332" spans="1:2" x14ac:dyDescent="0.2">
      <c r="A332" s="41">
        <v>28126</v>
      </c>
      <c r="B332" s="21">
        <f>VLOOKUP(A332,'Database Rates'!$A$1:$D$1000,2,FALSE)</f>
        <v>5.25</v>
      </c>
    </row>
    <row r="333" spans="1:2" x14ac:dyDescent="0.2">
      <c r="A333" s="41">
        <v>28157</v>
      </c>
      <c r="B333" s="21">
        <f>VLOOKUP(A333,'Database Rates'!$A$1:$D$1000,2,FALSE)</f>
        <v>5.25</v>
      </c>
    </row>
    <row r="334" spans="1:2" x14ac:dyDescent="0.2">
      <c r="A334" s="41">
        <v>28185</v>
      </c>
      <c r="B334" s="21">
        <f>VLOOKUP(A334,'Database Rates'!$A$1:$D$1000,2,FALSE)</f>
        <v>5.25</v>
      </c>
    </row>
    <row r="335" spans="1:2" x14ac:dyDescent="0.2">
      <c r="A335" s="41">
        <v>28216</v>
      </c>
      <c r="B335" s="21">
        <f>VLOOKUP(A335,'Database Rates'!$A$1:$D$1000,2,FALSE)</f>
        <v>5.25</v>
      </c>
    </row>
    <row r="336" spans="1:2" x14ac:dyDescent="0.2">
      <c r="A336" s="41">
        <v>28246</v>
      </c>
      <c r="B336" s="21">
        <f>VLOOKUP(A336,'Database Rates'!$A$1:$D$1000,2,FALSE)</f>
        <v>5.25</v>
      </c>
    </row>
    <row r="337" spans="1:2" x14ac:dyDescent="0.2">
      <c r="A337" s="41">
        <v>28277</v>
      </c>
      <c r="B337" s="21">
        <f>VLOOKUP(A337,'Database Rates'!$A$1:$D$1000,2,FALSE)</f>
        <v>5.25</v>
      </c>
    </row>
    <row r="338" spans="1:2" x14ac:dyDescent="0.2">
      <c r="A338" s="41">
        <v>28307</v>
      </c>
      <c r="B338" s="21">
        <f>VLOOKUP(A338,'Database Rates'!$A$1:$D$1000,2,FALSE)</f>
        <v>5.25</v>
      </c>
    </row>
    <row r="339" spans="1:2" x14ac:dyDescent="0.2">
      <c r="A339" s="41">
        <v>28338</v>
      </c>
      <c r="B339" s="21">
        <f>VLOOKUP(A339,'Database Rates'!$A$1:$D$1000,2,FALSE)</f>
        <v>5.27</v>
      </c>
    </row>
    <row r="340" spans="1:2" x14ac:dyDescent="0.2">
      <c r="A340" s="41">
        <v>28369</v>
      </c>
      <c r="B340" s="21">
        <f>VLOOKUP(A340,'Database Rates'!$A$1:$D$1000,2,FALSE)</f>
        <v>5.75</v>
      </c>
    </row>
    <row r="341" spans="1:2" x14ac:dyDescent="0.2">
      <c r="A341" s="41">
        <v>28399</v>
      </c>
      <c r="B341" s="21">
        <f>VLOOKUP(A341,'Database Rates'!$A$1:$D$1000,2,FALSE)</f>
        <v>5.8</v>
      </c>
    </row>
    <row r="342" spans="1:2" x14ac:dyDescent="0.2">
      <c r="A342" s="41">
        <v>28430</v>
      </c>
      <c r="B342" s="21">
        <f>VLOOKUP(A342,'Database Rates'!$A$1:$D$1000,2,FALSE)</f>
        <v>6</v>
      </c>
    </row>
    <row r="343" spans="1:2" x14ac:dyDescent="0.2">
      <c r="A343" s="41">
        <v>28460</v>
      </c>
      <c r="B343" s="21">
        <f>VLOOKUP(A343,'Database Rates'!$A$1:$D$1000,2,FALSE)</f>
        <v>6</v>
      </c>
    </row>
    <row r="344" spans="1:2" x14ac:dyDescent="0.2">
      <c r="A344" s="41">
        <v>28491</v>
      </c>
      <c r="B344" s="21">
        <f>VLOOKUP(A344,'Database Rates'!$A$1:$D$1000,2,FALSE)</f>
        <v>6.37</v>
      </c>
    </row>
    <row r="345" spans="1:2" x14ac:dyDescent="0.2">
      <c r="A345" s="41">
        <v>28522</v>
      </c>
      <c r="B345" s="21">
        <f>VLOOKUP(A345,'Database Rates'!$A$1:$D$1000,2,FALSE)</f>
        <v>6.5</v>
      </c>
    </row>
    <row r="346" spans="1:2" x14ac:dyDescent="0.2">
      <c r="A346" s="41">
        <v>28550</v>
      </c>
      <c r="B346" s="21">
        <f>VLOOKUP(A346,'Database Rates'!$A$1:$D$1000,2,FALSE)</f>
        <v>6.5</v>
      </c>
    </row>
    <row r="347" spans="1:2" x14ac:dyDescent="0.2">
      <c r="A347" s="41">
        <v>28581</v>
      </c>
      <c r="B347" s="21">
        <f>VLOOKUP(A347,'Database Rates'!$A$1:$D$1000,2,FALSE)</f>
        <v>6.5</v>
      </c>
    </row>
    <row r="348" spans="1:2" x14ac:dyDescent="0.2">
      <c r="A348" s="41">
        <v>28611</v>
      </c>
      <c r="B348" s="21">
        <f>VLOOKUP(A348,'Database Rates'!$A$1:$D$1000,2,FALSE)</f>
        <v>6.84</v>
      </c>
    </row>
    <row r="349" spans="1:2" x14ac:dyDescent="0.2">
      <c r="A349" s="41">
        <v>28642</v>
      </c>
      <c r="B349" s="21">
        <f>VLOOKUP(A349,'Database Rates'!$A$1:$D$1000,2,FALSE)</f>
        <v>7</v>
      </c>
    </row>
    <row r="350" spans="1:2" x14ac:dyDescent="0.2">
      <c r="A350" s="41">
        <v>28672</v>
      </c>
      <c r="B350" s="21">
        <f>VLOOKUP(A350,'Database Rates'!$A$1:$D$1000,2,FALSE)</f>
        <v>7.23</v>
      </c>
    </row>
    <row r="351" spans="1:2" x14ac:dyDescent="0.2">
      <c r="A351" s="41">
        <v>28703</v>
      </c>
      <c r="B351" s="21">
        <f>VLOOKUP(A351,'Database Rates'!$A$1:$D$1000,2,FALSE)</f>
        <v>7.43</v>
      </c>
    </row>
    <row r="352" spans="1:2" x14ac:dyDescent="0.2">
      <c r="A352" s="41">
        <v>28734</v>
      </c>
      <c r="B352" s="21">
        <f>VLOOKUP(A352,'Database Rates'!$A$1:$D$1000,2,FALSE)</f>
        <v>7.83</v>
      </c>
    </row>
    <row r="353" spans="1:2" x14ac:dyDescent="0.2">
      <c r="A353" s="41">
        <v>28764</v>
      </c>
      <c r="B353" s="21">
        <f>VLOOKUP(A353,'Database Rates'!$A$1:$D$1000,2,FALSE)</f>
        <v>8.26</v>
      </c>
    </row>
    <row r="354" spans="1:2" x14ac:dyDescent="0.2">
      <c r="A354" s="41">
        <v>28795</v>
      </c>
      <c r="B354" s="21">
        <f>VLOOKUP(A354,'Database Rates'!$A$1:$D$1000,2,FALSE)</f>
        <v>9.5</v>
      </c>
    </row>
    <row r="355" spans="1:2" x14ac:dyDescent="0.2">
      <c r="A355" s="41">
        <v>28825</v>
      </c>
      <c r="B355" s="21">
        <f>VLOOKUP(A355,'Database Rates'!$A$1:$D$1000,2,FALSE)</f>
        <v>9.5</v>
      </c>
    </row>
    <row r="356" spans="1:2" x14ac:dyDescent="0.2">
      <c r="A356" s="41">
        <v>28856</v>
      </c>
      <c r="B356" s="21">
        <f>VLOOKUP(A356,'Database Rates'!$A$1:$D$1000,2,FALSE)</f>
        <v>9.5</v>
      </c>
    </row>
    <row r="357" spans="1:2" x14ac:dyDescent="0.2">
      <c r="A357" s="41">
        <v>28887</v>
      </c>
      <c r="B357" s="21">
        <f>VLOOKUP(A357,'Database Rates'!$A$1:$D$1000,2,FALSE)</f>
        <v>9.5</v>
      </c>
    </row>
    <row r="358" spans="1:2" x14ac:dyDescent="0.2">
      <c r="A358" s="41">
        <v>28915</v>
      </c>
      <c r="B358" s="21">
        <f>VLOOKUP(A358,'Database Rates'!$A$1:$D$1000,2,FALSE)</f>
        <v>9.5</v>
      </c>
    </row>
    <row r="359" spans="1:2" x14ac:dyDescent="0.2">
      <c r="A359" s="41">
        <v>28946</v>
      </c>
      <c r="B359" s="21">
        <f>VLOOKUP(A359,'Database Rates'!$A$1:$D$1000,2,FALSE)</f>
        <v>9.5</v>
      </c>
    </row>
    <row r="360" spans="1:2" x14ac:dyDescent="0.2">
      <c r="A360" s="41">
        <v>28976</v>
      </c>
      <c r="B360" s="21">
        <f>VLOOKUP(A360,'Database Rates'!$A$1:$D$1000,2,FALSE)</f>
        <v>9.5</v>
      </c>
    </row>
    <row r="361" spans="1:2" x14ac:dyDescent="0.2">
      <c r="A361" s="41">
        <v>29007</v>
      </c>
      <c r="B361" s="21">
        <f>VLOOKUP(A361,'Database Rates'!$A$1:$D$1000,2,FALSE)</f>
        <v>9.5</v>
      </c>
    </row>
    <row r="362" spans="1:2" x14ac:dyDescent="0.2">
      <c r="A362" s="41">
        <v>29037</v>
      </c>
      <c r="B362" s="21">
        <f>VLOOKUP(A362,'Database Rates'!$A$1:$D$1000,2,FALSE)</f>
        <v>9.69</v>
      </c>
    </row>
    <row r="363" spans="1:2" x14ac:dyDescent="0.2">
      <c r="A363" s="41">
        <v>29068</v>
      </c>
      <c r="B363" s="21">
        <f>VLOOKUP(A363,'Database Rates'!$A$1:$D$1000,2,FALSE)</f>
        <v>10.24</v>
      </c>
    </row>
    <row r="364" spans="1:2" x14ac:dyDescent="0.2">
      <c r="A364" s="41">
        <v>29099</v>
      </c>
      <c r="B364" s="21">
        <f>VLOOKUP(A364,'Database Rates'!$A$1:$D$1000,2,FALSE)</f>
        <v>10.7</v>
      </c>
    </row>
    <row r="365" spans="1:2" x14ac:dyDescent="0.2">
      <c r="A365" s="41">
        <v>29129</v>
      </c>
      <c r="B365" s="21">
        <f>VLOOKUP(A365,'Database Rates'!$A$1:$D$1000,2,FALSE)</f>
        <v>11.77</v>
      </c>
    </row>
    <row r="366" spans="1:2" x14ac:dyDescent="0.2">
      <c r="A366" s="41">
        <v>29160</v>
      </c>
      <c r="B366" s="21">
        <f>VLOOKUP(A366,'Database Rates'!$A$1:$D$1000,2,FALSE)</f>
        <v>12</v>
      </c>
    </row>
    <row r="367" spans="1:2" x14ac:dyDescent="0.2">
      <c r="A367" s="41">
        <v>29190</v>
      </c>
      <c r="B367" s="21">
        <f>VLOOKUP(A367,'Database Rates'!$A$1:$D$1000,2,FALSE)</f>
        <v>12</v>
      </c>
    </row>
    <row r="368" spans="1:2" x14ac:dyDescent="0.2">
      <c r="A368" s="41">
        <v>29221</v>
      </c>
      <c r="B368" s="21">
        <f>VLOOKUP(A368,'Database Rates'!$A$1:$D$1000,2,FALSE)</f>
        <v>12</v>
      </c>
    </row>
    <row r="369" spans="1:2" x14ac:dyDescent="0.2">
      <c r="A369" s="41">
        <v>29252</v>
      </c>
      <c r="B369" s="21">
        <f>VLOOKUP(A369,'Database Rates'!$A$1:$D$1000,2,FALSE)</f>
        <v>12.52</v>
      </c>
    </row>
    <row r="370" spans="1:2" x14ac:dyDescent="0.2">
      <c r="A370" s="41">
        <v>29281</v>
      </c>
      <c r="B370" s="21">
        <f>VLOOKUP(A370,'Database Rates'!$A$1:$D$1000,2,FALSE)</f>
        <v>13</v>
      </c>
    </row>
    <row r="371" spans="1:2" x14ac:dyDescent="0.2">
      <c r="A371" s="41">
        <v>29312</v>
      </c>
      <c r="B371" s="21">
        <f>VLOOKUP(A371,'Database Rates'!$A$1:$D$1000,2,FALSE)</f>
        <v>13</v>
      </c>
    </row>
    <row r="372" spans="1:2" x14ac:dyDescent="0.2">
      <c r="A372" s="41">
        <v>29342</v>
      </c>
      <c r="B372" s="21">
        <f>VLOOKUP(A372,'Database Rates'!$A$1:$D$1000,2,FALSE)</f>
        <v>12.94</v>
      </c>
    </row>
    <row r="373" spans="1:2" x14ac:dyDescent="0.2">
      <c r="A373" s="41">
        <v>29373</v>
      </c>
      <c r="B373" s="21">
        <f>VLOOKUP(A373,'Database Rates'!$A$1:$D$1000,2,FALSE)</f>
        <v>11.4</v>
      </c>
    </row>
    <row r="374" spans="1:2" x14ac:dyDescent="0.2">
      <c r="A374" s="41">
        <v>29403</v>
      </c>
      <c r="B374" s="21">
        <f>VLOOKUP(A374,'Database Rates'!$A$1:$D$1000,2,FALSE)</f>
        <v>10.87</v>
      </c>
    </row>
    <row r="375" spans="1:2" x14ac:dyDescent="0.2">
      <c r="A375" s="41">
        <v>29434</v>
      </c>
      <c r="B375" s="21">
        <f>VLOOKUP(A375,'Database Rates'!$A$1:$D$1000,2,FALSE)</f>
        <v>10</v>
      </c>
    </row>
    <row r="376" spans="1:2" x14ac:dyDescent="0.2">
      <c r="A376" s="41">
        <v>29465</v>
      </c>
      <c r="B376" s="21">
        <f>VLOOKUP(A376,'Database Rates'!$A$1:$D$1000,2,FALSE)</f>
        <v>10.17</v>
      </c>
    </row>
    <row r="377" spans="1:2" x14ac:dyDescent="0.2">
      <c r="A377" s="41">
        <v>29495</v>
      </c>
      <c r="B377" s="21">
        <f>VLOOKUP(A377,'Database Rates'!$A$1:$D$1000,2,FALSE)</f>
        <v>11</v>
      </c>
    </row>
    <row r="378" spans="1:2" x14ac:dyDescent="0.2">
      <c r="A378" s="41">
        <v>29526</v>
      </c>
      <c r="B378" s="21">
        <f>VLOOKUP(A378,'Database Rates'!$A$1:$D$1000,2,FALSE)</f>
        <v>11.47</v>
      </c>
    </row>
    <row r="379" spans="1:2" x14ac:dyDescent="0.2">
      <c r="A379" s="41">
        <v>29556</v>
      </c>
      <c r="B379" s="21">
        <f>VLOOKUP(A379,'Database Rates'!$A$1:$D$1000,2,FALSE)</f>
        <v>12.87</v>
      </c>
    </row>
    <row r="380" spans="1:2" x14ac:dyDescent="0.2">
      <c r="A380" s="41">
        <v>29587</v>
      </c>
      <c r="B380" s="21">
        <f>VLOOKUP(A380,'Database Rates'!$A$1:$D$1000,2,FALSE)</f>
        <v>13</v>
      </c>
    </row>
    <row r="381" spans="1:2" x14ac:dyDescent="0.2">
      <c r="A381" s="41">
        <v>29618</v>
      </c>
      <c r="B381" s="21">
        <f>VLOOKUP(A381,'Database Rates'!$A$1:$D$1000,2,FALSE)</f>
        <v>13</v>
      </c>
    </row>
    <row r="382" spans="1:2" x14ac:dyDescent="0.2">
      <c r="A382" s="41">
        <v>29646</v>
      </c>
      <c r="B382" s="21">
        <f>VLOOKUP(A382,'Database Rates'!$A$1:$D$1000,2,FALSE)</f>
        <v>13</v>
      </c>
    </row>
    <row r="383" spans="1:2" x14ac:dyDescent="0.2">
      <c r="A383" s="41">
        <v>29677</v>
      </c>
      <c r="B383" s="21">
        <f>VLOOKUP(A383,'Database Rates'!$A$1:$D$1000,2,FALSE)</f>
        <v>13</v>
      </c>
    </row>
    <row r="384" spans="1:2" x14ac:dyDescent="0.2">
      <c r="A384" s="41">
        <v>29707</v>
      </c>
      <c r="B384" s="21">
        <f>VLOOKUP(A384,'Database Rates'!$A$1:$D$1000,2,FALSE)</f>
        <v>13.87</v>
      </c>
    </row>
    <row r="385" spans="1:2" x14ac:dyDescent="0.2">
      <c r="A385" s="41">
        <v>29738</v>
      </c>
      <c r="B385" s="21">
        <f>VLOOKUP(A385,'Database Rates'!$A$1:$D$1000,2,FALSE)</f>
        <v>14</v>
      </c>
    </row>
    <row r="386" spans="1:2" x14ac:dyDescent="0.2">
      <c r="A386" s="41">
        <v>29768</v>
      </c>
      <c r="B386" s="21">
        <f>VLOOKUP(A386,'Database Rates'!$A$1:$D$1000,2,FALSE)</f>
        <v>14</v>
      </c>
    </row>
    <row r="387" spans="1:2" x14ac:dyDescent="0.2">
      <c r="A387" s="41">
        <v>29799</v>
      </c>
      <c r="B387" s="21">
        <f>VLOOKUP(A387,'Database Rates'!$A$1:$D$1000,2,FALSE)</f>
        <v>14</v>
      </c>
    </row>
    <row r="388" spans="1:2" x14ac:dyDescent="0.2">
      <c r="A388" s="41">
        <v>29830</v>
      </c>
      <c r="B388" s="21">
        <f>VLOOKUP(A388,'Database Rates'!$A$1:$D$1000,2,FALSE)</f>
        <v>14</v>
      </c>
    </row>
    <row r="389" spans="1:2" x14ac:dyDescent="0.2">
      <c r="A389" s="41">
        <v>29860</v>
      </c>
      <c r="B389" s="21">
        <f>VLOOKUP(A389,'Database Rates'!$A$1:$D$1000,2,FALSE)</f>
        <v>14</v>
      </c>
    </row>
    <row r="390" spans="1:2" x14ac:dyDescent="0.2">
      <c r="A390" s="41">
        <v>29891</v>
      </c>
      <c r="B390" s="21">
        <f>VLOOKUP(A390,'Database Rates'!$A$1:$D$1000,2,FALSE)</f>
        <v>13.03</v>
      </c>
    </row>
    <row r="391" spans="1:2" x14ac:dyDescent="0.2">
      <c r="A391" s="41">
        <v>29921</v>
      </c>
      <c r="B391" s="21">
        <f>VLOOKUP(A391,'Database Rates'!$A$1:$D$1000,2,FALSE)</f>
        <v>12.1</v>
      </c>
    </row>
    <row r="392" spans="1:2" x14ac:dyDescent="0.2">
      <c r="A392" s="41">
        <v>29952</v>
      </c>
      <c r="B392" s="21">
        <f>VLOOKUP(A392,'Database Rates'!$A$1:$D$1000,2,FALSE)</f>
        <v>12</v>
      </c>
    </row>
    <row r="393" spans="1:2" x14ac:dyDescent="0.2">
      <c r="A393" s="41">
        <v>29983</v>
      </c>
      <c r="B393" s="21">
        <f>VLOOKUP(A393,'Database Rates'!$A$1:$D$1000,2,FALSE)</f>
        <v>12</v>
      </c>
    </row>
    <row r="394" spans="1:2" x14ac:dyDescent="0.2">
      <c r="A394" s="41">
        <v>30011</v>
      </c>
      <c r="B394" s="21">
        <f>VLOOKUP(A394,'Database Rates'!$A$1:$D$1000,2,FALSE)</f>
        <v>12</v>
      </c>
    </row>
    <row r="395" spans="1:2" x14ac:dyDescent="0.2">
      <c r="A395" s="41">
        <v>30042</v>
      </c>
      <c r="B395" s="21">
        <f>VLOOKUP(A395,'Database Rates'!$A$1:$D$1000,2,FALSE)</f>
        <v>12</v>
      </c>
    </row>
    <row r="396" spans="1:2" x14ac:dyDescent="0.2">
      <c r="A396" s="41">
        <v>30072</v>
      </c>
      <c r="B396" s="21">
        <f>VLOOKUP(A396,'Database Rates'!$A$1:$D$1000,2,FALSE)</f>
        <v>12</v>
      </c>
    </row>
    <row r="397" spans="1:2" x14ac:dyDescent="0.2">
      <c r="A397" s="41">
        <v>30103</v>
      </c>
      <c r="B397" s="21">
        <f>VLOOKUP(A397,'Database Rates'!$A$1:$D$1000,2,FALSE)</f>
        <v>12</v>
      </c>
    </row>
    <row r="398" spans="1:2" x14ac:dyDescent="0.2">
      <c r="A398" s="41">
        <v>30133</v>
      </c>
      <c r="B398" s="21">
        <f>VLOOKUP(A398,'Database Rates'!$A$1:$D$1000,2,FALSE)</f>
        <v>11.81</v>
      </c>
    </row>
    <row r="399" spans="1:2" x14ac:dyDescent="0.2">
      <c r="A399" s="41">
        <v>30164</v>
      </c>
      <c r="B399" s="21">
        <f>VLOOKUP(A399,'Database Rates'!$A$1:$D$1000,2,FALSE)</f>
        <v>10.68</v>
      </c>
    </row>
    <row r="400" spans="1:2" x14ac:dyDescent="0.2">
      <c r="A400" s="41">
        <v>30195</v>
      </c>
      <c r="B400" s="21">
        <f>VLOOKUP(A400,'Database Rates'!$A$1:$D$1000,2,FALSE)</f>
        <v>10</v>
      </c>
    </row>
    <row r="401" spans="1:2" x14ac:dyDescent="0.2">
      <c r="A401" s="41">
        <v>30225</v>
      </c>
      <c r="B401" s="21">
        <f>VLOOKUP(A401,'Database Rates'!$A$1:$D$1000,2,FALSE)</f>
        <v>9.68</v>
      </c>
    </row>
    <row r="402" spans="1:2" x14ac:dyDescent="0.2">
      <c r="A402" s="41">
        <v>30256</v>
      </c>
      <c r="B402" s="21">
        <f>VLOOKUP(A402,'Database Rates'!$A$1:$D$1000,2,FALSE)</f>
        <v>9.35</v>
      </c>
    </row>
    <row r="403" spans="1:2" x14ac:dyDescent="0.2">
      <c r="A403" s="41">
        <v>30286</v>
      </c>
      <c r="B403" s="21">
        <f>VLOOKUP(A403,'Database Rates'!$A$1:$D$1000,2,FALSE)</f>
        <v>8.73</v>
      </c>
    </row>
    <row r="404" spans="1:2" x14ac:dyDescent="0.2">
      <c r="A404" s="41">
        <v>30317</v>
      </c>
      <c r="B404" s="21">
        <f>VLOOKUP(A404,'Database Rates'!$A$1:$D$1000,2,FALSE)</f>
        <v>8.5</v>
      </c>
    </row>
    <row r="405" spans="1:2" x14ac:dyDescent="0.2">
      <c r="A405" s="41">
        <v>30348</v>
      </c>
      <c r="B405" s="21">
        <f>VLOOKUP(A405,'Database Rates'!$A$1:$D$1000,2,FALSE)</f>
        <v>8.5</v>
      </c>
    </row>
    <row r="406" spans="1:2" x14ac:dyDescent="0.2">
      <c r="A406" s="41">
        <v>30376</v>
      </c>
      <c r="B406" s="21">
        <f>VLOOKUP(A406,'Database Rates'!$A$1:$D$1000,2,FALSE)</f>
        <v>8.5</v>
      </c>
    </row>
    <row r="407" spans="1:2" x14ac:dyDescent="0.2">
      <c r="A407" s="41">
        <v>30407</v>
      </c>
      <c r="B407" s="21">
        <f>VLOOKUP(A407,'Database Rates'!$A$1:$D$1000,2,FALSE)</f>
        <v>8.5</v>
      </c>
    </row>
    <row r="408" spans="1:2" x14ac:dyDescent="0.2">
      <c r="A408" s="41">
        <v>30437</v>
      </c>
      <c r="B408" s="21">
        <f>VLOOKUP(A408,'Database Rates'!$A$1:$D$1000,2,FALSE)</f>
        <v>8.5</v>
      </c>
    </row>
    <row r="409" spans="1:2" x14ac:dyDescent="0.2">
      <c r="A409" s="41">
        <v>30468</v>
      </c>
      <c r="B409" s="21">
        <f>VLOOKUP(A409,'Database Rates'!$A$1:$D$1000,2,FALSE)</f>
        <v>8.5</v>
      </c>
    </row>
    <row r="410" spans="1:2" x14ac:dyDescent="0.2">
      <c r="A410" s="41">
        <v>30498</v>
      </c>
      <c r="B410" s="21">
        <f>VLOOKUP(A410,'Database Rates'!$A$1:$D$1000,2,FALSE)</f>
        <v>8.5</v>
      </c>
    </row>
    <row r="411" spans="1:2" x14ac:dyDescent="0.2">
      <c r="A411" s="41">
        <v>30529</v>
      </c>
      <c r="B411" s="21">
        <f>VLOOKUP(A411,'Database Rates'!$A$1:$D$1000,2,FALSE)</f>
        <v>8.5</v>
      </c>
    </row>
    <row r="412" spans="1:2" x14ac:dyDescent="0.2">
      <c r="A412" s="41">
        <v>30560</v>
      </c>
      <c r="B412" s="21">
        <f>VLOOKUP(A412,'Database Rates'!$A$1:$D$1000,2,FALSE)</f>
        <v>8.5</v>
      </c>
    </row>
    <row r="413" spans="1:2" x14ac:dyDescent="0.2">
      <c r="A413" s="41">
        <v>30590</v>
      </c>
      <c r="B413" s="21">
        <f>VLOOKUP(A413,'Database Rates'!$A$1:$D$1000,2,FALSE)</f>
        <v>8.5</v>
      </c>
    </row>
    <row r="414" spans="1:2" x14ac:dyDescent="0.2">
      <c r="A414" s="41">
        <v>30621</v>
      </c>
      <c r="B414" s="21">
        <f>VLOOKUP(A414,'Database Rates'!$A$1:$D$1000,2,FALSE)</f>
        <v>8.5</v>
      </c>
    </row>
    <row r="415" spans="1:2" x14ac:dyDescent="0.2">
      <c r="A415" s="41">
        <v>30651</v>
      </c>
      <c r="B415" s="21">
        <f>VLOOKUP(A415,'Database Rates'!$A$1:$D$1000,2,FALSE)</f>
        <v>8.5</v>
      </c>
    </row>
    <row r="416" spans="1:2" x14ac:dyDescent="0.2">
      <c r="A416" s="41">
        <v>30682</v>
      </c>
      <c r="B416" s="21">
        <f>VLOOKUP(A416,'Database Rates'!$A$1:$D$1000,2,FALSE)</f>
        <v>8.5</v>
      </c>
    </row>
    <row r="417" spans="1:2" x14ac:dyDescent="0.2">
      <c r="A417" s="41">
        <v>30713</v>
      </c>
      <c r="B417" s="21">
        <f>VLOOKUP(A417,'Database Rates'!$A$1:$D$1000,2,FALSE)</f>
        <v>8.5</v>
      </c>
    </row>
    <row r="418" spans="1:2" x14ac:dyDescent="0.2">
      <c r="A418" s="41">
        <v>30742</v>
      </c>
      <c r="B418" s="21">
        <f>VLOOKUP(A418,'Database Rates'!$A$1:$D$1000,2,FALSE)</f>
        <v>8.5</v>
      </c>
    </row>
    <row r="419" spans="1:2" x14ac:dyDescent="0.2">
      <c r="A419" s="41">
        <v>30773</v>
      </c>
      <c r="B419" s="21">
        <f>VLOOKUP(A419,'Database Rates'!$A$1:$D$1000,2,FALSE)</f>
        <v>8.8699999999999992</v>
      </c>
    </row>
    <row r="420" spans="1:2" x14ac:dyDescent="0.2">
      <c r="A420" s="41">
        <v>30803</v>
      </c>
      <c r="B420" s="21">
        <f>VLOOKUP(A420,'Database Rates'!$A$1:$D$1000,2,FALSE)</f>
        <v>9</v>
      </c>
    </row>
    <row r="421" spans="1:2" x14ac:dyDescent="0.2">
      <c r="A421" s="41">
        <v>30834</v>
      </c>
      <c r="B421" s="21">
        <f>VLOOKUP(A421,'Database Rates'!$A$1:$D$1000,2,FALSE)</f>
        <v>9</v>
      </c>
    </row>
    <row r="422" spans="1:2" x14ac:dyDescent="0.2">
      <c r="A422" s="41">
        <v>30864</v>
      </c>
      <c r="B422" s="21">
        <f>VLOOKUP(A422,'Database Rates'!$A$1:$D$1000,2,FALSE)</f>
        <v>9</v>
      </c>
    </row>
    <row r="423" spans="1:2" x14ac:dyDescent="0.2">
      <c r="A423" s="41">
        <v>30895</v>
      </c>
      <c r="B423" s="21">
        <f>VLOOKUP(A423,'Database Rates'!$A$1:$D$1000,2,FALSE)</f>
        <v>9</v>
      </c>
    </row>
    <row r="424" spans="1:2" x14ac:dyDescent="0.2">
      <c r="A424" s="41">
        <v>30926</v>
      </c>
      <c r="B424" s="21">
        <f>VLOOKUP(A424,'Database Rates'!$A$1:$D$1000,2,FALSE)</f>
        <v>9</v>
      </c>
    </row>
    <row r="425" spans="1:2" x14ac:dyDescent="0.2">
      <c r="A425" s="41">
        <v>30956</v>
      </c>
      <c r="B425" s="21">
        <f>VLOOKUP(A425,'Database Rates'!$A$1:$D$1000,2,FALSE)</f>
        <v>9</v>
      </c>
    </row>
    <row r="426" spans="1:2" x14ac:dyDescent="0.2">
      <c r="A426" s="41">
        <v>30987</v>
      </c>
      <c r="B426" s="21">
        <f>VLOOKUP(A426,'Database Rates'!$A$1:$D$1000,2,FALSE)</f>
        <v>8.83</v>
      </c>
    </row>
    <row r="427" spans="1:2" x14ac:dyDescent="0.2">
      <c r="A427" s="41">
        <v>31017</v>
      </c>
      <c r="B427" s="21">
        <f>VLOOKUP(A427,'Database Rates'!$A$1:$D$1000,2,FALSE)</f>
        <v>8.3699999999999992</v>
      </c>
    </row>
    <row r="428" spans="1:2" x14ac:dyDescent="0.2">
      <c r="A428" s="41">
        <v>31048</v>
      </c>
      <c r="B428" s="21">
        <f>VLOOKUP(A428,'Database Rates'!$A$1:$D$1000,2,FALSE)</f>
        <v>8</v>
      </c>
    </row>
    <row r="429" spans="1:2" x14ac:dyDescent="0.2">
      <c r="A429" s="41">
        <v>31079</v>
      </c>
      <c r="B429" s="21">
        <f>VLOOKUP(A429,'Database Rates'!$A$1:$D$1000,2,FALSE)</f>
        <v>8</v>
      </c>
    </row>
    <row r="430" spans="1:2" x14ac:dyDescent="0.2">
      <c r="A430" s="41">
        <v>31107</v>
      </c>
      <c r="B430" s="21">
        <f>VLOOKUP(A430,'Database Rates'!$A$1:$D$1000,2,FALSE)</f>
        <v>8</v>
      </c>
    </row>
    <row r="431" spans="1:2" x14ac:dyDescent="0.2">
      <c r="A431" s="41">
        <v>31138</v>
      </c>
      <c r="B431" s="21">
        <f>VLOOKUP(A431,'Database Rates'!$A$1:$D$1000,2,FALSE)</f>
        <v>8</v>
      </c>
    </row>
    <row r="432" spans="1:2" x14ac:dyDescent="0.2">
      <c r="A432" s="41">
        <v>31168</v>
      </c>
      <c r="B432" s="21">
        <f>VLOOKUP(A432,'Database Rates'!$A$1:$D$1000,2,FALSE)</f>
        <v>7.81</v>
      </c>
    </row>
    <row r="433" spans="1:2" x14ac:dyDescent="0.2">
      <c r="A433" s="41">
        <v>31199</v>
      </c>
      <c r="B433" s="21">
        <f>VLOOKUP(A433,'Database Rates'!$A$1:$D$1000,2,FALSE)</f>
        <v>7.5</v>
      </c>
    </row>
    <row r="434" spans="1:2" x14ac:dyDescent="0.2">
      <c r="A434" s="41">
        <v>31229</v>
      </c>
      <c r="B434" s="21">
        <f>VLOOKUP(A434,'Database Rates'!$A$1:$D$1000,2,FALSE)</f>
        <v>7.5</v>
      </c>
    </row>
    <row r="435" spans="1:2" x14ac:dyDescent="0.2">
      <c r="A435" s="41">
        <v>31260</v>
      </c>
      <c r="B435" s="21">
        <f>VLOOKUP(A435,'Database Rates'!$A$1:$D$1000,2,FALSE)</f>
        <v>7.5</v>
      </c>
    </row>
    <row r="436" spans="1:2" x14ac:dyDescent="0.2">
      <c r="A436" s="41">
        <v>31291</v>
      </c>
      <c r="B436" s="21">
        <f>VLOOKUP(A436,'Database Rates'!$A$1:$D$1000,2,FALSE)</f>
        <v>7.5</v>
      </c>
    </row>
    <row r="437" spans="1:2" x14ac:dyDescent="0.2">
      <c r="A437" s="41">
        <v>31321</v>
      </c>
      <c r="B437" s="21">
        <f>VLOOKUP(A437,'Database Rates'!$A$1:$D$1000,2,FALSE)</f>
        <v>7.5</v>
      </c>
    </row>
    <row r="438" spans="1:2" x14ac:dyDescent="0.2">
      <c r="A438" s="41">
        <v>31352</v>
      </c>
      <c r="B438" s="21">
        <f>VLOOKUP(A438,'Database Rates'!$A$1:$D$1000,2,FALSE)</f>
        <v>7.5</v>
      </c>
    </row>
    <row r="439" spans="1:2" x14ac:dyDescent="0.2">
      <c r="A439" s="41">
        <v>31382</v>
      </c>
      <c r="B439" s="21">
        <f>VLOOKUP(A439,'Database Rates'!$A$1:$D$1000,2,FALSE)</f>
        <v>7.5</v>
      </c>
    </row>
    <row r="440" spans="1:2" x14ac:dyDescent="0.2">
      <c r="A440" s="41">
        <v>31413</v>
      </c>
      <c r="B440" s="21">
        <f>VLOOKUP(A440,'Database Rates'!$A$1:$D$1000,2,FALSE)</f>
        <v>7.5</v>
      </c>
    </row>
    <row r="441" spans="1:2" x14ac:dyDescent="0.2">
      <c r="A441" s="41">
        <v>31444</v>
      </c>
      <c r="B441" s="21">
        <f>VLOOKUP(A441,'Database Rates'!$A$1:$D$1000,2,FALSE)</f>
        <v>7.5</v>
      </c>
    </row>
    <row r="442" spans="1:2" x14ac:dyDescent="0.2">
      <c r="A442" s="41">
        <v>31472</v>
      </c>
      <c r="B442" s="21">
        <f>VLOOKUP(A442,'Database Rates'!$A$1:$D$1000,2,FALSE)</f>
        <v>7.1</v>
      </c>
    </row>
    <row r="443" spans="1:2" x14ac:dyDescent="0.2">
      <c r="A443" s="41">
        <v>31503</v>
      </c>
      <c r="B443" s="21">
        <f>VLOOKUP(A443,'Database Rates'!$A$1:$D$1000,2,FALSE)</f>
        <v>6.83</v>
      </c>
    </row>
    <row r="444" spans="1:2" x14ac:dyDescent="0.2">
      <c r="A444" s="41">
        <v>31533</v>
      </c>
      <c r="B444" s="21">
        <f>VLOOKUP(A444,'Database Rates'!$A$1:$D$1000,2,FALSE)</f>
        <v>6.5</v>
      </c>
    </row>
    <row r="445" spans="1:2" x14ac:dyDescent="0.2">
      <c r="A445" s="41">
        <v>31564</v>
      </c>
      <c r="B445" s="21">
        <f>VLOOKUP(A445,'Database Rates'!$A$1:$D$1000,2,FALSE)</f>
        <v>6.5</v>
      </c>
    </row>
    <row r="446" spans="1:2" x14ac:dyDescent="0.2">
      <c r="A446" s="41">
        <v>31594</v>
      </c>
      <c r="B446" s="21">
        <f>VLOOKUP(A446,'Database Rates'!$A$1:$D$1000,2,FALSE)</f>
        <v>6.16</v>
      </c>
    </row>
    <row r="447" spans="1:2" x14ac:dyDescent="0.2">
      <c r="A447" s="41">
        <v>31625</v>
      </c>
      <c r="B447" s="21">
        <f>VLOOKUP(A447,'Database Rates'!$A$1:$D$1000,2,FALSE)</f>
        <v>5.82</v>
      </c>
    </row>
    <row r="448" spans="1:2" x14ac:dyDescent="0.2">
      <c r="A448" s="41">
        <v>31656</v>
      </c>
      <c r="B448" s="21">
        <f>VLOOKUP(A448,'Database Rates'!$A$1:$D$1000,2,FALSE)</f>
        <v>5.5</v>
      </c>
    </row>
    <row r="449" spans="1:2" x14ac:dyDescent="0.2">
      <c r="A449" s="41">
        <v>31686</v>
      </c>
      <c r="B449" s="21">
        <f>VLOOKUP(A449,'Database Rates'!$A$1:$D$1000,2,FALSE)</f>
        <v>5.5</v>
      </c>
    </row>
    <row r="450" spans="1:2" x14ac:dyDescent="0.2">
      <c r="A450" s="41">
        <v>31717</v>
      </c>
      <c r="B450" s="21">
        <f>VLOOKUP(A450,'Database Rates'!$A$1:$D$1000,2,FALSE)</f>
        <v>5.5</v>
      </c>
    </row>
    <row r="451" spans="1:2" x14ac:dyDescent="0.2">
      <c r="A451" s="41">
        <v>31747</v>
      </c>
      <c r="B451" s="21">
        <f>VLOOKUP(A451,'Database Rates'!$A$1:$D$1000,2,FALSE)</f>
        <v>5.5</v>
      </c>
    </row>
    <row r="452" spans="1:2" x14ac:dyDescent="0.2">
      <c r="A452" s="41">
        <v>31778</v>
      </c>
      <c r="B452" s="21">
        <f>VLOOKUP(A452,'Database Rates'!$A$1:$D$1000,2,FALSE)</f>
        <v>5.5</v>
      </c>
    </row>
    <row r="453" spans="1:2" x14ac:dyDescent="0.2">
      <c r="A453" s="41">
        <v>31809</v>
      </c>
      <c r="B453" s="21">
        <f>VLOOKUP(A453,'Database Rates'!$A$1:$D$1000,2,FALSE)</f>
        <v>5.5</v>
      </c>
    </row>
    <row r="454" spans="1:2" x14ac:dyDescent="0.2">
      <c r="A454" s="41">
        <v>31837</v>
      </c>
      <c r="B454" s="21">
        <f>VLOOKUP(A454,'Database Rates'!$A$1:$D$1000,2,FALSE)</f>
        <v>5.5</v>
      </c>
    </row>
    <row r="455" spans="1:2" x14ac:dyDescent="0.2">
      <c r="A455" s="41">
        <v>31868</v>
      </c>
      <c r="B455" s="21">
        <f>VLOOKUP(A455,'Database Rates'!$A$1:$D$1000,2,FALSE)</f>
        <v>5.5</v>
      </c>
    </row>
    <row r="456" spans="1:2" x14ac:dyDescent="0.2">
      <c r="A456" s="41">
        <v>31898</v>
      </c>
      <c r="B456" s="21">
        <f>VLOOKUP(A456,'Database Rates'!$A$1:$D$1000,2,FALSE)</f>
        <v>5.5</v>
      </c>
    </row>
    <row r="457" spans="1:2" x14ac:dyDescent="0.2">
      <c r="A457" s="41">
        <v>31929</v>
      </c>
      <c r="B457" s="21">
        <f>VLOOKUP(A457,'Database Rates'!$A$1:$D$1000,2,FALSE)</f>
        <v>5.5</v>
      </c>
    </row>
    <row r="458" spans="1:2" x14ac:dyDescent="0.2">
      <c r="A458" s="41">
        <v>31959</v>
      </c>
      <c r="B458" s="21">
        <f>VLOOKUP(A458,'Database Rates'!$A$1:$D$1000,2,FALSE)</f>
        <v>5.5</v>
      </c>
    </row>
    <row r="459" spans="1:2" x14ac:dyDescent="0.2">
      <c r="A459" s="41">
        <v>31990</v>
      </c>
      <c r="B459" s="21">
        <f>VLOOKUP(A459,'Database Rates'!$A$1:$D$1000,2,FALSE)</f>
        <v>5.5</v>
      </c>
    </row>
    <row r="460" spans="1:2" x14ac:dyDescent="0.2">
      <c r="A460" s="41">
        <v>32021</v>
      </c>
      <c r="B460" s="21">
        <f>VLOOKUP(A460,'Database Rates'!$A$1:$D$1000,2,FALSE)</f>
        <v>5.95</v>
      </c>
    </row>
    <row r="461" spans="1:2" x14ac:dyDescent="0.2">
      <c r="A461" s="41">
        <v>32051</v>
      </c>
      <c r="B461" s="21">
        <f>VLOOKUP(A461,'Database Rates'!$A$1:$D$1000,2,FALSE)</f>
        <v>6</v>
      </c>
    </row>
    <row r="462" spans="1:2" x14ac:dyDescent="0.2">
      <c r="A462" s="41">
        <v>32082</v>
      </c>
      <c r="B462" s="21">
        <f>VLOOKUP(A462,'Database Rates'!$A$1:$D$1000,2,FALSE)</f>
        <v>6</v>
      </c>
    </row>
    <row r="463" spans="1:2" x14ac:dyDescent="0.2">
      <c r="A463" s="41">
        <v>32112</v>
      </c>
      <c r="B463" s="21">
        <f>VLOOKUP(A463,'Database Rates'!$A$1:$D$1000,2,FALSE)</f>
        <v>6</v>
      </c>
    </row>
    <row r="464" spans="1:2" x14ac:dyDescent="0.2">
      <c r="A464" s="41">
        <v>32143</v>
      </c>
      <c r="B464" s="21">
        <f>VLOOKUP(A464,'Database Rates'!$A$1:$D$1000,2,FALSE)</f>
        <v>6</v>
      </c>
    </row>
    <row r="465" spans="1:2" x14ac:dyDescent="0.2">
      <c r="A465" s="41">
        <v>32174</v>
      </c>
      <c r="B465" s="21">
        <f>VLOOKUP(A465,'Database Rates'!$A$1:$D$1000,2,FALSE)</f>
        <v>6</v>
      </c>
    </row>
    <row r="466" spans="1:2" x14ac:dyDescent="0.2">
      <c r="A466" s="41">
        <v>32203</v>
      </c>
      <c r="B466" s="21">
        <f>VLOOKUP(A466,'Database Rates'!$A$1:$D$1000,2,FALSE)</f>
        <v>6</v>
      </c>
    </row>
    <row r="467" spans="1:2" x14ac:dyDescent="0.2">
      <c r="A467" s="41">
        <v>32234</v>
      </c>
      <c r="B467" s="21">
        <f>VLOOKUP(A467,'Database Rates'!$A$1:$D$1000,2,FALSE)</f>
        <v>6</v>
      </c>
    </row>
    <row r="468" spans="1:2" x14ac:dyDescent="0.2">
      <c r="A468" s="41">
        <v>32264</v>
      </c>
      <c r="B468" s="21">
        <f>VLOOKUP(A468,'Database Rates'!$A$1:$D$1000,2,FALSE)</f>
        <v>6</v>
      </c>
    </row>
    <row r="469" spans="1:2" x14ac:dyDescent="0.2">
      <c r="A469" s="41">
        <v>32295</v>
      </c>
      <c r="B469" s="21">
        <f>VLOOKUP(A469,'Database Rates'!$A$1:$D$1000,2,FALSE)</f>
        <v>6</v>
      </c>
    </row>
    <row r="470" spans="1:2" x14ac:dyDescent="0.2">
      <c r="A470" s="41">
        <v>32325</v>
      </c>
      <c r="B470" s="21">
        <f>VLOOKUP(A470,'Database Rates'!$A$1:$D$1000,2,FALSE)</f>
        <v>6</v>
      </c>
    </row>
    <row r="471" spans="1:2" x14ac:dyDescent="0.2">
      <c r="A471" s="41">
        <v>32356</v>
      </c>
      <c r="B471" s="21">
        <f>VLOOKUP(A471,'Database Rates'!$A$1:$D$1000,2,FALSE)</f>
        <v>6.37</v>
      </c>
    </row>
    <row r="472" spans="1:2" x14ac:dyDescent="0.2">
      <c r="A472" s="41">
        <v>32387</v>
      </c>
      <c r="B472" s="21">
        <f>VLOOKUP(A472,'Database Rates'!$A$1:$D$1000,2,FALSE)</f>
        <v>6.5</v>
      </c>
    </row>
    <row r="473" spans="1:2" x14ac:dyDescent="0.2">
      <c r="A473" s="41">
        <v>32417</v>
      </c>
      <c r="B473" s="21">
        <f>VLOOKUP(A473,'Database Rates'!$A$1:$D$1000,2,FALSE)</f>
        <v>6.5</v>
      </c>
    </row>
    <row r="474" spans="1:2" x14ac:dyDescent="0.2">
      <c r="A474" s="41">
        <v>32448</v>
      </c>
      <c r="B474" s="21">
        <f>VLOOKUP(A474,'Database Rates'!$A$1:$D$1000,2,FALSE)</f>
        <v>6.5</v>
      </c>
    </row>
    <row r="475" spans="1:2" x14ac:dyDescent="0.2">
      <c r="A475" s="41">
        <v>32478</v>
      </c>
      <c r="B475" s="21">
        <f>VLOOKUP(A475,'Database Rates'!$A$1:$D$1000,2,FALSE)</f>
        <v>6.5</v>
      </c>
    </row>
    <row r="476" spans="1:2" x14ac:dyDescent="0.2">
      <c r="A476" s="41">
        <v>32509</v>
      </c>
      <c r="B476" s="21">
        <f>VLOOKUP(A476,'Database Rates'!$A$1:$D$1000,2,FALSE)</f>
        <v>6.5</v>
      </c>
    </row>
    <row r="477" spans="1:2" x14ac:dyDescent="0.2">
      <c r="A477" s="41">
        <v>32540</v>
      </c>
      <c r="B477" s="21">
        <f>VLOOKUP(A477,'Database Rates'!$A$1:$D$1000,2,FALSE)</f>
        <v>6.59</v>
      </c>
    </row>
    <row r="478" spans="1:2" x14ac:dyDescent="0.2">
      <c r="A478" s="41">
        <v>32568</v>
      </c>
      <c r="B478" s="21">
        <f>VLOOKUP(A478,'Database Rates'!$A$1:$D$1000,2,FALSE)</f>
        <v>7</v>
      </c>
    </row>
    <row r="479" spans="1:2" x14ac:dyDescent="0.2">
      <c r="A479" s="41">
        <v>32599</v>
      </c>
      <c r="B479" s="21">
        <f>VLOOKUP(A479,'Database Rates'!$A$1:$D$1000,2,FALSE)</f>
        <v>7</v>
      </c>
    </row>
    <row r="480" spans="1:2" x14ac:dyDescent="0.2">
      <c r="A480" s="41">
        <v>32629</v>
      </c>
      <c r="B480" s="21">
        <f>VLOOKUP(A480,'Database Rates'!$A$1:$D$1000,2,FALSE)</f>
        <v>7</v>
      </c>
    </row>
    <row r="481" spans="1:2" x14ac:dyDescent="0.2">
      <c r="A481" s="41">
        <v>32660</v>
      </c>
      <c r="B481" s="21">
        <f>VLOOKUP(A481,'Database Rates'!$A$1:$D$1000,2,FALSE)</f>
        <v>7</v>
      </c>
    </row>
    <row r="482" spans="1:2" x14ac:dyDescent="0.2">
      <c r="A482" s="41">
        <v>32690</v>
      </c>
      <c r="B482" s="21">
        <f>VLOOKUP(A482,'Database Rates'!$A$1:$D$1000,2,FALSE)</f>
        <v>7</v>
      </c>
    </row>
    <row r="483" spans="1:2" x14ac:dyDescent="0.2">
      <c r="A483" s="41">
        <v>32721</v>
      </c>
      <c r="B483" s="21">
        <f>VLOOKUP(A483,'Database Rates'!$A$1:$D$1000,2,FALSE)</f>
        <v>7</v>
      </c>
    </row>
    <row r="484" spans="1:2" x14ac:dyDescent="0.2">
      <c r="A484" s="41">
        <v>32752</v>
      </c>
      <c r="B484" s="21">
        <f>VLOOKUP(A484,'Database Rates'!$A$1:$D$1000,2,FALSE)</f>
        <v>7</v>
      </c>
    </row>
    <row r="485" spans="1:2" x14ac:dyDescent="0.2">
      <c r="A485" s="41">
        <v>32782</v>
      </c>
      <c r="B485" s="21">
        <f>VLOOKUP(A485,'Database Rates'!$A$1:$D$1000,2,FALSE)</f>
        <v>7</v>
      </c>
    </row>
    <row r="486" spans="1:2" x14ac:dyDescent="0.2">
      <c r="A486" s="41">
        <v>32813</v>
      </c>
      <c r="B486" s="21">
        <f>VLOOKUP(A486,'Database Rates'!$A$1:$D$1000,2,FALSE)</f>
        <v>7</v>
      </c>
    </row>
    <row r="487" spans="1:2" x14ac:dyDescent="0.2">
      <c r="A487" s="41">
        <v>32843</v>
      </c>
      <c r="B487" s="21">
        <f>VLOOKUP(A487,'Database Rates'!$A$1:$D$1000,2,FALSE)</f>
        <v>7</v>
      </c>
    </row>
    <row r="488" spans="1:2" x14ac:dyDescent="0.2">
      <c r="A488" s="41">
        <v>32874</v>
      </c>
      <c r="B488" s="21">
        <f>VLOOKUP(A488,'Database Rates'!$A$1:$D$1000,2,FALSE)</f>
        <v>7</v>
      </c>
    </row>
    <row r="489" spans="1:2" x14ac:dyDescent="0.2">
      <c r="A489" s="41">
        <v>32905</v>
      </c>
      <c r="B489" s="21">
        <f>VLOOKUP(A489,'Database Rates'!$A$1:$D$1000,2,FALSE)</f>
        <v>7</v>
      </c>
    </row>
    <row r="490" spans="1:2" x14ac:dyDescent="0.2">
      <c r="A490" s="41">
        <v>32933</v>
      </c>
      <c r="B490" s="21">
        <f>VLOOKUP(A490,'Database Rates'!$A$1:$D$1000,2,FALSE)</f>
        <v>7</v>
      </c>
    </row>
    <row r="491" spans="1:2" x14ac:dyDescent="0.2">
      <c r="A491" s="41">
        <v>32964</v>
      </c>
      <c r="B491" s="21">
        <f>VLOOKUP(A491,'Database Rates'!$A$1:$D$1000,2,FALSE)</f>
        <v>7</v>
      </c>
    </row>
    <row r="492" spans="1:2" x14ac:dyDescent="0.2">
      <c r="A492" s="41">
        <v>32994</v>
      </c>
      <c r="B492" s="21">
        <f>VLOOKUP(A492,'Database Rates'!$A$1:$D$1000,2,FALSE)</f>
        <v>7</v>
      </c>
    </row>
    <row r="493" spans="1:2" x14ac:dyDescent="0.2">
      <c r="A493" s="41">
        <v>33025</v>
      </c>
      <c r="B493" s="21">
        <f>VLOOKUP(A493,'Database Rates'!$A$1:$D$1000,2,FALSE)</f>
        <v>7</v>
      </c>
    </row>
    <row r="494" spans="1:2" x14ac:dyDescent="0.2">
      <c r="A494" s="41">
        <v>33055</v>
      </c>
      <c r="B494" s="21">
        <f>VLOOKUP(A494,'Database Rates'!$A$1:$D$1000,2,FALSE)</f>
        <v>7</v>
      </c>
    </row>
    <row r="495" spans="1:2" x14ac:dyDescent="0.2">
      <c r="A495" s="41">
        <v>33086</v>
      </c>
      <c r="B495" s="21">
        <f>VLOOKUP(A495,'Database Rates'!$A$1:$D$1000,2,FALSE)</f>
        <v>7</v>
      </c>
    </row>
    <row r="496" spans="1:2" x14ac:dyDescent="0.2">
      <c r="A496" s="41">
        <v>33117</v>
      </c>
      <c r="B496" s="21">
        <f>VLOOKUP(A496,'Database Rates'!$A$1:$D$1000,2,FALSE)</f>
        <v>7</v>
      </c>
    </row>
    <row r="497" spans="1:2" x14ac:dyDescent="0.2">
      <c r="A497" s="41">
        <v>33147</v>
      </c>
      <c r="B497" s="21">
        <f>VLOOKUP(A497,'Database Rates'!$A$1:$D$1000,2,FALSE)</f>
        <v>7</v>
      </c>
    </row>
    <row r="498" spans="1:2" x14ac:dyDescent="0.2">
      <c r="A498" s="41">
        <v>33178</v>
      </c>
      <c r="B498" s="21">
        <f>VLOOKUP(A498,'Database Rates'!$A$1:$D$1000,2,FALSE)</f>
        <v>7</v>
      </c>
    </row>
    <row r="499" spans="1:2" x14ac:dyDescent="0.2">
      <c r="A499" s="41">
        <v>33208</v>
      </c>
      <c r="B499" s="21">
        <f>VLOOKUP(A499,'Database Rates'!$A$1:$D$1000,2,FALSE)</f>
        <v>6.79</v>
      </c>
    </row>
    <row r="500" spans="1:2" x14ac:dyDescent="0.2">
      <c r="A500" s="41">
        <v>33239</v>
      </c>
      <c r="B500" s="21">
        <f>VLOOKUP(A500,'Database Rates'!$A$1:$D$1000,2,FALSE)</f>
        <v>6.5</v>
      </c>
    </row>
    <row r="501" spans="1:2" x14ac:dyDescent="0.2">
      <c r="A501" s="41">
        <v>33270</v>
      </c>
      <c r="B501" s="21">
        <f>VLOOKUP(A501,'Database Rates'!$A$1:$D$1000,2,FALSE)</f>
        <v>6</v>
      </c>
    </row>
    <row r="502" spans="1:2" x14ac:dyDescent="0.2">
      <c r="A502" s="41">
        <v>33298</v>
      </c>
      <c r="B502" s="21">
        <f>VLOOKUP(A502,'Database Rates'!$A$1:$D$1000,2,FALSE)</f>
        <v>6</v>
      </c>
    </row>
    <row r="503" spans="1:2" x14ac:dyDescent="0.2">
      <c r="A503" s="41">
        <v>33329</v>
      </c>
      <c r="B503" s="21">
        <f>VLOOKUP(A503,'Database Rates'!$A$1:$D$1000,2,FALSE)</f>
        <v>5.98</v>
      </c>
    </row>
    <row r="504" spans="1:2" x14ac:dyDescent="0.2">
      <c r="A504" s="41">
        <v>33359</v>
      </c>
      <c r="B504" s="21">
        <f>VLOOKUP(A504,'Database Rates'!$A$1:$D$1000,2,FALSE)</f>
        <v>5.5</v>
      </c>
    </row>
    <row r="505" spans="1:2" x14ac:dyDescent="0.2">
      <c r="A505" s="41">
        <v>33390</v>
      </c>
      <c r="B505" s="21">
        <f>VLOOKUP(A505,'Database Rates'!$A$1:$D$1000,2,FALSE)</f>
        <v>5.5</v>
      </c>
    </row>
    <row r="506" spans="1:2" x14ac:dyDescent="0.2">
      <c r="A506" s="41">
        <v>33420</v>
      </c>
      <c r="B506" s="21">
        <f>VLOOKUP(A506,'Database Rates'!$A$1:$D$1000,2,FALSE)</f>
        <v>5.5</v>
      </c>
    </row>
    <row r="507" spans="1:2" x14ac:dyDescent="0.2">
      <c r="A507" s="41">
        <v>33451</v>
      </c>
      <c r="B507" s="21">
        <f>VLOOKUP(A507,'Database Rates'!$A$1:$D$1000,2,FALSE)</f>
        <v>5.5</v>
      </c>
    </row>
    <row r="508" spans="1:2" x14ac:dyDescent="0.2">
      <c r="A508" s="41">
        <v>33482</v>
      </c>
      <c r="B508" s="21">
        <f>VLOOKUP(A508,'Database Rates'!$A$1:$D$1000,2,FALSE)</f>
        <v>5.2</v>
      </c>
    </row>
    <row r="509" spans="1:2" x14ac:dyDescent="0.2">
      <c r="A509" s="41">
        <v>33512</v>
      </c>
      <c r="B509" s="21">
        <f>VLOOKUP(A509,'Database Rates'!$A$1:$D$1000,2,FALSE)</f>
        <v>5</v>
      </c>
    </row>
    <row r="510" spans="1:2" x14ac:dyDescent="0.2">
      <c r="A510" s="41">
        <v>33543</v>
      </c>
      <c r="B510" s="21">
        <f>VLOOKUP(A510,'Database Rates'!$A$1:$D$1000,2,FALSE)</f>
        <v>4.58</v>
      </c>
    </row>
    <row r="511" spans="1:2" x14ac:dyDescent="0.2">
      <c r="A511" s="41">
        <v>33573</v>
      </c>
      <c r="B511" s="21">
        <f>VLOOKUP(A511,'Database Rates'!$A$1:$D$1000,2,FALSE)</f>
        <v>4.1100000000000003</v>
      </c>
    </row>
    <row r="512" spans="1:2" x14ac:dyDescent="0.2">
      <c r="A512" s="41">
        <v>33604</v>
      </c>
      <c r="B512" s="21">
        <f>VLOOKUP(A512,'Database Rates'!$A$1:$D$1000,2,FALSE)</f>
        <v>3.5</v>
      </c>
    </row>
    <row r="513" spans="1:2" x14ac:dyDescent="0.2">
      <c r="A513" s="41">
        <v>33635</v>
      </c>
      <c r="B513" s="21">
        <f>VLOOKUP(A513,'Database Rates'!$A$1:$D$1000,2,FALSE)</f>
        <v>3.5</v>
      </c>
    </row>
    <row r="514" spans="1:2" x14ac:dyDescent="0.2">
      <c r="A514" s="41">
        <v>33664</v>
      </c>
      <c r="B514" s="21">
        <f>VLOOKUP(A514,'Database Rates'!$A$1:$D$1000,2,FALSE)</f>
        <v>3.5</v>
      </c>
    </row>
    <row r="515" spans="1:2" x14ac:dyDescent="0.2">
      <c r="A515" s="41">
        <v>33695</v>
      </c>
      <c r="B515" s="21">
        <f>VLOOKUP(A515,'Database Rates'!$A$1:$D$1000,2,FALSE)</f>
        <v>3.5</v>
      </c>
    </row>
    <row r="516" spans="1:2" x14ac:dyDescent="0.2">
      <c r="A516" s="41">
        <v>33725</v>
      </c>
      <c r="B516" s="21">
        <f>VLOOKUP(A516,'Database Rates'!$A$1:$D$1000,2,FALSE)</f>
        <v>3.5</v>
      </c>
    </row>
    <row r="517" spans="1:2" x14ac:dyDescent="0.2">
      <c r="A517" s="41">
        <v>33756</v>
      </c>
      <c r="B517" s="21">
        <f>VLOOKUP(A517,'Database Rates'!$A$1:$D$1000,2,FALSE)</f>
        <v>3.5</v>
      </c>
    </row>
    <row r="518" spans="1:2" x14ac:dyDescent="0.2">
      <c r="A518" s="41">
        <v>33786</v>
      </c>
      <c r="B518" s="21">
        <f>VLOOKUP(A518,'Database Rates'!$A$1:$D$1000,2,FALSE)</f>
        <v>3.02</v>
      </c>
    </row>
    <row r="519" spans="1:2" x14ac:dyDescent="0.2">
      <c r="A519" s="41">
        <v>33817</v>
      </c>
      <c r="B519" s="21">
        <f>VLOOKUP(A519,'Database Rates'!$A$1:$D$1000,2,FALSE)</f>
        <v>3</v>
      </c>
    </row>
    <row r="520" spans="1:2" x14ac:dyDescent="0.2">
      <c r="A520" s="41">
        <v>33848</v>
      </c>
      <c r="B520" s="21">
        <f>VLOOKUP(A520,'Database Rates'!$A$1:$D$1000,2,FALSE)</f>
        <v>3</v>
      </c>
    </row>
    <row r="521" spans="1:2" x14ac:dyDescent="0.2">
      <c r="A521" s="41">
        <v>33878</v>
      </c>
      <c r="B521" s="21">
        <f>VLOOKUP(A521,'Database Rates'!$A$1:$D$1000,2,FALSE)</f>
        <v>3</v>
      </c>
    </row>
    <row r="522" spans="1:2" x14ac:dyDescent="0.2">
      <c r="A522" s="41">
        <v>33909</v>
      </c>
      <c r="B522" s="21">
        <f>VLOOKUP(A522,'Database Rates'!$A$1:$D$1000,2,FALSE)</f>
        <v>3</v>
      </c>
    </row>
    <row r="523" spans="1:2" x14ac:dyDescent="0.2">
      <c r="A523" s="41">
        <v>33939</v>
      </c>
      <c r="B523" s="21">
        <f>VLOOKUP(A523,'Database Rates'!$A$1:$D$1000,2,FALSE)</f>
        <v>3</v>
      </c>
    </row>
    <row r="524" spans="1:2" x14ac:dyDescent="0.2">
      <c r="A524" s="41">
        <v>33970</v>
      </c>
      <c r="B524" s="21">
        <f>VLOOKUP(A524,'Database Rates'!$A$1:$D$1000,2,FALSE)</f>
        <v>3</v>
      </c>
    </row>
    <row r="525" spans="1:2" x14ac:dyDescent="0.2">
      <c r="A525" s="41">
        <v>34001</v>
      </c>
      <c r="B525" s="21">
        <f>VLOOKUP(A525,'Database Rates'!$A$1:$D$1000,2,FALSE)</f>
        <v>3</v>
      </c>
    </row>
    <row r="526" spans="1:2" x14ac:dyDescent="0.2">
      <c r="A526" s="41">
        <v>34029</v>
      </c>
      <c r="B526" s="21">
        <f>VLOOKUP(A526,'Database Rates'!$A$1:$D$1000,2,FALSE)</f>
        <v>3</v>
      </c>
    </row>
    <row r="527" spans="1:2" x14ac:dyDescent="0.2">
      <c r="A527" s="41">
        <v>34060</v>
      </c>
      <c r="B527" s="21">
        <f>VLOOKUP(A527,'Database Rates'!$A$1:$D$1000,2,FALSE)</f>
        <v>3</v>
      </c>
    </row>
    <row r="528" spans="1:2" x14ac:dyDescent="0.2">
      <c r="A528" s="41">
        <v>34090</v>
      </c>
      <c r="B528" s="21">
        <f>VLOOKUP(A528,'Database Rates'!$A$1:$D$1000,2,FALSE)</f>
        <v>3</v>
      </c>
    </row>
    <row r="529" spans="1:2" x14ac:dyDescent="0.2">
      <c r="A529" s="41">
        <v>34121</v>
      </c>
      <c r="B529" s="21">
        <f>VLOOKUP(A529,'Database Rates'!$A$1:$D$1000,2,FALSE)</f>
        <v>3</v>
      </c>
    </row>
    <row r="530" spans="1:2" x14ac:dyDescent="0.2">
      <c r="A530" s="41">
        <v>34151</v>
      </c>
      <c r="B530" s="21">
        <f>VLOOKUP(A530,'Database Rates'!$A$1:$D$1000,2,FALSE)</f>
        <v>3</v>
      </c>
    </row>
    <row r="531" spans="1:2" x14ac:dyDescent="0.2">
      <c r="A531" s="41">
        <v>34182</v>
      </c>
      <c r="B531" s="21">
        <f>VLOOKUP(A531,'Database Rates'!$A$1:$D$1000,2,FALSE)</f>
        <v>3</v>
      </c>
    </row>
    <row r="532" spans="1:2" x14ac:dyDescent="0.2">
      <c r="A532" s="41">
        <v>34213</v>
      </c>
      <c r="B532" s="21">
        <f>VLOOKUP(A532,'Database Rates'!$A$1:$D$1000,2,FALSE)</f>
        <v>3</v>
      </c>
    </row>
    <row r="533" spans="1:2" x14ac:dyDescent="0.2">
      <c r="A533" s="41">
        <v>34243</v>
      </c>
      <c r="B533" s="21">
        <f>VLOOKUP(A533,'Database Rates'!$A$1:$D$1000,2,FALSE)</f>
        <v>3</v>
      </c>
    </row>
    <row r="534" spans="1:2" x14ac:dyDescent="0.2">
      <c r="A534" s="41">
        <v>34274</v>
      </c>
      <c r="B534" s="21">
        <f>VLOOKUP(A534,'Database Rates'!$A$1:$D$1000,2,FALSE)</f>
        <v>3</v>
      </c>
    </row>
    <row r="535" spans="1:2" x14ac:dyDescent="0.2">
      <c r="A535" s="41">
        <v>34304</v>
      </c>
      <c r="B535" s="21">
        <f>VLOOKUP(A535,'Database Rates'!$A$1:$D$1000,2,FALSE)</f>
        <v>3</v>
      </c>
    </row>
    <row r="536" spans="1:2" x14ac:dyDescent="0.2">
      <c r="A536" s="41">
        <v>34335</v>
      </c>
      <c r="B536" s="21">
        <f>VLOOKUP(A536,'Database Rates'!$A$1:$D$1000,2,FALSE)</f>
        <v>3</v>
      </c>
    </row>
    <row r="537" spans="1:2" x14ac:dyDescent="0.2">
      <c r="A537" s="41">
        <v>34366</v>
      </c>
      <c r="B537" s="21">
        <f>VLOOKUP(A537,'Database Rates'!$A$1:$D$1000,2,FALSE)</f>
        <v>3</v>
      </c>
    </row>
    <row r="538" spans="1:2" x14ac:dyDescent="0.2">
      <c r="A538" s="41">
        <v>34394</v>
      </c>
      <c r="B538" s="21">
        <f>VLOOKUP(A538,'Database Rates'!$A$1:$D$1000,2,FALSE)</f>
        <v>3</v>
      </c>
    </row>
    <row r="539" spans="1:2" x14ac:dyDescent="0.2">
      <c r="A539" s="41">
        <v>34425</v>
      </c>
      <c r="B539" s="21">
        <f>VLOOKUP(A539,'Database Rates'!$A$1:$D$1000,2,FALSE)</f>
        <v>3</v>
      </c>
    </row>
    <row r="540" spans="1:2" x14ac:dyDescent="0.2">
      <c r="A540" s="41">
        <v>34455</v>
      </c>
      <c r="B540" s="21">
        <f>VLOOKUP(A540,'Database Rates'!$A$1:$D$1000,2,FALSE)</f>
        <v>3.24</v>
      </c>
    </row>
    <row r="541" spans="1:2" x14ac:dyDescent="0.2">
      <c r="A541" s="41">
        <v>34486</v>
      </c>
      <c r="B541" s="21">
        <f>VLOOKUP(A541,'Database Rates'!$A$1:$D$1000,2,FALSE)</f>
        <v>3.5</v>
      </c>
    </row>
    <row r="542" spans="1:2" x14ac:dyDescent="0.2">
      <c r="A542" s="41">
        <v>34516</v>
      </c>
      <c r="B542" s="21">
        <f>VLOOKUP(A542,'Database Rates'!$A$1:$D$1000,2,FALSE)</f>
        <v>3.5</v>
      </c>
    </row>
    <row r="543" spans="1:2" x14ac:dyDescent="0.2">
      <c r="A543" s="41">
        <v>34547</v>
      </c>
      <c r="B543" s="21">
        <f>VLOOKUP(A543,'Database Rates'!$A$1:$D$1000,2,FALSE)</f>
        <v>3.76</v>
      </c>
    </row>
    <row r="544" spans="1:2" x14ac:dyDescent="0.2">
      <c r="A544" s="41">
        <v>34578</v>
      </c>
      <c r="B544" s="21">
        <f>VLOOKUP(A544,'Database Rates'!$A$1:$D$1000,2,FALSE)</f>
        <v>4</v>
      </c>
    </row>
    <row r="545" spans="1:2" x14ac:dyDescent="0.2">
      <c r="A545" s="41">
        <v>34608</v>
      </c>
      <c r="B545" s="21">
        <f>VLOOKUP(A545,'Database Rates'!$A$1:$D$1000,2,FALSE)</f>
        <v>4</v>
      </c>
    </row>
    <row r="546" spans="1:2" x14ac:dyDescent="0.2">
      <c r="A546" s="41">
        <v>34639</v>
      </c>
      <c r="B546" s="21">
        <f>VLOOKUP(A546,'Database Rates'!$A$1:$D$1000,2,FALSE)</f>
        <v>4.4000000000000004</v>
      </c>
    </row>
    <row r="547" spans="1:2" x14ac:dyDescent="0.2">
      <c r="A547" s="41">
        <v>34669</v>
      </c>
      <c r="B547" s="21">
        <f>VLOOKUP(A547,'Database Rates'!$A$1:$D$1000,2,FALSE)</f>
        <v>4.75</v>
      </c>
    </row>
    <row r="548" spans="1:2" x14ac:dyDescent="0.2">
      <c r="A548" s="41">
        <v>34700</v>
      </c>
      <c r="B548" s="21">
        <f>VLOOKUP(A548,'Database Rates'!$A$1:$D$1000,2,FALSE)</f>
        <v>4.75</v>
      </c>
    </row>
    <row r="549" spans="1:2" x14ac:dyDescent="0.2">
      <c r="A549" s="41">
        <v>34731</v>
      </c>
      <c r="B549" s="21">
        <f>VLOOKUP(A549,'Database Rates'!$A$1:$D$1000,2,FALSE)</f>
        <v>5.25</v>
      </c>
    </row>
    <row r="550" spans="1:2" x14ac:dyDescent="0.2">
      <c r="A550" s="41">
        <v>34759</v>
      </c>
      <c r="B550" s="21">
        <f>VLOOKUP(A550,'Database Rates'!$A$1:$D$1000,2,FALSE)</f>
        <v>5.25</v>
      </c>
    </row>
    <row r="551" spans="1:2" x14ac:dyDescent="0.2">
      <c r="A551" s="41">
        <v>34790</v>
      </c>
      <c r="B551" s="21">
        <f>VLOOKUP(A551,'Database Rates'!$A$1:$D$1000,2,FALSE)</f>
        <v>5.25</v>
      </c>
    </row>
    <row r="552" spans="1:2" x14ac:dyDescent="0.2">
      <c r="A552" s="41">
        <v>34820</v>
      </c>
      <c r="B552" s="21">
        <f>VLOOKUP(A552,'Database Rates'!$A$1:$D$1000,2,FALSE)</f>
        <v>5.25</v>
      </c>
    </row>
    <row r="553" spans="1:2" x14ac:dyDescent="0.2">
      <c r="A553" s="41">
        <v>34851</v>
      </c>
      <c r="B553" s="21">
        <f>VLOOKUP(A553,'Database Rates'!$A$1:$D$1000,2,FALSE)</f>
        <v>5.25</v>
      </c>
    </row>
    <row r="554" spans="1:2" x14ac:dyDescent="0.2">
      <c r="A554" s="41">
        <v>34881</v>
      </c>
      <c r="B554" s="21">
        <f>VLOOKUP(A554,'Database Rates'!$A$1:$D$1000,2,FALSE)</f>
        <v>5.25</v>
      </c>
    </row>
    <row r="555" spans="1:2" x14ac:dyDescent="0.2">
      <c r="A555" s="41">
        <v>34912</v>
      </c>
      <c r="B555" s="21">
        <f>VLOOKUP(A555,'Database Rates'!$A$1:$D$1000,2,FALSE)</f>
        <v>5.25</v>
      </c>
    </row>
    <row r="556" spans="1:2" x14ac:dyDescent="0.2">
      <c r="A556" s="41">
        <v>34943</v>
      </c>
      <c r="B556" s="21">
        <f>VLOOKUP(A556,'Database Rates'!$A$1:$D$1000,2,FALSE)</f>
        <v>5.25</v>
      </c>
    </row>
    <row r="557" spans="1:2" x14ac:dyDescent="0.2">
      <c r="A557" s="41">
        <v>34973</v>
      </c>
      <c r="B557" s="21">
        <f>VLOOKUP(A557,'Database Rates'!$A$1:$D$1000,2,FALSE)</f>
        <v>5.25</v>
      </c>
    </row>
    <row r="558" spans="1:2" x14ac:dyDescent="0.2">
      <c r="A558" s="41">
        <v>35004</v>
      </c>
      <c r="B558" s="21">
        <f>VLOOKUP(A558,'Database Rates'!$A$1:$D$1000,2,FALSE)</f>
        <v>5.25</v>
      </c>
    </row>
    <row r="559" spans="1:2" x14ac:dyDescent="0.2">
      <c r="A559" s="41">
        <v>35034</v>
      </c>
      <c r="B559" s="21">
        <f>VLOOKUP(A559,'Database Rates'!$A$1:$D$1000,2,FALSE)</f>
        <v>5.25</v>
      </c>
    </row>
    <row r="560" spans="1:2" x14ac:dyDescent="0.2">
      <c r="A560" s="41">
        <v>35065</v>
      </c>
      <c r="B560" s="21">
        <f>VLOOKUP(A560,'Database Rates'!$A$1:$D$1000,2,FALSE)</f>
        <v>5.24</v>
      </c>
    </row>
    <row r="561" spans="1:2" x14ac:dyDescent="0.2">
      <c r="A561" s="41">
        <v>35096</v>
      </c>
      <c r="B561" s="21">
        <f>VLOOKUP(A561,'Database Rates'!$A$1:$D$1000,2,FALSE)</f>
        <v>5</v>
      </c>
    </row>
    <row r="562" spans="1:2" x14ac:dyDescent="0.2">
      <c r="A562" s="41">
        <v>35125</v>
      </c>
      <c r="B562" s="21">
        <f>VLOOKUP(A562,'Database Rates'!$A$1:$D$1000,2,FALSE)</f>
        <v>5</v>
      </c>
    </row>
    <row r="563" spans="1:2" x14ac:dyDescent="0.2">
      <c r="A563" s="41">
        <v>35156</v>
      </c>
      <c r="B563" s="21">
        <f>VLOOKUP(A563,'Database Rates'!$A$1:$D$1000,2,FALSE)</f>
        <v>5</v>
      </c>
    </row>
    <row r="564" spans="1:2" x14ac:dyDescent="0.2">
      <c r="A564" s="41">
        <v>35186</v>
      </c>
      <c r="B564" s="21">
        <f>VLOOKUP(A564,'Database Rates'!$A$1:$D$1000,2,FALSE)</f>
        <v>5</v>
      </c>
    </row>
    <row r="565" spans="1:2" x14ac:dyDescent="0.2">
      <c r="A565" s="41">
        <v>35217</v>
      </c>
      <c r="B565" s="21">
        <f>VLOOKUP(A565,'Database Rates'!$A$1:$D$1000,2,FALSE)</f>
        <v>5</v>
      </c>
    </row>
    <row r="566" spans="1:2" x14ac:dyDescent="0.2">
      <c r="A566" s="41">
        <v>35247</v>
      </c>
      <c r="B566" s="21">
        <f>VLOOKUP(A566,'Database Rates'!$A$1:$D$1000,2,FALSE)</f>
        <v>5</v>
      </c>
    </row>
    <row r="567" spans="1:2" x14ac:dyDescent="0.2">
      <c r="A567" s="41">
        <v>35278</v>
      </c>
      <c r="B567" s="21">
        <f>VLOOKUP(A567,'Database Rates'!$A$1:$D$1000,2,FALSE)</f>
        <v>5</v>
      </c>
    </row>
    <row r="568" spans="1:2" x14ac:dyDescent="0.2">
      <c r="A568" s="41">
        <v>35309</v>
      </c>
      <c r="B568" s="21">
        <f>VLOOKUP(A568,'Database Rates'!$A$1:$D$1000,2,FALSE)</f>
        <v>5</v>
      </c>
    </row>
    <row r="569" spans="1:2" x14ac:dyDescent="0.2">
      <c r="A569" s="41">
        <v>35339</v>
      </c>
      <c r="B569" s="21">
        <f>VLOOKUP(A569,'Database Rates'!$A$1:$D$1000,2,FALSE)</f>
        <v>5</v>
      </c>
    </row>
    <row r="570" spans="1:2" x14ac:dyDescent="0.2">
      <c r="A570" s="41">
        <v>35370</v>
      </c>
      <c r="B570" s="21">
        <f>VLOOKUP(A570,'Database Rates'!$A$1:$D$1000,2,FALSE)</f>
        <v>5</v>
      </c>
    </row>
    <row r="571" spans="1:2" x14ac:dyDescent="0.2">
      <c r="A571" s="41">
        <v>35400</v>
      </c>
      <c r="B571" s="21">
        <f>VLOOKUP(A571,'Database Rates'!$A$1:$D$1000,2,FALSE)</f>
        <v>5</v>
      </c>
    </row>
    <row r="572" spans="1:2" x14ac:dyDescent="0.2">
      <c r="A572" s="41">
        <v>35431</v>
      </c>
      <c r="B572" s="21">
        <f>VLOOKUP(A572,'Database Rates'!$A$1:$D$1000,2,FALSE)</f>
        <v>5</v>
      </c>
    </row>
    <row r="573" spans="1:2" x14ac:dyDescent="0.2">
      <c r="A573" s="41">
        <v>35462</v>
      </c>
      <c r="B573" s="21">
        <f>VLOOKUP(A573,'Database Rates'!$A$1:$D$1000,2,FALSE)</f>
        <v>5</v>
      </c>
    </row>
    <row r="574" spans="1:2" x14ac:dyDescent="0.2">
      <c r="A574" s="41">
        <v>35490</v>
      </c>
      <c r="B574" s="21">
        <f>VLOOKUP(A574,'Database Rates'!$A$1:$D$1000,2,FALSE)</f>
        <v>5</v>
      </c>
    </row>
    <row r="575" spans="1:2" x14ac:dyDescent="0.2">
      <c r="A575" s="41">
        <v>35521</v>
      </c>
      <c r="B575" s="21">
        <f>VLOOKUP(A575,'Database Rates'!$A$1:$D$1000,2,FALSE)</f>
        <v>5</v>
      </c>
    </row>
    <row r="576" spans="1:2" x14ac:dyDescent="0.2">
      <c r="A576" s="41">
        <v>35551</v>
      </c>
      <c r="B576" s="21">
        <f>VLOOKUP(A576,'Database Rates'!$A$1:$D$1000,2,FALSE)</f>
        <v>5</v>
      </c>
    </row>
    <row r="577" spans="1:2" x14ac:dyDescent="0.2">
      <c r="A577" s="41">
        <v>35582</v>
      </c>
      <c r="B577" s="21">
        <f>VLOOKUP(A577,'Database Rates'!$A$1:$D$1000,2,FALSE)</f>
        <v>5</v>
      </c>
    </row>
    <row r="578" spans="1:2" x14ac:dyDescent="0.2">
      <c r="A578" s="41">
        <v>35612</v>
      </c>
      <c r="B578" s="21">
        <f>VLOOKUP(A578,'Database Rates'!$A$1:$D$1000,2,FALSE)</f>
        <v>5</v>
      </c>
    </row>
    <row r="579" spans="1:2" x14ac:dyDescent="0.2">
      <c r="A579" s="41">
        <v>35643</v>
      </c>
      <c r="B579" s="21">
        <f>VLOOKUP(A579,'Database Rates'!$A$1:$D$1000,2,FALSE)</f>
        <v>5</v>
      </c>
    </row>
    <row r="580" spans="1:2" x14ac:dyDescent="0.2">
      <c r="A580" s="41">
        <v>35674</v>
      </c>
      <c r="B580" s="21">
        <f>VLOOKUP(A580,'Database Rates'!$A$1:$D$1000,2,FALSE)</f>
        <v>5</v>
      </c>
    </row>
    <row r="581" spans="1:2" x14ac:dyDescent="0.2">
      <c r="A581" s="41">
        <v>35704</v>
      </c>
      <c r="B581" s="21">
        <f>VLOOKUP(A581,'Database Rates'!$A$1:$D$1000,2,FALSE)</f>
        <v>5</v>
      </c>
    </row>
    <row r="582" spans="1:2" x14ac:dyDescent="0.2">
      <c r="A582" s="41">
        <v>35735</v>
      </c>
      <c r="B582" s="21">
        <f>VLOOKUP(A582,'Database Rates'!$A$1:$D$1000,2,FALSE)</f>
        <v>5</v>
      </c>
    </row>
    <row r="583" spans="1:2" x14ac:dyDescent="0.2">
      <c r="A583" s="41">
        <v>35765</v>
      </c>
      <c r="B583" s="21">
        <f>VLOOKUP(A583,'Database Rates'!$A$1:$D$1000,2,FALSE)</f>
        <v>5</v>
      </c>
    </row>
    <row r="584" spans="1:2" x14ac:dyDescent="0.2">
      <c r="A584" s="41">
        <v>35796</v>
      </c>
      <c r="B584" s="21">
        <f>VLOOKUP(A584,'Database Rates'!$A$1:$D$1000,2,FALSE)</f>
        <v>5</v>
      </c>
    </row>
    <row r="585" spans="1:2" x14ac:dyDescent="0.2">
      <c r="A585" s="41">
        <v>35827</v>
      </c>
      <c r="B585" s="21">
        <f>VLOOKUP(A585,'Database Rates'!$A$1:$D$1000,2,FALSE)</f>
        <v>5</v>
      </c>
    </row>
    <row r="586" spans="1:2" x14ac:dyDescent="0.2">
      <c r="A586" s="41">
        <v>35855</v>
      </c>
      <c r="B586" s="21">
        <f>VLOOKUP(A586,'Database Rates'!$A$1:$D$1000,2,FALSE)</f>
        <v>5</v>
      </c>
    </row>
    <row r="587" spans="1:2" x14ac:dyDescent="0.2">
      <c r="A587" s="41">
        <v>35886</v>
      </c>
      <c r="B587" s="21">
        <f>VLOOKUP(A587,'Database Rates'!$A$1:$D$1000,2,FALSE)</f>
        <v>5</v>
      </c>
    </row>
    <row r="588" spans="1:2" x14ac:dyDescent="0.2">
      <c r="A588" s="41">
        <v>35916</v>
      </c>
      <c r="B588" s="21">
        <f>VLOOKUP(A588,'Database Rates'!$A$1:$D$1000,2,FALSE)</f>
        <v>5</v>
      </c>
    </row>
    <row r="589" spans="1:2" x14ac:dyDescent="0.2">
      <c r="A589" s="41">
        <v>35947</v>
      </c>
      <c r="B589" s="21">
        <f>VLOOKUP(A589,'Database Rates'!$A$1:$D$1000,2,FALSE)</f>
        <v>5</v>
      </c>
    </row>
    <row r="590" spans="1:2" x14ac:dyDescent="0.2">
      <c r="A590" s="41">
        <v>35977</v>
      </c>
      <c r="B590" s="21">
        <f>VLOOKUP(A590,'Database Rates'!$A$1:$D$1000,2,FALSE)</f>
        <v>5</v>
      </c>
    </row>
    <row r="591" spans="1:2" x14ac:dyDescent="0.2">
      <c r="A591" s="41">
        <v>36008</v>
      </c>
      <c r="B591" s="21">
        <f>VLOOKUP(A591,'Database Rates'!$A$1:$D$1000,2,FALSE)</f>
        <v>5</v>
      </c>
    </row>
    <row r="592" spans="1:2" x14ac:dyDescent="0.2">
      <c r="A592" s="41">
        <v>36039</v>
      </c>
      <c r="B592" s="21">
        <f>VLOOKUP(A592,'Database Rates'!$A$1:$D$1000,2,FALSE)</f>
        <v>5</v>
      </c>
    </row>
    <row r="593" spans="1:2" x14ac:dyDescent="0.2">
      <c r="A593" s="41">
        <v>36069</v>
      </c>
      <c r="B593" s="21">
        <f>VLOOKUP(A593,'Database Rates'!$A$1:$D$1000,2,FALSE)</f>
        <v>4.8600000000000003</v>
      </c>
    </row>
    <row r="594" spans="1:2" x14ac:dyDescent="0.2">
      <c r="A594" s="41">
        <v>36100</v>
      </c>
      <c r="B594" s="21">
        <f>VLOOKUP(A594,'Database Rates'!$A$1:$D$1000,2,FALSE)</f>
        <v>4.63</v>
      </c>
    </row>
    <row r="595" spans="1:2" x14ac:dyDescent="0.2">
      <c r="A595" s="41">
        <v>36130</v>
      </c>
      <c r="B595" s="21">
        <f>VLOOKUP(A595,'Database Rates'!$A$1:$D$1000,2,FALSE)</f>
        <v>4.5</v>
      </c>
    </row>
    <row r="596" spans="1:2" x14ac:dyDescent="0.2">
      <c r="A596" s="41">
        <v>36161</v>
      </c>
      <c r="B596" s="21">
        <f>VLOOKUP(A596,'Database Rates'!$A$1:$D$1000,2,FALSE)</f>
        <v>4.5</v>
      </c>
    </row>
    <row r="597" spans="1:2" x14ac:dyDescent="0.2">
      <c r="A597" s="41">
        <v>36192</v>
      </c>
      <c r="B597" s="21">
        <f>VLOOKUP(A597,'Database Rates'!$A$1:$D$1000,2,FALSE)</f>
        <v>4.5</v>
      </c>
    </row>
    <row r="598" spans="1:2" x14ac:dyDescent="0.2">
      <c r="A598" s="41">
        <v>36220</v>
      </c>
      <c r="B598" s="21">
        <f>VLOOKUP(A598,'Database Rates'!$A$1:$D$1000,2,FALSE)</f>
        <v>4.5</v>
      </c>
    </row>
    <row r="599" spans="1:2" x14ac:dyDescent="0.2">
      <c r="A599" s="41">
        <v>36251</v>
      </c>
      <c r="B599" s="21">
        <f>VLOOKUP(A599,'Database Rates'!$A$1:$D$1000,2,FALSE)</f>
        <v>4.5</v>
      </c>
    </row>
    <row r="600" spans="1:2" x14ac:dyDescent="0.2">
      <c r="A600" s="41">
        <v>36281</v>
      </c>
      <c r="B600" s="21">
        <f>VLOOKUP(A600,'Database Rates'!$A$1:$D$1000,2,FALSE)</f>
        <v>4.5</v>
      </c>
    </row>
    <row r="601" spans="1:2" x14ac:dyDescent="0.2">
      <c r="A601" s="41">
        <v>36312</v>
      </c>
      <c r="B601" s="21">
        <f>VLOOKUP(A601,'Database Rates'!$A$1:$D$1000,2,FALSE)</f>
        <v>4.5</v>
      </c>
    </row>
    <row r="602" spans="1:2" x14ac:dyDescent="0.2">
      <c r="A602" s="41">
        <v>36342</v>
      </c>
      <c r="B602" s="21">
        <f>VLOOKUP(A602,'Database Rates'!$A$1:$D$1000,2,FALSE)</f>
        <v>4.5</v>
      </c>
    </row>
    <row r="603" spans="1:2" x14ac:dyDescent="0.2">
      <c r="A603" s="41">
        <v>36373</v>
      </c>
      <c r="B603" s="21">
        <f>VLOOKUP(A603,'Database Rates'!$A$1:$D$1000,2,FALSE)</f>
        <v>4.5599999999999996</v>
      </c>
    </row>
    <row r="604" spans="1:2" x14ac:dyDescent="0.2">
      <c r="A604" s="41">
        <v>36404</v>
      </c>
      <c r="B604" s="21">
        <f>VLOOKUP(A604,'Database Rates'!$A$1:$D$1000,2,FALSE)</f>
        <v>4.75</v>
      </c>
    </row>
    <row r="605" spans="1:2" x14ac:dyDescent="0.2">
      <c r="A605" s="41">
        <v>36434</v>
      </c>
      <c r="B605" s="21">
        <f>VLOOKUP(A605,'Database Rates'!$A$1:$D$1000,2,FALSE)</f>
        <v>4.75</v>
      </c>
    </row>
    <row r="606" spans="1:2" x14ac:dyDescent="0.2">
      <c r="A606" s="41">
        <v>36465</v>
      </c>
      <c r="B606" s="21">
        <f>VLOOKUP(A606,'Database Rates'!$A$1:$D$1000,2,FALSE)</f>
        <v>4.8600000000000003</v>
      </c>
    </row>
    <row r="607" spans="1:2" x14ac:dyDescent="0.2">
      <c r="A607" s="41">
        <v>36495</v>
      </c>
      <c r="B607" s="21">
        <f>VLOOKUP(A607,'Database Rates'!$A$1:$D$1000,2,FALSE)</f>
        <v>5</v>
      </c>
    </row>
    <row r="608" spans="1:2" x14ac:dyDescent="0.2">
      <c r="A608" s="41">
        <v>36526</v>
      </c>
      <c r="B608" s="21">
        <f>VLOOKUP(A608,'Database Rates'!$A$1:$D$1000,2,FALSE)</f>
        <v>5</v>
      </c>
    </row>
    <row r="609" spans="1:2" x14ac:dyDescent="0.2">
      <c r="A609" s="41">
        <v>36557</v>
      </c>
      <c r="B609" s="21">
        <f>VLOOKUP(A609,'Database Rates'!$A$1:$D$1000,2,FALSE)</f>
        <v>5.24</v>
      </c>
    </row>
    <row r="610" spans="1:2" x14ac:dyDescent="0.2">
      <c r="A610" s="41">
        <v>36586</v>
      </c>
      <c r="B610" s="21">
        <f>VLOOKUP(A610,'Database Rates'!$A$1:$D$1000,2,FALSE)</f>
        <v>5.34</v>
      </c>
    </row>
    <row r="611" spans="1:2" x14ac:dyDescent="0.2">
      <c r="A611" s="41">
        <v>36617</v>
      </c>
      <c r="B611" s="21">
        <f>VLOOKUP(A611,'Database Rates'!$A$1:$D$1000,2,FALSE)</f>
        <v>5.5</v>
      </c>
    </row>
    <row r="612" spans="1:2" x14ac:dyDescent="0.2">
      <c r="A612" s="41">
        <v>36647</v>
      </c>
      <c r="B612" s="21">
        <f>VLOOKUP(A612,'Database Rates'!$A$1:$D$1000,2,FALSE)</f>
        <v>5.71</v>
      </c>
    </row>
    <row r="613" spans="1:2" x14ac:dyDescent="0.2">
      <c r="A613" s="41">
        <v>36678</v>
      </c>
      <c r="B613" s="21">
        <f>VLOOKUP(A613,'Database Rates'!$A$1:$D$1000,2,FALSE)</f>
        <v>6</v>
      </c>
    </row>
    <row r="614" spans="1:2" x14ac:dyDescent="0.2">
      <c r="A614" s="41">
        <v>36708</v>
      </c>
      <c r="B614" s="21">
        <f>VLOOKUP(A614,'Database Rates'!$A$1:$D$1000,2,FALSE)</f>
        <v>6</v>
      </c>
    </row>
    <row r="615" spans="1:2" x14ac:dyDescent="0.2">
      <c r="A615" s="41">
        <v>36739</v>
      </c>
      <c r="B615" s="21">
        <f>VLOOKUP(A615,'Database Rates'!$A$1:$D$1000,2,FALSE)</f>
        <v>6</v>
      </c>
    </row>
    <row r="616" spans="1:2" x14ac:dyDescent="0.2">
      <c r="A616" s="41">
        <v>36770</v>
      </c>
      <c r="B616" s="21">
        <f>VLOOKUP(A616,'Database Rates'!$A$1:$D$1000,2,FALSE)</f>
        <v>6</v>
      </c>
    </row>
    <row r="617" spans="1:2" x14ac:dyDescent="0.2">
      <c r="A617" s="41">
        <v>36800</v>
      </c>
      <c r="B617" s="21">
        <f>VLOOKUP(A617,'Database Rates'!$A$1:$D$1000,2,FALSE)</f>
        <v>6</v>
      </c>
    </row>
    <row r="618" spans="1:2" x14ac:dyDescent="0.2">
      <c r="A618" s="41">
        <v>36831</v>
      </c>
      <c r="B618" s="21">
        <f>VLOOKUP(A618,'Database Rates'!$A$1:$D$1000,2,FALSE)</f>
        <v>6</v>
      </c>
    </row>
    <row r="619" spans="1:2" x14ac:dyDescent="0.2">
      <c r="A619" s="41">
        <v>36861</v>
      </c>
      <c r="B619" s="21">
        <f>VLOOKUP(A619,'Database Rates'!$A$1:$D$1000,2,FALSE)</f>
        <v>6</v>
      </c>
    </row>
    <row r="620" spans="1:2" x14ac:dyDescent="0.2">
      <c r="A620" s="41">
        <v>36892</v>
      </c>
      <c r="B620" s="21">
        <f>VLOOKUP(A620,'Database Rates'!$A$1:$D$1000,2,FALSE)</f>
        <v>5.52</v>
      </c>
    </row>
    <row r="621" spans="1:2" x14ac:dyDescent="0.2">
      <c r="A621" s="41">
        <v>36923</v>
      </c>
      <c r="B621" s="21">
        <f>VLOOKUP(A621,'Database Rates'!$A$1:$D$1000,2,FALSE)</f>
        <v>5</v>
      </c>
    </row>
    <row r="622" spans="1:2" x14ac:dyDescent="0.2">
      <c r="A622" s="41">
        <v>36951</v>
      </c>
      <c r="B622" s="21">
        <f>VLOOKUP(A622,'Database Rates'!$A$1:$D$1000,2,FALSE)</f>
        <v>4.8099999999999996</v>
      </c>
    </row>
    <row r="623" spans="1:2" x14ac:dyDescent="0.2">
      <c r="A623" s="41">
        <v>36982</v>
      </c>
      <c r="B623" s="21">
        <f>VLOOKUP(A623,'Database Rates'!$A$1:$D$1000,2,FALSE)</f>
        <v>4.28</v>
      </c>
    </row>
    <row r="624" spans="1:2" x14ac:dyDescent="0.2">
      <c r="A624" s="41">
        <v>37012</v>
      </c>
      <c r="B624" s="21">
        <f>VLOOKUP(A624,'Database Rates'!$A$1:$D$1000,2,FALSE)</f>
        <v>3.73</v>
      </c>
    </row>
    <row r="625" spans="1:2" x14ac:dyDescent="0.2">
      <c r="A625" s="41">
        <v>37043</v>
      </c>
      <c r="B625" s="21">
        <f>VLOOKUP(A625,'Database Rates'!$A$1:$D$1000,2,FALSE)</f>
        <v>3.47</v>
      </c>
    </row>
    <row r="626" spans="1:2" x14ac:dyDescent="0.2">
      <c r="A626" s="41">
        <v>37073</v>
      </c>
      <c r="B626" s="21">
        <f>VLOOKUP(A626,'Database Rates'!$A$1:$D$1000,2,FALSE)</f>
        <v>3.25</v>
      </c>
    </row>
    <row r="627" spans="1:2" x14ac:dyDescent="0.2">
      <c r="A627" s="41">
        <v>37104</v>
      </c>
      <c r="B627" s="21">
        <f>VLOOKUP(A627,'Database Rates'!$A$1:$D$1000,2,FALSE)</f>
        <v>3.16</v>
      </c>
    </row>
    <row r="628" spans="1:2" x14ac:dyDescent="0.2">
      <c r="A628" s="41">
        <v>37135</v>
      </c>
      <c r="B628" s="21">
        <f>VLOOKUP(A628,'Database Rates'!$A$1:$D$1000,2,FALSE)</f>
        <v>2.77</v>
      </c>
    </row>
    <row r="629" spans="1:2" x14ac:dyDescent="0.2">
      <c r="A629" s="41">
        <v>37165</v>
      </c>
      <c r="B629" s="21">
        <f>VLOOKUP(A629,'Database Rates'!$A$1:$D$1000,2,FALSE)</f>
        <v>2.02</v>
      </c>
    </row>
    <row r="630" spans="1:2" x14ac:dyDescent="0.2">
      <c r="A630" s="41">
        <v>37196</v>
      </c>
      <c r="B630" s="21">
        <f>VLOOKUP(A630,'Database Rates'!$A$1:$D$1000,2,FALSE)</f>
        <v>1.58</v>
      </c>
    </row>
    <row r="631" spans="1:2" x14ac:dyDescent="0.2">
      <c r="A631" s="41">
        <v>37226</v>
      </c>
      <c r="B631" s="21">
        <f>VLOOKUP(A631,'Database Rates'!$A$1:$D$1000,2,FALSE)</f>
        <v>1.33</v>
      </c>
    </row>
    <row r="632" spans="1:2" x14ac:dyDescent="0.2">
      <c r="A632" s="41">
        <v>37257</v>
      </c>
      <c r="B632" s="21">
        <f>VLOOKUP(A632,'Database Rates'!$A$1:$D$1000,2,FALSE)</f>
        <v>1.25</v>
      </c>
    </row>
    <row r="633" spans="1:2" x14ac:dyDescent="0.2">
      <c r="A633" s="41">
        <v>37288</v>
      </c>
      <c r="B633" s="21">
        <f>VLOOKUP(A633,'Database Rates'!$A$1:$D$1000,2,FALSE)</f>
        <v>1.25</v>
      </c>
    </row>
    <row r="634" spans="1:2" x14ac:dyDescent="0.2">
      <c r="A634" s="41">
        <v>37316</v>
      </c>
      <c r="B634" s="21">
        <f>VLOOKUP(A634,'Database Rates'!$A$1:$D$1000,2,FALSE)</f>
        <v>1.25</v>
      </c>
    </row>
    <row r="635" spans="1:2" x14ac:dyDescent="0.2">
      <c r="A635" s="41">
        <v>37347</v>
      </c>
      <c r="B635" s="21">
        <f>VLOOKUP(A635,'Database Rates'!$A$1:$D$1000,2,FALSE)</f>
        <v>1.25</v>
      </c>
    </row>
    <row r="636" spans="1:2" x14ac:dyDescent="0.2">
      <c r="A636" s="41">
        <v>37377</v>
      </c>
      <c r="B636" s="21">
        <f>VLOOKUP(A636,'Database Rates'!$A$1:$D$1000,2,FALSE)</f>
        <v>1.25</v>
      </c>
    </row>
    <row r="637" spans="1:2" x14ac:dyDescent="0.2">
      <c r="A637" s="41">
        <v>37408</v>
      </c>
      <c r="B637" s="21">
        <f>VLOOKUP(A637,'Database Rates'!$A$1:$D$1000,2,FALSE)</f>
        <v>1.25</v>
      </c>
    </row>
    <row r="638" spans="1:2" x14ac:dyDescent="0.2">
      <c r="A638" s="41">
        <v>37438</v>
      </c>
      <c r="B638" s="21">
        <f>VLOOKUP(A638,'Database Rates'!$A$1:$D$1000,2,FALSE)</f>
        <v>1.25</v>
      </c>
    </row>
    <row r="639" spans="1:2" x14ac:dyDescent="0.2">
      <c r="A639" s="41">
        <v>37469</v>
      </c>
      <c r="B639" s="21">
        <f>VLOOKUP(A639,'Database Rates'!$A$1:$D$1000,2,FALSE)</f>
        <v>1.25</v>
      </c>
    </row>
    <row r="640" spans="1:2" x14ac:dyDescent="0.2">
      <c r="A640" s="41">
        <v>37500</v>
      </c>
      <c r="B640" s="21">
        <f>VLOOKUP(A640,'Database Rates'!$A$1:$D$1000,2,FALSE)</f>
        <v>1.25</v>
      </c>
    </row>
    <row r="641" spans="1:2" x14ac:dyDescent="0.2">
      <c r="A641" s="41">
        <v>37530</v>
      </c>
      <c r="B641" s="21">
        <f>VLOOKUP(A641,'Database Rates'!$A$1:$D$1000,2,FALSE)</f>
        <v>1.25</v>
      </c>
    </row>
    <row r="642" spans="1:2" x14ac:dyDescent="0.2">
      <c r="A642" s="41">
        <v>37561</v>
      </c>
      <c r="B642" s="21">
        <f>VLOOKUP(A642,'Database Rates'!$A$1:$D$1000,2,FALSE)</f>
        <v>0.83</v>
      </c>
    </row>
    <row r="643" spans="1:2" x14ac:dyDescent="0.2">
      <c r="A643" s="41">
        <v>37591</v>
      </c>
      <c r="B643" s="21">
        <f>VLOOKUP(A643,'Database Rates'!$A$1:$D$1000,2,FALSE)</f>
        <v>0.75</v>
      </c>
    </row>
    <row r="644" spans="1:2" x14ac:dyDescent="0.2">
      <c r="A644" s="41">
        <v>37622</v>
      </c>
      <c r="B644" s="21">
        <f>VLOOKUP(A644,'Database Rates'!$A$1:$D$1000,2,FALSE)</f>
        <v>2.25</v>
      </c>
    </row>
    <row r="645" spans="1:2" x14ac:dyDescent="0.2">
      <c r="A645" s="41">
        <v>37653</v>
      </c>
      <c r="B645" s="21">
        <f>VLOOKUP(A645,'Database Rates'!$A$1:$D$1000,2,FALSE)</f>
        <v>2.25</v>
      </c>
    </row>
    <row r="646" spans="1:2" x14ac:dyDescent="0.2">
      <c r="A646" s="41">
        <v>37681</v>
      </c>
      <c r="B646" s="21">
        <f>VLOOKUP(A646,'Database Rates'!$A$1:$D$1000,2,FALSE)</f>
        <v>2.25</v>
      </c>
    </row>
    <row r="647" spans="1:2" x14ac:dyDescent="0.2">
      <c r="A647" s="41">
        <v>37712</v>
      </c>
      <c r="B647" s="21">
        <f>VLOOKUP(A647,'Database Rates'!$A$1:$D$1000,2,FALSE)</f>
        <v>2.25</v>
      </c>
    </row>
    <row r="648" spans="1:2" x14ac:dyDescent="0.2">
      <c r="A648" s="41">
        <v>37742</v>
      </c>
      <c r="B648" s="21">
        <f>VLOOKUP(A648,'Database Rates'!$A$1:$D$1000,2,FALSE)</f>
        <v>2.25</v>
      </c>
    </row>
    <row r="649" spans="1:2" x14ac:dyDescent="0.2">
      <c r="A649" s="41">
        <v>37773</v>
      </c>
      <c r="B649" s="21">
        <f>VLOOKUP(A649,'Database Rates'!$A$1:$D$1000,2,FALSE)</f>
        <v>2</v>
      </c>
    </row>
    <row r="650" spans="1:2" x14ac:dyDescent="0.2">
      <c r="A650" s="41">
        <v>37803</v>
      </c>
      <c r="B650" s="21">
        <f>VLOOKUP(A650,'Database Rates'!$A$1:$D$1000,2,FALSE)</f>
        <v>2</v>
      </c>
    </row>
    <row r="651" spans="1:2" x14ac:dyDescent="0.2">
      <c r="A651" s="41">
        <v>37834</v>
      </c>
      <c r="B651" s="21">
        <f>VLOOKUP(A651,'Database Rates'!$A$1:$D$1000,2,FALSE)</f>
        <v>2</v>
      </c>
    </row>
    <row r="652" spans="1:2" x14ac:dyDescent="0.2">
      <c r="A652" s="41">
        <v>37865</v>
      </c>
      <c r="B652" s="21">
        <f>VLOOKUP(A652,'Database Rates'!$A$1:$D$1000,2,FALSE)</f>
        <v>2</v>
      </c>
    </row>
    <row r="653" spans="1:2" x14ac:dyDescent="0.2">
      <c r="A653" s="41">
        <v>37895</v>
      </c>
      <c r="B653" s="21">
        <f>VLOOKUP(A653,'Database Rates'!$A$1:$D$1000,2,FALSE)</f>
        <v>2</v>
      </c>
    </row>
    <row r="654" spans="1:2" x14ac:dyDescent="0.2">
      <c r="A654" s="41">
        <v>37926</v>
      </c>
      <c r="B654" s="21">
        <f>VLOOKUP(A654,'Database Rates'!$A$1:$D$1000,2,FALSE)</f>
        <v>2</v>
      </c>
    </row>
    <row r="655" spans="1:2" x14ac:dyDescent="0.2">
      <c r="A655" s="41">
        <v>37956</v>
      </c>
      <c r="B655" s="21">
        <f>VLOOKUP(A655,'Database Rates'!$A$1:$D$1000,2,FALSE)</f>
        <v>2</v>
      </c>
    </row>
    <row r="656" spans="1:2" x14ac:dyDescent="0.2">
      <c r="A656" s="41">
        <v>37987</v>
      </c>
      <c r="B656" s="21">
        <f>VLOOKUP(A656,'Database Rates'!$A$1:$D$1000,2,FALSE)</f>
        <v>2</v>
      </c>
    </row>
    <row r="657" spans="1:2" x14ac:dyDescent="0.2">
      <c r="A657" s="41">
        <v>38018</v>
      </c>
      <c r="B657" s="21">
        <f>VLOOKUP(A657,'Database Rates'!$A$1:$D$1000,2,FALSE)</f>
        <v>2</v>
      </c>
    </row>
    <row r="658" spans="1:2" x14ac:dyDescent="0.2">
      <c r="A658" s="41">
        <v>38047</v>
      </c>
      <c r="B658" s="21">
        <f>VLOOKUP(A658,'Database Rates'!$A$1:$D$1000,2,FALSE)</f>
        <v>2</v>
      </c>
    </row>
    <row r="659" spans="1:2" x14ac:dyDescent="0.2">
      <c r="A659" s="41">
        <v>38078</v>
      </c>
      <c r="B659" s="21">
        <f>VLOOKUP(A659,'Database Rates'!$A$1:$D$1000,2,FALSE)</f>
        <v>2</v>
      </c>
    </row>
    <row r="660" spans="1:2" x14ac:dyDescent="0.2">
      <c r="A660" s="41">
        <v>38108</v>
      </c>
      <c r="B660" s="21">
        <f>VLOOKUP(A660,'Database Rates'!$A$1:$D$1000,2,FALSE)</f>
        <v>2</v>
      </c>
    </row>
    <row r="661" spans="1:2" x14ac:dyDescent="0.2">
      <c r="A661" s="41">
        <v>38139</v>
      </c>
      <c r="B661" s="21">
        <f>VLOOKUP(A661,'Database Rates'!$A$1:$D$1000,2,FALSE)</f>
        <v>2.25</v>
      </c>
    </row>
    <row r="662" spans="1:2" x14ac:dyDescent="0.2">
      <c r="A662" s="41">
        <v>38169</v>
      </c>
      <c r="B662" s="21">
        <f>VLOOKUP(A662,'Database Rates'!$A$1:$D$1000,2,FALSE)</f>
        <v>2.25</v>
      </c>
    </row>
    <row r="663" spans="1:2" x14ac:dyDescent="0.2">
      <c r="A663" s="41">
        <v>38200</v>
      </c>
      <c r="B663" s="21">
        <f>VLOOKUP(A663,'Database Rates'!$A$1:$D$1000,2,FALSE)</f>
        <v>2.5</v>
      </c>
    </row>
    <row r="664" spans="1:2" x14ac:dyDescent="0.2">
      <c r="A664" s="41">
        <v>38231</v>
      </c>
      <c r="B664" s="21">
        <f>VLOOKUP(A664,'Database Rates'!$A$1:$D$1000,2,FALSE)</f>
        <v>2.75</v>
      </c>
    </row>
    <row r="665" spans="1:2" x14ac:dyDescent="0.2">
      <c r="A665" s="41">
        <v>38261</v>
      </c>
      <c r="B665" s="21">
        <f>VLOOKUP(A665,'Database Rates'!$A$1:$D$1000,2,FALSE)</f>
        <v>2.75</v>
      </c>
    </row>
    <row r="666" spans="1:2" x14ac:dyDescent="0.2">
      <c r="A666" s="41">
        <v>38292</v>
      </c>
      <c r="B666" s="21">
        <f>VLOOKUP(A666,'Database Rates'!$A$1:$D$1000,2,FALSE)</f>
        <v>3</v>
      </c>
    </row>
    <row r="667" spans="1:2" x14ac:dyDescent="0.2">
      <c r="A667" s="41">
        <v>38322</v>
      </c>
      <c r="B667" s="21">
        <f>VLOOKUP(A667,'Database Rates'!$A$1:$D$1000,2,FALSE)</f>
        <v>3.25</v>
      </c>
    </row>
    <row r="668" spans="1:2" x14ac:dyDescent="0.2">
      <c r="A668" s="41">
        <v>38353</v>
      </c>
      <c r="B668" s="21">
        <f>VLOOKUP(A668,'Database Rates'!$A$1:$D$1000,2,FALSE)</f>
        <v>3.25</v>
      </c>
    </row>
    <row r="669" spans="1:2" x14ac:dyDescent="0.2">
      <c r="A669" s="41">
        <v>38384</v>
      </c>
      <c r="B669" s="21">
        <f>VLOOKUP(A669,'Database Rates'!$A$1:$D$1000,2,FALSE)</f>
        <v>3.5</v>
      </c>
    </row>
    <row r="670" spans="1:2" x14ac:dyDescent="0.2">
      <c r="A670" s="41">
        <v>38412</v>
      </c>
      <c r="B670" s="21">
        <f>VLOOKUP(A670,'Database Rates'!$A$1:$D$1000,2,FALSE)</f>
        <v>3.75</v>
      </c>
    </row>
    <row r="671" spans="1:2" x14ac:dyDescent="0.2">
      <c r="A671" s="41">
        <v>38443</v>
      </c>
      <c r="B671" s="21">
        <f>VLOOKUP(A671,'Database Rates'!$A$1:$D$1000,2,FALSE)</f>
        <v>3.75</v>
      </c>
    </row>
    <row r="672" spans="1:2" x14ac:dyDescent="0.2">
      <c r="A672" s="41">
        <v>38473</v>
      </c>
      <c r="B672" s="21">
        <f>VLOOKUP(A672,'Database Rates'!$A$1:$D$1000,2,FALSE)</f>
        <v>4</v>
      </c>
    </row>
    <row r="673" spans="1:2" x14ac:dyDescent="0.2">
      <c r="A673" s="41">
        <v>38504</v>
      </c>
      <c r="B673" s="21">
        <f>VLOOKUP(A673,'Database Rates'!$A$1:$D$1000,2,FALSE)</f>
        <v>4.25</v>
      </c>
    </row>
    <row r="674" spans="1:2" x14ac:dyDescent="0.2">
      <c r="A674" s="41">
        <v>38534</v>
      </c>
      <c r="B674" s="21">
        <f>VLOOKUP(A674,'Database Rates'!$A$1:$D$1000,2,FALSE)</f>
        <v>4.25</v>
      </c>
    </row>
    <row r="675" spans="1:2" x14ac:dyDescent="0.2">
      <c r="A675" s="41">
        <v>38565</v>
      </c>
      <c r="B675" s="21">
        <f>VLOOKUP(A675,'Database Rates'!$A$1:$D$1000,2,FALSE)</f>
        <v>4.5</v>
      </c>
    </row>
    <row r="676" spans="1:2" x14ac:dyDescent="0.2">
      <c r="A676" s="41">
        <v>38596</v>
      </c>
      <c r="B676" s="21">
        <f>VLOOKUP(A676,'Database Rates'!$A$1:$D$1000,2,FALSE)</f>
        <v>4.75</v>
      </c>
    </row>
    <row r="677" spans="1:2" x14ac:dyDescent="0.2">
      <c r="A677" s="41">
        <v>38626</v>
      </c>
      <c r="B677" s="21">
        <f>VLOOKUP(A677,'Database Rates'!$A$1:$D$1000,2,FALSE)</f>
        <v>4.75</v>
      </c>
    </row>
    <row r="678" spans="1:2" x14ac:dyDescent="0.2">
      <c r="A678" s="41">
        <v>38657</v>
      </c>
      <c r="B678" s="21">
        <f>VLOOKUP(A678,'Database Rates'!$A$1:$D$1000,2,FALSE)</f>
        <v>5</v>
      </c>
    </row>
    <row r="679" spans="1:2" x14ac:dyDescent="0.2">
      <c r="A679" s="41">
        <v>38687</v>
      </c>
      <c r="B679" s="21">
        <f>VLOOKUP(A679,'Database Rates'!$A$1:$D$1000,2,FALSE)</f>
        <v>5.25</v>
      </c>
    </row>
    <row r="680" spans="1:2" x14ac:dyDescent="0.2">
      <c r="A680" s="41">
        <v>38718</v>
      </c>
      <c r="B680" s="21">
        <f>VLOOKUP(A680,'Database Rates'!$A$1:$D$1000,2,FALSE)</f>
        <v>5.5</v>
      </c>
    </row>
    <row r="681" spans="1:2" x14ac:dyDescent="0.2">
      <c r="A681" s="41">
        <v>38749</v>
      </c>
      <c r="B681" s="21">
        <f>VLOOKUP(A681,'Database Rates'!$A$1:$D$1000,2,FALSE)</f>
        <v>5.5</v>
      </c>
    </row>
    <row r="682" spans="1:2" x14ac:dyDescent="0.2">
      <c r="A682" s="41">
        <v>38777</v>
      </c>
      <c r="B682" s="21">
        <f>VLOOKUP(A682,'Database Rates'!$A$1:$D$1000,2,FALSE)</f>
        <v>5.75</v>
      </c>
    </row>
    <row r="683" spans="1:2" x14ac:dyDescent="0.2">
      <c r="A683" s="41">
        <v>38808</v>
      </c>
      <c r="B683" s="21">
        <f>VLOOKUP(A683,'Database Rates'!$A$1:$D$1000,2,FALSE)</f>
        <v>5.75</v>
      </c>
    </row>
    <row r="684" spans="1:2" x14ac:dyDescent="0.2">
      <c r="A684" s="41">
        <v>38838</v>
      </c>
      <c r="B684" s="21">
        <f>VLOOKUP(A684,'Database Rates'!$A$1:$D$1000,2,FALSE)</f>
        <v>6</v>
      </c>
    </row>
    <row r="685" spans="1:2" x14ac:dyDescent="0.2">
      <c r="A685" s="41">
        <v>38869</v>
      </c>
      <c r="B685" s="21">
        <f>VLOOKUP(A685,'Database Rates'!$A$1:$D$1000,2,FALSE)</f>
        <v>6.25</v>
      </c>
    </row>
    <row r="686" spans="1:2" x14ac:dyDescent="0.2">
      <c r="A686" s="41">
        <v>38899</v>
      </c>
      <c r="B686" s="21">
        <f>VLOOKUP(A686,'Database Rates'!$A$1:$D$1000,2,FALSE)</f>
        <v>6.25</v>
      </c>
    </row>
    <row r="687" spans="1:2" x14ac:dyDescent="0.2">
      <c r="A687" s="41">
        <v>38930</v>
      </c>
      <c r="B687" s="21">
        <f>VLOOKUP(A687,'Database Rates'!$A$1:$D$1000,2,FALSE)</f>
        <v>6.25</v>
      </c>
    </row>
    <row r="688" spans="1:2" x14ac:dyDescent="0.2">
      <c r="A688" s="41">
        <v>38961</v>
      </c>
      <c r="B688" s="21">
        <f>VLOOKUP(A688,'Database Rates'!$A$1:$D$1000,2,FALSE)</f>
        <v>6.25</v>
      </c>
    </row>
    <row r="689" spans="1:2" x14ac:dyDescent="0.2">
      <c r="A689" s="41">
        <v>38991</v>
      </c>
      <c r="B689" s="21">
        <f>VLOOKUP(A689,'Database Rates'!$A$1:$D$1000,2,FALSE)</f>
        <v>6.25</v>
      </c>
    </row>
    <row r="690" spans="1:2" x14ac:dyDescent="0.2">
      <c r="A690" s="41">
        <v>39022</v>
      </c>
      <c r="B690" s="21">
        <f>VLOOKUP(A690,'Database Rates'!$A$1:$D$1000,2,FALSE)</f>
        <v>6.25</v>
      </c>
    </row>
    <row r="691" spans="1:2" x14ac:dyDescent="0.2">
      <c r="A691" s="41">
        <v>39052</v>
      </c>
      <c r="B691" s="21">
        <f>VLOOKUP(A691,'Database Rates'!$A$1:$D$1000,2,FALSE)</f>
        <v>6.25</v>
      </c>
    </row>
    <row r="692" spans="1:2" x14ac:dyDescent="0.2">
      <c r="A692" s="41">
        <v>39083</v>
      </c>
      <c r="B692" s="21">
        <f>VLOOKUP(A692,'Database Rates'!$A$1:$D$1000,2,FALSE)</f>
        <v>6.25</v>
      </c>
    </row>
    <row r="693" spans="1:2" x14ac:dyDescent="0.2">
      <c r="A693" s="41">
        <v>39114</v>
      </c>
      <c r="B693" s="21">
        <f>VLOOKUP(A693,'Database Rates'!$A$1:$D$1000,2,FALSE)</f>
        <v>6.25</v>
      </c>
    </row>
    <row r="694" spans="1:2" x14ac:dyDescent="0.2">
      <c r="A694" s="41">
        <v>39142</v>
      </c>
      <c r="B694" s="21">
        <f>VLOOKUP(A694,'Database Rates'!$A$1:$D$1000,2,FALSE)</f>
        <v>6.25</v>
      </c>
    </row>
    <row r="695" spans="1:2" x14ac:dyDescent="0.2">
      <c r="A695" s="41">
        <v>39173</v>
      </c>
      <c r="B695" s="21">
        <f>VLOOKUP(A695,'Database Rates'!$A$1:$D$1000,2,FALSE)</f>
        <v>6.25</v>
      </c>
    </row>
    <row r="696" spans="1:2" x14ac:dyDescent="0.2">
      <c r="A696" s="41">
        <v>39203</v>
      </c>
      <c r="B696" s="21">
        <f>VLOOKUP(A696,'Database Rates'!$A$1:$D$1000,2,FALSE)</f>
        <v>6.25</v>
      </c>
    </row>
    <row r="697" spans="1:2" x14ac:dyDescent="0.2">
      <c r="A697" s="41">
        <v>39234</v>
      </c>
      <c r="B697" s="21">
        <f>VLOOKUP(A697,'Database Rates'!$A$1:$D$1000,2,FALSE)</f>
        <v>6.25</v>
      </c>
    </row>
    <row r="698" spans="1:2" x14ac:dyDescent="0.2">
      <c r="A698" s="41">
        <v>39264</v>
      </c>
      <c r="B698" s="21">
        <f>VLOOKUP(A698,'Database Rates'!$A$1:$D$1000,2,FALSE)</f>
        <v>6.25</v>
      </c>
    </row>
    <row r="699" spans="1:2" x14ac:dyDescent="0.2">
      <c r="A699" s="41">
        <v>39295</v>
      </c>
      <c r="B699" s="21">
        <f>VLOOKUP(A699,'Database Rates'!$A$1:$D$1000,2,FALSE)</f>
        <v>5.75</v>
      </c>
    </row>
    <row r="700" spans="1:2" x14ac:dyDescent="0.2">
      <c r="A700" s="41">
        <v>39326</v>
      </c>
      <c r="B700" s="21">
        <f>VLOOKUP(A700,'Database Rates'!$A$1:$D$1000,2,FALSE)</f>
        <v>5.25</v>
      </c>
    </row>
    <row r="701" spans="1:2" x14ac:dyDescent="0.2">
      <c r="A701" s="41">
        <v>39356</v>
      </c>
      <c r="B701" s="21">
        <f>VLOOKUP(A701,'Database Rates'!$A$1:$D$1000,2,FALSE)</f>
        <v>5</v>
      </c>
    </row>
    <row r="702" spans="1:2" x14ac:dyDescent="0.2">
      <c r="A702" s="41">
        <v>39387</v>
      </c>
      <c r="B702" s="21">
        <f>VLOOKUP(A702,'Database Rates'!$A$1:$D$1000,2,FALSE)</f>
        <v>5</v>
      </c>
    </row>
    <row r="703" spans="1:2" x14ac:dyDescent="0.2">
      <c r="A703" s="41">
        <v>39417</v>
      </c>
      <c r="B703" s="21">
        <f>VLOOKUP(A703,'Database Rates'!$A$1:$D$1000,2,FALSE)</f>
        <v>4.75</v>
      </c>
    </row>
    <row r="704" spans="1:2" x14ac:dyDescent="0.2">
      <c r="A704" s="41">
        <v>39448</v>
      </c>
      <c r="B704" s="21">
        <f>VLOOKUP(A704,'Database Rates'!$A$1:$D$1000,2,FALSE)</f>
        <v>3.5</v>
      </c>
    </row>
    <row r="705" spans="1:2" x14ac:dyDescent="0.2">
      <c r="A705" s="41">
        <v>39479</v>
      </c>
      <c r="B705" s="21">
        <f>VLOOKUP(A705,'Database Rates'!$A$1:$D$1000,2,FALSE)</f>
        <v>3.5</v>
      </c>
    </row>
    <row r="706" spans="1:2" x14ac:dyDescent="0.2">
      <c r="A706" s="41">
        <v>39508</v>
      </c>
      <c r="B706" s="21">
        <f>VLOOKUP(A706,'Database Rates'!$A$1:$D$1000,2,FALSE)</f>
        <v>2.5</v>
      </c>
    </row>
    <row r="707" spans="1:2" x14ac:dyDescent="0.2">
      <c r="A707" s="41">
        <v>39539</v>
      </c>
      <c r="B707" s="21">
        <f>VLOOKUP(A707,'Database Rates'!$A$1:$D$1000,2,FALSE)</f>
        <v>2.25</v>
      </c>
    </row>
    <row r="708" spans="1:2" x14ac:dyDescent="0.2">
      <c r="A708" s="41">
        <v>39569</v>
      </c>
      <c r="B708" s="21">
        <f>VLOOKUP(A708,'Database Rates'!$A$1:$D$1000,2,FALSE)</f>
        <v>2.25</v>
      </c>
    </row>
    <row r="709" spans="1:2" x14ac:dyDescent="0.2">
      <c r="A709" s="41">
        <v>39600</v>
      </c>
      <c r="B709" s="21">
        <f>VLOOKUP(A709,'Database Rates'!$A$1:$D$1000,2,FALSE)</f>
        <v>2.25</v>
      </c>
    </row>
    <row r="710" spans="1:2" x14ac:dyDescent="0.2">
      <c r="A710" s="41">
        <v>39630</v>
      </c>
      <c r="B710" s="21">
        <f>VLOOKUP(A710,'Database Rates'!$A$1:$D$1000,2,FALSE)</f>
        <v>2.25</v>
      </c>
    </row>
    <row r="711" spans="1:2" x14ac:dyDescent="0.2">
      <c r="A711" s="41">
        <v>39661</v>
      </c>
      <c r="B711" s="21">
        <f>VLOOKUP(A711,'Database Rates'!$A$1:$D$1000,2,FALSE)</f>
        <v>2.25</v>
      </c>
    </row>
    <row r="712" spans="1:2" x14ac:dyDescent="0.2">
      <c r="A712" s="41">
        <v>39692</v>
      </c>
      <c r="B712" s="21">
        <f>VLOOKUP(A712,'Database Rates'!$A$1:$D$1000,2,FALSE)</f>
        <v>2.25</v>
      </c>
    </row>
    <row r="713" spans="1:2" x14ac:dyDescent="0.2">
      <c r="A713" s="41">
        <v>39722</v>
      </c>
      <c r="B713" s="21">
        <f>VLOOKUP(A713,'Database Rates'!$A$1:$D$1000,2,FALSE)</f>
        <v>1.25</v>
      </c>
    </row>
    <row r="714" spans="1:2" x14ac:dyDescent="0.2">
      <c r="A714" s="41">
        <v>39753</v>
      </c>
      <c r="B714" s="21">
        <f>VLOOKUP(A714,'Database Rates'!$A$1:$D$1000,2,FALSE)</f>
        <v>1.25</v>
      </c>
    </row>
    <row r="715" spans="1:2" x14ac:dyDescent="0.2">
      <c r="A715" s="41">
        <v>39783</v>
      </c>
      <c r="B715" s="21">
        <f>VLOOKUP(A715,'Database Rates'!$A$1:$D$1000,2,FALSE)</f>
        <v>0.5</v>
      </c>
    </row>
    <row r="716" spans="1:2" x14ac:dyDescent="0.2">
      <c r="A716" s="41">
        <v>39814</v>
      </c>
      <c r="B716" s="21">
        <f>VLOOKUP(A716,'Database Rates'!$A$1:$D$1000,2,FALSE)</f>
        <v>0.5</v>
      </c>
    </row>
    <row r="717" spans="1:2" x14ac:dyDescent="0.2">
      <c r="A717" s="41">
        <v>39845</v>
      </c>
      <c r="B717" s="21">
        <f>VLOOKUP(A717,'Database Rates'!$A$1:$D$1000,2,FALSE)</f>
        <v>0.5</v>
      </c>
    </row>
    <row r="718" spans="1:2" x14ac:dyDescent="0.2">
      <c r="A718" s="41">
        <v>39873</v>
      </c>
      <c r="B718" s="21">
        <f>VLOOKUP(A718,'Database Rates'!$A$1:$D$1000,2,FALSE)</f>
        <v>0.5</v>
      </c>
    </row>
    <row r="719" spans="1:2" x14ac:dyDescent="0.2">
      <c r="A719" s="41">
        <v>39904</v>
      </c>
      <c r="B719" s="21">
        <f>VLOOKUP(A719,'Database Rates'!$A$1:$D$1000,2,FALSE)</f>
        <v>0.5</v>
      </c>
    </row>
    <row r="720" spans="1:2" x14ac:dyDescent="0.2">
      <c r="A720" s="41">
        <v>39934</v>
      </c>
      <c r="B720" s="21">
        <f>VLOOKUP(A720,'Database Rates'!$A$1:$D$1000,2,FALSE)</f>
        <v>0.5</v>
      </c>
    </row>
    <row r="721" spans="1:2" x14ac:dyDescent="0.2">
      <c r="A721" s="41">
        <v>39965</v>
      </c>
      <c r="B721" s="21">
        <f>VLOOKUP(A721,'Database Rates'!$A$1:$D$1000,2,FALSE)</f>
        <v>0.5</v>
      </c>
    </row>
    <row r="722" spans="1:2" x14ac:dyDescent="0.2">
      <c r="A722" s="41">
        <v>39995</v>
      </c>
      <c r="B722" s="21">
        <f>VLOOKUP(A722,'Database Rates'!$A$1:$D$1000,2,FALSE)</f>
        <v>0.5</v>
      </c>
    </row>
    <row r="723" spans="1:2" x14ac:dyDescent="0.2">
      <c r="A723" s="41">
        <v>40026</v>
      </c>
      <c r="B723" s="21">
        <f>VLOOKUP(A723,'Database Rates'!$A$1:$D$1000,2,FALSE)</f>
        <v>0.5</v>
      </c>
    </row>
    <row r="724" spans="1:2" x14ac:dyDescent="0.2">
      <c r="A724" s="41">
        <v>40057</v>
      </c>
      <c r="B724" s="21">
        <f>VLOOKUP(A724,'Database Rates'!$A$1:$D$1000,2,FALSE)</f>
        <v>0.5</v>
      </c>
    </row>
    <row r="725" spans="1:2" x14ac:dyDescent="0.2">
      <c r="A725" s="41">
        <v>40087</v>
      </c>
      <c r="B725" s="21">
        <f>VLOOKUP(A725,'Database Rates'!$A$1:$D$1000,2,FALSE)</f>
        <v>0.5</v>
      </c>
    </row>
    <row r="726" spans="1:2" x14ac:dyDescent="0.2">
      <c r="A726" s="41">
        <v>40118</v>
      </c>
      <c r="B726" s="21">
        <f>VLOOKUP(A726,'Database Rates'!$A$1:$D$1000,2,FALSE)</f>
        <v>0.5</v>
      </c>
    </row>
    <row r="727" spans="1:2" x14ac:dyDescent="0.2">
      <c r="A727" s="41">
        <v>40148</v>
      </c>
      <c r="B727" s="21">
        <f>VLOOKUP(A727,'Database Rates'!$A$1:$D$1000,2,FALSE)</f>
        <v>0.5</v>
      </c>
    </row>
    <row r="728" spans="1:2" x14ac:dyDescent="0.2">
      <c r="A728" s="41">
        <v>40179</v>
      </c>
      <c r="B728" s="21">
        <f>VLOOKUP(A728,'Database Rates'!$A$1:$D$1000,2,FALSE)</f>
        <v>0.5</v>
      </c>
    </row>
    <row r="729" spans="1:2" x14ac:dyDescent="0.2">
      <c r="A729" s="41">
        <v>40210</v>
      </c>
      <c r="B729" s="21">
        <f>VLOOKUP(A729,'Database Rates'!$A$1:$D$1000,2,FALSE)</f>
        <v>0.75</v>
      </c>
    </row>
    <row r="730" spans="1:2" x14ac:dyDescent="0.2">
      <c r="A730" s="41">
        <v>40238</v>
      </c>
      <c r="B730" s="21">
        <f>VLOOKUP(A730,'Database Rates'!$A$1:$D$1000,2,FALSE)</f>
        <v>0.75</v>
      </c>
    </row>
    <row r="731" spans="1:2" x14ac:dyDescent="0.2">
      <c r="A731" s="41">
        <v>40269</v>
      </c>
      <c r="B731" s="21">
        <f>VLOOKUP(A731,'Database Rates'!$A$1:$D$1000,2,FALSE)</f>
        <v>0.75</v>
      </c>
    </row>
    <row r="732" spans="1:2" x14ac:dyDescent="0.2">
      <c r="A732" s="41">
        <v>40299</v>
      </c>
      <c r="B732" s="21">
        <f>VLOOKUP(A732,'Database Rates'!$A$1:$D$1000,2,FALSE)</f>
        <v>0.75</v>
      </c>
    </row>
    <row r="733" spans="1:2" x14ac:dyDescent="0.2">
      <c r="A733" s="41">
        <v>40330</v>
      </c>
      <c r="B733" s="21">
        <f>VLOOKUP(A733,'Database Rates'!$A$1:$D$1000,2,FALSE)</f>
        <v>0.75</v>
      </c>
    </row>
    <row r="734" spans="1:2" x14ac:dyDescent="0.2">
      <c r="A734" s="41">
        <v>40360</v>
      </c>
      <c r="B734" s="21">
        <f>VLOOKUP(A734,'Database Rates'!$A$1:$D$1000,2,FALSE)</f>
        <v>0.75</v>
      </c>
    </row>
    <row r="735" spans="1:2" x14ac:dyDescent="0.2">
      <c r="A735" s="41">
        <v>40391</v>
      </c>
      <c r="B735" s="21">
        <f>VLOOKUP(A735,'Database Rates'!$A$1:$D$1000,2,FALSE)</f>
        <v>0.75</v>
      </c>
    </row>
    <row r="736" spans="1:2" x14ac:dyDescent="0.2">
      <c r="A736" s="41">
        <v>40422</v>
      </c>
      <c r="B736" s="21">
        <f>VLOOKUP(A736,'Database Rates'!$A$1:$D$1000,2,FALSE)</f>
        <v>0.75</v>
      </c>
    </row>
    <row r="737" spans="1:2" x14ac:dyDescent="0.2">
      <c r="A737" s="41">
        <v>40452</v>
      </c>
      <c r="B737" s="21">
        <f>VLOOKUP(A737,'Database Rates'!$A$1:$D$1000,2,FALSE)</f>
        <v>0.75</v>
      </c>
    </row>
    <row r="738" spans="1:2" x14ac:dyDescent="0.2">
      <c r="A738" s="41">
        <v>40483</v>
      </c>
      <c r="B738" s="21">
        <f>VLOOKUP(A738,'Database Rates'!$A$1:$D$1000,2,FALSE)</f>
        <v>0.75</v>
      </c>
    </row>
    <row r="739" spans="1:2" x14ac:dyDescent="0.2">
      <c r="A739" s="41">
        <v>40513</v>
      </c>
      <c r="B739" s="21">
        <f>VLOOKUP(A739,'Database Rates'!$A$1:$D$1000,2,FALSE)</f>
        <v>0.75</v>
      </c>
    </row>
    <row r="740" spans="1:2" x14ac:dyDescent="0.2">
      <c r="A740" s="41">
        <v>40544</v>
      </c>
      <c r="B740" s="21">
        <f>VLOOKUP(A740,'Database Rates'!$A$1:$D$1000,2,FALSE)</f>
        <v>0.75</v>
      </c>
    </row>
    <row r="741" spans="1:2" x14ac:dyDescent="0.2">
      <c r="A741" s="41">
        <v>40575</v>
      </c>
      <c r="B741" s="21">
        <f>VLOOKUP(A741,'Database Rates'!$A$1:$D$1000,2,FALSE)</f>
        <v>0.75</v>
      </c>
    </row>
    <row r="742" spans="1:2" x14ac:dyDescent="0.2">
      <c r="A742" s="41">
        <v>40603</v>
      </c>
      <c r="B742" s="21">
        <f>VLOOKUP(A742,'Database Rates'!$A$1:$D$1000,2,FALSE)</f>
        <v>0.75</v>
      </c>
    </row>
    <row r="743" spans="1:2" x14ac:dyDescent="0.2">
      <c r="A743" s="41">
        <v>40634</v>
      </c>
      <c r="B743" s="21">
        <f>VLOOKUP(A743,'Database Rates'!$A$1:$D$1000,2,FALSE)</f>
        <v>0.75</v>
      </c>
    </row>
    <row r="744" spans="1:2" x14ac:dyDescent="0.2">
      <c r="A744" s="41">
        <v>40664</v>
      </c>
      <c r="B744" s="21">
        <f>VLOOKUP(A744,'Database Rates'!$A$1:$D$1000,2,FALSE)</f>
        <v>0.75</v>
      </c>
    </row>
    <row r="745" spans="1:2" x14ac:dyDescent="0.2">
      <c r="A745" s="41">
        <v>40695</v>
      </c>
      <c r="B745" s="21">
        <f>VLOOKUP(A745,'Database Rates'!$A$1:$D$1000,2,FALSE)</f>
        <v>0.75</v>
      </c>
    </row>
    <row r="746" spans="1:2" x14ac:dyDescent="0.2">
      <c r="A746" s="41">
        <v>40725</v>
      </c>
      <c r="B746" s="21">
        <f>VLOOKUP(A746,'Database Rates'!$A$1:$D$1000,2,FALSE)</f>
        <v>0.75</v>
      </c>
    </row>
    <row r="747" spans="1:2" x14ac:dyDescent="0.2">
      <c r="A747" s="41">
        <v>40756</v>
      </c>
      <c r="B747" s="21">
        <f>VLOOKUP(A747,'Database Rates'!$A$1:$D$1000,2,FALSE)</f>
        <v>0.75</v>
      </c>
    </row>
    <row r="748" spans="1:2" x14ac:dyDescent="0.2">
      <c r="A748" s="41">
        <v>40787</v>
      </c>
      <c r="B748" s="21">
        <f>VLOOKUP(A748,'Database Rates'!$A$1:$D$1000,2,FALSE)</f>
        <v>0.75</v>
      </c>
    </row>
    <row r="749" spans="1:2" x14ac:dyDescent="0.2">
      <c r="A749" s="41">
        <v>40817</v>
      </c>
      <c r="B749" s="21">
        <f>VLOOKUP(A749,'Database Rates'!$A$1:$D$1000,2,FALSE)</f>
        <v>0.75</v>
      </c>
    </row>
    <row r="750" spans="1:2" x14ac:dyDescent="0.2">
      <c r="A750" s="41">
        <v>40848</v>
      </c>
      <c r="B750" s="21">
        <f>VLOOKUP(A750,'Database Rates'!$A$1:$D$1000,2,FALSE)</f>
        <v>0.75</v>
      </c>
    </row>
    <row r="751" spans="1:2" x14ac:dyDescent="0.2">
      <c r="A751" s="41">
        <v>40878</v>
      </c>
      <c r="B751" s="21">
        <f>VLOOKUP(A751,'Database Rates'!$A$1:$D$1000,2,FALSE)</f>
        <v>0.75</v>
      </c>
    </row>
    <row r="752" spans="1:2" x14ac:dyDescent="0.2">
      <c r="A752" s="41">
        <v>40909</v>
      </c>
      <c r="B752" s="21">
        <f>VLOOKUP(A752,'Database Rates'!$A$1:$D$1000,2,FALSE)</f>
        <v>0.75</v>
      </c>
    </row>
    <row r="753" spans="1:2" x14ac:dyDescent="0.2">
      <c r="A753" s="41">
        <v>40940</v>
      </c>
      <c r="B753" s="21">
        <f>VLOOKUP(A753,'Database Rates'!$A$1:$D$1000,2,FALSE)</f>
        <v>0.75</v>
      </c>
    </row>
    <row r="754" spans="1:2" x14ac:dyDescent="0.2">
      <c r="A754" s="41">
        <v>40969</v>
      </c>
      <c r="B754" s="21">
        <f>VLOOKUP(A754,'Database Rates'!$A$1:$D$1000,2,FALSE)</f>
        <v>0.75</v>
      </c>
    </row>
    <row r="755" spans="1:2" x14ac:dyDescent="0.2">
      <c r="A755" s="41">
        <v>41000</v>
      </c>
      <c r="B755" s="21">
        <f>VLOOKUP(A755,'Database Rates'!$A$1:$D$1000,2,FALSE)</f>
        <v>0.75</v>
      </c>
    </row>
    <row r="756" spans="1:2" x14ac:dyDescent="0.2">
      <c r="A756" s="41">
        <v>41030</v>
      </c>
      <c r="B756" s="21">
        <f>VLOOKUP(A756,'Database Rates'!$A$1:$D$1000,2,FALSE)</f>
        <v>0.75</v>
      </c>
    </row>
    <row r="757" spans="1:2" x14ac:dyDescent="0.2">
      <c r="A757" s="41">
        <v>41061</v>
      </c>
      <c r="B757" s="21">
        <f>VLOOKUP(A757,'Database Rates'!$A$1:$D$1000,2,FALSE)</f>
        <v>0.75</v>
      </c>
    </row>
    <row r="758" spans="1:2" x14ac:dyDescent="0.2">
      <c r="A758" s="41">
        <v>41091</v>
      </c>
      <c r="B758" s="21">
        <f>VLOOKUP(A758,'Database Rates'!$A$1:$D$1000,2,FALSE)</f>
        <v>0.75</v>
      </c>
    </row>
    <row r="759" spans="1:2" x14ac:dyDescent="0.2">
      <c r="A759" s="41">
        <v>41122</v>
      </c>
      <c r="B759" s="21">
        <f>VLOOKUP(A759,'Database Rates'!$A$1:$D$1000,2,FALSE)</f>
        <v>0.75</v>
      </c>
    </row>
    <row r="760" spans="1:2" x14ac:dyDescent="0.2">
      <c r="A760" s="41">
        <v>41153</v>
      </c>
      <c r="B760" s="21">
        <f>VLOOKUP(A760,'Database Rates'!$A$1:$D$1000,2,FALSE)</f>
        <v>0.75</v>
      </c>
    </row>
    <row r="761" spans="1:2" x14ac:dyDescent="0.2">
      <c r="A761" s="41">
        <v>41183</v>
      </c>
      <c r="B761" s="21">
        <f>VLOOKUP(A761,'Database Rates'!$A$1:$D$1000,2,FALSE)</f>
        <v>0.75</v>
      </c>
    </row>
    <row r="762" spans="1:2" x14ac:dyDescent="0.2">
      <c r="A762" s="41">
        <v>41214</v>
      </c>
      <c r="B762" s="21">
        <f>VLOOKUP(A762,'Database Rates'!$A$1:$D$1000,2,FALSE)</f>
        <v>0.75</v>
      </c>
    </row>
    <row r="763" spans="1:2" x14ac:dyDescent="0.2">
      <c r="A763" s="41">
        <v>41244</v>
      </c>
      <c r="B763" s="21">
        <f>VLOOKUP(A763,'Database Rates'!$A$1:$D$1000,2,FALSE)</f>
        <v>0.75</v>
      </c>
    </row>
    <row r="764" spans="1:2" x14ac:dyDescent="0.2">
      <c r="A764" s="41">
        <v>41275</v>
      </c>
      <c r="B764" s="21">
        <f>VLOOKUP(A764,'Database Rates'!$A$1:$D$1000,2,FALSE)</f>
        <v>0.75</v>
      </c>
    </row>
    <row r="765" spans="1:2" x14ac:dyDescent="0.2">
      <c r="A765" s="41">
        <v>41306</v>
      </c>
      <c r="B765" s="21">
        <f>VLOOKUP(A765,'Database Rates'!$A$1:$D$1000,2,FALSE)</f>
        <v>0.75</v>
      </c>
    </row>
    <row r="766" spans="1:2" x14ac:dyDescent="0.2">
      <c r="A766" s="41">
        <v>41334</v>
      </c>
      <c r="B766" s="21">
        <f>VLOOKUP(A766,'Database Rates'!$A$1:$D$1000,2,FALSE)</f>
        <v>0.75</v>
      </c>
    </row>
    <row r="767" spans="1:2" x14ac:dyDescent="0.2">
      <c r="A767" s="41">
        <v>41365</v>
      </c>
      <c r="B767" s="21">
        <f>VLOOKUP(A767,'Database Rates'!$A$1:$D$1000,2,FALSE)</f>
        <v>0.75</v>
      </c>
    </row>
    <row r="768" spans="1:2" x14ac:dyDescent="0.2">
      <c r="A768" s="41">
        <v>41395</v>
      </c>
      <c r="B768" s="21">
        <f>VLOOKUP(A768,'Database Rates'!$A$1:$D$1000,2,FALSE)</f>
        <v>0.75</v>
      </c>
    </row>
    <row r="769" spans="1:2" x14ac:dyDescent="0.2">
      <c r="A769" s="41">
        <v>41426</v>
      </c>
      <c r="B769" s="21">
        <f>VLOOKUP(A769,'Database Rates'!$A$1:$D$1000,2,FALSE)</f>
        <v>0.75</v>
      </c>
    </row>
    <row r="770" spans="1:2" x14ac:dyDescent="0.2">
      <c r="A770" s="41">
        <v>41456</v>
      </c>
      <c r="B770" s="21">
        <f>VLOOKUP(A770,'Database Rates'!$A$1:$D$1000,2,FALSE)</f>
        <v>0.75</v>
      </c>
    </row>
    <row r="771" spans="1:2" x14ac:dyDescent="0.2">
      <c r="A771" s="41">
        <v>41487</v>
      </c>
      <c r="B771" s="21">
        <f>VLOOKUP(A771,'Database Rates'!$A$1:$D$1000,2,FALSE)</f>
        <v>0.75</v>
      </c>
    </row>
    <row r="772" spans="1:2" x14ac:dyDescent="0.2">
      <c r="A772" s="41">
        <v>41518</v>
      </c>
      <c r="B772" s="21">
        <f>VLOOKUP(A772,'Database Rates'!$A$1:$D$1000,2,FALSE)</f>
        <v>0.75</v>
      </c>
    </row>
    <row r="773" spans="1:2" x14ac:dyDescent="0.2">
      <c r="A773" s="41">
        <v>41548</v>
      </c>
      <c r="B773" s="21">
        <f>VLOOKUP(A773,'Database Rates'!$A$1:$D$1000,2,FALSE)</f>
        <v>0.75</v>
      </c>
    </row>
    <row r="774" spans="1:2" x14ac:dyDescent="0.2">
      <c r="A774" s="41">
        <v>41579</v>
      </c>
      <c r="B774" s="21">
        <f>VLOOKUP(A774,'Database Rates'!$A$1:$D$1000,2,FALSE)</f>
        <v>0.75</v>
      </c>
    </row>
    <row r="775" spans="1:2" x14ac:dyDescent="0.2">
      <c r="A775" s="41">
        <v>41609</v>
      </c>
      <c r="B775" s="21">
        <f>VLOOKUP(A775,'Database Rates'!$A$1:$D$1000,2,FALSE)</f>
        <v>0.75</v>
      </c>
    </row>
    <row r="776" spans="1:2" x14ac:dyDescent="0.2">
      <c r="A776" s="41">
        <v>41640</v>
      </c>
      <c r="B776" s="21">
        <f>VLOOKUP(A776,'Database Rates'!$A$1:$D$1000,2,FALSE)</f>
        <v>0.75</v>
      </c>
    </row>
    <row r="777" spans="1:2" x14ac:dyDescent="0.2">
      <c r="A777" s="41">
        <v>41671</v>
      </c>
      <c r="B777" s="21">
        <f>VLOOKUP(A777,'Database Rates'!$A$1:$D$1000,2,FALSE)</f>
        <v>0.75</v>
      </c>
    </row>
    <row r="778" spans="1:2" x14ac:dyDescent="0.2">
      <c r="A778" s="41">
        <v>41699</v>
      </c>
      <c r="B778" s="21">
        <f>VLOOKUP(A778,'Database Rates'!$A$1:$D$1000,2,FALSE)</f>
        <v>0.75</v>
      </c>
    </row>
    <row r="779" spans="1:2" x14ac:dyDescent="0.2">
      <c r="A779" s="41">
        <v>41730</v>
      </c>
      <c r="B779" s="21">
        <f>VLOOKUP(A779,'Database Rates'!$A$1:$D$1000,2,FALSE)</f>
        <v>0.75</v>
      </c>
    </row>
    <row r="780" spans="1:2" x14ac:dyDescent="0.2">
      <c r="A780" s="41">
        <v>41760</v>
      </c>
      <c r="B780" s="21">
        <f>VLOOKUP(A780,'Database Rates'!$A$1:$D$1000,2,FALSE)</f>
        <v>0.75</v>
      </c>
    </row>
    <row r="781" spans="1:2" x14ac:dyDescent="0.2">
      <c r="A781" s="41">
        <v>41791</v>
      </c>
      <c r="B781" s="21">
        <f>VLOOKUP(A781,'Database Rates'!$A$1:$D$1000,2,FALSE)</f>
        <v>0.75</v>
      </c>
    </row>
    <row r="782" spans="1:2" x14ac:dyDescent="0.2">
      <c r="A782" s="41">
        <v>41821</v>
      </c>
      <c r="B782" s="21">
        <f>VLOOKUP(A782,'Database Rates'!$A$1:$D$1000,2,FALSE)</f>
        <v>0.75</v>
      </c>
    </row>
    <row r="783" spans="1:2" x14ac:dyDescent="0.2">
      <c r="A783" s="41">
        <v>41852</v>
      </c>
      <c r="B783" s="21">
        <f>VLOOKUP(A783,'Database Rates'!$A$1:$D$1000,2,FALSE)</f>
        <v>0.75</v>
      </c>
    </row>
    <row r="784" spans="1:2" x14ac:dyDescent="0.2">
      <c r="A784" s="41">
        <v>41883</v>
      </c>
      <c r="B784" s="21">
        <f>VLOOKUP(A784,'Database Rates'!$A$1:$D$1000,2,FALSE)</f>
        <v>0.75</v>
      </c>
    </row>
    <row r="785" spans="1:2" x14ac:dyDescent="0.2">
      <c r="A785" s="41">
        <v>41913</v>
      </c>
      <c r="B785" s="21">
        <f>VLOOKUP(A785,'Database Rates'!$A$1:$D$1000,2,FALSE)</f>
        <v>0.75</v>
      </c>
    </row>
    <row r="786" spans="1:2" x14ac:dyDescent="0.2">
      <c r="A786" s="41">
        <v>41944</v>
      </c>
      <c r="B786" s="21">
        <f>VLOOKUP(A786,'Database Rates'!$A$1:$D$1000,2,FALSE)</f>
        <v>0.75</v>
      </c>
    </row>
    <row r="787" spans="1:2" x14ac:dyDescent="0.2">
      <c r="A787" s="41">
        <v>41974</v>
      </c>
      <c r="B787" s="21">
        <f>VLOOKUP(A787,'Database Rates'!$A$1:$D$1000,2,FALSE)</f>
        <v>0.75</v>
      </c>
    </row>
    <row r="788" spans="1:2" x14ac:dyDescent="0.2">
      <c r="A788" s="41">
        <v>42005</v>
      </c>
      <c r="B788" s="21">
        <f>VLOOKUP(A788,'Database Rates'!$A$1:$D$1000,2,FALSE)</f>
        <v>0.75</v>
      </c>
    </row>
    <row r="789" spans="1:2" x14ac:dyDescent="0.2">
      <c r="A789" s="41">
        <v>42036</v>
      </c>
      <c r="B789" s="21">
        <f>VLOOKUP(A789,'Database Rates'!$A$1:$D$1000,2,FALSE)</f>
        <v>0.75</v>
      </c>
    </row>
    <row r="790" spans="1:2" x14ac:dyDescent="0.2">
      <c r="A790" s="41">
        <v>42064</v>
      </c>
      <c r="B790" s="21">
        <f>VLOOKUP(A790,'Database Rates'!$A$1:$D$1000,2,FALSE)</f>
        <v>0.75</v>
      </c>
    </row>
    <row r="791" spans="1:2" x14ac:dyDescent="0.2">
      <c r="A791" s="41">
        <v>42095</v>
      </c>
      <c r="B791" s="21">
        <f>VLOOKUP(A791,'Database Rates'!$A$1:$D$1000,2,FALSE)</f>
        <v>0.75</v>
      </c>
    </row>
    <row r="792" spans="1:2" x14ac:dyDescent="0.2">
      <c r="A792" s="41">
        <v>42125</v>
      </c>
      <c r="B792" s="21">
        <f>VLOOKUP(A792,'Database Rates'!$A$1:$D$1000,2,FALSE)</f>
        <v>0.75</v>
      </c>
    </row>
    <row r="793" spans="1:2" x14ac:dyDescent="0.2">
      <c r="A793" s="41">
        <v>42156</v>
      </c>
      <c r="B793" s="21">
        <f>VLOOKUP(A793,'Database Rates'!$A$1:$D$1000,2,FALSE)</f>
        <v>0.75</v>
      </c>
    </row>
    <row r="794" spans="1:2" x14ac:dyDescent="0.2">
      <c r="A794" s="41">
        <v>42186</v>
      </c>
      <c r="B794" s="21">
        <f>VLOOKUP(A794,'Database Rates'!$A$1:$D$1000,2,FALSE)</f>
        <v>0.75</v>
      </c>
    </row>
    <row r="795" spans="1:2" x14ac:dyDescent="0.2">
      <c r="A795" s="41">
        <v>42217</v>
      </c>
      <c r="B795" s="21">
        <f>VLOOKUP(A795,'Database Rates'!$A$1:$D$1000,2,FALSE)</f>
        <v>0.75</v>
      </c>
    </row>
    <row r="796" spans="1:2" x14ac:dyDescent="0.2">
      <c r="A796" s="41">
        <v>42248</v>
      </c>
      <c r="B796" s="21">
        <f>VLOOKUP(A796,'Database Rates'!$A$1:$D$1000,2,FALSE)</f>
        <v>0.75</v>
      </c>
    </row>
    <row r="797" spans="1:2" x14ac:dyDescent="0.2">
      <c r="A797" s="41">
        <v>42278</v>
      </c>
      <c r="B797" s="21">
        <f>VLOOKUP(A797,'Database Rates'!$A$1:$D$1000,2,FALSE)</f>
        <v>0.75</v>
      </c>
    </row>
    <row r="798" spans="1:2" x14ac:dyDescent="0.2">
      <c r="A798" s="41">
        <v>42309</v>
      </c>
      <c r="B798" s="21">
        <f>VLOOKUP(A798,'Database Rates'!$A$1:$D$1000,2,FALSE)</f>
        <v>0.75</v>
      </c>
    </row>
    <row r="799" spans="1:2" x14ac:dyDescent="0.2">
      <c r="A799" s="41">
        <v>42339</v>
      </c>
      <c r="B799" s="21">
        <f>VLOOKUP(A799,'Database Rates'!$A$1:$D$1000,2,FALSE)</f>
        <v>1</v>
      </c>
    </row>
    <row r="800" spans="1:2" x14ac:dyDescent="0.2">
      <c r="A800" s="41">
        <v>42370</v>
      </c>
      <c r="B800" s="21">
        <f>VLOOKUP(A800,'Database Rates'!$A$1:$D$1000,2,FALSE)</f>
        <v>1</v>
      </c>
    </row>
    <row r="801" spans="1:2" x14ac:dyDescent="0.2">
      <c r="A801" s="41">
        <v>42401</v>
      </c>
      <c r="B801" s="21">
        <f>VLOOKUP(A801,'Database Rates'!$A$1:$D$1000,2,FALSE)</f>
        <v>1</v>
      </c>
    </row>
    <row r="802" spans="1:2" x14ac:dyDescent="0.2">
      <c r="A802" s="41">
        <v>42430</v>
      </c>
      <c r="B802" s="21">
        <f>VLOOKUP(A802,'Database Rates'!$A$1:$D$1000,2,FALSE)</f>
        <v>1</v>
      </c>
    </row>
    <row r="803" spans="1:2" x14ac:dyDescent="0.2">
      <c r="A803" s="41">
        <v>42461</v>
      </c>
      <c r="B803" s="21">
        <f>VLOOKUP(A803,'Database Rates'!$A$1:$D$1000,2,FALSE)</f>
        <v>1</v>
      </c>
    </row>
    <row r="804" spans="1:2" x14ac:dyDescent="0.2">
      <c r="A804" s="41">
        <v>42491</v>
      </c>
      <c r="B804" s="21">
        <f>VLOOKUP(A804,'Database Rates'!$A$1:$D$1000,2,FALSE)</f>
        <v>1</v>
      </c>
    </row>
    <row r="805" spans="1:2" x14ac:dyDescent="0.2">
      <c r="A805" s="41">
        <v>42522</v>
      </c>
      <c r="B805" s="21">
        <f>VLOOKUP(A805,'Database Rates'!$A$1:$D$1000,2,FALSE)</f>
        <v>1</v>
      </c>
    </row>
    <row r="806" spans="1:2" x14ac:dyDescent="0.2">
      <c r="A806" s="41">
        <v>42552</v>
      </c>
      <c r="B806" s="21">
        <f>VLOOKUP(A806,'Database Rates'!$A$1:$D$1000,2,FALSE)</f>
        <v>1</v>
      </c>
    </row>
    <row r="807" spans="1:2" x14ac:dyDescent="0.2">
      <c r="A807" s="41">
        <v>42583</v>
      </c>
      <c r="B807" s="21">
        <f>VLOOKUP(A807,'Database Rates'!$A$1:$D$1000,2,FALSE)</f>
        <v>1</v>
      </c>
    </row>
    <row r="808" spans="1:2" x14ac:dyDescent="0.2">
      <c r="A808" s="41">
        <v>42614</v>
      </c>
      <c r="B808" s="21">
        <f>VLOOKUP(A808,'Database Rates'!$A$1:$D$1000,2,FALSE)</f>
        <v>1</v>
      </c>
    </row>
    <row r="809" spans="1:2" x14ac:dyDescent="0.2">
      <c r="A809" s="41">
        <v>42644</v>
      </c>
      <c r="B809" s="21">
        <f>VLOOKUP(A809,'Database Rates'!$A$1:$D$1000,2,FALSE)</f>
        <v>1</v>
      </c>
    </row>
    <row r="810" spans="1:2" x14ac:dyDescent="0.2">
      <c r="A810" s="41">
        <v>42675</v>
      </c>
      <c r="B810" s="21">
        <f>VLOOKUP(A810,'Database Rates'!$A$1:$D$1000,2,FALSE)</f>
        <v>1</v>
      </c>
    </row>
    <row r="811" spans="1:2" x14ac:dyDescent="0.2">
      <c r="A811" s="41">
        <v>42705</v>
      </c>
      <c r="B811" s="21">
        <f>VLOOKUP(A811,'Database Rates'!$A$1:$D$1000,2,FALSE)</f>
        <v>1.25</v>
      </c>
    </row>
    <row r="812" spans="1:2" x14ac:dyDescent="0.2">
      <c r="A812" s="41">
        <v>42736</v>
      </c>
      <c r="B812" s="21">
        <f>VLOOKUP(A812,'Database Rates'!$A$1:$D$1000,2,FALSE)</f>
        <v>1.25</v>
      </c>
    </row>
    <row r="813" spans="1:2" x14ac:dyDescent="0.2">
      <c r="A813" s="41">
        <v>42767</v>
      </c>
      <c r="B813" s="21">
        <f>VLOOKUP(A813,'Database Rates'!$A$1:$D$1000,2,FALSE)</f>
        <v>1.25</v>
      </c>
    </row>
    <row r="814" spans="1:2" x14ac:dyDescent="0.2">
      <c r="A814" s="41">
        <v>42795</v>
      </c>
      <c r="B814" s="21">
        <f>VLOOKUP(A814,'Database Rates'!$A$1:$D$1000,2,FALSE)</f>
        <v>1.5</v>
      </c>
    </row>
    <row r="815" spans="1:2" x14ac:dyDescent="0.2">
      <c r="A815" s="41">
        <v>42826</v>
      </c>
      <c r="B815" s="21">
        <f>VLOOKUP(A815,'Database Rates'!$A$1:$D$1000,2,FALSE)</f>
        <v>1.5</v>
      </c>
    </row>
    <row r="816" spans="1:2" x14ac:dyDescent="0.2">
      <c r="A816" s="41">
        <v>42856</v>
      </c>
      <c r="B816" s="21">
        <f>VLOOKUP(A816,'Database Rates'!$A$1:$D$1000,2,FALSE)</f>
        <v>1.5</v>
      </c>
    </row>
    <row r="817" spans="1:2" x14ac:dyDescent="0.2">
      <c r="A817" s="41">
        <v>42887</v>
      </c>
      <c r="B817" s="21">
        <f>VLOOKUP(A817,'Database Rates'!$A$1:$D$1000,2,FALSE)</f>
        <v>1.75</v>
      </c>
    </row>
    <row r="818" spans="1:2" x14ac:dyDescent="0.2">
      <c r="A818" s="41">
        <v>42917</v>
      </c>
      <c r="B818" s="21">
        <f>VLOOKUP(A818,'Database Rates'!$A$1:$D$1000,2,FALSE)</f>
        <v>1.75</v>
      </c>
    </row>
    <row r="819" spans="1:2" x14ac:dyDescent="0.2">
      <c r="A819" s="41">
        <v>42948</v>
      </c>
      <c r="B819" s="21">
        <f>VLOOKUP(A819,'Database Rates'!$A$1:$D$1000,2,FALSE)</f>
        <v>1.75</v>
      </c>
    </row>
    <row r="820" spans="1:2" x14ac:dyDescent="0.2">
      <c r="A820" s="41">
        <v>42979</v>
      </c>
      <c r="B820" s="21">
        <f>VLOOKUP(A820,'Database Rates'!$A$1:$D$1000,2,FALSE)</f>
        <v>1.75</v>
      </c>
    </row>
    <row r="821" spans="1:2" x14ac:dyDescent="0.2">
      <c r="A821" s="41">
        <v>43009</v>
      </c>
      <c r="B821" s="21">
        <f>VLOOKUP(A821,'Database Rates'!$A$1:$D$1000,2,FALSE)</f>
        <v>1.75</v>
      </c>
    </row>
    <row r="822" spans="1:2" x14ac:dyDescent="0.2">
      <c r="A822" s="41">
        <v>43040</v>
      </c>
      <c r="B822" s="21">
        <f>VLOOKUP(A822,'Database Rates'!$A$1:$D$1000,2,FALSE)</f>
        <v>1.75</v>
      </c>
    </row>
    <row r="823" spans="1:2" x14ac:dyDescent="0.2">
      <c r="A823" s="41">
        <v>43070</v>
      </c>
      <c r="B823" s="21">
        <f>VLOOKUP(A823,'Database Rates'!$A$1:$D$1000,2,FALSE)</f>
        <v>2</v>
      </c>
    </row>
    <row r="824" spans="1:2" x14ac:dyDescent="0.2">
      <c r="A824" s="41">
        <v>43101</v>
      </c>
      <c r="B824" s="21">
        <f>VLOOKUP(A824,'Database Rates'!$A$1:$D$1000,2,FALSE)</f>
        <v>2</v>
      </c>
    </row>
    <row r="825" spans="1:2" x14ac:dyDescent="0.2">
      <c r="A825" s="41">
        <v>43132</v>
      </c>
      <c r="B825" s="21">
        <f>VLOOKUP(A825,'Database Rates'!$A$1:$D$1000,2,FALSE)</f>
        <v>2</v>
      </c>
    </row>
    <row r="826" spans="1:2" x14ac:dyDescent="0.2">
      <c r="A826" s="41">
        <v>43160</v>
      </c>
      <c r="B826" s="21">
        <f>VLOOKUP(A826,'Database Rates'!$A$1:$D$1000,2,FALSE)</f>
        <v>2.25</v>
      </c>
    </row>
    <row r="827" spans="1:2" x14ac:dyDescent="0.2">
      <c r="A827" s="41">
        <v>43191</v>
      </c>
      <c r="B827" s="21">
        <f>VLOOKUP(A827,'Database Rates'!$A$1:$D$1000,2,FALSE)</f>
        <v>2.25</v>
      </c>
    </row>
    <row r="828" spans="1:2" x14ac:dyDescent="0.2">
      <c r="A828" s="41">
        <v>43221</v>
      </c>
      <c r="B828" s="21">
        <f>VLOOKUP(A828,'Database Rates'!$A$1:$D$1000,2,FALSE)</f>
        <v>2.25</v>
      </c>
    </row>
    <row r="829" spans="1:2" x14ac:dyDescent="0.2">
      <c r="A829" s="41">
        <v>43252</v>
      </c>
      <c r="B829" s="21">
        <f>VLOOKUP(A829,'Database Rates'!$A$1:$D$1000,2,FALSE)</f>
        <v>2.5</v>
      </c>
    </row>
    <row r="830" spans="1:2" x14ac:dyDescent="0.2">
      <c r="A830" s="41">
        <v>43282</v>
      </c>
      <c r="B830" s="21">
        <f>VLOOKUP(A830,'Database Rates'!$A$1:$D$1000,2,FALSE)</f>
        <v>2.5</v>
      </c>
    </row>
    <row r="831" spans="1:2" x14ac:dyDescent="0.2">
      <c r="A831" s="41">
        <v>43313</v>
      </c>
      <c r="B831" s="21">
        <f>VLOOKUP(A831,'Database Rates'!$A$1:$D$1000,2,FALSE)</f>
        <v>2.5</v>
      </c>
    </row>
    <row r="832" spans="1:2" x14ac:dyDescent="0.2">
      <c r="A832" s="41">
        <v>43344</v>
      </c>
      <c r="B832" s="21">
        <f>VLOOKUP(A832,'Database Rates'!$A$1:$D$1000,2,FALSE)</f>
        <v>2.75</v>
      </c>
    </row>
    <row r="833" spans="1:2" x14ac:dyDescent="0.2">
      <c r="A833" s="41">
        <v>43374</v>
      </c>
      <c r="B833" s="21">
        <f>VLOOKUP(A833,'Database Rates'!$A$1:$D$1000,2,FALSE)</f>
        <v>2.75</v>
      </c>
    </row>
    <row r="834" spans="1:2" x14ac:dyDescent="0.2">
      <c r="A834" s="41">
        <v>43405</v>
      </c>
      <c r="B834" s="21">
        <f>VLOOKUP(A834,'Database Rates'!$A$1:$D$1000,2,FALSE)</f>
        <v>2.75</v>
      </c>
    </row>
    <row r="835" spans="1:2" x14ac:dyDescent="0.2">
      <c r="A835" s="41">
        <v>43435</v>
      </c>
      <c r="B835" s="21">
        <f>VLOOKUP(A835,'Database Rates'!$A$1:$D$1000,2,FALSE)</f>
        <v>3</v>
      </c>
    </row>
    <row r="836" spans="1:2" x14ac:dyDescent="0.2">
      <c r="A836" s="41">
        <v>43466</v>
      </c>
      <c r="B836" s="21">
        <f>VLOOKUP(A836,'Database Rates'!$A$1:$D$1000,2,FALSE)</f>
        <v>3</v>
      </c>
    </row>
    <row r="837" spans="1:2" x14ac:dyDescent="0.2">
      <c r="A837" s="41">
        <v>43497</v>
      </c>
      <c r="B837" s="21">
        <f>VLOOKUP(A837,'Database Rates'!$A$1:$D$1000,2,FALSE)</f>
        <v>3</v>
      </c>
    </row>
    <row r="838" spans="1:2" x14ac:dyDescent="0.2">
      <c r="A838" s="41">
        <v>43525</v>
      </c>
      <c r="B838" s="21">
        <f>VLOOKUP(A838,'Database Rates'!$A$1:$D$1000,2,FALSE)</f>
        <v>3</v>
      </c>
    </row>
    <row r="839" spans="1:2" x14ac:dyDescent="0.2">
      <c r="A839" s="41">
        <v>43556</v>
      </c>
      <c r="B839" s="21">
        <f>VLOOKUP(A839,'Database Rates'!$A$1:$D$1000,2,FALSE)</f>
        <v>3</v>
      </c>
    </row>
    <row r="840" spans="1:2" x14ac:dyDescent="0.2">
      <c r="A840" s="41">
        <v>43586</v>
      </c>
      <c r="B840" s="21">
        <f>VLOOKUP(A840,'Database Rates'!$A$1:$D$1000,2,FALSE)</f>
        <v>3</v>
      </c>
    </row>
    <row r="841" spans="1:2" x14ac:dyDescent="0.2">
      <c r="A841" s="41">
        <v>43617</v>
      </c>
      <c r="B841" s="21">
        <f>VLOOKUP(A841,'Database Rates'!$A$1:$D$1000,2,FALSE)</f>
        <v>3</v>
      </c>
    </row>
    <row r="842" spans="1:2" x14ac:dyDescent="0.2">
      <c r="A842" s="41">
        <v>43647</v>
      </c>
      <c r="B842" s="21">
        <f>VLOOKUP(A842,'Database Rates'!$A$1:$D$1000,2,FALSE)</f>
        <v>3</v>
      </c>
    </row>
    <row r="843" spans="1:2" x14ac:dyDescent="0.2">
      <c r="A843" s="41">
        <v>43678</v>
      </c>
      <c r="B843" s="21">
        <f>VLOOKUP(A843,'Database Rates'!$A$1:$D$1000,2,FALSE)</f>
        <v>2.75</v>
      </c>
    </row>
    <row r="844" spans="1:2" x14ac:dyDescent="0.2">
      <c r="A844" s="41">
        <v>43709</v>
      </c>
      <c r="B844" s="21">
        <f>VLOOKUP(A844,'Database Rates'!$A$1:$D$1000,2,FALSE)</f>
        <v>2.5</v>
      </c>
    </row>
    <row r="845" spans="1:2" x14ac:dyDescent="0.2">
      <c r="A845" s="41">
        <v>43739</v>
      </c>
      <c r="B845" s="21">
        <f>VLOOKUP(A845,'Database Rates'!$A$1:$D$1000,2,FALSE)</f>
        <v>2.25</v>
      </c>
    </row>
    <row r="846" spans="1:2" x14ac:dyDescent="0.2">
      <c r="A846" s="41">
        <v>43770</v>
      </c>
      <c r="B846" s="21">
        <f>VLOOKUP(A846,'Database Rates'!$A$1:$D$1000,2,FALSE)</f>
        <v>2.25</v>
      </c>
    </row>
    <row r="847" spans="1:2" x14ac:dyDescent="0.2">
      <c r="A847" s="41">
        <v>43800</v>
      </c>
      <c r="B847" s="21">
        <f>VLOOKUP(A847,'Database Rates'!$A$1:$D$1000,2,FALSE)</f>
        <v>2.25</v>
      </c>
    </row>
    <row r="848" spans="1:2" x14ac:dyDescent="0.2">
      <c r="A848" s="41">
        <v>43831</v>
      </c>
      <c r="B848" s="21">
        <f>VLOOKUP(A848,'Database Rates'!$A$1:$D$1000,2,FALSE)</f>
        <v>2.25</v>
      </c>
    </row>
    <row r="849" spans="1:2" x14ac:dyDescent="0.2">
      <c r="A849" s="41">
        <v>43862</v>
      </c>
      <c r="B849" s="21">
        <f>VLOOKUP(A849,'Database Rates'!$A$1:$D$1000,2,FALSE)</f>
        <v>2.25</v>
      </c>
    </row>
    <row r="850" spans="1:2" x14ac:dyDescent="0.2">
      <c r="A850" s="42">
        <v>43891</v>
      </c>
      <c r="B850" s="21">
        <f>VLOOKUP(A850,'Database Rates'!$A$1:$D$1000,2,FALSE)</f>
        <v>0.25</v>
      </c>
    </row>
    <row r="851" spans="1:2" x14ac:dyDescent="0.2">
      <c r="A851" s="41">
        <v>43922</v>
      </c>
      <c r="B851" s="21">
        <f>VLOOKUP(A851,'Database Rates'!$A$1:$D$1000,2,FALSE)</f>
        <v>0.25</v>
      </c>
    </row>
    <row r="852" spans="1:2" x14ac:dyDescent="0.2">
      <c r="A852" s="42">
        <v>43952</v>
      </c>
      <c r="B852" s="21">
        <f>VLOOKUP(A852,'Database Rates'!$A$1:$D$1000,2,FALSE)</f>
        <v>0.25</v>
      </c>
    </row>
    <row r="853" spans="1:2" x14ac:dyDescent="0.2">
      <c r="A853" s="41">
        <v>43983</v>
      </c>
      <c r="B853" s="21">
        <f>VLOOKUP(A853,'Database Rates'!$A$1:$D$1000,2,FALSE)</f>
        <v>0.25</v>
      </c>
    </row>
    <row r="854" spans="1:2" x14ac:dyDescent="0.2">
      <c r="A854" s="42">
        <v>44013</v>
      </c>
      <c r="B854" s="21">
        <f>VLOOKUP(A854,'Database Rates'!$A$1:$D$1000,2,FALSE)</f>
        <v>0.25</v>
      </c>
    </row>
    <row r="855" spans="1:2" x14ac:dyDescent="0.2">
      <c r="A855" s="41">
        <v>44044</v>
      </c>
      <c r="B855" s="21">
        <f>VLOOKUP(A855,'Database Rates'!$A$1:$D$1000,2,FALSE)</f>
        <v>0.25</v>
      </c>
    </row>
    <row r="856" spans="1:2" x14ac:dyDescent="0.2">
      <c r="A856" s="42">
        <v>44075</v>
      </c>
      <c r="B856" s="21">
        <f>VLOOKUP(A856,'Database Rates'!$A$1:$D$1000,2,FALSE)</f>
        <v>0.25</v>
      </c>
    </row>
    <row r="857" spans="1:2" x14ac:dyDescent="0.2">
      <c r="A857" s="41">
        <v>44105</v>
      </c>
      <c r="B857" s="21">
        <f>VLOOKUP(A857,'Database Rates'!$A$1:$D$1000,2,FALSE)</f>
        <v>0.25</v>
      </c>
    </row>
    <row r="858" spans="1:2" x14ac:dyDescent="0.2">
      <c r="A858" s="42">
        <v>44136</v>
      </c>
      <c r="B858" s="21">
        <f>VLOOKUP(A858,'Database Rates'!$A$1:$D$1000,2,FALSE)</f>
        <v>0.25</v>
      </c>
    </row>
    <row r="859" spans="1:2" x14ac:dyDescent="0.2">
      <c r="A859" s="41">
        <v>44166</v>
      </c>
      <c r="B859" s="21">
        <f>VLOOKUP(A859,'Database Rates'!$A$1:$D$1000,2,FALSE)</f>
        <v>0.25</v>
      </c>
    </row>
    <row r="860" spans="1:2" x14ac:dyDescent="0.2">
      <c r="A860" s="42">
        <v>44197</v>
      </c>
      <c r="B860" s="21">
        <f>VLOOKUP(A860,'Database Rates'!$A$1:$D$1000,2,FALSE)</f>
        <v>0.25</v>
      </c>
    </row>
    <row r="861" spans="1:2" x14ac:dyDescent="0.2">
      <c r="A861" s="41">
        <v>44228</v>
      </c>
      <c r="B861" s="21">
        <f>VLOOKUP(A861,'Database Rates'!$A$1:$D$1000,2,FALSE)</f>
        <v>0.25</v>
      </c>
    </row>
    <row r="862" spans="1:2" x14ac:dyDescent="0.2">
      <c r="A862" s="42">
        <v>44256</v>
      </c>
      <c r="B862" s="21">
        <f>VLOOKUP(A862,'Database Rates'!$A$1:$D$1000,2,FALSE)</f>
        <v>0.25</v>
      </c>
    </row>
    <row r="863" spans="1:2" x14ac:dyDescent="0.2">
      <c r="A863" s="42">
        <v>44287</v>
      </c>
      <c r="B863" s="21">
        <f>VLOOKUP(A863,'Database Rates'!$A$1:$D$1000,2,FALSE)</f>
        <v>0.25</v>
      </c>
    </row>
    <row r="864" spans="1:2" x14ac:dyDescent="0.2">
      <c r="A864" s="41">
        <v>44317</v>
      </c>
      <c r="B864" s="21">
        <f>VLOOKUP(A864,'Database Rates'!$A$1:$D$1000,2,FALSE)</f>
        <v>0.25</v>
      </c>
    </row>
    <row r="865" spans="1:2" x14ac:dyDescent="0.2">
      <c r="A865" s="42">
        <v>44348</v>
      </c>
      <c r="B865" s="21">
        <f>VLOOKUP(A865,'Database Rates'!$A$1:$D$1000,2,FALSE)</f>
        <v>0.25</v>
      </c>
    </row>
    <row r="866" spans="1:2" x14ac:dyDescent="0.2">
      <c r="A866" s="41">
        <v>44378</v>
      </c>
      <c r="B866" s="21">
        <f>VLOOKUP(A866,'Database Rates'!$A$1:$D$1000,2,FALSE)</f>
        <v>0.25</v>
      </c>
    </row>
    <row r="867" spans="1:2" x14ac:dyDescent="0.2">
      <c r="A867" s="42">
        <v>44409</v>
      </c>
      <c r="B867" s="21">
        <f>VLOOKUP(A867,'Database Rates'!$A$1:$D$1000,2,FALSE)</f>
        <v>0.25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17"/>
  <sheetViews>
    <sheetView zoomScale="170" zoomScaleNormal="170" workbookViewId="0">
      <pane ySplit="7" topLeftCell="A784" activePane="bottomLeft" state="frozen"/>
      <selection pane="bottomLeft" activeCell="R802" sqref="R802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14" width="9.1640625" style="52" customWidth="1"/>
    <col min="15" max="16384" width="9.1640625" style="52"/>
  </cols>
  <sheetData>
    <row r="1" spans="1:2" x14ac:dyDescent="0.2">
      <c r="A1" s="2" t="s">
        <v>47</v>
      </c>
      <c r="B1" s="3"/>
    </row>
    <row r="2" spans="1:2" x14ac:dyDescent="0.2">
      <c r="A2" s="3"/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2" t="s">
        <v>45</v>
      </c>
      <c r="B7" s="23" t="s">
        <v>48</v>
      </c>
    </row>
    <row r="8" spans="1:2" x14ac:dyDescent="0.2">
      <c r="A8" s="40">
        <v>19906</v>
      </c>
      <c r="B8" s="21">
        <f>VLOOKUP(A8,'Database Rates'!$A$1:$D$1000,3,FALSE)</f>
        <v>0.8</v>
      </c>
    </row>
    <row r="9" spans="1:2" x14ac:dyDescent="0.2">
      <c r="A9" s="41">
        <v>19937</v>
      </c>
      <c r="B9" s="21">
        <f>VLOOKUP(A9,'Database Rates'!$A$1:$D$1000,3,FALSE)</f>
        <v>1.22</v>
      </c>
    </row>
    <row r="10" spans="1:2" x14ac:dyDescent="0.2">
      <c r="A10" s="41">
        <v>19968</v>
      </c>
      <c r="B10" s="21">
        <f>VLOOKUP(A10,'Database Rates'!$A$1:$D$1000,3,FALSE)</f>
        <v>1.07</v>
      </c>
    </row>
    <row r="11" spans="1:2" x14ac:dyDescent="0.2">
      <c r="A11" s="41">
        <v>19998</v>
      </c>
      <c r="B11" s="21">
        <f>VLOOKUP(A11,'Database Rates'!$A$1:$D$1000,3,FALSE)</f>
        <v>0.85</v>
      </c>
    </row>
    <row r="12" spans="1:2" x14ac:dyDescent="0.2">
      <c r="A12" s="41">
        <v>20029</v>
      </c>
      <c r="B12" s="21">
        <f>VLOOKUP(A12,'Database Rates'!$A$1:$D$1000,3,FALSE)</f>
        <v>0.83</v>
      </c>
    </row>
    <row r="13" spans="1:2" x14ac:dyDescent="0.2">
      <c r="A13" s="41">
        <v>20059</v>
      </c>
      <c r="B13" s="21">
        <f>VLOOKUP(A13,'Database Rates'!$A$1:$D$1000,3,FALSE)</f>
        <v>1.28</v>
      </c>
    </row>
    <row r="14" spans="1:2" x14ac:dyDescent="0.2">
      <c r="A14" s="41">
        <v>20090</v>
      </c>
      <c r="B14" s="21">
        <f>VLOOKUP(A14,'Database Rates'!$A$1:$D$1000,3,FALSE)</f>
        <v>1.39</v>
      </c>
    </row>
    <row r="15" spans="1:2" x14ac:dyDescent="0.2">
      <c r="A15" s="41">
        <v>20121</v>
      </c>
      <c r="B15" s="21">
        <f>VLOOKUP(A15,'Database Rates'!$A$1:$D$1000,3,FALSE)</f>
        <v>1.29</v>
      </c>
    </row>
    <row r="16" spans="1:2" x14ac:dyDescent="0.2">
      <c r="A16" s="41">
        <v>20149</v>
      </c>
      <c r="B16" s="21">
        <f>VLOOKUP(A16,'Database Rates'!$A$1:$D$1000,3,FALSE)</f>
        <v>1.35</v>
      </c>
    </row>
    <row r="17" spans="1:2" x14ac:dyDescent="0.2">
      <c r="A17" s="41">
        <v>20180</v>
      </c>
      <c r="B17" s="21">
        <f>VLOOKUP(A17,'Database Rates'!$A$1:$D$1000,3,FALSE)</f>
        <v>1.43</v>
      </c>
    </row>
    <row r="18" spans="1:2" x14ac:dyDescent="0.2">
      <c r="A18" s="41">
        <v>20210</v>
      </c>
      <c r="B18" s="21">
        <f>VLOOKUP(A18,'Database Rates'!$A$1:$D$1000,3,FALSE)</f>
        <v>1.43</v>
      </c>
    </row>
    <row r="19" spans="1:2" x14ac:dyDescent="0.2">
      <c r="A19" s="41">
        <v>20241</v>
      </c>
      <c r="B19" s="21">
        <f>VLOOKUP(A19,'Database Rates'!$A$1:$D$1000,3,FALSE)</f>
        <v>1.64</v>
      </c>
    </row>
    <row r="20" spans="1:2" x14ac:dyDescent="0.2">
      <c r="A20" s="41">
        <v>20271</v>
      </c>
      <c r="B20" s="21">
        <f>VLOOKUP(A20,'Database Rates'!$A$1:$D$1000,3,FALSE)</f>
        <v>1.68</v>
      </c>
    </row>
    <row r="21" spans="1:2" x14ac:dyDescent="0.2">
      <c r="A21" s="41">
        <v>20302</v>
      </c>
      <c r="B21" s="21">
        <f>VLOOKUP(A21,'Database Rates'!$A$1:$D$1000,3,FALSE)</f>
        <v>1.96</v>
      </c>
    </row>
    <row r="22" spans="1:2" x14ac:dyDescent="0.2">
      <c r="A22" s="41">
        <v>20333</v>
      </c>
      <c r="B22" s="21">
        <f>VLOOKUP(A22,'Database Rates'!$A$1:$D$1000,3,FALSE)</f>
        <v>2.1800000000000002</v>
      </c>
    </row>
    <row r="23" spans="1:2" x14ac:dyDescent="0.2">
      <c r="A23" s="41">
        <v>20363</v>
      </c>
      <c r="B23" s="21">
        <f>VLOOKUP(A23,'Database Rates'!$A$1:$D$1000,3,FALSE)</f>
        <v>2.2400000000000002</v>
      </c>
    </row>
    <row r="24" spans="1:2" x14ac:dyDescent="0.2">
      <c r="A24" s="41">
        <v>20394</v>
      </c>
      <c r="B24" s="21">
        <f>VLOOKUP(A24,'Database Rates'!$A$1:$D$1000,3,FALSE)</f>
        <v>2.35</v>
      </c>
    </row>
    <row r="25" spans="1:2" x14ac:dyDescent="0.2">
      <c r="A25" s="41">
        <v>20424</v>
      </c>
      <c r="B25" s="21">
        <f>VLOOKUP(A25,'Database Rates'!$A$1:$D$1000,3,FALSE)</f>
        <v>2.48</v>
      </c>
    </row>
    <row r="26" spans="1:2" x14ac:dyDescent="0.2">
      <c r="A26" s="41">
        <v>20455</v>
      </c>
      <c r="B26" s="21">
        <f>VLOOKUP(A26,'Database Rates'!$A$1:$D$1000,3,FALSE)</f>
        <v>2.4500000000000002</v>
      </c>
    </row>
    <row r="27" spans="1:2" x14ac:dyDescent="0.2">
      <c r="A27" s="41">
        <v>20486</v>
      </c>
      <c r="B27" s="21">
        <f>VLOOKUP(A27,'Database Rates'!$A$1:$D$1000,3,FALSE)</f>
        <v>2.5</v>
      </c>
    </row>
    <row r="28" spans="1:2" x14ac:dyDescent="0.2">
      <c r="A28" s="41">
        <v>20515</v>
      </c>
      <c r="B28" s="21">
        <f>VLOOKUP(A28,'Database Rates'!$A$1:$D$1000,3,FALSE)</f>
        <v>2.5</v>
      </c>
    </row>
    <row r="29" spans="1:2" x14ac:dyDescent="0.2">
      <c r="A29" s="41">
        <v>20546</v>
      </c>
      <c r="B29" s="21">
        <f>VLOOKUP(A29,'Database Rates'!$A$1:$D$1000,3,FALSE)</f>
        <v>2.62</v>
      </c>
    </row>
    <row r="30" spans="1:2" x14ac:dyDescent="0.2">
      <c r="A30" s="41">
        <v>20576</v>
      </c>
      <c r="B30" s="21">
        <f>VLOOKUP(A30,'Database Rates'!$A$1:$D$1000,3,FALSE)</f>
        <v>2.75</v>
      </c>
    </row>
    <row r="31" spans="1:2" x14ac:dyDescent="0.2">
      <c r="A31" s="41">
        <v>20607</v>
      </c>
      <c r="B31" s="21">
        <f>VLOOKUP(A31,'Database Rates'!$A$1:$D$1000,3,FALSE)</f>
        <v>2.71</v>
      </c>
    </row>
    <row r="32" spans="1:2" x14ac:dyDescent="0.2">
      <c r="A32" s="41">
        <v>20637</v>
      </c>
      <c r="B32" s="21">
        <f>VLOOKUP(A32,'Database Rates'!$A$1:$D$1000,3,FALSE)</f>
        <v>2.75</v>
      </c>
    </row>
    <row r="33" spans="1:2" x14ac:dyDescent="0.2">
      <c r="A33" s="41">
        <v>20668</v>
      </c>
      <c r="B33" s="21">
        <f>VLOOKUP(A33,'Database Rates'!$A$1:$D$1000,3,FALSE)</f>
        <v>2.73</v>
      </c>
    </row>
    <row r="34" spans="1:2" x14ac:dyDescent="0.2">
      <c r="A34" s="41">
        <v>20699</v>
      </c>
      <c r="B34" s="21">
        <f>VLOOKUP(A34,'Database Rates'!$A$1:$D$1000,3,FALSE)</f>
        <v>2.95</v>
      </c>
    </row>
    <row r="35" spans="1:2" x14ac:dyDescent="0.2">
      <c r="A35" s="41">
        <v>20729</v>
      </c>
      <c r="B35" s="21">
        <f>VLOOKUP(A35,'Database Rates'!$A$1:$D$1000,3,FALSE)</f>
        <v>2.96</v>
      </c>
    </row>
    <row r="36" spans="1:2" x14ac:dyDescent="0.2">
      <c r="A36" s="41">
        <v>20760</v>
      </c>
      <c r="B36" s="21">
        <f>VLOOKUP(A36,'Database Rates'!$A$1:$D$1000,3,FALSE)</f>
        <v>2.88</v>
      </c>
    </row>
    <row r="37" spans="1:2" x14ac:dyDescent="0.2">
      <c r="A37" s="41">
        <v>20790</v>
      </c>
      <c r="B37" s="21">
        <f>VLOOKUP(A37,'Database Rates'!$A$1:$D$1000,3,FALSE)</f>
        <v>2.94</v>
      </c>
    </row>
    <row r="38" spans="1:2" x14ac:dyDescent="0.2">
      <c r="A38" s="41">
        <v>20821</v>
      </c>
      <c r="B38" s="21">
        <f>VLOOKUP(A38,'Database Rates'!$A$1:$D$1000,3,FALSE)</f>
        <v>2.84</v>
      </c>
    </row>
    <row r="39" spans="1:2" x14ac:dyDescent="0.2">
      <c r="A39" s="41">
        <v>20852</v>
      </c>
      <c r="B39" s="21">
        <f>VLOOKUP(A39,'Database Rates'!$A$1:$D$1000,3,FALSE)</f>
        <v>3</v>
      </c>
    </row>
    <row r="40" spans="1:2" x14ac:dyDescent="0.2">
      <c r="A40" s="41">
        <v>20880</v>
      </c>
      <c r="B40" s="21">
        <f>VLOOKUP(A40,'Database Rates'!$A$1:$D$1000,3,FALSE)</f>
        <v>2.96</v>
      </c>
    </row>
    <row r="41" spans="1:2" x14ac:dyDescent="0.2">
      <c r="A41" s="41">
        <v>20911</v>
      </c>
      <c r="B41" s="21">
        <f>VLOOKUP(A41,'Database Rates'!$A$1:$D$1000,3,FALSE)</f>
        <v>3</v>
      </c>
    </row>
    <row r="42" spans="1:2" x14ac:dyDescent="0.2">
      <c r="A42" s="41">
        <v>20941</v>
      </c>
      <c r="B42" s="21">
        <f>VLOOKUP(A42,'Database Rates'!$A$1:$D$1000,3,FALSE)</f>
        <v>3</v>
      </c>
    </row>
    <row r="43" spans="1:2" x14ac:dyDescent="0.2">
      <c r="A43" s="41">
        <v>20972</v>
      </c>
      <c r="B43" s="21">
        <f>VLOOKUP(A43,'Database Rates'!$A$1:$D$1000,3,FALSE)</f>
        <v>3</v>
      </c>
    </row>
    <row r="44" spans="1:2" x14ac:dyDescent="0.2">
      <c r="A44" s="41">
        <v>21002</v>
      </c>
      <c r="B44" s="21">
        <f>VLOOKUP(A44,'Database Rates'!$A$1:$D$1000,3,FALSE)</f>
        <v>2.99</v>
      </c>
    </row>
    <row r="45" spans="1:2" x14ac:dyDescent="0.2">
      <c r="A45" s="41">
        <v>21033</v>
      </c>
      <c r="B45" s="21">
        <f>VLOOKUP(A45,'Database Rates'!$A$1:$D$1000,3,FALSE)</f>
        <v>3.24</v>
      </c>
    </row>
    <row r="46" spans="1:2" x14ac:dyDescent="0.2">
      <c r="A46" s="41">
        <v>21064</v>
      </c>
      <c r="B46" s="21">
        <f>VLOOKUP(A46,'Database Rates'!$A$1:$D$1000,3,FALSE)</f>
        <v>3.47</v>
      </c>
    </row>
    <row r="47" spans="1:2" x14ac:dyDescent="0.2">
      <c r="A47" s="41">
        <v>21094</v>
      </c>
      <c r="B47" s="21">
        <f>VLOOKUP(A47,'Database Rates'!$A$1:$D$1000,3,FALSE)</f>
        <v>3.5</v>
      </c>
    </row>
    <row r="48" spans="1:2" x14ac:dyDescent="0.2">
      <c r="A48" s="41">
        <v>21125</v>
      </c>
      <c r="B48" s="21">
        <f>VLOOKUP(A48,'Database Rates'!$A$1:$D$1000,3,FALSE)</f>
        <v>3.28</v>
      </c>
    </row>
    <row r="49" spans="1:2" x14ac:dyDescent="0.2">
      <c r="A49" s="41">
        <v>21155</v>
      </c>
      <c r="B49" s="21">
        <f>VLOOKUP(A49,'Database Rates'!$A$1:$D$1000,3,FALSE)</f>
        <v>2.98</v>
      </c>
    </row>
    <row r="50" spans="1:2" x14ac:dyDescent="0.2">
      <c r="A50" s="41">
        <v>21186</v>
      </c>
      <c r="B50" s="21">
        <f>VLOOKUP(A50,'Database Rates'!$A$1:$D$1000,3,FALSE)</f>
        <v>2.72</v>
      </c>
    </row>
    <row r="51" spans="1:2" x14ac:dyDescent="0.2">
      <c r="A51" s="41">
        <v>21217</v>
      </c>
      <c r="B51" s="21">
        <f>VLOOKUP(A51,'Database Rates'!$A$1:$D$1000,3,FALSE)</f>
        <v>1.67</v>
      </c>
    </row>
    <row r="52" spans="1:2" x14ac:dyDescent="0.2">
      <c r="A52" s="41">
        <v>21245</v>
      </c>
      <c r="B52" s="21">
        <f>VLOOKUP(A52,'Database Rates'!$A$1:$D$1000,3,FALSE)</f>
        <v>1.2</v>
      </c>
    </row>
    <row r="53" spans="1:2" x14ac:dyDescent="0.2">
      <c r="A53" s="41">
        <v>21276</v>
      </c>
      <c r="B53" s="21">
        <f>VLOOKUP(A53,'Database Rates'!$A$1:$D$1000,3,FALSE)</f>
        <v>1.26</v>
      </c>
    </row>
    <row r="54" spans="1:2" x14ac:dyDescent="0.2">
      <c r="A54" s="41">
        <v>21306</v>
      </c>
      <c r="B54" s="21">
        <f>VLOOKUP(A54,'Database Rates'!$A$1:$D$1000,3,FALSE)</f>
        <v>0.63</v>
      </c>
    </row>
    <row r="55" spans="1:2" x14ac:dyDescent="0.2">
      <c r="A55" s="41">
        <v>21337</v>
      </c>
      <c r="B55" s="21">
        <f>VLOOKUP(A55,'Database Rates'!$A$1:$D$1000,3,FALSE)</f>
        <v>0.93</v>
      </c>
    </row>
    <row r="56" spans="1:2" x14ac:dyDescent="0.2">
      <c r="A56" s="41">
        <v>21367</v>
      </c>
      <c r="B56" s="21">
        <f>VLOOKUP(A56,'Database Rates'!$A$1:$D$1000,3,FALSE)</f>
        <v>0.68</v>
      </c>
    </row>
    <row r="57" spans="1:2" x14ac:dyDescent="0.2">
      <c r="A57" s="41">
        <v>21398</v>
      </c>
      <c r="B57" s="21">
        <f>VLOOKUP(A57,'Database Rates'!$A$1:$D$1000,3,FALSE)</f>
        <v>1.53</v>
      </c>
    </row>
    <row r="58" spans="1:2" x14ac:dyDescent="0.2">
      <c r="A58" s="41">
        <v>21429</v>
      </c>
      <c r="B58" s="21">
        <f>VLOOKUP(A58,'Database Rates'!$A$1:$D$1000,3,FALSE)</f>
        <v>1.76</v>
      </c>
    </row>
    <row r="59" spans="1:2" x14ac:dyDescent="0.2">
      <c r="A59" s="41">
        <v>21459</v>
      </c>
      <c r="B59" s="21">
        <f>VLOOKUP(A59,'Database Rates'!$A$1:$D$1000,3,FALSE)</f>
        <v>1.8</v>
      </c>
    </row>
    <row r="60" spans="1:2" x14ac:dyDescent="0.2">
      <c r="A60" s="41">
        <v>21490</v>
      </c>
      <c r="B60" s="21">
        <f>VLOOKUP(A60,'Database Rates'!$A$1:$D$1000,3,FALSE)</f>
        <v>2.27</v>
      </c>
    </row>
    <row r="61" spans="1:2" x14ac:dyDescent="0.2">
      <c r="A61" s="41">
        <v>21520</v>
      </c>
      <c r="B61" s="21">
        <f>VLOOKUP(A61,'Database Rates'!$A$1:$D$1000,3,FALSE)</f>
        <v>2.42</v>
      </c>
    </row>
    <row r="62" spans="1:2" x14ac:dyDescent="0.2">
      <c r="A62" s="41">
        <v>21551</v>
      </c>
      <c r="B62" s="21">
        <f>VLOOKUP(A62,'Database Rates'!$A$1:$D$1000,3,FALSE)</f>
        <v>2.48</v>
      </c>
    </row>
    <row r="63" spans="1:2" x14ac:dyDescent="0.2">
      <c r="A63" s="41">
        <v>21582</v>
      </c>
      <c r="B63" s="21">
        <f>VLOOKUP(A63,'Database Rates'!$A$1:$D$1000,3,FALSE)</f>
        <v>2.4300000000000002</v>
      </c>
    </row>
    <row r="64" spans="1:2" x14ac:dyDescent="0.2">
      <c r="A64" s="41">
        <v>21610</v>
      </c>
      <c r="B64" s="21">
        <f>VLOOKUP(A64,'Database Rates'!$A$1:$D$1000,3,FALSE)</f>
        <v>2.8</v>
      </c>
    </row>
    <row r="65" spans="1:2" x14ac:dyDescent="0.2">
      <c r="A65" s="41">
        <v>21641</v>
      </c>
      <c r="B65" s="21">
        <f>VLOOKUP(A65,'Database Rates'!$A$1:$D$1000,3,FALSE)</f>
        <v>2.96</v>
      </c>
    </row>
    <row r="66" spans="1:2" x14ac:dyDescent="0.2">
      <c r="A66" s="41">
        <v>21671</v>
      </c>
      <c r="B66" s="21">
        <f>VLOOKUP(A66,'Database Rates'!$A$1:$D$1000,3,FALSE)</f>
        <v>2.9</v>
      </c>
    </row>
    <row r="67" spans="1:2" x14ac:dyDescent="0.2">
      <c r="A67" s="41">
        <v>21702</v>
      </c>
      <c r="B67" s="21">
        <f>VLOOKUP(A67,'Database Rates'!$A$1:$D$1000,3,FALSE)</f>
        <v>3.39</v>
      </c>
    </row>
    <row r="68" spans="1:2" x14ac:dyDescent="0.2">
      <c r="A68" s="41">
        <v>21732</v>
      </c>
      <c r="B68" s="21">
        <f>VLOOKUP(A68,'Database Rates'!$A$1:$D$1000,3,FALSE)</f>
        <v>3.47</v>
      </c>
    </row>
    <row r="69" spans="1:2" x14ac:dyDescent="0.2">
      <c r="A69" s="41">
        <v>21763</v>
      </c>
      <c r="B69" s="21">
        <f>VLOOKUP(A69,'Database Rates'!$A$1:$D$1000,3,FALSE)</f>
        <v>3.5</v>
      </c>
    </row>
    <row r="70" spans="1:2" x14ac:dyDescent="0.2">
      <c r="A70" s="41">
        <v>21794</v>
      </c>
      <c r="B70" s="21">
        <f>VLOOKUP(A70,'Database Rates'!$A$1:$D$1000,3,FALSE)</f>
        <v>3.76</v>
      </c>
    </row>
    <row r="71" spans="1:2" x14ac:dyDescent="0.2">
      <c r="A71" s="41">
        <v>21824</v>
      </c>
      <c r="B71" s="21">
        <f>VLOOKUP(A71,'Database Rates'!$A$1:$D$1000,3,FALSE)</f>
        <v>3.98</v>
      </c>
    </row>
    <row r="72" spans="1:2" x14ac:dyDescent="0.2">
      <c r="A72" s="41">
        <v>21855</v>
      </c>
      <c r="B72" s="21">
        <f>VLOOKUP(A72,'Database Rates'!$A$1:$D$1000,3,FALSE)</f>
        <v>4</v>
      </c>
    </row>
    <row r="73" spans="1:2" x14ac:dyDescent="0.2">
      <c r="A73" s="41">
        <v>21885</v>
      </c>
      <c r="B73" s="21">
        <f>VLOOKUP(A73,'Database Rates'!$A$1:$D$1000,3,FALSE)</f>
        <v>3.99</v>
      </c>
    </row>
    <row r="74" spans="1:2" x14ac:dyDescent="0.2">
      <c r="A74" s="41">
        <v>21916</v>
      </c>
      <c r="B74" s="21">
        <f>VLOOKUP(A74,'Database Rates'!$A$1:$D$1000,3,FALSE)</f>
        <v>3.99</v>
      </c>
    </row>
    <row r="75" spans="1:2" x14ac:dyDescent="0.2">
      <c r="A75" s="41">
        <v>21947</v>
      </c>
      <c r="B75" s="21">
        <f>VLOOKUP(A75,'Database Rates'!$A$1:$D$1000,3,FALSE)</f>
        <v>3.97</v>
      </c>
    </row>
    <row r="76" spans="1:2" x14ac:dyDescent="0.2">
      <c r="A76" s="41">
        <v>21976</v>
      </c>
      <c r="B76" s="21">
        <f>VLOOKUP(A76,'Database Rates'!$A$1:$D$1000,3,FALSE)</f>
        <v>3.84</v>
      </c>
    </row>
    <row r="77" spans="1:2" x14ac:dyDescent="0.2">
      <c r="A77" s="41">
        <v>22007</v>
      </c>
      <c r="B77" s="21">
        <f>VLOOKUP(A77,'Database Rates'!$A$1:$D$1000,3,FALSE)</f>
        <v>3.92</v>
      </c>
    </row>
    <row r="78" spans="1:2" x14ac:dyDescent="0.2">
      <c r="A78" s="41">
        <v>22037</v>
      </c>
      <c r="B78" s="21">
        <f>VLOOKUP(A78,'Database Rates'!$A$1:$D$1000,3,FALSE)</f>
        <v>3.85</v>
      </c>
    </row>
    <row r="79" spans="1:2" x14ac:dyDescent="0.2">
      <c r="A79" s="41">
        <v>22068</v>
      </c>
      <c r="B79" s="21">
        <f>VLOOKUP(A79,'Database Rates'!$A$1:$D$1000,3,FALSE)</f>
        <v>3.32</v>
      </c>
    </row>
    <row r="80" spans="1:2" x14ac:dyDescent="0.2">
      <c r="A80" s="41">
        <v>22098</v>
      </c>
      <c r="B80" s="21">
        <f>VLOOKUP(A80,'Database Rates'!$A$1:$D$1000,3,FALSE)</f>
        <v>3.23</v>
      </c>
    </row>
    <row r="81" spans="1:2" x14ac:dyDescent="0.2">
      <c r="A81" s="41">
        <v>22129</v>
      </c>
      <c r="B81" s="21">
        <f>VLOOKUP(A81,'Database Rates'!$A$1:$D$1000,3,FALSE)</f>
        <v>2.98</v>
      </c>
    </row>
    <row r="82" spans="1:2" x14ac:dyDescent="0.2">
      <c r="A82" s="41">
        <v>22160</v>
      </c>
      <c r="B82" s="21">
        <f>VLOOKUP(A82,'Database Rates'!$A$1:$D$1000,3,FALSE)</f>
        <v>2.6</v>
      </c>
    </row>
    <row r="83" spans="1:2" x14ac:dyDescent="0.2">
      <c r="A83" s="41">
        <v>22190</v>
      </c>
      <c r="B83" s="21">
        <f>VLOOKUP(A83,'Database Rates'!$A$1:$D$1000,3,FALSE)</f>
        <v>2.4700000000000002</v>
      </c>
    </row>
    <row r="84" spans="1:2" x14ac:dyDescent="0.2">
      <c r="A84" s="41">
        <v>22221</v>
      </c>
      <c r="B84" s="21">
        <f>VLOOKUP(A84,'Database Rates'!$A$1:$D$1000,3,FALSE)</f>
        <v>2.44</v>
      </c>
    </row>
    <row r="85" spans="1:2" x14ac:dyDescent="0.2">
      <c r="A85" s="41">
        <v>22251</v>
      </c>
      <c r="B85" s="21">
        <f>VLOOKUP(A85,'Database Rates'!$A$1:$D$1000,3,FALSE)</f>
        <v>1.98</v>
      </c>
    </row>
    <row r="86" spans="1:2" x14ac:dyDescent="0.2">
      <c r="A86" s="41">
        <v>22282</v>
      </c>
      <c r="B86" s="21">
        <f>VLOOKUP(A86,'Database Rates'!$A$1:$D$1000,3,FALSE)</f>
        <v>1.45</v>
      </c>
    </row>
    <row r="87" spans="1:2" x14ac:dyDescent="0.2">
      <c r="A87" s="41">
        <v>22313</v>
      </c>
      <c r="B87" s="21">
        <f>VLOOKUP(A87,'Database Rates'!$A$1:$D$1000,3,FALSE)</f>
        <v>2.54</v>
      </c>
    </row>
    <row r="88" spans="1:2" x14ac:dyDescent="0.2">
      <c r="A88" s="41">
        <v>22341</v>
      </c>
      <c r="B88" s="21">
        <f>VLOOKUP(A88,'Database Rates'!$A$1:$D$1000,3,FALSE)</f>
        <v>2.02</v>
      </c>
    </row>
    <row r="89" spans="1:2" x14ac:dyDescent="0.2">
      <c r="A89" s="41">
        <v>22372</v>
      </c>
      <c r="B89" s="21">
        <f>VLOOKUP(A89,'Database Rates'!$A$1:$D$1000,3,FALSE)</f>
        <v>1.49</v>
      </c>
    </row>
    <row r="90" spans="1:2" x14ac:dyDescent="0.2">
      <c r="A90" s="41">
        <v>22402</v>
      </c>
      <c r="B90" s="21">
        <f>VLOOKUP(A90,'Database Rates'!$A$1:$D$1000,3,FALSE)</f>
        <v>1.98</v>
      </c>
    </row>
    <row r="91" spans="1:2" x14ac:dyDescent="0.2">
      <c r="A91" s="41">
        <v>22433</v>
      </c>
      <c r="B91" s="21">
        <f>VLOOKUP(A91,'Database Rates'!$A$1:$D$1000,3,FALSE)</f>
        <v>1.73</v>
      </c>
    </row>
    <row r="92" spans="1:2" x14ac:dyDescent="0.2">
      <c r="A92" s="41">
        <v>22463</v>
      </c>
      <c r="B92" s="21">
        <f>VLOOKUP(A92,'Database Rates'!$A$1:$D$1000,3,FALSE)</f>
        <v>1.17</v>
      </c>
    </row>
    <row r="93" spans="1:2" x14ac:dyDescent="0.2">
      <c r="A93" s="41">
        <v>22494</v>
      </c>
      <c r="B93" s="21">
        <f>VLOOKUP(A93,'Database Rates'!$A$1:$D$1000,3,FALSE)</f>
        <v>2</v>
      </c>
    </row>
    <row r="94" spans="1:2" x14ac:dyDescent="0.2">
      <c r="A94" s="41">
        <v>22525</v>
      </c>
      <c r="B94" s="21">
        <f>VLOOKUP(A94,'Database Rates'!$A$1:$D$1000,3,FALSE)</f>
        <v>1.88</v>
      </c>
    </row>
    <row r="95" spans="1:2" x14ac:dyDescent="0.2">
      <c r="A95" s="41">
        <v>22555</v>
      </c>
      <c r="B95" s="21">
        <f>VLOOKUP(A95,'Database Rates'!$A$1:$D$1000,3,FALSE)</f>
        <v>2.2599999999999998</v>
      </c>
    </row>
    <row r="96" spans="1:2" x14ac:dyDescent="0.2">
      <c r="A96" s="41">
        <v>22586</v>
      </c>
      <c r="B96" s="21">
        <f>VLOOKUP(A96,'Database Rates'!$A$1:$D$1000,3,FALSE)</f>
        <v>2.61</v>
      </c>
    </row>
    <row r="97" spans="1:2" x14ac:dyDescent="0.2">
      <c r="A97" s="41">
        <v>22616</v>
      </c>
      <c r="B97" s="21">
        <f>VLOOKUP(A97,'Database Rates'!$A$1:$D$1000,3,FALSE)</f>
        <v>2.33</v>
      </c>
    </row>
    <row r="98" spans="1:2" x14ac:dyDescent="0.2">
      <c r="A98" s="41">
        <v>22647</v>
      </c>
      <c r="B98" s="21">
        <f>VLOOKUP(A98,'Database Rates'!$A$1:$D$1000,3,FALSE)</f>
        <v>2.15</v>
      </c>
    </row>
    <row r="99" spans="1:2" x14ac:dyDescent="0.2">
      <c r="A99" s="41">
        <v>22678</v>
      </c>
      <c r="B99" s="21">
        <f>VLOOKUP(A99,'Database Rates'!$A$1:$D$1000,3,FALSE)</f>
        <v>2.37</v>
      </c>
    </row>
    <row r="100" spans="1:2" x14ac:dyDescent="0.2">
      <c r="A100" s="41">
        <v>22706</v>
      </c>
      <c r="B100" s="21">
        <f>VLOOKUP(A100,'Database Rates'!$A$1:$D$1000,3,FALSE)</f>
        <v>2.85</v>
      </c>
    </row>
    <row r="101" spans="1:2" x14ac:dyDescent="0.2">
      <c r="A101" s="41">
        <v>22737</v>
      </c>
      <c r="B101" s="21">
        <f>VLOOKUP(A101,'Database Rates'!$A$1:$D$1000,3,FALSE)</f>
        <v>2.78</v>
      </c>
    </row>
    <row r="102" spans="1:2" x14ac:dyDescent="0.2">
      <c r="A102" s="41">
        <v>22767</v>
      </c>
      <c r="B102" s="21">
        <f>VLOOKUP(A102,'Database Rates'!$A$1:$D$1000,3,FALSE)</f>
        <v>2.36</v>
      </c>
    </row>
    <row r="103" spans="1:2" x14ac:dyDescent="0.2">
      <c r="A103" s="41">
        <v>22798</v>
      </c>
      <c r="B103" s="21">
        <f>VLOOKUP(A103,'Database Rates'!$A$1:$D$1000,3,FALSE)</f>
        <v>2.68</v>
      </c>
    </row>
    <row r="104" spans="1:2" x14ac:dyDescent="0.2">
      <c r="A104" s="41">
        <v>22828</v>
      </c>
      <c r="B104" s="21">
        <f>VLOOKUP(A104,'Database Rates'!$A$1:$D$1000,3,FALSE)</f>
        <v>2.71</v>
      </c>
    </row>
    <row r="105" spans="1:2" x14ac:dyDescent="0.2">
      <c r="A105" s="41">
        <v>22859</v>
      </c>
      <c r="B105" s="21">
        <f>VLOOKUP(A105,'Database Rates'!$A$1:$D$1000,3,FALSE)</f>
        <v>2.93</v>
      </c>
    </row>
    <row r="106" spans="1:2" x14ac:dyDescent="0.2">
      <c r="A106" s="41">
        <v>22890</v>
      </c>
      <c r="B106" s="21">
        <f>VLOOKUP(A106,'Database Rates'!$A$1:$D$1000,3,FALSE)</f>
        <v>2.9</v>
      </c>
    </row>
    <row r="107" spans="1:2" x14ac:dyDescent="0.2">
      <c r="A107" s="41">
        <v>22920</v>
      </c>
      <c r="B107" s="21">
        <f>VLOOKUP(A107,'Database Rates'!$A$1:$D$1000,3,FALSE)</f>
        <v>2.9</v>
      </c>
    </row>
    <row r="108" spans="1:2" x14ac:dyDescent="0.2">
      <c r="A108" s="41">
        <v>22951</v>
      </c>
      <c r="B108" s="21">
        <f>VLOOKUP(A108,'Database Rates'!$A$1:$D$1000,3,FALSE)</f>
        <v>2.94</v>
      </c>
    </row>
    <row r="109" spans="1:2" x14ac:dyDescent="0.2">
      <c r="A109" s="41">
        <v>22981</v>
      </c>
      <c r="B109" s="21">
        <f>VLOOKUP(A109,'Database Rates'!$A$1:$D$1000,3,FALSE)</f>
        <v>2.93</v>
      </c>
    </row>
    <row r="110" spans="1:2" x14ac:dyDescent="0.2">
      <c r="A110" s="41">
        <v>23012</v>
      </c>
      <c r="B110" s="21">
        <f>VLOOKUP(A110,'Database Rates'!$A$1:$D$1000,3,FALSE)</f>
        <v>2.92</v>
      </c>
    </row>
    <row r="111" spans="1:2" x14ac:dyDescent="0.2">
      <c r="A111" s="41">
        <v>23043</v>
      </c>
      <c r="B111" s="21">
        <f>VLOOKUP(A111,'Database Rates'!$A$1:$D$1000,3,FALSE)</f>
        <v>3</v>
      </c>
    </row>
    <row r="112" spans="1:2" x14ac:dyDescent="0.2">
      <c r="A112" s="41">
        <v>23071</v>
      </c>
      <c r="B112" s="21">
        <f>VLOOKUP(A112,'Database Rates'!$A$1:$D$1000,3,FALSE)</f>
        <v>2.98</v>
      </c>
    </row>
    <row r="113" spans="1:2" x14ac:dyDescent="0.2">
      <c r="A113" s="41">
        <v>23102</v>
      </c>
      <c r="B113" s="21">
        <f>VLOOKUP(A113,'Database Rates'!$A$1:$D$1000,3,FALSE)</f>
        <v>2.9</v>
      </c>
    </row>
    <row r="114" spans="1:2" x14ac:dyDescent="0.2">
      <c r="A114" s="41">
        <v>23132</v>
      </c>
      <c r="B114" s="21">
        <f>VLOOKUP(A114,'Database Rates'!$A$1:$D$1000,3,FALSE)</f>
        <v>3</v>
      </c>
    </row>
    <row r="115" spans="1:2" x14ac:dyDescent="0.2">
      <c r="A115" s="41">
        <v>23163</v>
      </c>
      <c r="B115" s="21">
        <f>VLOOKUP(A115,'Database Rates'!$A$1:$D$1000,3,FALSE)</f>
        <v>2.99</v>
      </c>
    </row>
    <row r="116" spans="1:2" x14ac:dyDescent="0.2">
      <c r="A116" s="41">
        <v>23193</v>
      </c>
      <c r="B116" s="21">
        <f>VLOOKUP(A116,'Database Rates'!$A$1:$D$1000,3,FALSE)</f>
        <v>3.02</v>
      </c>
    </row>
    <row r="117" spans="1:2" x14ac:dyDescent="0.2">
      <c r="A117" s="41">
        <v>23224</v>
      </c>
      <c r="B117" s="21">
        <f>VLOOKUP(A117,'Database Rates'!$A$1:$D$1000,3,FALSE)</f>
        <v>3.49</v>
      </c>
    </row>
    <row r="118" spans="1:2" x14ac:dyDescent="0.2">
      <c r="A118" s="41">
        <v>23255</v>
      </c>
      <c r="B118" s="21">
        <f>VLOOKUP(A118,'Database Rates'!$A$1:$D$1000,3,FALSE)</f>
        <v>3.48</v>
      </c>
    </row>
    <row r="119" spans="1:2" x14ac:dyDescent="0.2">
      <c r="A119" s="41">
        <v>23285</v>
      </c>
      <c r="B119" s="21">
        <f>VLOOKUP(A119,'Database Rates'!$A$1:$D$1000,3,FALSE)</f>
        <v>3.5</v>
      </c>
    </row>
    <row r="120" spans="1:2" x14ac:dyDescent="0.2">
      <c r="A120" s="41">
        <v>23316</v>
      </c>
      <c r="B120" s="21">
        <f>VLOOKUP(A120,'Database Rates'!$A$1:$D$1000,3,FALSE)</f>
        <v>3.48</v>
      </c>
    </row>
    <row r="121" spans="1:2" x14ac:dyDescent="0.2">
      <c r="A121" s="41">
        <v>23346</v>
      </c>
      <c r="B121" s="21">
        <f>VLOOKUP(A121,'Database Rates'!$A$1:$D$1000,3,FALSE)</f>
        <v>3.38</v>
      </c>
    </row>
    <row r="122" spans="1:2" x14ac:dyDescent="0.2">
      <c r="A122" s="41">
        <v>23377</v>
      </c>
      <c r="B122" s="21">
        <f>VLOOKUP(A122,'Database Rates'!$A$1:$D$1000,3,FALSE)</f>
        <v>3.48</v>
      </c>
    </row>
    <row r="123" spans="1:2" x14ac:dyDescent="0.2">
      <c r="A123" s="41">
        <v>23408</v>
      </c>
      <c r="B123" s="21">
        <f>VLOOKUP(A123,'Database Rates'!$A$1:$D$1000,3,FALSE)</f>
        <v>3.48</v>
      </c>
    </row>
    <row r="124" spans="1:2" x14ac:dyDescent="0.2">
      <c r="A124" s="41">
        <v>23437</v>
      </c>
      <c r="B124" s="21">
        <f>VLOOKUP(A124,'Database Rates'!$A$1:$D$1000,3,FALSE)</f>
        <v>3.43</v>
      </c>
    </row>
    <row r="125" spans="1:2" x14ac:dyDescent="0.2">
      <c r="A125" s="41">
        <v>23468</v>
      </c>
      <c r="B125" s="21">
        <f>VLOOKUP(A125,'Database Rates'!$A$1:$D$1000,3,FALSE)</f>
        <v>3.47</v>
      </c>
    </row>
    <row r="126" spans="1:2" x14ac:dyDescent="0.2">
      <c r="A126" s="41">
        <v>23498</v>
      </c>
      <c r="B126" s="21">
        <f>VLOOKUP(A126,'Database Rates'!$A$1:$D$1000,3,FALSE)</f>
        <v>3.5</v>
      </c>
    </row>
    <row r="127" spans="1:2" x14ac:dyDescent="0.2">
      <c r="A127" s="41">
        <v>23529</v>
      </c>
      <c r="B127" s="21">
        <f>VLOOKUP(A127,'Database Rates'!$A$1:$D$1000,3,FALSE)</f>
        <v>3.5</v>
      </c>
    </row>
    <row r="128" spans="1:2" x14ac:dyDescent="0.2">
      <c r="A128" s="41">
        <v>23559</v>
      </c>
      <c r="B128" s="21">
        <f>VLOOKUP(A128,'Database Rates'!$A$1:$D$1000,3,FALSE)</f>
        <v>3.42</v>
      </c>
    </row>
    <row r="129" spans="1:2" x14ac:dyDescent="0.2">
      <c r="A129" s="41">
        <v>23590</v>
      </c>
      <c r="B129" s="21">
        <f>VLOOKUP(A129,'Database Rates'!$A$1:$D$1000,3,FALSE)</f>
        <v>3.5</v>
      </c>
    </row>
    <row r="130" spans="1:2" x14ac:dyDescent="0.2">
      <c r="A130" s="41">
        <v>23621</v>
      </c>
      <c r="B130" s="21">
        <f>VLOOKUP(A130,'Database Rates'!$A$1:$D$1000,3,FALSE)</f>
        <v>3.45</v>
      </c>
    </row>
    <row r="131" spans="1:2" x14ac:dyDescent="0.2">
      <c r="A131" s="41">
        <v>23651</v>
      </c>
      <c r="B131" s="21">
        <f>VLOOKUP(A131,'Database Rates'!$A$1:$D$1000,3,FALSE)</f>
        <v>3.36</v>
      </c>
    </row>
    <row r="132" spans="1:2" x14ac:dyDescent="0.2">
      <c r="A132" s="41">
        <v>23682</v>
      </c>
      <c r="B132" s="21">
        <f>VLOOKUP(A132,'Database Rates'!$A$1:$D$1000,3,FALSE)</f>
        <v>3.52</v>
      </c>
    </row>
    <row r="133" spans="1:2" x14ac:dyDescent="0.2">
      <c r="A133" s="41">
        <v>23712</v>
      </c>
      <c r="B133" s="21">
        <f>VLOOKUP(A133,'Database Rates'!$A$1:$D$1000,3,FALSE)</f>
        <v>3.85</v>
      </c>
    </row>
    <row r="134" spans="1:2" x14ac:dyDescent="0.2">
      <c r="A134" s="41">
        <v>23743</v>
      </c>
      <c r="B134" s="21">
        <f>VLOOKUP(A134,'Database Rates'!$A$1:$D$1000,3,FALSE)</f>
        <v>3.9</v>
      </c>
    </row>
    <row r="135" spans="1:2" x14ac:dyDescent="0.2">
      <c r="A135" s="41">
        <v>23774</v>
      </c>
      <c r="B135" s="21">
        <f>VLOOKUP(A135,'Database Rates'!$A$1:$D$1000,3,FALSE)</f>
        <v>3.98</v>
      </c>
    </row>
    <row r="136" spans="1:2" x14ac:dyDescent="0.2">
      <c r="A136" s="41">
        <v>23802</v>
      </c>
      <c r="B136" s="21">
        <f>VLOOKUP(A136,'Database Rates'!$A$1:$D$1000,3,FALSE)</f>
        <v>4.05</v>
      </c>
    </row>
    <row r="137" spans="1:2" x14ac:dyDescent="0.2">
      <c r="A137" s="41">
        <v>23833</v>
      </c>
      <c r="B137" s="21">
        <f>VLOOKUP(A137,'Database Rates'!$A$1:$D$1000,3,FALSE)</f>
        <v>4.09</v>
      </c>
    </row>
    <row r="138" spans="1:2" x14ac:dyDescent="0.2">
      <c r="A138" s="41">
        <v>23863</v>
      </c>
      <c r="B138" s="21">
        <f>VLOOKUP(A138,'Database Rates'!$A$1:$D$1000,3,FALSE)</f>
        <v>4.0999999999999996</v>
      </c>
    </row>
    <row r="139" spans="1:2" x14ac:dyDescent="0.2">
      <c r="A139" s="41">
        <v>23894</v>
      </c>
      <c r="B139" s="21">
        <f>VLOOKUP(A139,'Database Rates'!$A$1:$D$1000,3,FALSE)</f>
        <v>4.05</v>
      </c>
    </row>
    <row r="140" spans="1:2" x14ac:dyDescent="0.2">
      <c r="A140" s="41">
        <v>23924</v>
      </c>
      <c r="B140" s="21">
        <f>VLOOKUP(A140,'Database Rates'!$A$1:$D$1000,3,FALSE)</f>
        <v>4.09</v>
      </c>
    </row>
    <row r="141" spans="1:2" x14ac:dyDescent="0.2">
      <c r="A141" s="41">
        <v>23955</v>
      </c>
      <c r="B141" s="21">
        <f>VLOOKUP(A141,'Database Rates'!$A$1:$D$1000,3,FALSE)</f>
        <v>4.12</v>
      </c>
    </row>
    <row r="142" spans="1:2" x14ac:dyDescent="0.2">
      <c r="A142" s="41">
        <v>23986</v>
      </c>
      <c r="B142" s="21">
        <f>VLOOKUP(A142,'Database Rates'!$A$1:$D$1000,3,FALSE)</f>
        <v>4.0199999999999996</v>
      </c>
    </row>
    <row r="143" spans="1:2" x14ac:dyDescent="0.2">
      <c r="A143" s="41">
        <v>24016</v>
      </c>
      <c r="B143" s="21">
        <f>VLOOKUP(A143,'Database Rates'!$A$1:$D$1000,3,FALSE)</f>
        <v>4.08</v>
      </c>
    </row>
    <row r="144" spans="1:2" x14ac:dyDescent="0.2">
      <c r="A144" s="41">
        <v>24047</v>
      </c>
      <c r="B144" s="21">
        <f>VLOOKUP(A144,'Database Rates'!$A$1:$D$1000,3,FALSE)</f>
        <v>4.0999999999999996</v>
      </c>
    </row>
    <row r="145" spans="1:2" x14ac:dyDescent="0.2">
      <c r="A145" s="41">
        <v>24077</v>
      </c>
      <c r="B145" s="21">
        <f>VLOOKUP(A145,'Database Rates'!$A$1:$D$1000,3,FALSE)</f>
        <v>4.32</v>
      </c>
    </row>
    <row r="146" spans="1:2" x14ac:dyDescent="0.2">
      <c r="A146" s="41">
        <v>24108</v>
      </c>
      <c r="B146" s="21">
        <f>VLOOKUP(A146,'Database Rates'!$A$1:$D$1000,3,FALSE)</f>
        <v>4.42</v>
      </c>
    </row>
    <row r="147" spans="1:2" x14ac:dyDescent="0.2">
      <c r="A147" s="41">
        <v>24139</v>
      </c>
      <c r="B147" s="21">
        <f>VLOOKUP(A147,'Database Rates'!$A$1:$D$1000,3,FALSE)</f>
        <v>4.5999999999999996</v>
      </c>
    </row>
    <row r="148" spans="1:2" x14ac:dyDescent="0.2">
      <c r="A148" s="41">
        <v>24167</v>
      </c>
      <c r="B148" s="21">
        <f>VLOOKUP(A148,'Database Rates'!$A$1:$D$1000,3,FALSE)</f>
        <v>4.66</v>
      </c>
    </row>
    <row r="149" spans="1:2" x14ac:dyDescent="0.2">
      <c r="A149" s="41">
        <v>24198</v>
      </c>
      <c r="B149" s="21">
        <f>VLOOKUP(A149,'Database Rates'!$A$1:$D$1000,3,FALSE)</f>
        <v>4.67</v>
      </c>
    </row>
    <row r="150" spans="1:2" x14ac:dyDescent="0.2">
      <c r="A150" s="41">
        <v>24228</v>
      </c>
      <c r="B150" s="21">
        <f>VLOOKUP(A150,'Database Rates'!$A$1:$D$1000,3,FALSE)</f>
        <v>4.9000000000000004</v>
      </c>
    </row>
    <row r="151" spans="1:2" x14ac:dyDescent="0.2">
      <c r="A151" s="41">
        <v>24259</v>
      </c>
      <c r="B151" s="21">
        <f>VLOOKUP(A151,'Database Rates'!$A$1:$D$1000,3,FALSE)</f>
        <v>5.17</v>
      </c>
    </row>
    <row r="152" spans="1:2" x14ac:dyDescent="0.2">
      <c r="A152" s="41">
        <v>24289</v>
      </c>
      <c r="B152" s="21">
        <f>VLOOKUP(A152,'Database Rates'!$A$1:$D$1000,3,FALSE)</f>
        <v>5.3</v>
      </c>
    </row>
    <row r="153" spans="1:2" x14ac:dyDescent="0.2">
      <c r="A153" s="41">
        <v>24320</v>
      </c>
      <c r="B153" s="21">
        <f>VLOOKUP(A153,'Database Rates'!$A$1:$D$1000,3,FALSE)</f>
        <v>5.53</v>
      </c>
    </row>
    <row r="154" spans="1:2" x14ac:dyDescent="0.2">
      <c r="A154" s="41">
        <v>24351</v>
      </c>
      <c r="B154" s="21">
        <f>VLOOKUP(A154,'Database Rates'!$A$1:$D$1000,3,FALSE)</f>
        <v>5.4</v>
      </c>
    </row>
    <row r="155" spans="1:2" x14ac:dyDescent="0.2">
      <c r="A155" s="41">
        <v>24381</v>
      </c>
      <c r="B155" s="21">
        <f>VLOOKUP(A155,'Database Rates'!$A$1:$D$1000,3,FALSE)</f>
        <v>5.53</v>
      </c>
    </row>
    <row r="156" spans="1:2" x14ac:dyDescent="0.2">
      <c r="A156" s="41">
        <v>24412</v>
      </c>
      <c r="B156" s="21">
        <f>VLOOKUP(A156,'Database Rates'!$A$1:$D$1000,3,FALSE)</f>
        <v>5.76</v>
      </c>
    </row>
    <row r="157" spans="1:2" x14ac:dyDescent="0.2">
      <c r="A157" s="41">
        <v>24442</v>
      </c>
      <c r="B157" s="21">
        <f>VLOOKUP(A157,'Database Rates'!$A$1:$D$1000,3,FALSE)</f>
        <v>5.4</v>
      </c>
    </row>
    <row r="158" spans="1:2" x14ac:dyDescent="0.2">
      <c r="A158" s="41">
        <v>24473</v>
      </c>
      <c r="B158" s="21">
        <f>VLOOKUP(A158,'Database Rates'!$A$1:$D$1000,3,FALSE)</f>
        <v>4.9400000000000004</v>
      </c>
    </row>
    <row r="159" spans="1:2" x14ac:dyDescent="0.2">
      <c r="A159" s="41">
        <v>24504</v>
      </c>
      <c r="B159" s="21">
        <f>VLOOKUP(A159,'Database Rates'!$A$1:$D$1000,3,FALSE)</f>
        <v>5</v>
      </c>
    </row>
    <row r="160" spans="1:2" x14ac:dyDescent="0.2">
      <c r="A160" s="41">
        <v>24532</v>
      </c>
      <c r="B160" s="21">
        <f>VLOOKUP(A160,'Database Rates'!$A$1:$D$1000,3,FALSE)</f>
        <v>4.53</v>
      </c>
    </row>
    <row r="161" spans="1:2" x14ac:dyDescent="0.2">
      <c r="A161" s="41">
        <v>24563</v>
      </c>
      <c r="B161" s="21">
        <f>VLOOKUP(A161,'Database Rates'!$A$1:$D$1000,3,FALSE)</f>
        <v>4.05</v>
      </c>
    </row>
    <row r="162" spans="1:2" x14ac:dyDescent="0.2">
      <c r="A162" s="41">
        <v>24593</v>
      </c>
      <c r="B162" s="21">
        <f>VLOOKUP(A162,'Database Rates'!$A$1:$D$1000,3,FALSE)</f>
        <v>3.94</v>
      </c>
    </row>
    <row r="163" spans="1:2" x14ac:dyDescent="0.2">
      <c r="A163" s="41">
        <v>24624</v>
      </c>
      <c r="B163" s="21">
        <f>VLOOKUP(A163,'Database Rates'!$A$1:$D$1000,3,FALSE)</f>
        <v>3.98</v>
      </c>
    </row>
    <row r="164" spans="1:2" x14ac:dyDescent="0.2">
      <c r="A164" s="41">
        <v>24654</v>
      </c>
      <c r="B164" s="21">
        <f>VLOOKUP(A164,'Database Rates'!$A$1:$D$1000,3,FALSE)</f>
        <v>3.79</v>
      </c>
    </row>
    <row r="165" spans="1:2" x14ac:dyDescent="0.2">
      <c r="A165" s="41">
        <v>24685</v>
      </c>
      <c r="B165" s="21">
        <f>VLOOKUP(A165,'Database Rates'!$A$1:$D$1000,3,FALSE)</f>
        <v>3.9</v>
      </c>
    </row>
    <row r="166" spans="1:2" x14ac:dyDescent="0.2">
      <c r="A166" s="41">
        <v>24716</v>
      </c>
      <c r="B166" s="21">
        <f>VLOOKUP(A166,'Database Rates'!$A$1:$D$1000,3,FALSE)</f>
        <v>3.99</v>
      </c>
    </row>
    <row r="167" spans="1:2" x14ac:dyDescent="0.2">
      <c r="A167" s="41">
        <v>24746</v>
      </c>
      <c r="B167" s="21">
        <f>VLOOKUP(A167,'Database Rates'!$A$1:$D$1000,3,FALSE)</f>
        <v>3.88</v>
      </c>
    </row>
    <row r="168" spans="1:2" x14ac:dyDescent="0.2">
      <c r="A168" s="41">
        <v>24777</v>
      </c>
      <c r="B168" s="21">
        <f>VLOOKUP(A168,'Database Rates'!$A$1:$D$1000,3,FALSE)</f>
        <v>4.13</v>
      </c>
    </row>
    <row r="169" spans="1:2" x14ac:dyDescent="0.2">
      <c r="A169" s="41">
        <v>24807</v>
      </c>
      <c r="B169" s="21">
        <f>VLOOKUP(A169,'Database Rates'!$A$1:$D$1000,3,FALSE)</f>
        <v>4.51</v>
      </c>
    </row>
    <row r="170" spans="1:2" x14ac:dyDescent="0.2">
      <c r="A170" s="41">
        <v>24838</v>
      </c>
      <c r="B170" s="21">
        <f>VLOOKUP(A170,'Database Rates'!$A$1:$D$1000,3,FALSE)</f>
        <v>4.6100000000000003</v>
      </c>
    </row>
    <row r="171" spans="1:2" x14ac:dyDescent="0.2">
      <c r="A171" s="41">
        <v>24869</v>
      </c>
      <c r="B171" s="21">
        <f>VLOOKUP(A171,'Database Rates'!$A$1:$D$1000,3,FALSE)</f>
        <v>4.71</v>
      </c>
    </row>
    <row r="172" spans="1:2" x14ac:dyDescent="0.2">
      <c r="A172" s="41">
        <v>24898</v>
      </c>
      <c r="B172" s="21">
        <f>VLOOKUP(A172,'Database Rates'!$A$1:$D$1000,3,FALSE)</f>
        <v>5.05</v>
      </c>
    </row>
    <row r="173" spans="1:2" x14ac:dyDescent="0.2">
      <c r="A173" s="41">
        <v>24929</v>
      </c>
      <c r="B173" s="21">
        <f>VLOOKUP(A173,'Database Rates'!$A$1:$D$1000,3,FALSE)</f>
        <v>5.76</v>
      </c>
    </row>
    <row r="174" spans="1:2" x14ac:dyDescent="0.2">
      <c r="A174" s="41">
        <v>24959</v>
      </c>
      <c r="B174" s="21">
        <f>VLOOKUP(A174,'Database Rates'!$A$1:$D$1000,3,FALSE)</f>
        <v>6.12</v>
      </c>
    </row>
    <row r="175" spans="1:2" x14ac:dyDescent="0.2">
      <c r="A175" s="41">
        <v>24990</v>
      </c>
      <c r="B175" s="21">
        <f>VLOOKUP(A175,'Database Rates'!$A$1:$D$1000,3,FALSE)</f>
        <v>6.07</v>
      </c>
    </row>
    <row r="176" spans="1:2" x14ac:dyDescent="0.2">
      <c r="A176" s="41">
        <v>25020</v>
      </c>
      <c r="B176" s="21">
        <f>VLOOKUP(A176,'Database Rates'!$A$1:$D$1000,3,FALSE)</f>
        <v>6.03</v>
      </c>
    </row>
    <row r="177" spans="1:2" x14ac:dyDescent="0.2">
      <c r="A177" s="41">
        <v>25051</v>
      </c>
      <c r="B177" s="21">
        <f>VLOOKUP(A177,'Database Rates'!$A$1:$D$1000,3,FALSE)</f>
        <v>6.03</v>
      </c>
    </row>
    <row r="178" spans="1:2" x14ac:dyDescent="0.2">
      <c r="A178" s="41">
        <v>25082</v>
      </c>
      <c r="B178" s="21">
        <f>VLOOKUP(A178,'Database Rates'!$A$1:$D$1000,3,FALSE)</f>
        <v>5.78</v>
      </c>
    </row>
    <row r="179" spans="1:2" x14ac:dyDescent="0.2">
      <c r="A179" s="41">
        <v>25112</v>
      </c>
      <c r="B179" s="21">
        <f>VLOOKUP(A179,'Database Rates'!$A$1:$D$1000,3,FALSE)</f>
        <v>5.91</v>
      </c>
    </row>
    <row r="180" spans="1:2" x14ac:dyDescent="0.2">
      <c r="A180" s="41">
        <v>25143</v>
      </c>
      <c r="B180" s="21">
        <f>VLOOKUP(A180,'Database Rates'!$A$1:$D$1000,3,FALSE)</f>
        <v>5.82</v>
      </c>
    </row>
    <row r="181" spans="1:2" x14ac:dyDescent="0.2">
      <c r="A181" s="41">
        <v>25173</v>
      </c>
      <c r="B181" s="21">
        <f>VLOOKUP(A181,'Database Rates'!$A$1:$D$1000,3,FALSE)</f>
        <v>6.02</v>
      </c>
    </row>
    <row r="182" spans="1:2" x14ac:dyDescent="0.2">
      <c r="A182" s="41">
        <v>25204</v>
      </c>
      <c r="B182" s="21">
        <f>VLOOKUP(A182,'Database Rates'!$A$1:$D$1000,3,FALSE)</f>
        <v>6.3</v>
      </c>
    </row>
    <row r="183" spans="1:2" x14ac:dyDescent="0.2">
      <c r="A183" s="41">
        <v>25235</v>
      </c>
      <c r="B183" s="21">
        <f>VLOOKUP(A183,'Database Rates'!$A$1:$D$1000,3,FALSE)</f>
        <v>6.61</v>
      </c>
    </row>
    <row r="184" spans="1:2" x14ac:dyDescent="0.2">
      <c r="A184" s="41">
        <v>25263</v>
      </c>
      <c r="B184" s="21">
        <f>VLOOKUP(A184,'Database Rates'!$A$1:$D$1000,3,FALSE)</f>
        <v>6.79</v>
      </c>
    </row>
    <row r="185" spans="1:2" x14ac:dyDescent="0.2">
      <c r="A185" s="41">
        <v>25294</v>
      </c>
      <c r="B185" s="21">
        <f>VLOOKUP(A185,'Database Rates'!$A$1:$D$1000,3,FALSE)</f>
        <v>7.41</v>
      </c>
    </row>
    <row r="186" spans="1:2" x14ac:dyDescent="0.2">
      <c r="A186" s="41">
        <v>25324</v>
      </c>
      <c r="B186" s="21">
        <f>VLOOKUP(A186,'Database Rates'!$A$1:$D$1000,3,FALSE)</f>
        <v>8.67</v>
      </c>
    </row>
    <row r="187" spans="1:2" x14ac:dyDescent="0.2">
      <c r="A187" s="41">
        <v>25355</v>
      </c>
      <c r="B187" s="21">
        <f>VLOOKUP(A187,'Database Rates'!$A$1:$D$1000,3,FALSE)</f>
        <v>8.9</v>
      </c>
    </row>
    <row r="188" spans="1:2" x14ac:dyDescent="0.2">
      <c r="A188" s="41">
        <v>25385</v>
      </c>
      <c r="B188" s="21">
        <f>VLOOKUP(A188,'Database Rates'!$A$1:$D$1000,3,FALSE)</f>
        <v>8.61</v>
      </c>
    </row>
    <row r="189" spans="1:2" x14ac:dyDescent="0.2">
      <c r="A189" s="41">
        <v>25416</v>
      </c>
      <c r="B189" s="21">
        <f>VLOOKUP(A189,'Database Rates'!$A$1:$D$1000,3,FALSE)</f>
        <v>9.19</v>
      </c>
    </row>
    <row r="190" spans="1:2" x14ac:dyDescent="0.2">
      <c r="A190" s="41">
        <v>25447</v>
      </c>
      <c r="B190" s="21">
        <f>VLOOKUP(A190,'Database Rates'!$A$1:$D$1000,3,FALSE)</f>
        <v>9.15</v>
      </c>
    </row>
    <row r="191" spans="1:2" x14ac:dyDescent="0.2">
      <c r="A191" s="41">
        <v>25477</v>
      </c>
      <c r="B191" s="21">
        <f>VLOOKUP(A191,'Database Rates'!$A$1:$D$1000,3,FALSE)</f>
        <v>9</v>
      </c>
    </row>
    <row r="192" spans="1:2" x14ac:dyDescent="0.2">
      <c r="A192" s="41">
        <v>25508</v>
      </c>
      <c r="B192" s="21">
        <f>VLOOKUP(A192,'Database Rates'!$A$1:$D$1000,3,FALSE)</f>
        <v>8.85</v>
      </c>
    </row>
    <row r="193" spans="1:2" x14ac:dyDescent="0.2">
      <c r="A193" s="41">
        <v>25538</v>
      </c>
      <c r="B193" s="21">
        <f>VLOOKUP(A193,'Database Rates'!$A$1:$D$1000,3,FALSE)</f>
        <v>8.9700000000000006</v>
      </c>
    </row>
    <row r="194" spans="1:2" x14ac:dyDescent="0.2">
      <c r="A194" s="41">
        <v>25569</v>
      </c>
      <c r="B194" s="21">
        <f>VLOOKUP(A194,'Database Rates'!$A$1:$D$1000,3,FALSE)</f>
        <v>8.98</v>
      </c>
    </row>
    <row r="195" spans="1:2" x14ac:dyDescent="0.2">
      <c r="A195" s="41">
        <v>25600</v>
      </c>
      <c r="B195" s="21">
        <f>VLOOKUP(A195,'Database Rates'!$A$1:$D$1000,3,FALSE)</f>
        <v>8.98</v>
      </c>
    </row>
    <row r="196" spans="1:2" x14ac:dyDescent="0.2">
      <c r="A196" s="41">
        <v>25628</v>
      </c>
      <c r="B196" s="21">
        <f>VLOOKUP(A196,'Database Rates'!$A$1:$D$1000,3,FALSE)</f>
        <v>7.76</v>
      </c>
    </row>
    <row r="197" spans="1:2" x14ac:dyDescent="0.2">
      <c r="A197" s="41">
        <v>25659</v>
      </c>
      <c r="B197" s="21">
        <f>VLOOKUP(A197,'Database Rates'!$A$1:$D$1000,3,FALSE)</f>
        <v>8.1</v>
      </c>
    </row>
    <row r="198" spans="1:2" x14ac:dyDescent="0.2">
      <c r="A198" s="41">
        <v>25689</v>
      </c>
      <c r="B198" s="21">
        <f>VLOOKUP(A198,'Database Rates'!$A$1:$D$1000,3,FALSE)</f>
        <v>7.95</v>
      </c>
    </row>
    <row r="199" spans="1:2" x14ac:dyDescent="0.2">
      <c r="A199" s="41">
        <v>25720</v>
      </c>
      <c r="B199" s="21">
        <f>VLOOKUP(A199,'Database Rates'!$A$1:$D$1000,3,FALSE)</f>
        <v>7.61</v>
      </c>
    </row>
    <row r="200" spans="1:2" x14ac:dyDescent="0.2">
      <c r="A200" s="41">
        <v>25750</v>
      </c>
      <c r="B200" s="21">
        <f>VLOOKUP(A200,'Database Rates'!$A$1:$D$1000,3,FALSE)</f>
        <v>7.21</v>
      </c>
    </row>
    <row r="201" spans="1:2" x14ac:dyDescent="0.2">
      <c r="A201" s="41">
        <v>25781</v>
      </c>
      <c r="B201" s="21">
        <f>VLOOKUP(A201,'Database Rates'!$A$1:$D$1000,3,FALSE)</f>
        <v>6.62</v>
      </c>
    </row>
    <row r="202" spans="1:2" x14ac:dyDescent="0.2">
      <c r="A202" s="41">
        <v>25812</v>
      </c>
      <c r="B202" s="21">
        <f>VLOOKUP(A202,'Database Rates'!$A$1:$D$1000,3,FALSE)</f>
        <v>6.29</v>
      </c>
    </row>
    <row r="203" spans="1:2" x14ac:dyDescent="0.2">
      <c r="A203" s="41">
        <v>25842</v>
      </c>
      <c r="B203" s="21">
        <f>VLOOKUP(A203,'Database Rates'!$A$1:$D$1000,3,FALSE)</f>
        <v>6.2</v>
      </c>
    </row>
    <row r="204" spans="1:2" x14ac:dyDescent="0.2">
      <c r="A204" s="41">
        <v>25873</v>
      </c>
      <c r="B204" s="21">
        <f>VLOOKUP(A204,'Database Rates'!$A$1:$D$1000,3,FALSE)</f>
        <v>5.6</v>
      </c>
    </row>
    <row r="205" spans="1:2" x14ac:dyDescent="0.2">
      <c r="A205" s="41">
        <v>25903</v>
      </c>
      <c r="B205" s="21">
        <f>VLOOKUP(A205,'Database Rates'!$A$1:$D$1000,3,FALSE)</f>
        <v>4.9000000000000004</v>
      </c>
    </row>
    <row r="206" spans="1:2" x14ac:dyDescent="0.2">
      <c r="A206" s="41">
        <v>25934</v>
      </c>
      <c r="B206" s="21">
        <f>VLOOKUP(A206,'Database Rates'!$A$1:$D$1000,3,FALSE)</f>
        <v>4.1399999999999997</v>
      </c>
    </row>
    <row r="207" spans="1:2" x14ac:dyDescent="0.2">
      <c r="A207" s="41">
        <v>25965</v>
      </c>
      <c r="B207" s="21">
        <f>VLOOKUP(A207,'Database Rates'!$A$1:$D$1000,3,FALSE)</f>
        <v>3.72</v>
      </c>
    </row>
    <row r="208" spans="1:2" x14ac:dyDescent="0.2">
      <c r="A208" s="41">
        <v>25993</v>
      </c>
      <c r="B208" s="21">
        <f>VLOOKUP(A208,'Database Rates'!$A$1:$D$1000,3,FALSE)</f>
        <v>3.71</v>
      </c>
    </row>
    <row r="209" spans="1:2" x14ac:dyDescent="0.2">
      <c r="A209" s="41">
        <v>26024</v>
      </c>
      <c r="B209" s="21">
        <f>VLOOKUP(A209,'Database Rates'!$A$1:$D$1000,3,FALSE)</f>
        <v>4.16</v>
      </c>
    </row>
    <row r="210" spans="1:2" x14ac:dyDescent="0.2">
      <c r="A210" s="41">
        <v>26054</v>
      </c>
      <c r="B210" s="21">
        <f>VLOOKUP(A210,'Database Rates'!$A$1:$D$1000,3,FALSE)</f>
        <v>4.63</v>
      </c>
    </row>
    <row r="211" spans="1:2" x14ac:dyDescent="0.2">
      <c r="A211" s="41">
        <v>26085</v>
      </c>
      <c r="B211" s="21">
        <f>VLOOKUP(A211,'Database Rates'!$A$1:$D$1000,3,FALSE)</f>
        <v>4.91</v>
      </c>
    </row>
    <row r="212" spans="1:2" x14ac:dyDescent="0.2">
      <c r="A212" s="41">
        <v>26115</v>
      </c>
      <c r="B212" s="21">
        <f>VLOOKUP(A212,'Database Rates'!$A$1:$D$1000,3,FALSE)</f>
        <v>5.31</v>
      </c>
    </row>
    <row r="213" spans="1:2" x14ac:dyDescent="0.2">
      <c r="A213" s="41">
        <v>26146</v>
      </c>
      <c r="B213" s="21">
        <f>VLOOKUP(A213,'Database Rates'!$A$1:$D$1000,3,FALSE)</f>
        <v>5.57</v>
      </c>
    </row>
    <row r="214" spans="1:2" x14ac:dyDescent="0.2">
      <c r="A214" s="41">
        <v>26177</v>
      </c>
      <c r="B214" s="21">
        <f>VLOOKUP(A214,'Database Rates'!$A$1:$D$1000,3,FALSE)</f>
        <v>5.55</v>
      </c>
    </row>
    <row r="215" spans="1:2" x14ac:dyDescent="0.2">
      <c r="A215" s="41">
        <v>26207</v>
      </c>
      <c r="B215" s="21">
        <f>VLOOKUP(A215,'Database Rates'!$A$1:$D$1000,3,FALSE)</f>
        <v>5.2</v>
      </c>
    </row>
    <row r="216" spans="1:2" x14ac:dyDescent="0.2">
      <c r="A216" s="41">
        <v>26238</v>
      </c>
      <c r="B216" s="21">
        <f>VLOOKUP(A216,'Database Rates'!$A$1:$D$1000,3,FALSE)</f>
        <v>4.91</v>
      </c>
    </row>
    <row r="217" spans="1:2" x14ac:dyDescent="0.2">
      <c r="A217" s="41">
        <v>26268</v>
      </c>
      <c r="B217" s="21">
        <f>VLOOKUP(A217,'Database Rates'!$A$1:$D$1000,3,FALSE)</f>
        <v>4.1399999999999997</v>
      </c>
    </row>
    <row r="218" spans="1:2" x14ac:dyDescent="0.2">
      <c r="A218" s="41">
        <v>26299</v>
      </c>
      <c r="B218" s="21">
        <f>VLOOKUP(A218,'Database Rates'!$A$1:$D$1000,3,FALSE)</f>
        <v>3.51</v>
      </c>
    </row>
    <row r="219" spans="1:2" x14ac:dyDescent="0.2">
      <c r="A219" s="41">
        <v>26330</v>
      </c>
      <c r="B219" s="21">
        <f>VLOOKUP(A219,'Database Rates'!$A$1:$D$1000,3,FALSE)</f>
        <v>3.3</v>
      </c>
    </row>
    <row r="220" spans="1:2" x14ac:dyDescent="0.2">
      <c r="A220" s="41">
        <v>26359</v>
      </c>
      <c r="B220" s="21">
        <f>VLOOKUP(A220,'Database Rates'!$A$1:$D$1000,3,FALSE)</f>
        <v>3.83</v>
      </c>
    </row>
    <row r="221" spans="1:2" x14ac:dyDescent="0.2">
      <c r="A221" s="41">
        <v>26390</v>
      </c>
      <c r="B221" s="21">
        <f>VLOOKUP(A221,'Database Rates'!$A$1:$D$1000,3,FALSE)</f>
        <v>4.17</v>
      </c>
    </row>
    <row r="222" spans="1:2" x14ac:dyDescent="0.2">
      <c r="A222" s="41">
        <v>26420</v>
      </c>
      <c r="B222" s="21">
        <f>VLOOKUP(A222,'Database Rates'!$A$1:$D$1000,3,FALSE)</f>
        <v>4.2699999999999996</v>
      </c>
    </row>
    <row r="223" spans="1:2" x14ac:dyDescent="0.2">
      <c r="A223" s="41">
        <v>26451</v>
      </c>
      <c r="B223" s="21">
        <f>VLOOKUP(A223,'Database Rates'!$A$1:$D$1000,3,FALSE)</f>
        <v>4.46</v>
      </c>
    </row>
    <row r="224" spans="1:2" x14ac:dyDescent="0.2">
      <c r="A224" s="41">
        <v>26481</v>
      </c>
      <c r="B224" s="21">
        <f>VLOOKUP(A224,'Database Rates'!$A$1:$D$1000,3,FALSE)</f>
        <v>4.55</v>
      </c>
    </row>
    <row r="225" spans="1:2" x14ac:dyDescent="0.2">
      <c r="A225" s="41">
        <v>26512</v>
      </c>
      <c r="B225" s="21">
        <f>VLOOKUP(A225,'Database Rates'!$A$1:$D$1000,3,FALSE)</f>
        <v>4.8099999999999996</v>
      </c>
    </row>
    <row r="226" spans="1:2" x14ac:dyDescent="0.2">
      <c r="A226" s="41">
        <v>26543</v>
      </c>
      <c r="B226" s="21">
        <f>VLOOKUP(A226,'Database Rates'!$A$1:$D$1000,3,FALSE)</f>
        <v>4.87</v>
      </c>
    </row>
    <row r="227" spans="1:2" x14ac:dyDescent="0.2">
      <c r="A227" s="41">
        <v>26573</v>
      </c>
      <c r="B227" s="21">
        <f>VLOOKUP(A227,'Database Rates'!$A$1:$D$1000,3,FALSE)</f>
        <v>5.05</v>
      </c>
    </row>
    <row r="228" spans="1:2" x14ac:dyDescent="0.2">
      <c r="A228" s="41">
        <v>26604</v>
      </c>
      <c r="B228" s="21">
        <f>VLOOKUP(A228,'Database Rates'!$A$1:$D$1000,3,FALSE)</f>
        <v>5.0599999999999996</v>
      </c>
    </row>
    <row r="229" spans="1:2" x14ac:dyDescent="0.2">
      <c r="A229" s="41">
        <v>26634</v>
      </c>
      <c r="B229" s="21">
        <f>VLOOKUP(A229,'Database Rates'!$A$1:$D$1000,3,FALSE)</f>
        <v>5.33</v>
      </c>
    </row>
    <row r="230" spans="1:2" x14ac:dyDescent="0.2">
      <c r="A230" s="41">
        <v>26665</v>
      </c>
      <c r="B230" s="21">
        <f>VLOOKUP(A230,'Database Rates'!$A$1:$D$1000,3,FALSE)</f>
        <v>5.94</v>
      </c>
    </row>
    <row r="231" spans="1:2" x14ac:dyDescent="0.2">
      <c r="A231" s="41">
        <v>26696</v>
      </c>
      <c r="B231" s="21">
        <f>VLOOKUP(A231,'Database Rates'!$A$1:$D$1000,3,FALSE)</f>
        <v>6.58</v>
      </c>
    </row>
    <row r="232" spans="1:2" x14ac:dyDescent="0.2">
      <c r="A232" s="41">
        <v>26724</v>
      </c>
      <c r="B232" s="21">
        <f>VLOOKUP(A232,'Database Rates'!$A$1:$D$1000,3,FALSE)</f>
        <v>7.09</v>
      </c>
    </row>
    <row r="233" spans="1:2" x14ac:dyDescent="0.2">
      <c r="A233" s="41">
        <v>26755</v>
      </c>
      <c r="B233" s="21">
        <f>VLOOKUP(A233,'Database Rates'!$A$1:$D$1000,3,FALSE)</f>
        <v>7.12</v>
      </c>
    </row>
    <row r="234" spans="1:2" x14ac:dyDescent="0.2">
      <c r="A234" s="41">
        <v>26785</v>
      </c>
      <c r="B234" s="21">
        <f>VLOOKUP(A234,'Database Rates'!$A$1:$D$1000,3,FALSE)</f>
        <v>7.84</v>
      </c>
    </row>
    <row r="235" spans="1:2" x14ac:dyDescent="0.2">
      <c r="A235" s="41">
        <v>26816</v>
      </c>
      <c r="B235" s="21">
        <f>VLOOKUP(A235,'Database Rates'!$A$1:$D$1000,3,FALSE)</f>
        <v>8.49</v>
      </c>
    </row>
    <row r="236" spans="1:2" x14ac:dyDescent="0.2">
      <c r="A236" s="41">
        <v>26846</v>
      </c>
      <c r="B236" s="21">
        <f>VLOOKUP(A236,'Database Rates'!$A$1:$D$1000,3,FALSE)</f>
        <v>10.4</v>
      </c>
    </row>
    <row r="237" spans="1:2" x14ac:dyDescent="0.2">
      <c r="A237" s="41">
        <v>26877</v>
      </c>
      <c r="B237" s="21">
        <f>VLOOKUP(A237,'Database Rates'!$A$1:$D$1000,3,FALSE)</f>
        <v>10.5</v>
      </c>
    </row>
    <row r="238" spans="1:2" x14ac:dyDescent="0.2">
      <c r="A238" s="41">
        <v>26908</v>
      </c>
      <c r="B238" s="21">
        <f>VLOOKUP(A238,'Database Rates'!$A$1:$D$1000,3,FALSE)</f>
        <v>10.78</v>
      </c>
    </row>
    <row r="239" spans="1:2" x14ac:dyDescent="0.2">
      <c r="A239" s="41">
        <v>26938</v>
      </c>
      <c r="B239" s="21">
        <f>VLOOKUP(A239,'Database Rates'!$A$1:$D$1000,3,FALSE)</f>
        <v>10.01</v>
      </c>
    </row>
    <row r="240" spans="1:2" x14ac:dyDescent="0.2">
      <c r="A240" s="41">
        <v>26969</v>
      </c>
      <c r="B240" s="21">
        <f>VLOOKUP(A240,'Database Rates'!$A$1:$D$1000,3,FALSE)</f>
        <v>10.029999999999999</v>
      </c>
    </row>
    <row r="241" spans="1:2" x14ac:dyDescent="0.2">
      <c r="A241" s="41">
        <v>26999</v>
      </c>
      <c r="B241" s="21">
        <f>VLOOKUP(A241,'Database Rates'!$A$1:$D$1000,3,FALSE)</f>
        <v>9.9499999999999993</v>
      </c>
    </row>
    <row r="242" spans="1:2" x14ac:dyDescent="0.2">
      <c r="A242" s="41">
        <v>27030</v>
      </c>
      <c r="B242" s="21">
        <f>VLOOKUP(A242,'Database Rates'!$A$1:$D$1000,3,FALSE)</f>
        <v>9.65</v>
      </c>
    </row>
    <row r="243" spans="1:2" x14ac:dyDescent="0.2">
      <c r="A243" s="41">
        <v>27061</v>
      </c>
      <c r="B243" s="21">
        <f>VLOOKUP(A243,'Database Rates'!$A$1:$D$1000,3,FALSE)</f>
        <v>8.9700000000000006</v>
      </c>
    </row>
    <row r="244" spans="1:2" x14ac:dyDescent="0.2">
      <c r="A244" s="41">
        <v>27089</v>
      </c>
      <c r="B244" s="21">
        <f>VLOOKUP(A244,'Database Rates'!$A$1:$D$1000,3,FALSE)</f>
        <v>9.35</v>
      </c>
    </row>
    <row r="245" spans="1:2" x14ac:dyDescent="0.2">
      <c r="A245" s="41">
        <v>27120</v>
      </c>
      <c r="B245" s="21">
        <f>VLOOKUP(A245,'Database Rates'!$A$1:$D$1000,3,FALSE)</f>
        <v>10.51</v>
      </c>
    </row>
    <row r="246" spans="1:2" x14ac:dyDescent="0.2">
      <c r="A246" s="41">
        <v>27150</v>
      </c>
      <c r="B246" s="21">
        <f>VLOOKUP(A246,'Database Rates'!$A$1:$D$1000,3,FALSE)</f>
        <v>11.31</v>
      </c>
    </row>
    <row r="247" spans="1:2" x14ac:dyDescent="0.2">
      <c r="A247" s="41">
        <v>27181</v>
      </c>
      <c r="B247" s="21">
        <f>VLOOKUP(A247,'Database Rates'!$A$1:$D$1000,3,FALSE)</f>
        <v>11.93</v>
      </c>
    </row>
    <row r="248" spans="1:2" x14ac:dyDescent="0.2">
      <c r="A248" s="41">
        <v>27211</v>
      </c>
      <c r="B248" s="21">
        <f>VLOOKUP(A248,'Database Rates'!$A$1:$D$1000,3,FALSE)</f>
        <v>12.92</v>
      </c>
    </row>
    <row r="249" spans="1:2" x14ac:dyDescent="0.2">
      <c r="A249" s="41">
        <v>27242</v>
      </c>
      <c r="B249" s="21">
        <f>VLOOKUP(A249,'Database Rates'!$A$1:$D$1000,3,FALSE)</f>
        <v>12.01</v>
      </c>
    </row>
    <row r="250" spans="1:2" x14ac:dyDescent="0.2">
      <c r="A250" s="41">
        <v>27273</v>
      </c>
      <c r="B250" s="21">
        <f>VLOOKUP(A250,'Database Rates'!$A$1:$D$1000,3,FALSE)</f>
        <v>11.34</v>
      </c>
    </row>
    <row r="251" spans="1:2" x14ac:dyDescent="0.2">
      <c r="A251" s="41">
        <v>27303</v>
      </c>
      <c r="B251" s="21">
        <f>VLOOKUP(A251,'Database Rates'!$A$1:$D$1000,3,FALSE)</f>
        <v>10.06</v>
      </c>
    </row>
    <row r="252" spans="1:2" x14ac:dyDescent="0.2">
      <c r="A252" s="41">
        <v>27334</v>
      </c>
      <c r="B252" s="21">
        <f>VLOOKUP(A252,'Database Rates'!$A$1:$D$1000,3,FALSE)</f>
        <v>9.4499999999999993</v>
      </c>
    </row>
    <row r="253" spans="1:2" x14ac:dyDescent="0.2">
      <c r="A253" s="41">
        <v>27364</v>
      </c>
      <c r="B253" s="21">
        <f>VLOOKUP(A253,'Database Rates'!$A$1:$D$1000,3,FALSE)</f>
        <v>8.5299999999999994</v>
      </c>
    </row>
    <row r="254" spans="1:2" x14ac:dyDescent="0.2">
      <c r="A254" s="41">
        <v>27395</v>
      </c>
      <c r="B254" s="21">
        <f>VLOOKUP(A254,'Database Rates'!$A$1:$D$1000,3,FALSE)</f>
        <v>7.13</v>
      </c>
    </row>
    <row r="255" spans="1:2" x14ac:dyDescent="0.2">
      <c r="A255" s="41">
        <v>27426</v>
      </c>
      <c r="B255" s="21">
        <f>VLOOKUP(A255,'Database Rates'!$A$1:$D$1000,3,FALSE)</f>
        <v>6.24</v>
      </c>
    </row>
    <row r="256" spans="1:2" x14ac:dyDescent="0.2">
      <c r="A256" s="41">
        <v>27454</v>
      </c>
      <c r="B256" s="21">
        <f>VLOOKUP(A256,'Database Rates'!$A$1:$D$1000,3,FALSE)</f>
        <v>5.54</v>
      </c>
    </row>
    <row r="257" spans="1:2" x14ac:dyDescent="0.2">
      <c r="A257" s="41">
        <v>27485</v>
      </c>
      <c r="B257" s="21">
        <f>VLOOKUP(A257,'Database Rates'!$A$1:$D$1000,3,FALSE)</f>
        <v>5.49</v>
      </c>
    </row>
    <row r="258" spans="1:2" x14ac:dyDescent="0.2">
      <c r="A258" s="41">
        <v>27515</v>
      </c>
      <c r="B258" s="21">
        <f>VLOOKUP(A258,'Database Rates'!$A$1:$D$1000,3,FALSE)</f>
        <v>5.22</v>
      </c>
    </row>
    <row r="259" spans="1:2" x14ac:dyDescent="0.2">
      <c r="A259" s="41">
        <v>27546</v>
      </c>
      <c r="B259" s="21">
        <f>VLOOKUP(A259,'Database Rates'!$A$1:$D$1000,3,FALSE)</f>
        <v>5.55</v>
      </c>
    </row>
    <row r="260" spans="1:2" x14ac:dyDescent="0.2">
      <c r="A260" s="41">
        <v>27576</v>
      </c>
      <c r="B260" s="21">
        <f>VLOOKUP(A260,'Database Rates'!$A$1:$D$1000,3,FALSE)</f>
        <v>6.1</v>
      </c>
    </row>
    <row r="261" spans="1:2" x14ac:dyDescent="0.2">
      <c r="A261" s="41">
        <v>27607</v>
      </c>
      <c r="B261" s="21">
        <f>VLOOKUP(A261,'Database Rates'!$A$1:$D$1000,3,FALSE)</f>
        <v>6.14</v>
      </c>
    </row>
    <row r="262" spans="1:2" x14ac:dyDescent="0.2">
      <c r="A262" s="41">
        <v>27638</v>
      </c>
      <c r="B262" s="21">
        <f>VLOOKUP(A262,'Database Rates'!$A$1:$D$1000,3,FALSE)</f>
        <v>6.24</v>
      </c>
    </row>
    <row r="263" spans="1:2" x14ac:dyDescent="0.2">
      <c r="A263" s="41">
        <v>27668</v>
      </c>
      <c r="B263" s="21">
        <f>VLOOKUP(A263,'Database Rates'!$A$1:$D$1000,3,FALSE)</f>
        <v>5.82</v>
      </c>
    </row>
    <row r="264" spans="1:2" x14ac:dyDescent="0.2">
      <c r="A264" s="41">
        <v>27699</v>
      </c>
      <c r="B264" s="21">
        <f>VLOOKUP(A264,'Database Rates'!$A$1:$D$1000,3,FALSE)</f>
        <v>5.22</v>
      </c>
    </row>
    <row r="265" spans="1:2" x14ac:dyDescent="0.2">
      <c r="A265" s="41">
        <v>27729</v>
      </c>
      <c r="B265" s="21">
        <f>VLOOKUP(A265,'Database Rates'!$A$1:$D$1000,3,FALSE)</f>
        <v>5.2</v>
      </c>
    </row>
    <row r="266" spans="1:2" x14ac:dyDescent="0.2">
      <c r="A266" s="41">
        <v>27760</v>
      </c>
      <c r="B266" s="21">
        <f>VLOOKUP(A266,'Database Rates'!$A$1:$D$1000,3,FALSE)</f>
        <v>4.87</v>
      </c>
    </row>
    <row r="267" spans="1:2" x14ac:dyDescent="0.2">
      <c r="A267" s="41">
        <v>27791</v>
      </c>
      <c r="B267" s="21">
        <f>VLOOKUP(A267,'Database Rates'!$A$1:$D$1000,3,FALSE)</f>
        <v>4.7699999999999996</v>
      </c>
    </row>
    <row r="268" spans="1:2" x14ac:dyDescent="0.2">
      <c r="A268" s="41">
        <v>27820</v>
      </c>
      <c r="B268" s="21">
        <f>VLOOKUP(A268,'Database Rates'!$A$1:$D$1000,3,FALSE)</f>
        <v>4.84</v>
      </c>
    </row>
    <row r="269" spans="1:2" x14ac:dyDescent="0.2">
      <c r="A269" s="41">
        <v>27851</v>
      </c>
      <c r="B269" s="21">
        <f>VLOOKUP(A269,'Database Rates'!$A$1:$D$1000,3,FALSE)</f>
        <v>4.82</v>
      </c>
    </row>
    <row r="270" spans="1:2" x14ac:dyDescent="0.2">
      <c r="A270" s="41">
        <v>27881</v>
      </c>
      <c r="B270" s="21">
        <f>VLOOKUP(A270,'Database Rates'!$A$1:$D$1000,3,FALSE)</f>
        <v>5.29</v>
      </c>
    </row>
    <row r="271" spans="1:2" x14ac:dyDescent="0.2">
      <c r="A271" s="41">
        <v>27912</v>
      </c>
      <c r="B271" s="21">
        <f>VLOOKUP(A271,'Database Rates'!$A$1:$D$1000,3,FALSE)</f>
        <v>5.48</v>
      </c>
    </row>
    <row r="272" spans="1:2" x14ac:dyDescent="0.2">
      <c r="A272" s="41">
        <v>27942</v>
      </c>
      <c r="B272" s="21">
        <f>VLOOKUP(A272,'Database Rates'!$A$1:$D$1000,3,FALSE)</f>
        <v>5.31</v>
      </c>
    </row>
    <row r="273" spans="1:2" x14ac:dyDescent="0.2">
      <c r="A273" s="41">
        <v>27973</v>
      </c>
      <c r="B273" s="21">
        <f>VLOOKUP(A273,'Database Rates'!$A$1:$D$1000,3,FALSE)</f>
        <v>5.29</v>
      </c>
    </row>
    <row r="274" spans="1:2" x14ac:dyDescent="0.2">
      <c r="A274" s="41">
        <v>28004</v>
      </c>
      <c r="B274" s="21">
        <f>VLOOKUP(A274,'Database Rates'!$A$1:$D$1000,3,FALSE)</f>
        <v>5.25</v>
      </c>
    </row>
    <row r="275" spans="1:2" x14ac:dyDescent="0.2">
      <c r="A275" s="41">
        <v>28034</v>
      </c>
      <c r="B275" s="21">
        <f>VLOOKUP(A275,'Database Rates'!$A$1:$D$1000,3,FALSE)</f>
        <v>5.0199999999999996</v>
      </c>
    </row>
    <row r="276" spans="1:2" x14ac:dyDescent="0.2">
      <c r="A276" s="41">
        <v>28065</v>
      </c>
      <c r="B276" s="21">
        <f>VLOOKUP(A276,'Database Rates'!$A$1:$D$1000,3,FALSE)</f>
        <v>4.95</v>
      </c>
    </row>
    <row r="277" spans="1:2" x14ac:dyDescent="0.2">
      <c r="A277" s="41">
        <v>28095</v>
      </c>
      <c r="B277" s="21">
        <f>VLOOKUP(A277,'Database Rates'!$A$1:$D$1000,3,FALSE)</f>
        <v>4.6500000000000004</v>
      </c>
    </row>
    <row r="278" spans="1:2" x14ac:dyDescent="0.2">
      <c r="A278" s="41">
        <v>28126</v>
      </c>
      <c r="B278" s="21">
        <f>VLOOKUP(A278,'Database Rates'!$A$1:$D$1000,3,FALSE)</f>
        <v>4.6100000000000003</v>
      </c>
    </row>
    <row r="279" spans="1:2" x14ac:dyDescent="0.2">
      <c r="A279" s="41">
        <v>28157</v>
      </c>
      <c r="B279" s="21">
        <f>VLOOKUP(A279,'Database Rates'!$A$1:$D$1000,3,FALSE)</f>
        <v>4.68</v>
      </c>
    </row>
    <row r="280" spans="1:2" x14ac:dyDescent="0.2">
      <c r="A280" s="41">
        <v>28185</v>
      </c>
      <c r="B280" s="21">
        <f>VLOOKUP(A280,'Database Rates'!$A$1:$D$1000,3,FALSE)</f>
        <v>4.6900000000000004</v>
      </c>
    </row>
    <row r="281" spans="1:2" x14ac:dyDescent="0.2">
      <c r="A281" s="41">
        <v>28216</v>
      </c>
      <c r="B281" s="21">
        <f>VLOOKUP(A281,'Database Rates'!$A$1:$D$1000,3,FALSE)</f>
        <v>4.7300000000000004</v>
      </c>
    </row>
    <row r="282" spans="1:2" x14ac:dyDescent="0.2">
      <c r="A282" s="41">
        <v>28246</v>
      </c>
      <c r="B282" s="21">
        <f>VLOOKUP(A282,'Database Rates'!$A$1:$D$1000,3,FALSE)</f>
        <v>5.35</v>
      </c>
    </row>
    <row r="283" spans="1:2" x14ac:dyDescent="0.2">
      <c r="A283" s="41">
        <v>28277</v>
      </c>
      <c r="B283" s="21">
        <f>VLOOKUP(A283,'Database Rates'!$A$1:$D$1000,3,FALSE)</f>
        <v>5.39</v>
      </c>
    </row>
    <row r="284" spans="1:2" x14ac:dyDescent="0.2">
      <c r="A284" s="41">
        <v>28307</v>
      </c>
      <c r="B284" s="21">
        <f>VLOOKUP(A284,'Database Rates'!$A$1:$D$1000,3,FALSE)</f>
        <v>5.42</v>
      </c>
    </row>
    <row r="285" spans="1:2" x14ac:dyDescent="0.2">
      <c r="A285" s="41">
        <v>28338</v>
      </c>
      <c r="B285" s="21">
        <f>VLOOKUP(A285,'Database Rates'!$A$1:$D$1000,3,FALSE)</f>
        <v>5.9</v>
      </c>
    </row>
    <row r="286" spans="1:2" x14ac:dyDescent="0.2">
      <c r="A286" s="41">
        <v>28369</v>
      </c>
      <c r="B286" s="21">
        <f>VLOOKUP(A286,'Database Rates'!$A$1:$D$1000,3,FALSE)</f>
        <v>6.14</v>
      </c>
    </row>
    <row r="287" spans="1:2" x14ac:dyDescent="0.2">
      <c r="A287" s="41">
        <v>28399</v>
      </c>
      <c r="B287" s="21">
        <f>VLOOKUP(A287,'Database Rates'!$A$1:$D$1000,3,FALSE)</f>
        <v>6.47</v>
      </c>
    </row>
    <row r="288" spans="1:2" x14ac:dyDescent="0.2">
      <c r="A288" s="41">
        <v>28430</v>
      </c>
      <c r="B288" s="21">
        <f>VLOOKUP(A288,'Database Rates'!$A$1:$D$1000,3,FALSE)</f>
        <v>6.51</v>
      </c>
    </row>
    <row r="289" spans="1:2" x14ac:dyDescent="0.2">
      <c r="A289" s="41">
        <v>28460</v>
      </c>
      <c r="B289" s="21">
        <f>VLOOKUP(A289,'Database Rates'!$A$1:$D$1000,3,FALSE)</f>
        <v>6.56</v>
      </c>
    </row>
    <row r="290" spans="1:2" x14ac:dyDescent="0.2">
      <c r="A290" s="41">
        <v>28491</v>
      </c>
      <c r="B290" s="21">
        <f>VLOOKUP(A290,'Database Rates'!$A$1:$D$1000,3,FALSE)</f>
        <v>6.7</v>
      </c>
    </row>
    <row r="291" spans="1:2" x14ac:dyDescent="0.2">
      <c r="A291" s="41">
        <v>28522</v>
      </c>
      <c r="B291" s="21">
        <f>VLOOKUP(A291,'Database Rates'!$A$1:$D$1000,3,FALSE)</f>
        <v>6.78</v>
      </c>
    </row>
    <row r="292" spans="1:2" x14ac:dyDescent="0.2">
      <c r="A292" s="41">
        <v>28550</v>
      </c>
      <c r="B292" s="21">
        <f>VLOOKUP(A292,'Database Rates'!$A$1:$D$1000,3,FALSE)</f>
        <v>6.79</v>
      </c>
    </row>
    <row r="293" spans="1:2" x14ac:dyDescent="0.2">
      <c r="A293" s="41">
        <v>28581</v>
      </c>
      <c r="B293" s="21">
        <f>VLOOKUP(A293,'Database Rates'!$A$1:$D$1000,3,FALSE)</f>
        <v>6.89</v>
      </c>
    </row>
    <row r="294" spans="1:2" x14ac:dyDescent="0.2">
      <c r="A294" s="41">
        <v>28611</v>
      </c>
      <c r="B294" s="21">
        <f>VLOOKUP(A294,'Database Rates'!$A$1:$D$1000,3,FALSE)</f>
        <v>7.36</v>
      </c>
    </row>
    <row r="295" spans="1:2" x14ac:dyDescent="0.2">
      <c r="A295" s="41">
        <v>28642</v>
      </c>
      <c r="B295" s="21">
        <f>VLOOKUP(A295,'Database Rates'!$A$1:$D$1000,3,FALSE)</f>
        <v>7.6</v>
      </c>
    </row>
    <row r="296" spans="1:2" x14ac:dyDescent="0.2">
      <c r="A296" s="41">
        <v>28672</v>
      </c>
      <c r="B296" s="21">
        <f>VLOOKUP(A296,'Database Rates'!$A$1:$D$1000,3,FALSE)</f>
        <v>7.81</v>
      </c>
    </row>
    <row r="297" spans="1:2" x14ac:dyDescent="0.2">
      <c r="A297" s="41">
        <v>28703</v>
      </c>
      <c r="B297" s="21">
        <f>VLOOKUP(A297,'Database Rates'!$A$1:$D$1000,3,FALSE)</f>
        <v>8.0399999999999991</v>
      </c>
    </row>
    <row r="298" spans="1:2" x14ac:dyDescent="0.2">
      <c r="A298" s="41">
        <v>28734</v>
      </c>
      <c r="B298" s="21">
        <f>VLOOKUP(A298,'Database Rates'!$A$1:$D$1000,3,FALSE)</f>
        <v>8.4499999999999993</v>
      </c>
    </row>
    <row r="299" spans="1:2" x14ac:dyDescent="0.2">
      <c r="A299" s="41">
        <v>28764</v>
      </c>
      <c r="B299" s="21">
        <f>VLOOKUP(A299,'Database Rates'!$A$1:$D$1000,3,FALSE)</f>
        <v>8.9600000000000009</v>
      </c>
    </row>
    <row r="300" spans="1:2" x14ac:dyDescent="0.2">
      <c r="A300" s="41">
        <v>28795</v>
      </c>
      <c r="B300" s="21">
        <f>VLOOKUP(A300,'Database Rates'!$A$1:$D$1000,3,FALSE)</f>
        <v>9.76</v>
      </c>
    </row>
    <row r="301" spans="1:2" x14ac:dyDescent="0.2">
      <c r="A301" s="41">
        <v>28825</v>
      </c>
      <c r="B301" s="21">
        <f>VLOOKUP(A301,'Database Rates'!$A$1:$D$1000,3,FALSE)</f>
        <v>10.029999999999999</v>
      </c>
    </row>
    <row r="302" spans="1:2" x14ac:dyDescent="0.2">
      <c r="A302" s="41">
        <v>28856</v>
      </c>
      <c r="B302" s="21">
        <f>VLOOKUP(A302,'Database Rates'!$A$1:$D$1000,3,FALSE)</f>
        <v>10.07</v>
      </c>
    </row>
    <row r="303" spans="1:2" x14ac:dyDescent="0.2">
      <c r="A303" s="41">
        <v>28887</v>
      </c>
      <c r="B303" s="21">
        <f>VLOOKUP(A303,'Database Rates'!$A$1:$D$1000,3,FALSE)</f>
        <v>10.06</v>
      </c>
    </row>
    <row r="304" spans="1:2" x14ac:dyDescent="0.2">
      <c r="A304" s="41">
        <v>28915</v>
      </c>
      <c r="B304" s="21">
        <f>VLOOKUP(A304,'Database Rates'!$A$1:$D$1000,3,FALSE)</f>
        <v>10.09</v>
      </c>
    </row>
    <row r="305" spans="1:2" x14ac:dyDescent="0.2">
      <c r="A305" s="41">
        <v>28946</v>
      </c>
      <c r="B305" s="21">
        <f>VLOOKUP(A305,'Database Rates'!$A$1:$D$1000,3,FALSE)</f>
        <v>10.01</v>
      </c>
    </row>
    <row r="306" spans="1:2" x14ac:dyDescent="0.2">
      <c r="A306" s="41">
        <v>28976</v>
      </c>
      <c r="B306" s="21">
        <f>VLOOKUP(A306,'Database Rates'!$A$1:$D$1000,3,FALSE)</f>
        <v>10.24</v>
      </c>
    </row>
    <row r="307" spans="1:2" x14ac:dyDescent="0.2">
      <c r="A307" s="41">
        <v>29007</v>
      </c>
      <c r="B307" s="21">
        <f>VLOOKUP(A307,'Database Rates'!$A$1:$D$1000,3,FALSE)</f>
        <v>10.29</v>
      </c>
    </row>
    <row r="308" spans="1:2" x14ac:dyDescent="0.2">
      <c r="A308" s="41">
        <v>29037</v>
      </c>
      <c r="B308" s="21">
        <f>VLOOKUP(A308,'Database Rates'!$A$1:$D$1000,3,FALSE)</f>
        <v>10.47</v>
      </c>
    </row>
    <row r="309" spans="1:2" x14ac:dyDescent="0.2">
      <c r="A309" s="41">
        <v>29068</v>
      </c>
      <c r="B309" s="21">
        <f>VLOOKUP(A309,'Database Rates'!$A$1:$D$1000,3,FALSE)</f>
        <v>10.94</v>
      </c>
    </row>
    <row r="310" spans="1:2" x14ac:dyDescent="0.2">
      <c r="A310" s="41">
        <v>29099</v>
      </c>
      <c r="B310" s="21">
        <f>VLOOKUP(A310,'Database Rates'!$A$1:$D$1000,3,FALSE)</f>
        <v>11.43</v>
      </c>
    </row>
    <row r="311" spans="1:2" x14ac:dyDescent="0.2">
      <c r="A311" s="41">
        <v>29129</v>
      </c>
      <c r="B311" s="21">
        <f>VLOOKUP(A311,'Database Rates'!$A$1:$D$1000,3,FALSE)</f>
        <v>13.77</v>
      </c>
    </row>
    <row r="312" spans="1:2" x14ac:dyDescent="0.2">
      <c r="A312" s="41">
        <v>29160</v>
      </c>
      <c r="B312" s="21">
        <f>VLOOKUP(A312,'Database Rates'!$A$1:$D$1000,3,FALSE)</f>
        <v>13.18</v>
      </c>
    </row>
    <row r="313" spans="1:2" x14ac:dyDescent="0.2">
      <c r="A313" s="41">
        <v>29190</v>
      </c>
      <c r="B313" s="21">
        <f>VLOOKUP(A313,'Database Rates'!$A$1:$D$1000,3,FALSE)</f>
        <v>13.78</v>
      </c>
    </row>
    <row r="314" spans="1:2" x14ac:dyDescent="0.2">
      <c r="A314" s="41">
        <v>29221</v>
      </c>
      <c r="B314" s="21">
        <f>VLOOKUP(A314,'Database Rates'!$A$1:$D$1000,3,FALSE)</f>
        <v>13.82</v>
      </c>
    </row>
    <row r="315" spans="1:2" x14ac:dyDescent="0.2">
      <c r="A315" s="41">
        <v>29252</v>
      </c>
      <c r="B315" s="21">
        <f>VLOOKUP(A315,'Database Rates'!$A$1:$D$1000,3,FALSE)</f>
        <v>14.13</v>
      </c>
    </row>
    <row r="316" spans="1:2" x14ac:dyDescent="0.2">
      <c r="A316" s="41">
        <v>29281</v>
      </c>
      <c r="B316" s="21">
        <f>VLOOKUP(A316,'Database Rates'!$A$1:$D$1000,3,FALSE)</f>
        <v>17.190000000000001</v>
      </c>
    </row>
    <row r="317" spans="1:2" x14ac:dyDescent="0.2">
      <c r="A317" s="41">
        <v>29312</v>
      </c>
      <c r="B317" s="21">
        <f>VLOOKUP(A317,'Database Rates'!$A$1:$D$1000,3,FALSE)</f>
        <v>17.61</v>
      </c>
    </row>
    <row r="318" spans="1:2" x14ac:dyDescent="0.2">
      <c r="A318" s="41">
        <v>29342</v>
      </c>
      <c r="B318" s="21">
        <f>VLOOKUP(A318,'Database Rates'!$A$1:$D$1000,3,FALSE)</f>
        <v>10.98</v>
      </c>
    </row>
    <row r="319" spans="1:2" x14ac:dyDescent="0.2">
      <c r="A319" s="41">
        <v>29373</v>
      </c>
      <c r="B319" s="21">
        <f>VLOOKUP(A319,'Database Rates'!$A$1:$D$1000,3,FALSE)</f>
        <v>9.4700000000000006</v>
      </c>
    </row>
    <row r="320" spans="1:2" x14ac:dyDescent="0.2">
      <c r="A320" s="41">
        <v>29403</v>
      </c>
      <c r="B320" s="21">
        <f>VLOOKUP(A320,'Database Rates'!$A$1:$D$1000,3,FALSE)</f>
        <v>9.0299999999999994</v>
      </c>
    </row>
    <row r="321" spans="1:2" x14ac:dyDescent="0.2">
      <c r="A321" s="41">
        <v>29434</v>
      </c>
      <c r="B321" s="21">
        <f>VLOOKUP(A321,'Database Rates'!$A$1:$D$1000,3,FALSE)</f>
        <v>9.61</v>
      </c>
    </row>
    <row r="322" spans="1:2" x14ac:dyDescent="0.2">
      <c r="A322" s="41">
        <v>29465</v>
      </c>
      <c r="B322" s="21">
        <f>VLOOKUP(A322,'Database Rates'!$A$1:$D$1000,3,FALSE)</f>
        <v>10.87</v>
      </c>
    </row>
    <row r="323" spans="1:2" x14ac:dyDescent="0.2">
      <c r="A323" s="41">
        <v>29495</v>
      </c>
      <c r="B323" s="21">
        <f>VLOOKUP(A323,'Database Rates'!$A$1:$D$1000,3,FALSE)</f>
        <v>12.81</v>
      </c>
    </row>
    <row r="324" spans="1:2" x14ac:dyDescent="0.2">
      <c r="A324" s="41">
        <v>29526</v>
      </c>
      <c r="B324" s="21">
        <f>VLOOKUP(A324,'Database Rates'!$A$1:$D$1000,3,FALSE)</f>
        <v>15.85</v>
      </c>
    </row>
    <row r="325" spans="1:2" x14ac:dyDescent="0.2">
      <c r="A325" s="41">
        <v>29556</v>
      </c>
      <c r="B325" s="21">
        <f>VLOOKUP(A325,'Database Rates'!$A$1:$D$1000,3,FALSE)</f>
        <v>18.899999999999999</v>
      </c>
    </row>
    <row r="326" spans="1:2" x14ac:dyDescent="0.2">
      <c r="A326" s="41">
        <v>29587</v>
      </c>
      <c r="B326" s="21">
        <f>VLOOKUP(A326,'Database Rates'!$A$1:$D$1000,3,FALSE)</f>
        <v>19.079999999999998</v>
      </c>
    </row>
    <row r="327" spans="1:2" x14ac:dyDescent="0.2">
      <c r="A327" s="41">
        <v>29618</v>
      </c>
      <c r="B327" s="21">
        <f>VLOOKUP(A327,'Database Rates'!$A$1:$D$1000,3,FALSE)</f>
        <v>15.93</v>
      </c>
    </row>
    <row r="328" spans="1:2" x14ac:dyDescent="0.2">
      <c r="A328" s="41">
        <v>29646</v>
      </c>
      <c r="B328" s="21">
        <f>VLOOKUP(A328,'Database Rates'!$A$1:$D$1000,3,FALSE)</f>
        <v>14.7</v>
      </c>
    </row>
    <row r="329" spans="1:2" x14ac:dyDescent="0.2">
      <c r="A329" s="41">
        <v>29677</v>
      </c>
      <c r="B329" s="21">
        <f>VLOOKUP(A329,'Database Rates'!$A$1:$D$1000,3,FALSE)</f>
        <v>15.72</v>
      </c>
    </row>
    <row r="330" spans="1:2" x14ac:dyDescent="0.2">
      <c r="A330" s="41">
        <v>29707</v>
      </c>
      <c r="B330" s="21">
        <f>VLOOKUP(A330,'Database Rates'!$A$1:$D$1000,3,FALSE)</f>
        <v>18.52</v>
      </c>
    </row>
    <row r="331" spans="1:2" x14ac:dyDescent="0.2">
      <c r="A331" s="41">
        <v>29738</v>
      </c>
      <c r="B331" s="21">
        <f>VLOOKUP(A331,'Database Rates'!$A$1:$D$1000,3,FALSE)</f>
        <v>19.100000000000001</v>
      </c>
    </row>
    <row r="332" spans="1:2" x14ac:dyDescent="0.2">
      <c r="A332" s="41">
        <v>29768</v>
      </c>
      <c r="B332" s="21">
        <f>VLOOKUP(A332,'Database Rates'!$A$1:$D$1000,3,FALSE)</f>
        <v>19.04</v>
      </c>
    </row>
    <row r="333" spans="1:2" x14ac:dyDescent="0.2">
      <c r="A333" s="41">
        <v>29799</v>
      </c>
      <c r="B333" s="21">
        <f>VLOOKUP(A333,'Database Rates'!$A$1:$D$1000,3,FALSE)</f>
        <v>17.82</v>
      </c>
    </row>
    <row r="334" spans="1:2" x14ac:dyDescent="0.2">
      <c r="A334" s="41">
        <v>29830</v>
      </c>
      <c r="B334" s="21">
        <f>VLOOKUP(A334,'Database Rates'!$A$1:$D$1000,3,FALSE)</f>
        <v>15.87</v>
      </c>
    </row>
    <row r="335" spans="1:2" x14ac:dyDescent="0.2">
      <c r="A335" s="41">
        <v>29860</v>
      </c>
      <c r="B335" s="21">
        <f>VLOOKUP(A335,'Database Rates'!$A$1:$D$1000,3,FALSE)</f>
        <v>15.08</v>
      </c>
    </row>
    <row r="336" spans="1:2" x14ac:dyDescent="0.2">
      <c r="A336" s="41">
        <v>29891</v>
      </c>
      <c r="B336" s="21">
        <f>VLOOKUP(A336,'Database Rates'!$A$1:$D$1000,3,FALSE)</f>
        <v>13.31</v>
      </c>
    </row>
    <row r="337" spans="1:2" x14ac:dyDescent="0.2">
      <c r="A337" s="41">
        <v>29921</v>
      </c>
      <c r="B337" s="21">
        <f>VLOOKUP(A337,'Database Rates'!$A$1:$D$1000,3,FALSE)</f>
        <v>12.37</v>
      </c>
    </row>
    <row r="338" spans="1:2" x14ac:dyDescent="0.2">
      <c r="A338" s="41">
        <v>29952</v>
      </c>
      <c r="B338" s="21">
        <f>VLOOKUP(A338,'Database Rates'!$A$1:$D$1000,3,FALSE)</f>
        <v>13.22</v>
      </c>
    </row>
    <row r="339" spans="1:2" x14ac:dyDescent="0.2">
      <c r="A339" s="41">
        <v>29983</v>
      </c>
      <c r="B339" s="21">
        <f>VLOOKUP(A339,'Database Rates'!$A$1:$D$1000,3,FALSE)</f>
        <v>14.78</v>
      </c>
    </row>
    <row r="340" spans="1:2" x14ac:dyDescent="0.2">
      <c r="A340" s="41">
        <v>30011</v>
      </c>
      <c r="B340" s="21">
        <f>VLOOKUP(A340,'Database Rates'!$A$1:$D$1000,3,FALSE)</f>
        <v>14.68</v>
      </c>
    </row>
    <row r="341" spans="1:2" x14ac:dyDescent="0.2">
      <c r="A341" s="41">
        <v>30042</v>
      </c>
      <c r="B341" s="21">
        <f>VLOOKUP(A341,'Database Rates'!$A$1:$D$1000,3,FALSE)</f>
        <v>14.94</v>
      </c>
    </row>
    <row r="342" spans="1:2" x14ac:dyDescent="0.2">
      <c r="A342" s="41">
        <v>30072</v>
      </c>
      <c r="B342" s="21">
        <f>VLOOKUP(A342,'Database Rates'!$A$1:$D$1000,3,FALSE)</f>
        <v>14.45</v>
      </c>
    </row>
    <row r="343" spans="1:2" x14ac:dyDescent="0.2">
      <c r="A343" s="41">
        <v>30103</v>
      </c>
      <c r="B343" s="21">
        <f>VLOOKUP(A343,'Database Rates'!$A$1:$D$1000,3,FALSE)</f>
        <v>14.15</v>
      </c>
    </row>
    <row r="344" spans="1:2" x14ac:dyDescent="0.2">
      <c r="A344" s="41">
        <v>30133</v>
      </c>
      <c r="B344" s="21">
        <f>VLOOKUP(A344,'Database Rates'!$A$1:$D$1000,3,FALSE)</f>
        <v>12.59</v>
      </c>
    </row>
    <row r="345" spans="1:2" x14ac:dyDescent="0.2">
      <c r="A345" s="41">
        <v>30164</v>
      </c>
      <c r="B345" s="21">
        <f>VLOOKUP(A345,'Database Rates'!$A$1:$D$1000,3,FALSE)</f>
        <v>10.119999999999999</v>
      </c>
    </row>
    <row r="346" spans="1:2" x14ac:dyDescent="0.2">
      <c r="A346" s="41">
        <v>30195</v>
      </c>
      <c r="B346" s="21">
        <f>VLOOKUP(A346,'Database Rates'!$A$1:$D$1000,3,FALSE)</f>
        <v>10.31</v>
      </c>
    </row>
    <row r="347" spans="1:2" x14ac:dyDescent="0.2">
      <c r="A347" s="41">
        <v>30225</v>
      </c>
      <c r="B347" s="21">
        <f>VLOOKUP(A347,'Database Rates'!$A$1:$D$1000,3,FALSE)</f>
        <v>9.7100000000000009</v>
      </c>
    </row>
    <row r="348" spans="1:2" x14ac:dyDescent="0.2">
      <c r="A348" s="41">
        <v>30256</v>
      </c>
      <c r="B348" s="21">
        <f>VLOOKUP(A348,'Database Rates'!$A$1:$D$1000,3,FALSE)</f>
        <v>9.1999999999999993</v>
      </c>
    </row>
    <row r="349" spans="1:2" x14ac:dyDescent="0.2">
      <c r="A349" s="41">
        <v>30286</v>
      </c>
      <c r="B349" s="21">
        <f>VLOOKUP(A349,'Database Rates'!$A$1:$D$1000,3,FALSE)</f>
        <v>8.9499999999999993</v>
      </c>
    </row>
    <row r="350" spans="1:2" x14ac:dyDescent="0.2">
      <c r="A350" s="41">
        <v>30317</v>
      </c>
      <c r="B350" s="21">
        <f>VLOOKUP(A350,'Database Rates'!$A$1:$D$1000,3,FALSE)</f>
        <v>8.68</v>
      </c>
    </row>
    <row r="351" spans="1:2" x14ac:dyDescent="0.2">
      <c r="A351" s="41">
        <v>30348</v>
      </c>
      <c r="B351" s="21">
        <f>VLOOKUP(A351,'Database Rates'!$A$1:$D$1000,3,FALSE)</f>
        <v>8.51</v>
      </c>
    </row>
    <row r="352" spans="1:2" x14ac:dyDescent="0.2">
      <c r="A352" s="41">
        <v>30376</v>
      </c>
      <c r="B352" s="21">
        <f>VLOOKUP(A352,'Database Rates'!$A$1:$D$1000,3,FALSE)</f>
        <v>8.77</v>
      </c>
    </row>
    <row r="353" spans="1:2" x14ac:dyDescent="0.2">
      <c r="A353" s="41">
        <v>30407</v>
      </c>
      <c r="B353" s="21">
        <f>VLOOKUP(A353,'Database Rates'!$A$1:$D$1000,3,FALSE)</f>
        <v>8.8000000000000007</v>
      </c>
    </row>
    <row r="354" spans="1:2" x14ac:dyDescent="0.2">
      <c r="A354" s="41">
        <v>30437</v>
      </c>
      <c r="B354" s="21">
        <f>VLOOKUP(A354,'Database Rates'!$A$1:$D$1000,3,FALSE)</f>
        <v>8.6300000000000008</v>
      </c>
    </row>
    <row r="355" spans="1:2" x14ac:dyDescent="0.2">
      <c r="A355" s="41">
        <v>30468</v>
      </c>
      <c r="B355" s="21">
        <f>VLOOKUP(A355,'Database Rates'!$A$1:$D$1000,3,FALSE)</f>
        <v>8.98</v>
      </c>
    </row>
    <row r="356" spans="1:2" x14ac:dyDescent="0.2">
      <c r="A356" s="41">
        <v>30498</v>
      </c>
      <c r="B356" s="21">
        <f>VLOOKUP(A356,'Database Rates'!$A$1:$D$1000,3,FALSE)</f>
        <v>9.3699999999999992</v>
      </c>
    </row>
    <row r="357" spans="1:2" x14ac:dyDescent="0.2">
      <c r="A357" s="41">
        <v>30529</v>
      </c>
      <c r="B357" s="21">
        <f>VLOOKUP(A357,'Database Rates'!$A$1:$D$1000,3,FALSE)</f>
        <v>9.56</v>
      </c>
    </row>
    <row r="358" spans="1:2" x14ac:dyDescent="0.2">
      <c r="A358" s="41">
        <v>30560</v>
      </c>
      <c r="B358" s="21">
        <f>VLOOKUP(A358,'Database Rates'!$A$1:$D$1000,3,FALSE)</f>
        <v>9.4499999999999993</v>
      </c>
    </row>
    <row r="359" spans="1:2" x14ac:dyDescent="0.2">
      <c r="A359" s="41">
        <v>30590</v>
      </c>
      <c r="B359" s="21">
        <f>VLOOKUP(A359,'Database Rates'!$A$1:$D$1000,3,FALSE)</f>
        <v>9.48</v>
      </c>
    </row>
    <row r="360" spans="1:2" x14ac:dyDescent="0.2">
      <c r="A360" s="41">
        <v>30621</v>
      </c>
      <c r="B360" s="21">
        <f>VLOOKUP(A360,'Database Rates'!$A$1:$D$1000,3,FALSE)</f>
        <v>9.34</v>
      </c>
    </row>
    <row r="361" spans="1:2" x14ac:dyDescent="0.2">
      <c r="A361" s="41">
        <v>30651</v>
      </c>
      <c r="B361" s="21">
        <f>VLOOKUP(A361,'Database Rates'!$A$1:$D$1000,3,FALSE)</f>
        <v>9.4700000000000006</v>
      </c>
    </row>
    <row r="362" spans="1:2" x14ac:dyDescent="0.2">
      <c r="A362" s="41">
        <v>30682</v>
      </c>
      <c r="B362" s="21">
        <f>VLOOKUP(A362,'Database Rates'!$A$1:$D$1000,3,FALSE)</f>
        <v>9.56</v>
      </c>
    </row>
    <row r="363" spans="1:2" x14ac:dyDescent="0.2">
      <c r="A363" s="41">
        <v>30713</v>
      </c>
      <c r="B363" s="21">
        <f>VLOOKUP(A363,'Database Rates'!$A$1:$D$1000,3,FALSE)</f>
        <v>9.59</v>
      </c>
    </row>
    <row r="364" spans="1:2" x14ac:dyDescent="0.2">
      <c r="A364" s="41">
        <v>30742</v>
      </c>
      <c r="B364" s="21">
        <f>VLOOKUP(A364,'Database Rates'!$A$1:$D$1000,3,FALSE)</f>
        <v>9.91</v>
      </c>
    </row>
    <row r="365" spans="1:2" x14ac:dyDescent="0.2">
      <c r="A365" s="41">
        <v>30773</v>
      </c>
      <c r="B365" s="21">
        <f>VLOOKUP(A365,'Database Rates'!$A$1:$D$1000,3,FALSE)</f>
        <v>10.29</v>
      </c>
    </row>
    <row r="366" spans="1:2" x14ac:dyDescent="0.2">
      <c r="A366" s="41">
        <v>30803</v>
      </c>
      <c r="B366" s="21">
        <f>VLOOKUP(A366,'Database Rates'!$A$1:$D$1000,3,FALSE)</f>
        <v>10.32</v>
      </c>
    </row>
    <row r="367" spans="1:2" x14ac:dyDescent="0.2">
      <c r="A367" s="41">
        <v>30834</v>
      </c>
      <c r="B367" s="21">
        <f>VLOOKUP(A367,'Database Rates'!$A$1:$D$1000,3,FALSE)</f>
        <v>11.06</v>
      </c>
    </row>
    <row r="368" spans="1:2" x14ac:dyDescent="0.2">
      <c r="A368" s="41">
        <v>30864</v>
      </c>
      <c r="B368" s="21">
        <f>VLOOKUP(A368,'Database Rates'!$A$1:$D$1000,3,FALSE)</f>
        <v>11.23</v>
      </c>
    </row>
    <row r="369" spans="1:2" x14ac:dyDescent="0.2">
      <c r="A369" s="41">
        <v>30895</v>
      </c>
      <c r="B369" s="21">
        <f>VLOOKUP(A369,'Database Rates'!$A$1:$D$1000,3,FALSE)</f>
        <v>11.64</v>
      </c>
    </row>
    <row r="370" spans="1:2" x14ac:dyDescent="0.2">
      <c r="A370" s="41">
        <v>30926</v>
      </c>
      <c r="B370" s="21">
        <f>VLOOKUP(A370,'Database Rates'!$A$1:$D$1000,3,FALSE)</f>
        <v>11.3</v>
      </c>
    </row>
    <row r="371" spans="1:2" x14ac:dyDescent="0.2">
      <c r="A371" s="41">
        <v>30956</v>
      </c>
      <c r="B371" s="21">
        <f>VLOOKUP(A371,'Database Rates'!$A$1:$D$1000,3,FALSE)</f>
        <v>9.99</v>
      </c>
    </row>
    <row r="372" spans="1:2" x14ac:dyDescent="0.2">
      <c r="A372" s="41">
        <v>30987</v>
      </c>
      <c r="B372" s="21">
        <f>VLOOKUP(A372,'Database Rates'!$A$1:$D$1000,3,FALSE)</f>
        <v>9.43</v>
      </c>
    </row>
    <row r="373" spans="1:2" x14ac:dyDescent="0.2">
      <c r="A373" s="41">
        <v>31017</v>
      </c>
      <c r="B373" s="21">
        <f>VLOOKUP(A373,'Database Rates'!$A$1:$D$1000,3,FALSE)</f>
        <v>8.3800000000000008</v>
      </c>
    </row>
    <row r="374" spans="1:2" x14ac:dyDescent="0.2">
      <c r="A374" s="41">
        <v>31048</v>
      </c>
      <c r="B374" s="21">
        <f>VLOOKUP(A374,'Database Rates'!$A$1:$D$1000,3,FALSE)</f>
        <v>8.35</v>
      </c>
    </row>
    <row r="375" spans="1:2" x14ac:dyDescent="0.2">
      <c r="A375" s="41">
        <v>31079</v>
      </c>
      <c r="B375" s="21">
        <f>VLOOKUP(A375,'Database Rates'!$A$1:$D$1000,3,FALSE)</f>
        <v>8.5</v>
      </c>
    </row>
    <row r="376" spans="1:2" x14ac:dyDescent="0.2">
      <c r="A376" s="41">
        <v>31107</v>
      </c>
      <c r="B376" s="21">
        <f>VLOOKUP(A376,'Database Rates'!$A$1:$D$1000,3,FALSE)</f>
        <v>8.58</v>
      </c>
    </row>
    <row r="377" spans="1:2" x14ac:dyDescent="0.2">
      <c r="A377" s="41">
        <v>31138</v>
      </c>
      <c r="B377" s="21">
        <f>VLOOKUP(A377,'Database Rates'!$A$1:$D$1000,3,FALSE)</f>
        <v>8.27</v>
      </c>
    </row>
    <row r="378" spans="1:2" x14ac:dyDescent="0.2">
      <c r="A378" s="41">
        <v>31168</v>
      </c>
      <c r="B378" s="21">
        <f>VLOOKUP(A378,'Database Rates'!$A$1:$D$1000,3,FALSE)</f>
        <v>7.97</v>
      </c>
    </row>
    <row r="379" spans="1:2" x14ac:dyDescent="0.2">
      <c r="A379" s="41">
        <v>31199</v>
      </c>
      <c r="B379" s="21">
        <f>VLOOKUP(A379,'Database Rates'!$A$1:$D$1000,3,FALSE)</f>
        <v>7.53</v>
      </c>
    </row>
    <row r="380" spans="1:2" x14ac:dyDescent="0.2">
      <c r="A380" s="41">
        <v>31229</v>
      </c>
      <c r="B380" s="21">
        <f>VLOOKUP(A380,'Database Rates'!$A$1:$D$1000,3,FALSE)</f>
        <v>7.88</v>
      </c>
    </row>
    <row r="381" spans="1:2" x14ac:dyDescent="0.2">
      <c r="A381" s="41">
        <v>31260</v>
      </c>
      <c r="B381" s="21">
        <f>VLOOKUP(A381,'Database Rates'!$A$1:$D$1000,3,FALSE)</f>
        <v>7.9</v>
      </c>
    </row>
    <row r="382" spans="1:2" x14ac:dyDescent="0.2">
      <c r="A382" s="41">
        <v>31291</v>
      </c>
      <c r="B382" s="21">
        <f>VLOOKUP(A382,'Database Rates'!$A$1:$D$1000,3,FALSE)</f>
        <v>7.92</v>
      </c>
    </row>
    <row r="383" spans="1:2" x14ac:dyDescent="0.2">
      <c r="A383" s="41">
        <v>31321</v>
      </c>
      <c r="B383" s="21">
        <f>VLOOKUP(A383,'Database Rates'!$A$1:$D$1000,3,FALSE)</f>
        <v>7.99</v>
      </c>
    </row>
    <row r="384" spans="1:2" x14ac:dyDescent="0.2">
      <c r="A384" s="41">
        <v>31352</v>
      </c>
      <c r="B384" s="21">
        <f>VLOOKUP(A384,'Database Rates'!$A$1:$D$1000,3,FALSE)</f>
        <v>8.0500000000000007</v>
      </c>
    </row>
    <row r="385" spans="1:2" x14ac:dyDescent="0.2">
      <c r="A385" s="41">
        <v>31382</v>
      </c>
      <c r="B385" s="21">
        <f>VLOOKUP(A385,'Database Rates'!$A$1:$D$1000,3,FALSE)</f>
        <v>8.27</v>
      </c>
    </row>
    <row r="386" spans="1:2" x14ac:dyDescent="0.2">
      <c r="A386" s="41">
        <v>31413</v>
      </c>
      <c r="B386" s="21">
        <f>VLOOKUP(A386,'Database Rates'!$A$1:$D$1000,3,FALSE)</f>
        <v>8.14</v>
      </c>
    </row>
    <row r="387" spans="1:2" x14ac:dyDescent="0.2">
      <c r="A387" s="41">
        <v>31444</v>
      </c>
      <c r="B387" s="21">
        <f>VLOOKUP(A387,'Database Rates'!$A$1:$D$1000,3,FALSE)</f>
        <v>7.86</v>
      </c>
    </row>
    <row r="388" spans="1:2" x14ac:dyDescent="0.2">
      <c r="A388" s="41">
        <v>31472</v>
      </c>
      <c r="B388" s="21">
        <f>VLOOKUP(A388,'Database Rates'!$A$1:$D$1000,3,FALSE)</f>
        <v>7.48</v>
      </c>
    </row>
    <row r="389" spans="1:2" x14ac:dyDescent="0.2">
      <c r="A389" s="41">
        <v>31503</v>
      </c>
      <c r="B389" s="21">
        <f>VLOOKUP(A389,'Database Rates'!$A$1:$D$1000,3,FALSE)</f>
        <v>6.99</v>
      </c>
    </row>
    <row r="390" spans="1:2" x14ac:dyDescent="0.2">
      <c r="A390" s="41">
        <v>31533</v>
      </c>
      <c r="B390" s="21">
        <f>VLOOKUP(A390,'Database Rates'!$A$1:$D$1000,3,FALSE)</f>
        <v>6.85</v>
      </c>
    </row>
    <row r="391" spans="1:2" x14ac:dyDescent="0.2">
      <c r="A391" s="41">
        <v>31564</v>
      </c>
      <c r="B391" s="21">
        <f>VLOOKUP(A391,'Database Rates'!$A$1:$D$1000,3,FALSE)</f>
        <v>6.92</v>
      </c>
    </row>
    <row r="392" spans="1:2" x14ac:dyDescent="0.2">
      <c r="A392" s="41">
        <v>31594</v>
      </c>
      <c r="B392" s="21">
        <f>VLOOKUP(A392,'Database Rates'!$A$1:$D$1000,3,FALSE)</f>
        <v>6.56</v>
      </c>
    </row>
    <row r="393" spans="1:2" x14ac:dyDescent="0.2">
      <c r="A393" s="41">
        <v>31625</v>
      </c>
      <c r="B393" s="21">
        <f>VLOOKUP(A393,'Database Rates'!$A$1:$D$1000,3,FALSE)</f>
        <v>6.17</v>
      </c>
    </row>
    <row r="394" spans="1:2" x14ac:dyDescent="0.2">
      <c r="A394" s="41">
        <v>31656</v>
      </c>
      <c r="B394" s="21">
        <f>VLOOKUP(A394,'Database Rates'!$A$1:$D$1000,3,FALSE)</f>
        <v>5.89</v>
      </c>
    </row>
    <row r="395" spans="1:2" x14ac:dyDescent="0.2">
      <c r="A395" s="41">
        <v>31686</v>
      </c>
      <c r="B395" s="21">
        <f>VLOOKUP(A395,'Database Rates'!$A$1:$D$1000,3,FALSE)</f>
        <v>5.85</v>
      </c>
    </row>
    <row r="396" spans="1:2" x14ac:dyDescent="0.2">
      <c r="A396" s="41">
        <v>31717</v>
      </c>
      <c r="B396" s="21">
        <f>VLOOKUP(A396,'Database Rates'!$A$1:$D$1000,3,FALSE)</f>
        <v>6.04</v>
      </c>
    </row>
    <row r="397" spans="1:2" x14ac:dyDescent="0.2">
      <c r="A397" s="41">
        <v>31747</v>
      </c>
      <c r="B397" s="21">
        <f>VLOOKUP(A397,'Database Rates'!$A$1:$D$1000,3,FALSE)</f>
        <v>6.91</v>
      </c>
    </row>
    <row r="398" spans="1:2" x14ac:dyDescent="0.2">
      <c r="A398" s="41">
        <v>31778</v>
      </c>
      <c r="B398" s="21">
        <f>VLOOKUP(A398,'Database Rates'!$A$1:$D$1000,3,FALSE)</f>
        <v>6.43</v>
      </c>
    </row>
    <row r="399" spans="1:2" x14ac:dyDescent="0.2">
      <c r="A399" s="41">
        <v>31809</v>
      </c>
      <c r="B399" s="21">
        <f>VLOOKUP(A399,'Database Rates'!$A$1:$D$1000,3,FALSE)</f>
        <v>6.1</v>
      </c>
    </row>
    <row r="400" spans="1:2" x14ac:dyDescent="0.2">
      <c r="A400" s="41">
        <v>31837</v>
      </c>
      <c r="B400" s="21">
        <f>VLOOKUP(A400,'Database Rates'!$A$1:$D$1000,3,FALSE)</f>
        <v>6.13</v>
      </c>
    </row>
    <row r="401" spans="1:2" x14ac:dyDescent="0.2">
      <c r="A401" s="41">
        <v>31868</v>
      </c>
      <c r="B401" s="21">
        <f>VLOOKUP(A401,'Database Rates'!$A$1:$D$1000,3,FALSE)</f>
        <v>6.37</v>
      </c>
    </row>
    <row r="402" spans="1:2" x14ac:dyDescent="0.2">
      <c r="A402" s="41">
        <v>31898</v>
      </c>
      <c r="B402" s="21">
        <f>VLOOKUP(A402,'Database Rates'!$A$1:$D$1000,3,FALSE)</f>
        <v>6.85</v>
      </c>
    </row>
    <row r="403" spans="1:2" x14ac:dyDescent="0.2">
      <c r="A403" s="41">
        <v>31929</v>
      </c>
      <c r="B403" s="21">
        <f>VLOOKUP(A403,'Database Rates'!$A$1:$D$1000,3,FALSE)</f>
        <v>6.73</v>
      </c>
    </row>
    <row r="404" spans="1:2" x14ac:dyDescent="0.2">
      <c r="A404" s="41">
        <v>31959</v>
      </c>
      <c r="B404" s="21">
        <f>VLOOKUP(A404,'Database Rates'!$A$1:$D$1000,3,FALSE)</f>
        <v>6.58</v>
      </c>
    </row>
    <row r="405" spans="1:2" x14ac:dyDescent="0.2">
      <c r="A405" s="41">
        <v>31990</v>
      </c>
      <c r="B405" s="21">
        <f>VLOOKUP(A405,'Database Rates'!$A$1:$D$1000,3,FALSE)</f>
        <v>6.73</v>
      </c>
    </row>
    <row r="406" spans="1:2" x14ac:dyDescent="0.2">
      <c r="A406" s="41">
        <v>32021</v>
      </c>
      <c r="B406" s="21">
        <f>VLOOKUP(A406,'Database Rates'!$A$1:$D$1000,3,FALSE)</f>
        <v>7.22</v>
      </c>
    </row>
    <row r="407" spans="1:2" x14ac:dyDescent="0.2">
      <c r="A407" s="41">
        <v>32051</v>
      </c>
      <c r="B407" s="21">
        <f>VLOOKUP(A407,'Database Rates'!$A$1:$D$1000,3,FALSE)</f>
        <v>7.29</v>
      </c>
    </row>
    <row r="408" spans="1:2" x14ac:dyDescent="0.2">
      <c r="A408" s="41">
        <v>32082</v>
      </c>
      <c r="B408" s="21">
        <f>VLOOKUP(A408,'Database Rates'!$A$1:$D$1000,3,FALSE)</f>
        <v>6.69</v>
      </c>
    </row>
    <row r="409" spans="1:2" x14ac:dyDescent="0.2">
      <c r="A409" s="41">
        <v>32112</v>
      </c>
      <c r="B409" s="21">
        <f>VLOOKUP(A409,'Database Rates'!$A$1:$D$1000,3,FALSE)</f>
        <v>6.77</v>
      </c>
    </row>
    <row r="410" spans="1:2" x14ac:dyDescent="0.2">
      <c r="A410" s="41">
        <v>32143</v>
      </c>
      <c r="B410" s="21">
        <f>VLOOKUP(A410,'Database Rates'!$A$1:$D$1000,3,FALSE)</f>
        <v>6.83</v>
      </c>
    </row>
    <row r="411" spans="1:2" x14ac:dyDescent="0.2">
      <c r="A411" s="41">
        <v>32174</v>
      </c>
      <c r="B411" s="21">
        <f>VLOOKUP(A411,'Database Rates'!$A$1:$D$1000,3,FALSE)</f>
        <v>6.58</v>
      </c>
    </row>
    <row r="412" spans="1:2" x14ac:dyDescent="0.2">
      <c r="A412" s="41">
        <v>32203</v>
      </c>
      <c r="B412" s="21">
        <f>VLOOKUP(A412,'Database Rates'!$A$1:$D$1000,3,FALSE)</f>
        <v>6.58</v>
      </c>
    </row>
    <row r="413" spans="1:2" x14ac:dyDescent="0.2">
      <c r="A413" s="41">
        <v>32234</v>
      </c>
      <c r="B413" s="21">
        <f>VLOOKUP(A413,'Database Rates'!$A$1:$D$1000,3,FALSE)</f>
        <v>6.87</v>
      </c>
    </row>
    <row r="414" spans="1:2" x14ac:dyDescent="0.2">
      <c r="A414" s="41">
        <v>32264</v>
      </c>
      <c r="B414" s="21">
        <f>VLOOKUP(A414,'Database Rates'!$A$1:$D$1000,3,FALSE)</f>
        <v>7.09</v>
      </c>
    </row>
    <row r="415" spans="1:2" x14ac:dyDescent="0.2">
      <c r="A415" s="41">
        <v>32295</v>
      </c>
      <c r="B415" s="21">
        <f>VLOOKUP(A415,'Database Rates'!$A$1:$D$1000,3,FALSE)</f>
        <v>7.51</v>
      </c>
    </row>
    <row r="416" spans="1:2" x14ac:dyDescent="0.2">
      <c r="A416" s="41">
        <v>32325</v>
      </c>
      <c r="B416" s="21">
        <f>VLOOKUP(A416,'Database Rates'!$A$1:$D$1000,3,FALSE)</f>
        <v>7.75</v>
      </c>
    </row>
    <row r="417" spans="1:2" x14ac:dyDescent="0.2">
      <c r="A417" s="41">
        <v>32356</v>
      </c>
      <c r="B417" s="21">
        <f>VLOOKUP(A417,'Database Rates'!$A$1:$D$1000,3,FALSE)</f>
        <v>8.01</v>
      </c>
    </row>
    <row r="418" spans="1:2" x14ac:dyDescent="0.2">
      <c r="A418" s="41">
        <v>32387</v>
      </c>
      <c r="B418" s="21">
        <f>VLOOKUP(A418,'Database Rates'!$A$1:$D$1000,3,FALSE)</f>
        <v>8.19</v>
      </c>
    </row>
    <row r="419" spans="1:2" x14ac:dyDescent="0.2">
      <c r="A419" s="41">
        <v>32417</v>
      </c>
      <c r="B419" s="21">
        <f>VLOOKUP(A419,'Database Rates'!$A$1:$D$1000,3,FALSE)</f>
        <v>8.3000000000000007</v>
      </c>
    </row>
    <row r="420" spans="1:2" x14ac:dyDescent="0.2">
      <c r="A420" s="41">
        <v>32448</v>
      </c>
      <c r="B420" s="21">
        <f>VLOOKUP(A420,'Database Rates'!$A$1:$D$1000,3,FALSE)</f>
        <v>8.35</v>
      </c>
    </row>
    <row r="421" spans="1:2" x14ac:dyDescent="0.2">
      <c r="A421" s="41">
        <v>32478</v>
      </c>
      <c r="B421" s="21">
        <f>VLOOKUP(A421,'Database Rates'!$A$1:$D$1000,3,FALSE)</f>
        <v>8.76</v>
      </c>
    </row>
    <row r="422" spans="1:2" x14ac:dyDescent="0.2">
      <c r="A422" s="41">
        <v>32509</v>
      </c>
      <c r="B422" s="21">
        <f>VLOOKUP(A422,'Database Rates'!$A$1:$D$1000,3,FALSE)</f>
        <v>9.1199999999999992</v>
      </c>
    </row>
    <row r="423" spans="1:2" x14ac:dyDescent="0.2">
      <c r="A423" s="41">
        <v>32540</v>
      </c>
      <c r="B423" s="21">
        <f>VLOOKUP(A423,'Database Rates'!$A$1:$D$1000,3,FALSE)</f>
        <v>9.36</v>
      </c>
    </row>
    <row r="424" spans="1:2" x14ac:dyDescent="0.2">
      <c r="A424" s="41">
        <v>32568</v>
      </c>
      <c r="B424" s="21">
        <f>VLOOKUP(A424,'Database Rates'!$A$1:$D$1000,3,FALSE)</f>
        <v>9.85</v>
      </c>
    </row>
    <row r="425" spans="1:2" x14ac:dyDescent="0.2">
      <c r="A425" s="41">
        <v>32599</v>
      </c>
      <c r="B425" s="21">
        <f>VLOOKUP(A425,'Database Rates'!$A$1:$D$1000,3,FALSE)</f>
        <v>9.84</v>
      </c>
    </row>
    <row r="426" spans="1:2" x14ac:dyDescent="0.2">
      <c r="A426" s="41">
        <v>32629</v>
      </c>
      <c r="B426" s="21">
        <f>VLOOKUP(A426,'Database Rates'!$A$1:$D$1000,3,FALSE)</f>
        <v>9.81</v>
      </c>
    </row>
    <row r="427" spans="1:2" x14ac:dyDescent="0.2">
      <c r="A427" s="41">
        <v>32660</v>
      </c>
      <c r="B427" s="21">
        <f>VLOOKUP(A427,'Database Rates'!$A$1:$D$1000,3,FALSE)</f>
        <v>9.5299999999999994</v>
      </c>
    </row>
    <row r="428" spans="1:2" x14ac:dyDescent="0.2">
      <c r="A428" s="41">
        <v>32690</v>
      </c>
      <c r="B428" s="21">
        <f>VLOOKUP(A428,'Database Rates'!$A$1:$D$1000,3,FALSE)</f>
        <v>9.24</v>
      </c>
    </row>
    <row r="429" spans="1:2" x14ac:dyDescent="0.2">
      <c r="A429" s="41">
        <v>32721</v>
      </c>
      <c r="B429" s="21">
        <f>VLOOKUP(A429,'Database Rates'!$A$1:$D$1000,3,FALSE)</f>
        <v>8.99</v>
      </c>
    </row>
    <row r="430" spans="1:2" x14ac:dyDescent="0.2">
      <c r="A430" s="41">
        <v>32752</v>
      </c>
      <c r="B430" s="21">
        <f>VLOOKUP(A430,'Database Rates'!$A$1:$D$1000,3,FALSE)</f>
        <v>9.02</v>
      </c>
    </row>
    <row r="431" spans="1:2" x14ac:dyDescent="0.2">
      <c r="A431" s="41">
        <v>32782</v>
      </c>
      <c r="B431" s="21">
        <f>VLOOKUP(A431,'Database Rates'!$A$1:$D$1000,3,FALSE)</f>
        <v>8.84</v>
      </c>
    </row>
    <row r="432" spans="1:2" x14ac:dyDescent="0.2">
      <c r="A432" s="41">
        <v>32813</v>
      </c>
      <c r="B432" s="21">
        <f>VLOOKUP(A432,'Database Rates'!$A$1:$D$1000,3,FALSE)</f>
        <v>8.5500000000000007</v>
      </c>
    </row>
    <row r="433" spans="1:2" x14ac:dyDescent="0.2">
      <c r="A433" s="41">
        <v>32843</v>
      </c>
      <c r="B433" s="21">
        <f>VLOOKUP(A433,'Database Rates'!$A$1:$D$1000,3,FALSE)</f>
        <v>8.4499999999999993</v>
      </c>
    </row>
    <row r="434" spans="1:2" x14ac:dyDescent="0.2">
      <c r="A434" s="41">
        <v>32874</v>
      </c>
      <c r="B434" s="21">
        <f>VLOOKUP(A434,'Database Rates'!$A$1:$D$1000,3,FALSE)</f>
        <v>8.23</v>
      </c>
    </row>
    <row r="435" spans="1:2" x14ac:dyDescent="0.2">
      <c r="A435" s="41">
        <v>32905</v>
      </c>
      <c r="B435" s="21">
        <f>VLOOKUP(A435,'Database Rates'!$A$1:$D$1000,3,FALSE)</f>
        <v>8.24</v>
      </c>
    </row>
    <row r="436" spans="1:2" x14ac:dyDescent="0.2">
      <c r="A436" s="41">
        <v>32933</v>
      </c>
      <c r="B436" s="21">
        <f>VLOOKUP(A436,'Database Rates'!$A$1:$D$1000,3,FALSE)</f>
        <v>8.2799999999999994</v>
      </c>
    </row>
    <row r="437" spans="1:2" x14ac:dyDescent="0.2">
      <c r="A437" s="41">
        <v>32964</v>
      </c>
      <c r="B437" s="21">
        <f>VLOOKUP(A437,'Database Rates'!$A$1:$D$1000,3,FALSE)</f>
        <v>8.26</v>
      </c>
    </row>
    <row r="438" spans="1:2" x14ac:dyDescent="0.2">
      <c r="A438" s="41">
        <v>32994</v>
      </c>
      <c r="B438" s="21">
        <f>VLOOKUP(A438,'Database Rates'!$A$1:$D$1000,3,FALSE)</f>
        <v>8.18</v>
      </c>
    </row>
    <row r="439" spans="1:2" x14ac:dyDescent="0.2">
      <c r="A439" s="41">
        <v>33025</v>
      </c>
      <c r="B439" s="21">
        <f>VLOOKUP(A439,'Database Rates'!$A$1:$D$1000,3,FALSE)</f>
        <v>8.2899999999999991</v>
      </c>
    </row>
    <row r="440" spans="1:2" x14ac:dyDescent="0.2">
      <c r="A440" s="41">
        <v>33055</v>
      </c>
      <c r="B440" s="21">
        <f>VLOOKUP(A440,'Database Rates'!$A$1:$D$1000,3,FALSE)</f>
        <v>8.15</v>
      </c>
    </row>
    <row r="441" spans="1:2" x14ac:dyDescent="0.2">
      <c r="A441" s="41">
        <v>33086</v>
      </c>
      <c r="B441" s="21">
        <f>VLOOKUP(A441,'Database Rates'!$A$1:$D$1000,3,FALSE)</f>
        <v>8.1300000000000008</v>
      </c>
    </row>
    <row r="442" spans="1:2" x14ac:dyDescent="0.2">
      <c r="A442" s="41">
        <v>33117</v>
      </c>
      <c r="B442" s="21">
        <f>VLOOKUP(A442,'Database Rates'!$A$1:$D$1000,3,FALSE)</f>
        <v>8.1999999999999993</v>
      </c>
    </row>
    <row r="443" spans="1:2" x14ac:dyDescent="0.2">
      <c r="A443" s="41">
        <v>33147</v>
      </c>
      <c r="B443" s="21">
        <f>VLOOKUP(A443,'Database Rates'!$A$1:$D$1000,3,FALSE)</f>
        <v>8.11</v>
      </c>
    </row>
    <row r="444" spans="1:2" x14ac:dyDescent="0.2">
      <c r="A444" s="41">
        <v>33178</v>
      </c>
      <c r="B444" s="21">
        <f>VLOOKUP(A444,'Database Rates'!$A$1:$D$1000,3,FALSE)</f>
        <v>7.81</v>
      </c>
    </row>
    <row r="445" spans="1:2" x14ac:dyDescent="0.2">
      <c r="A445" s="41">
        <v>33208</v>
      </c>
      <c r="B445" s="21">
        <f>VLOOKUP(A445,'Database Rates'!$A$1:$D$1000,3,FALSE)</f>
        <v>7.31</v>
      </c>
    </row>
    <row r="446" spans="1:2" x14ac:dyDescent="0.2">
      <c r="A446" s="41">
        <v>33239</v>
      </c>
      <c r="B446" s="21">
        <f>VLOOKUP(A446,'Database Rates'!$A$1:$D$1000,3,FALSE)</f>
        <v>6.91</v>
      </c>
    </row>
    <row r="447" spans="1:2" x14ac:dyDescent="0.2">
      <c r="A447" s="41">
        <v>33270</v>
      </c>
      <c r="B447" s="21">
        <f>VLOOKUP(A447,'Database Rates'!$A$1:$D$1000,3,FALSE)</f>
        <v>6.25</v>
      </c>
    </row>
    <row r="448" spans="1:2" x14ac:dyDescent="0.2">
      <c r="A448" s="41">
        <v>33298</v>
      </c>
      <c r="B448" s="21">
        <f>VLOOKUP(A448,'Database Rates'!$A$1:$D$1000,3,FALSE)</f>
        <v>6.12</v>
      </c>
    </row>
    <row r="449" spans="1:2" x14ac:dyDescent="0.2">
      <c r="A449" s="41">
        <v>33329</v>
      </c>
      <c r="B449" s="21">
        <f>VLOOKUP(A449,'Database Rates'!$A$1:$D$1000,3,FALSE)</f>
        <v>5.91</v>
      </c>
    </row>
    <row r="450" spans="1:2" x14ac:dyDescent="0.2">
      <c r="A450" s="41">
        <v>33359</v>
      </c>
      <c r="B450" s="21">
        <f>VLOOKUP(A450,'Database Rates'!$A$1:$D$1000,3,FALSE)</f>
        <v>5.78</v>
      </c>
    </row>
    <row r="451" spans="1:2" x14ac:dyDescent="0.2">
      <c r="A451" s="41">
        <v>33390</v>
      </c>
      <c r="B451" s="21">
        <f>VLOOKUP(A451,'Database Rates'!$A$1:$D$1000,3,FALSE)</f>
        <v>5.9</v>
      </c>
    </row>
    <row r="452" spans="1:2" x14ac:dyDescent="0.2">
      <c r="A452" s="41">
        <v>33420</v>
      </c>
      <c r="B452" s="21">
        <f>VLOOKUP(A452,'Database Rates'!$A$1:$D$1000,3,FALSE)</f>
        <v>5.82</v>
      </c>
    </row>
    <row r="453" spans="1:2" x14ac:dyDescent="0.2">
      <c r="A453" s="41">
        <v>33451</v>
      </c>
      <c r="B453" s="21">
        <f>VLOOKUP(A453,'Database Rates'!$A$1:$D$1000,3,FALSE)</f>
        <v>5.66</v>
      </c>
    </row>
    <row r="454" spans="1:2" x14ac:dyDescent="0.2">
      <c r="A454" s="41">
        <v>33482</v>
      </c>
      <c r="B454" s="21">
        <f>VLOOKUP(A454,'Database Rates'!$A$1:$D$1000,3,FALSE)</f>
        <v>5.45</v>
      </c>
    </row>
    <row r="455" spans="1:2" x14ac:dyDescent="0.2">
      <c r="A455" s="41">
        <v>33512</v>
      </c>
      <c r="B455" s="21">
        <f>VLOOKUP(A455,'Database Rates'!$A$1:$D$1000,3,FALSE)</f>
        <v>5.21</v>
      </c>
    </row>
    <row r="456" spans="1:2" x14ac:dyDescent="0.2">
      <c r="A456" s="41">
        <v>33543</v>
      </c>
      <c r="B456" s="21">
        <f>VLOOKUP(A456,'Database Rates'!$A$1:$D$1000,3,FALSE)</f>
        <v>4.8099999999999996</v>
      </c>
    </row>
    <row r="457" spans="1:2" x14ac:dyDescent="0.2">
      <c r="A457" s="41">
        <v>33573</v>
      </c>
      <c r="B457" s="21">
        <f>VLOOKUP(A457,'Database Rates'!$A$1:$D$1000,3,FALSE)</f>
        <v>4.43</v>
      </c>
    </row>
    <row r="458" spans="1:2" x14ac:dyDescent="0.2">
      <c r="A458" s="41">
        <v>33604</v>
      </c>
      <c r="B458" s="21">
        <f>VLOOKUP(A458,'Database Rates'!$A$1:$D$1000,3,FALSE)</f>
        <v>4.03</v>
      </c>
    </row>
    <row r="459" spans="1:2" x14ac:dyDescent="0.2">
      <c r="A459" s="41">
        <v>33635</v>
      </c>
      <c r="B459" s="21">
        <f>VLOOKUP(A459,'Database Rates'!$A$1:$D$1000,3,FALSE)</f>
        <v>4.0599999999999996</v>
      </c>
    </row>
    <row r="460" spans="1:2" x14ac:dyDescent="0.2">
      <c r="A460" s="41">
        <v>33664</v>
      </c>
      <c r="B460" s="21">
        <f>VLOOKUP(A460,'Database Rates'!$A$1:$D$1000,3,FALSE)</f>
        <v>3.98</v>
      </c>
    </row>
    <row r="461" spans="1:2" x14ac:dyDescent="0.2">
      <c r="A461" s="41">
        <v>33695</v>
      </c>
      <c r="B461" s="21">
        <f>VLOOKUP(A461,'Database Rates'!$A$1:$D$1000,3,FALSE)</f>
        <v>3.73</v>
      </c>
    </row>
    <row r="462" spans="1:2" x14ac:dyDescent="0.2">
      <c r="A462" s="41">
        <v>33725</v>
      </c>
      <c r="B462" s="21">
        <f>VLOOKUP(A462,'Database Rates'!$A$1:$D$1000,3,FALSE)</f>
        <v>3.82</v>
      </c>
    </row>
    <row r="463" spans="1:2" x14ac:dyDescent="0.2">
      <c r="A463" s="41">
        <v>33756</v>
      </c>
      <c r="B463" s="21">
        <f>VLOOKUP(A463,'Database Rates'!$A$1:$D$1000,3,FALSE)</f>
        <v>3.76</v>
      </c>
    </row>
    <row r="464" spans="1:2" x14ac:dyDescent="0.2">
      <c r="A464" s="41">
        <v>33786</v>
      </c>
      <c r="B464" s="21">
        <f>VLOOKUP(A464,'Database Rates'!$A$1:$D$1000,3,FALSE)</f>
        <v>3.25</v>
      </c>
    </row>
    <row r="465" spans="1:2" x14ac:dyDescent="0.2">
      <c r="A465" s="41">
        <v>33817</v>
      </c>
      <c r="B465" s="21">
        <f>VLOOKUP(A465,'Database Rates'!$A$1:$D$1000,3,FALSE)</f>
        <v>3.3</v>
      </c>
    </row>
    <row r="466" spans="1:2" x14ac:dyDescent="0.2">
      <c r="A466" s="41">
        <v>33848</v>
      </c>
      <c r="B466" s="21">
        <f>VLOOKUP(A466,'Database Rates'!$A$1:$D$1000,3,FALSE)</f>
        <v>3.22</v>
      </c>
    </row>
    <row r="467" spans="1:2" x14ac:dyDescent="0.2">
      <c r="A467" s="41">
        <v>33878</v>
      </c>
      <c r="B467" s="21">
        <f>VLOOKUP(A467,'Database Rates'!$A$1:$D$1000,3,FALSE)</f>
        <v>3.1</v>
      </c>
    </row>
    <row r="468" spans="1:2" x14ac:dyDescent="0.2">
      <c r="A468" s="41">
        <v>33909</v>
      </c>
      <c r="B468" s="21">
        <f>VLOOKUP(A468,'Database Rates'!$A$1:$D$1000,3,FALSE)</f>
        <v>3.09</v>
      </c>
    </row>
    <row r="469" spans="1:2" x14ac:dyDescent="0.2">
      <c r="A469" s="41">
        <v>33939</v>
      </c>
      <c r="B469" s="21">
        <f>VLOOKUP(A469,'Database Rates'!$A$1:$D$1000,3,FALSE)</f>
        <v>2.92</v>
      </c>
    </row>
    <row r="470" spans="1:2" x14ac:dyDescent="0.2">
      <c r="A470" s="41">
        <v>33970</v>
      </c>
      <c r="B470" s="21">
        <f>VLOOKUP(A470,'Database Rates'!$A$1:$D$1000,3,FALSE)</f>
        <v>3.02</v>
      </c>
    </row>
    <row r="471" spans="1:2" x14ac:dyDescent="0.2">
      <c r="A471" s="41">
        <v>34001</v>
      </c>
      <c r="B471" s="21">
        <f>VLOOKUP(A471,'Database Rates'!$A$1:$D$1000,3,FALSE)</f>
        <v>3.03</v>
      </c>
    </row>
    <row r="472" spans="1:2" x14ac:dyDescent="0.2">
      <c r="A472" s="41">
        <v>34029</v>
      </c>
      <c r="B472" s="21">
        <f>VLOOKUP(A472,'Database Rates'!$A$1:$D$1000,3,FALSE)</f>
        <v>3.07</v>
      </c>
    </row>
    <row r="473" spans="1:2" x14ac:dyDescent="0.2">
      <c r="A473" s="41">
        <v>34060</v>
      </c>
      <c r="B473" s="21">
        <f>VLOOKUP(A473,'Database Rates'!$A$1:$D$1000,3,FALSE)</f>
        <v>2.96</v>
      </c>
    </row>
    <row r="474" spans="1:2" x14ac:dyDescent="0.2">
      <c r="A474" s="41">
        <v>34090</v>
      </c>
      <c r="B474" s="21">
        <f>VLOOKUP(A474,'Database Rates'!$A$1:$D$1000,3,FALSE)</f>
        <v>3</v>
      </c>
    </row>
    <row r="475" spans="1:2" x14ac:dyDescent="0.2">
      <c r="A475" s="41">
        <v>34121</v>
      </c>
      <c r="B475" s="21">
        <f>VLOOKUP(A475,'Database Rates'!$A$1:$D$1000,3,FALSE)</f>
        <v>3.04</v>
      </c>
    </row>
    <row r="476" spans="1:2" x14ac:dyDescent="0.2">
      <c r="A476" s="41">
        <v>34151</v>
      </c>
      <c r="B476" s="21">
        <f>VLOOKUP(A476,'Database Rates'!$A$1:$D$1000,3,FALSE)</f>
        <v>3.06</v>
      </c>
    </row>
    <row r="477" spans="1:2" x14ac:dyDescent="0.2">
      <c r="A477" s="41">
        <v>34182</v>
      </c>
      <c r="B477" s="21">
        <f>VLOOKUP(A477,'Database Rates'!$A$1:$D$1000,3,FALSE)</f>
        <v>3.03</v>
      </c>
    </row>
    <row r="478" spans="1:2" x14ac:dyDescent="0.2">
      <c r="A478" s="41">
        <v>34213</v>
      </c>
      <c r="B478" s="21">
        <f>VLOOKUP(A478,'Database Rates'!$A$1:$D$1000,3,FALSE)</f>
        <v>3.09</v>
      </c>
    </row>
    <row r="479" spans="1:2" x14ac:dyDescent="0.2">
      <c r="A479" s="41">
        <v>34243</v>
      </c>
      <c r="B479" s="21">
        <f>VLOOKUP(A479,'Database Rates'!$A$1:$D$1000,3,FALSE)</f>
        <v>2.99</v>
      </c>
    </row>
    <row r="480" spans="1:2" x14ac:dyDescent="0.2">
      <c r="A480" s="41">
        <v>34274</v>
      </c>
      <c r="B480" s="21">
        <f>VLOOKUP(A480,'Database Rates'!$A$1:$D$1000,3,FALSE)</f>
        <v>3.02</v>
      </c>
    </row>
    <row r="481" spans="1:2" x14ac:dyDescent="0.2">
      <c r="A481" s="41">
        <v>34304</v>
      </c>
      <c r="B481" s="21">
        <f>VLOOKUP(A481,'Database Rates'!$A$1:$D$1000,3,FALSE)</f>
        <v>2.96</v>
      </c>
    </row>
    <row r="482" spans="1:2" x14ac:dyDescent="0.2">
      <c r="A482" s="41">
        <v>34335</v>
      </c>
      <c r="B482" s="21">
        <f>VLOOKUP(A482,'Database Rates'!$A$1:$D$1000,3,FALSE)</f>
        <v>3.05</v>
      </c>
    </row>
    <row r="483" spans="1:2" x14ac:dyDescent="0.2">
      <c r="A483" s="41">
        <v>34366</v>
      </c>
      <c r="B483" s="21">
        <f>VLOOKUP(A483,'Database Rates'!$A$1:$D$1000,3,FALSE)</f>
        <v>3.25</v>
      </c>
    </row>
    <row r="484" spans="1:2" x14ac:dyDescent="0.2">
      <c r="A484" s="41">
        <v>34394</v>
      </c>
      <c r="B484" s="21">
        <f>VLOOKUP(A484,'Database Rates'!$A$1:$D$1000,3,FALSE)</f>
        <v>3.34</v>
      </c>
    </row>
    <row r="485" spans="1:2" x14ac:dyDescent="0.2">
      <c r="A485" s="41">
        <v>34425</v>
      </c>
      <c r="B485" s="21">
        <f>VLOOKUP(A485,'Database Rates'!$A$1:$D$1000,3,FALSE)</f>
        <v>3.56</v>
      </c>
    </row>
    <row r="486" spans="1:2" x14ac:dyDescent="0.2">
      <c r="A486" s="41">
        <v>34455</v>
      </c>
      <c r="B486" s="21">
        <f>VLOOKUP(A486,'Database Rates'!$A$1:$D$1000,3,FALSE)</f>
        <v>4.01</v>
      </c>
    </row>
    <row r="487" spans="1:2" x14ac:dyDescent="0.2">
      <c r="A487" s="41">
        <v>34486</v>
      </c>
      <c r="B487" s="21">
        <f>VLOOKUP(A487,'Database Rates'!$A$1:$D$1000,3,FALSE)</f>
        <v>4.25</v>
      </c>
    </row>
    <row r="488" spans="1:2" x14ac:dyDescent="0.2">
      <c r="A488" s="41">
        <v>34516</v>
      </c>
      <c r="B488" s="21">
        <f>VLOOKUP(A488,'Database Rates'!$A$1:$D$1000,3,FALSE)</f>
        <v>4.26</v>
      </c>
    </row>
    <row r="489" spans="1:2" x14ac:dyDescent="0.2">
      <c r="A489" s="41">
        <v>34547</v>
      </c>
      <c r="B489" s="21">
        <f>VLOOKUP(A489,'Database Rates'!$A$1:$D$1000,3,FALSE)</f>
        <v>4.47</v>
      </c>
    </row>
    <row r="490" spans="1:2" x14ac:dyDescent="0.2">
      <c r="A490" s="41">
        <v>34578</v>
      </c>
      <c r="B490" s="21">
        <f>VLOOKUP(A490,'Database Rates'!$A$1:$D$1000,3,FALSE)</f>
        <v>4.7300000000000004</v>
      </c>
    </row>
    <row r="491" spans="1:2" x14ac:dyDescent="0.2">
      <c r="A491" s="41">
        <v>34608</v>
      </c>
      <c r="B491" s="21">
        <f>VLOOKUP(A491,'Database Rates'!$A$1:$D$1000,3,FALSE)</f>
        <v>4.76</v>
      </c>
    </row>
    <row r="492" spans="1:2" x14ac:dyDescent="0.2">
      <c r="A492" s="41">
        <v>34639</v>
      </c>
      <c r="B492" s="21">
        <f>VLOOKUP(A492,'Database Rates'!$A$1:$D$1000,3,FALSE)</f>
        <v>5.29</v>
      </c>
    </row>
    <row r="493" spans="1:2" x14ac:dyDescent="0.2">
      <c r="A493" s="41">
        <v>34669</v>
      </c>
      <c r="B493" s="21">
        <f>VLOOKUP(A493,'Database Rates'!$A$1:$D$1000,3,FALSE)</f>
        <v>5.45</v>
      </c>
    </row>
    <row r="494" spans="1:2" x14ac:dyDescent="0.2">
      <c r="A494" s="41">
        <v>34700</v>
      </c>
      <c r="B494" s="21">
        <f>VLOOKUP(A494,'Database Rates'!$A$1:$D$1000,3,FALSE)</f>
        <v>5.53</v>
      </c>
    </row>
    <row r="495" spans="1:2" x14ac:dyDescent="0.2">
      <c r="A495" s="41">
        <v>34731</v>
      </c>
      <c r="B495" s="21">
        <f>VLOOKUP(A495,'Database Rates'!$A$1:$D$1000,3,FALSE)</f>
        <v>5.92</v>
      </c>
    </row>
    <row r="496" spans="1:2" x14ac:dyDescent="0.2">
      <c r="A496" s="41">
        <v>34759</v>
      </c>
      <c r="B496" s="21">
        <f>VLOOKUP(A496,'Database Rates'!$A$1:$D$1000,3,FALSE)</f>
        <v>5.98</v>
      </c>
    </row>
    <row r="497" spans="1:2" x14ac:dyDescent="0.2">
      <c r="A497" s="41">
        <v>34790</v>
      </c>
      <c r="B497" s="21">
        <f>VLOOKUP(A497,'Database Rates'!$A$1:$D$1000,3,FALSE)</f>
        <v>6.05</v>
      </c>
    </row>
    <row r="498" spans="1:2" x14ac:dyDescent="0.2">
      <c r="A498" s="41">
        <v>34820</v>
      </c>
      <c r="B498" s="21">
        <f>VLOOKUP(A498,'Database Rates'!$A$1:$D$1000,3,FALSE)</f>
        <v>6.01</v>
      </c>
    </row>
    <row r="499" spans="1:2" x14ac:dyDescent="0.2">
      <c r="A499" s="41">
        <v>34851</v>
      </c>
      <c r="B499" s="21">
        <f>VLOOKUP(A499,'Database Rates'!$A$1:$D$1000,3,FALSE)</f>
        <v>6</v>
      </c>
    </row>
    <row r="500" spans="1:2" x14ac:dyDescent="0.2">
      <c r="A500" s="41">
        <v>34881</v>
      </c>
      <c r="B500" s="21">
        <f>VLOOKUP(A500,'Database Rates'!$A$1:$D$1000,3,FALSE)</f>
        <v>5.85</v>
      </c>
    </row>
    <row r="501" spans="1:2" x14ac:dyDescent="0.2">
      <c r="A501" s="41">
        <v>34912</v>
      </c>
      <c r="B501" s="21">
        <f>VLOOKUP(A501,'Database Rates'!$A$1:$D$1000,3,FALSE)</f>
        <v>5.74</v>
      </c>
    </row>
    <row r="502" spans="1:2" x14ac:dyDescent="0.2">
      <c r="A502" s="41">
        <v>34943</v>
      </c>
      <c r="B502" s="21">
        <f>VLOOKUP(A502,'Database Rates'!$A$1:$D$1000,3,FALSE)</f>
        <v>5.8</v>
      </c>
    </row>
    <row r="503" spans="1:2" x14ac:dyDescent="0.2">
      <c r="A503" s="41">
        <v>34973</v>
      </c>
      <c r="B503" s="21">
        <f>VLOOKUP(A503,'Database Rates'!$A$1:$D$1000,3,FALSE)</f>
        <v>5.76</v>
      </c>
    </row>
    <row r="504" spans="1:2" x14ac:dyDescent="0.2">
      <c r="A504" s="41">
        <v>35004</v>
      </c>
      <c r="B504" s="21">
        <f>VLOOKUP(A504,'Database Rates'!$A$1:$D$1000,3,FALSE)</f>
        <v>5.8</v>
      </c>
    </row>
    <row r="505" spans="1:2" x14ac:dyDescent="0.2">
      <c r="A505" s="41">
        <v>35034</v>
      </c>
      <c r="B505" s="21">
        <f>VLOOKUP(A505,'Database Rates'!$A$1:$D$1000,3,FALSE)</f>
        <v>5.6</v>
      </c>
    </row>
    <row r="506" spans="1:2" x14ac:dyDescent="0.2">
      <c r="A506" s="41">
        <v>35065</v>
      </c>
      <c r="B506" s="21">
        <f>VLOOKUP(A506,'Database Rates'!$A$1:$D$1000,3,FALSE)</f>
        <v>5.56</v>
      </c>
    </row>
    <row r="507" spans="1:2" x14ac:dyDescent="0.2">
      <c r="A507" s="41">
        <v>35096</v>
      </c>
      <c r="B507" s="21">
        <f>VLOOKUP(A507,'Database Rates'!$A$1:$D$1000,3,FALSE)</f>
        <v>5.22</v>
      </c>
    </row>
    <row r="508" spans="1:2" x14ac:dyDescent="0.2">
      <c r="A508" s="41">
        <v>35125</v>
      </c>
      <c r="B508" s="21">
        <f>VLOOKUP(A508,'Database Rates'!$A$1:$D$1000,3,FALSE)</f>
        <v>5.31</v>
      </c>
    </row>
    <row r="509" spans="1:2" x14ac:dyDescent="0.2">
      <c r="A509" s="41">
        <v>35156</v>
      </c>
      <c r="B509" s="21">
        <f>VLOOKUP(A509,'Database Rates'!$A$1:$D$1000,3,FALSE)</f>
        <v>5.22</v>
      </c>
    </row>
    <row r="510" spans="1:2" x14ac:dyDescent="0.2">
      <c r="A510" s="41">
        <v>35186</v>
      </c>
      <c r="B510" s="21">
        <f>VLOOKUP(A510,'Database Rates'!$A$1:$D$1000,3,FALSE)</f>
        <v>5.24</v>
      </c>
    </row>
    <row r="511" spans="1:2" x14ac:dyDescent="0.2">
      <c r="A511" s="41">
        <v>35217</v>
      </c>
      <c r="B511" s="21">
        <f>VLOOKUP(A511,'Database Rates'!$A$1:$D$1000,3,FALSE)</f>
        <v>5.27</v>
      </c>
    </row>
    <row r="512" spans="1:2" x14ac:dyDescent="0.2">
      <c r="A512" s="41">
        <v>35247</v>
      </c>
      <c r="B512" s="21">
        <f>VLOOKUP(A512,'Database Rates'!$A$1:$D$1000,3,FALSE)</f>
        <v>5.4</v>
      </c>
    </row>
    <row r="513" spans="1:2" x14ac:dyDescent="0.2">
      <c r="A513" s="41">
        <v>35278</v>
      </c>
      <c r="B513" s="21">
        <f>VLOOKUP(A513,'Database Rates'!$A$1:$D$1000,3,FALSE)</f>
        <v>5.22</v>
      </c>
    </row>
    <row r="514" spans="1:2" x14ac:dyDescent="0.2">
      <c r="A514" s="41">
        <v>35309</v>
      </c>
      <c r="B514" s="21">
        <f>VLOOKUP(A514,'Database Rates'!$A$1:$D$1000,3,FALSE)</f>
        <v>5.3</v>
      </c>
    </row>
    <row r="515" spans="1:2" x14ac:dyDescent="0.2">
      <c r="A515" s="41">
        <v>35339</v>
      </c>
      <c r="B515" s="21">
        <f>VLOOKUP(A515,'Database Rates'!$A$1:$D$1000,3,FALSE)</f>
        <v>5.24</v>
      </c>
    </row>
    <row r="516" spans="1:2" x14ac:dyDescent="0.2">
      <c r="A516" s="41">
        <v>35370</v>
      </c>
      <c r="B516" s="21">
        <f>VLOOKUP(A516,'Database Rates'!$A$1:$D$1000,3,FALSE)</f>
        <v>5.31</v>
      </c>
    </row>
    <row r="517" spans="1:2" x14ac:dyDescent="0.2">
      <c r="A517" s="41">
        <v>35400</v>
      </c>
      <c r="B517" s="21">
        <f>VLOOKUP(A517,'Database Rates'!$A$1:$D$1000,3,FALSE)</f>
        <v>5.29</v>
      </c>
    </row>
    <row r="518" spans="1:2" x14ac:dyDescent="0.2">
      <c r="A518" s="41">
        <v>35431</v>
      </c>
      <c r="B518" s="21">
        <f>VLOOKUP(A518,'Database Rates'!$A$1:$D$1000,3,FALSE)</f>
        <v>5.25</v>
      </c>
    </row>
    <row r="519" spans="1:2" x14ac:dyDescent="0.2">
      <c r="A519" s="41">
        <v>35462</v>
      </c>
      <c r="B519" s="21">
        <f>VLOOKUP(A519,'Database Rates'!$A$1:$D$1000,3,FALSE)</f>
        <v>5.19</v>
      </c>
    </row>
    <row r="520" spans="1:2" x14ac:dyDescent="0.2">
      <c r="A520" s="41">
        <v>35490</v>
      </c>
      <c r="B520" s="21">
        <f>VLOOKUP(A520,'Database Rates'!$A$1:$D$1000,3,FALSE)</f>
        <v>5.39</v>
      </c>
    </row>
    <row r="521" spans="1:2" x14ac:dyDescent="0.2">
      <c r="A521" s="41">
        <v>35521</v>
      </c>
      <c r="B521" s="21">
        <f>VLOOKUP(A521,'Database Rates'!$A$1:$D$1000,3,FALSE)</f>
        <v>5.51</v>
      </c>
    </row>
    <row r="522" spans="1:2" x14ac:dyDescent="0.2">
      <c r="A522" s="41">
        <v>35551</v>
      </c>
      <c r="B522" s="21">
        <f>VLOOKUP(A522,'Database Rates'!$A$1:$D$1000,3,FALSE)</f>
        <v>5.5</v>
      </c>
    </row>
    <row r="523" spans="1:2" x14ac:dyDescent="0.2">
      <c r="A523" s="41">
        <v>35582</v>
      </c>
      <c r="B523" s="21">
        <f>VLOOKUP(A523,'Database Rates'!$A$1:$D$1000,3,FALSE)</f>
        <v>5.56</v>
      </c>
    </row>
    <row r="524" spans="1:2" x14ac:dyDescent="0.2">
      <c r="A524" s="41">
        <v>35612</v>
      </c>
      <c r="B524" s="21">
        <f>VLOOKUP(A524,'Database Rates'!$A$1:$D$1000,3,FALSE)</f>
        <v>5.52</v>
      </c>
    </row>
    <row r="525" spans="1:2" x14ac:dyDescent="0.2">
      <c r="A525" s="41">
        <v>35643</v>
      </c>
      <c r="B525" s="21">
        <f>VLOOKUP(A525,'Database Rates'!$A$1:$D$1000,3,FALSE)</f>
        <v>5.54</v>
      </c>
    </row>
    <row r="526" spans="1:2" x14ac:dyDescent="0.2">
      <c r="A526" s="41">
        <v>35674</v>
      </c>
      <c r="B526" s="21">
        <f>VLOOKUP(A526,'Database Rates'!$A$1:$D$1000,3,FALSE)</f>
        <v>5.54</v>
      </c>
    </row>
    <row r="527" spans="1:2" x14ac:dyDescent="0.2">
      <c r="A527" s="41">
        <v>35704</v>
      </c>
      <c r="B527" s="21">
        <f>VLOOKUP(A527,'Database Rates'!$A$1:$D$1000,3,FALSE)</f>
        <v>5.5</v>
      </c>
    </row>
    <row r="528" spans="1:2" x14ac:dyDescent="0.2">
      <c r="A528" s="41">
        <v>35735</v>
      </c>
      <c r="B528" s="21">
        <f>VLOOKUP(A528,'Database Rates'!$A$1:$D$1000,3,FALSE)</f>
        <v>5.52</v>
      </c>
    </row>
    <row r="529" spans="1:2" x14ac:dyDescent="0.2">
      <c r="A529" s="41">
        <v>35765</v>
      </c>
      <c r="B529" s="21">
        <f>VLOOKUP(A529,'Database Rates'!$A$1:$D$1000,3,FALSE)</f>
        <v>5.5</v>
      </c>
    </row>
    <row r="530" spans="1:2" x14ac:dyDescent="0.2">
      <c r="A530" s="41">
        <v>35796</v>
      </c>
      <c r="B530" s="21">
        <f>VLOOKUP(A530,'Database Rates'!$A$1:$D$1000,3,FALSE)</f>
        <v>5.56</v>
      </c>
    </row>
    <row r="531" spans="1:2" x14ac:dyDescent="0.2">
      <c r="A531" s="41">
        <v>35827</v>
      </c>
      <c r="B531" s="21">
        <f>VLOOKUP(A531,'Database Rates'!$A$1:$D$1000,3,FALSE)</f>
        <v>5.51</v>
      </c>
    </row>
    <row r="532" spans="1:2" x14ac:dyDescent="0.2">
      <c r="A532" s="41">
        <v>35855</v>
      </c>
      <c r="B532" s="21">
        <f>VLOOKUP(A532,'Database Rates'!$A$1:$D$1000,3,FALSE)</f>
        <v>5.49</v>
      </c>
    </row>
    <row r="533" spans="1:2" x14ac:dyDescent="0.2">
      <c r="A533" s="41">
        <v>35886</v>
      </c>
      <c r="B533" s="21">
        <f>VLOOKUP(A533,'Database Rates'!$A$1:$D$1000,3,FALSE)</f>
        <v>5.45</v>
      </c>
    </row>
    <row r="534" spans="1:2" x14ac:dyDescent="0.2">
      <c r="A534" s="41">
        <v>35916</v>
      </c>
      <c r="B534" s="21">
        <f>VLOOKUP(A534,'Database Rates'!$A$1:$D$1000,3,FALSE)</f>
        <v>5.49</v>
      </c>
    </row>
    <row r="535" spans="1:2" x14ac:dyDescent="0.2">
      <c r="A535" s="41">
        <v>35947</v>
      </c>
      <c r="B535" s="21">
        <f>VLOOKUP(A535,'Database Rates'!$A$1:$D$1000,3,FALSE)</f>
        <v>5.56</v>
      </c>
    </row>
    <row r="536" spans="1:2" x14ac:dyDescent="0.2">
      <c r="A536" s="41">
        <v>35977</v>
      </c>
      <c r="B536" s="21">
        <f>VLOOKUP(A536,'Database Rates'!$A$1:$D$1000,3,FALSE)</f>
        <v>5.54</v>
      </c>
    </row>
    <row r="537" spans="1:2" x14ac:dyDescent="0.2">
      <c r="A537" s="41">
        <v>36008</v>
      </c>
      <c r="B537" s="21">
        <f>VLOOKUP(A537,'Database Rates'!$A$1:$D$1000,3,FALSE)</f>
        <v>5.55</v>
      </c>
    </row>
    <row r="538" spans="1:2" x14ac:dyDescent="0.2">
      <c r="A538" s="41">
        <v>36039</v>
      </c>
      <c r="B538" s="21">
        <f>VLOOKUP(A538,'Database Rates'!$A$1:$D$1000,3,FALSE)</f>
        <v>5.51</v>
      </c>
    </row>
    <row r="539" spans="1:2" x14ac:dyDescent="0.2">
      <c r="A539" s="41">
        <v>36069</v>
      </c>
      <c r="B539" s="21">
        <f>VLOOKUP(A539,'Database Rates'!$A$1:$D$1000,3,FALSE)</f>
        <v>5.07</v>
      </c>
    </row>
    <row r="540" spans="1:2" x14ac:dyDescent="0.2">
      <c r="A540" s="41">
        <v>36100</v>
      </c>
      <c r="B540" s="21">
        <f>VLOOKUP(A540,'Database Rates'!$A$1:$D$1000,3,FALSE)</f>
        <v>4.83</v>
      </c>
    </row>
    <row r="541" spans="1:2" x14ac:dyDescent="0.2">
      <c r="A541" s="41">
        <v>36130</v>
      </c>
      <c r="B541" s="21">
        <f>VLOOKUP(A541,'Database Rates'!$A$1:$D$1000,3,FALSE)</f>
        <v>4.68</v>
      </c>
    </row>
    <row r="542" spans="1:2" x14ac:dyDescent="0.2">
      <c r="A542" s="41">
        <v>36161</v>
      </c>
      <c r="B542" s="21">
        <f>VLOOKUP(A542,'Database Rates'!$A$1:$D$1000,3,FALSE)</f>
        <v>4.63</v>
      </c>
    </row>
    <row r="543" spans="1:2" x14ac:dyDescent="0.2">
      <c r="A543" s="41">
        <v>36192</v>
      </c>
      <c r="B543" s="21">
        <f>VLOOKUP(A543,'Database Rates'!$A$1:$D$1000,3,FALSE)</f>
        <v>4.76</v>
      </c>
    </row>
    <row r="544" spans="1:2" x14ac:dyDescent="0.2">
      <c r="A544" s="41">
        <v>36220</v>
      </c>
      <c r="B544" s="21">
        <f>VLOOKUP(A544,'Database Rates'!$A$1:$D$1000,3,FALSE)</f>
        <v>4.8099999999999996</v>
      </c>
    </row>
    <row r="545" spans="1:2" x14ac:dyDescent="0.2">
      <c r="A545" s="41">
        <v>36251</v>
      </c>
      <c r="B545" s="21">
        <f>VLOOKUP(A545,'Database Rates'!$A$1:$D$1000,3,FALSE)</f>
        <v>4.74</v>
      </c>
    </row>
    <row r="546" spans="1:2" x14ac:dyDescent="0.2">
      <c r="A546" s="41">
        <v>36281</v>
      </c>
      <c r="B546" s="21">
        <f>VLOOKUP(A546,'Database Rates'!$A$1:$D$1000,3,FALSE)</f>
        <v>4.74</v>
      </c>
    </row>
    <row r="547" spans="1:2" x14ac:dyDescent="0.2">
      <c r="A547" s="41">
        <v>36312</v>
      </c>
      <c r="B547" s="21">
        <f>VLOOKUP(A547,'Database Rates'!$A$1:$D$1000,3,FALSE)</f>
        <v>4.76</v>
      </c>
    </row>
    <row r="548" spans="1:2" x14ac:dyDescent="0.2">
      <c r="A548" s="41">
        <v>36342</v>
      </c>
      <c r="B548" s="21">
        <f>VLOOKUP(A548,'Database Rates'!$A$1:$D$1000,3,FALSE)</f>
        <v>4.99</v>
      </c>
    </row>
    <row r="549" spans="1:2" x14ac:dyDescent="0.2">
      <c r="A549" s="41">
        <v>36373</v>
      </c>
      <c r="B549" s="21">
        <f>VLOOKUP(A549,'Database Rates'!$A$1:$D$1000,3,FALSE)</f>
        <v>5.07</v>
      </c>
    </row>
    <row r="550" spans="1:2" x14ac:dyDescent="0.2">
      <c r="A550" s="41">
        <v>36404</v>
      </c>
      <c r="B550" s="21">
        <f>VLOOKUP(A550,'Database Rates'!$A$1:$D$1000,3,FALSE)</f>
        <v>5.22</v>
      </c>
    </row>
    <row r="551" spans="1:2" x14ac:dyDescent="0.2">
      <c r="A551" s="41">
        <v>36434</v>
      </c>
      <c r="B551" s="21">
        <f>VLOOKUP(A551,'Database Rates'!$A$1:$D$1000,3,FALSE)</f>
        <v>5.2</v>
      </c>
    </row>
    <row r="552" spans="1:2" x14ac:dyDescent="0.2">
      <c r="A552" s="41">
        <v>36465</v>
      </c>
      <c r="B552" s="21">
        <f>VLOOKUP(A552,'Database Rates'!$A$1:$D$1000,3,FALSE)</f>
        <v>5.42</v>
      </c>
    </row>
    <row r="553" spans="1:2" x14ac:dyDescent="0.2">
      <c r="A553" s="41">
        <v>36495</v>
      </c>
      <c r="B553" s="21">
        <f>VLOOKUP(A553,'Database Rates'!$A$1:$D$1000,3,FALSE)</f>
        <v>5.3</v>
      </c>
    </row>
    <row r="554" spans="1:2" x14ac:dyDescent="0.2">
      <c r="A554" s="41">
        <v>36526</v>
      </c>
      <c r="B554" s="21">
        <f>VLOOKUP(A554,'Database Rates'!$A$1:$D$1000,3,FALSE)</f>
        <v>5.45</v>
      </c>
    </row>
    <row r="555" spans="1:2" x14ac:dyDescent="0.2">
      <c r="A555" s="41">
        <v>36557</v>
      </c>
      <c r="B555" s="21">
        <f>VLOOKUP(A555,'Database Rates'!$A$1:$D$1000,3,FALSE)</f>
        <v>5.73</v>
      </c>
    </row>
    <row r="556" spans="1:2" x14ac:dyDescent="0.2">
      <c r="A556" s="41">
        <v>36586</v>
      </c>
      <c r="B556" s="21">
        <f>VLOOKUP(A556,'Database Rates'!$A$1:$D$1000,3,FALSE)</f>
        <v>5.85</v>
      </c>
    </row>
    <row r="557" spans="1:2" x14ac:dyDescent="0.2">
      <c r="A557" s="41">
        <v>36617</v>
      </c>
      <c r="B557" s="21">
        <f>VLOOKUP(A557,'Database Rates'!$A$1:$D$1000,3,FALSE)</f>
        <v>6.02</v>
      </c>
    </row>
    <row r="558" spans="1:2" x14ac:dyDescent="0.2">
      <c r="A558" s="41">
        <v>36647</v>
      </c>
      <c r="B558" s="21">
        <f>VLOOKUP(A558,'Database Rates'!$A$1:$D$1000,3,FALSE)</f>
        <v>6.27</v>
      </c>
    </row>
    <row r="559" spans="1:2" x14ac:dyDescent="0.2">
      <c r="A559" s="41">
        <v>36678</v>
      </c>
      <c r="B559" s="21">
        <f>VLOOKUP(A559,'Database Rates'!$A$1:$D$1000,3,FALSE)</f>
        <v>6.53</v>
      </c>
    </row>
    <row r="560" spans="1:2" x14ac:dyDescent="0.2">
      <c r="A560" s="41">
        <v>36708</v>
      </c>
      <c r="B560" s="21">
        <f>VLOOKUP(A560,'Database Rates'!$A$1:$D$1000,3,FALSE)</f>
        <v>6.54</v>
      </c>
    </row>
    <row r="561" spans="1:2" x14ac:dyDescent="0.2">
      <c r="A561" s="41">
        <v>36739</v>
      </c>
      <c r="B561" s="21">
        <f>VLOOKUP(A561,'Database Rates'!$A$1:$D$1000,3,FALSE)</f>
        <v>6.5</v>
      </c>
    </row>
    <row r="562" spans="1:2" x14ac:dyDescent="0.2">
      <c r="A562" s="41">
        <v>36770</v>
      </c>
      <c r="B562" s="21">
        <f>VLOOKUP(A562,'Database Rates'!$A$1:$D$1000,3,FALSE)</f>
        <v>6.52</v>
      </c>
    </row>
    <row r="563" spans="1:2" x14ac:dyDescent="0.2">
      <c r="A563" s="41">
        <v>36800</v>
      </c>
      <c r="B563" s="21">
        <f>VLOOKUP(A563,'Database Rates'!$A$1:$D$1000,3,FALSE)</f>
        <v>6.51</v>
      </c>
    </row>
    <row r="564" spans="1:2" x14ac:dyDescent="0.2">
      <c r="A564" s="41">
        <v>36831</v>
      </c>
      <c r="B564" s="21">
        <f>VLOOKUP(A564,'Database Rates'!$A$1:$D$1000,3,FALSE)</f>
        <v>6.51</v>
      </c>
    </row>
    <row r="565" spans="1:2" x14ac:dyDescent="0.2">
      <c r="A565" s="41">
        <v>36861</v>
      </c>
      <c r="B565" s="21">
        <f>VLOOKUP(A565,'Database Rates'!$A$1:$D$1000,3,FALSE)</f>
        <v>6.4</v>
      </c>
    </row>
    <row r="566" spans="1:2" x14ac:dyDescent="0.2">
      <c r="A566" s="41">
        <v>36892</v>
      </c>
      <c r="B566" s="21">
        <f>VLOOKUP(A566,'Database Rates'!$A$1:$D$1000,3,FALSE)</f>
        <v>5.98</v>
      </c>
    </row>
    <row r="567" spans="1:2" x14ac:dyDescent="0.2">
      <c r="A567" s="41">
        <v>36923</v>
      </c>
      <c r="B567" s="21">
        <f>VLOOKUP(A567,'Database Rates'!$A$1:$D$1000,3,FALSE)</f>
        <v>5.49</v>
      </c>
    </row>
    <row r="568" spans="1:2" x14ac:dyDescent="0.2">
      <c r="A568" s="41">
        <v>36951</v>
      </c>
      <c r="B568" s="21">
        <f>VLOOKUP(A568,'Database Rates'!$A$1:$D$1000,3,FALSE)</f>
        <v>5.31</v>
      </c>
    </row>
    <row r="569" spans="1:2" x14ac:dyDescent="0.2">
      <c r="A569" s="41">
        <v>36982</v>
      </c>
      <c r="B569" s="21">
        <f>VLOOKUP(A569,'Database Rates'!$A$1:$D$1000,3,FALSE)</f>
        <v>4.8</v>
      </c>
    </row>
    <row r="570" spans="1:2" x14ac:dyDescent="0.2">
      <c r="A570" s="41">
        <v>37012</v>
      </c>
      <c r="B570" s="21">
        <f>VLOOKUP(A570,'Database Rates'!$A$1:$D$1000,3,FALSE)</f>
        <v>4.21</v>
      </c>
    </row>
    <row r="571" spans="1:2" x14ac:dyDescent="0.2">
      <c r="A571" s="41">
        <v>37043</v>
      </c>
      <c r="B571" s="21">
        <f>VLOOKUP(A571,'Database Rates'!$A$1:$D$1000,3,FALSE)</f>
        <v>3.97</v>
      </c>
    </row>
    <row r="572" spans="1:2" x14ac:dyDescent="0.2">
      <c r="A572" s="41">
        <v>37073</v>
      </c>
      <c r="B572" s="21">
        <f>VLOOKUP(A572,'Database Rates'!$A$1:$D$1000,3,FALSE)</f>
        <v>3.77</v>
      </c>
    </row>
    <row r="573" spans="1:2" x14ac:dyDescent="0.2">
      <c r="A573" s="41">
        <v>37104</v>
      </c>
      <c r="B573" s="21">
        <f>VLOOKUP(A573,'Database Rates'!$A$1:$D$1000,3,FALSE)</f>
        <v>3.65</v>
      </c>
    </row>
    <row r="574" spans="1:2" x14ac:dyDescent="0.2">
      <c r="A574" s="41">
        <v>37135</v>
      </c>
      <c r="B574" s="21">
        <f>VLOOKUP(A574,'Database Rates'!$A$1:$D$1000,3,FALSE)</f>
        <v>3.07</v>
      </c>
    </row>
    <row r="575" spans="1:2" x14ac:dyDescent="0.2">
      <c r="A575" s="41">
        <v>37165</v>
      </c>
      <c r="B575" s="21">
        <f>VLOOKUP(A575,'Database Rates'!$A$1:$D$1000,3,FALSE)</f>
        <v>2.4900000000000002</v>
      </c>
    </row>
    <row r="576" spans="1:2" x14ac:dyDescent="0.2">
      <c r="A576" s="41">
        <v>37196</v>
      </c>
      <c r="B576" s="21">
        <f>VLOOKUP(A576,'Database Rates'!$A$1:$D$1000,3,FALSE)</f>
        <v>2.09</v>
      </c>
    </row>
    <row r="577" spans="1:2" x14ac:dyDescent="0.2">
      <c r="A577" s="41">
        <v>37226</v>
      </c>
      <c r="B577" s="21">
        <f>VLOOKUP(A577,'Database Rates'!$A$1:$D$1000,3,FALSE)</f>
        <v>1.82</v>
      </c>
    </row>
    <row r="578" spans="1:2" x14ac:dyDescent="0.2">
      <c r="A578" s="41">
        <v>37257</v>
      </c>
      <c r="B578" s="21">
        <f>VLOOKUP(A578,'Database Rates'!$A$1:$D$1000,3,FALSE)</f>
        <v>1.73</v>
      </c>
    </row>
    <row r="579" spans="1:2" x14ac:dyDescent="0.2">
      <c r="A579" s="41">
        <v>37288</v>
      </c>
      <c r="B579" s="21">
        <f>VLOOKUP(A579,'Database Rates'!$A$1:$D$1000,3,FALSE)</f>
        <v>1.74</v>
      </c>
    </row>
    <row r="580" spans="1:2" x14ac:dyDescent="0.2">
      <c r="A580" s="41">
        <v>37316</v>
      </c>
      <c r="B580" s="21">
        <f>VLOOKUP(A580,'Database Rates'!$A$1:$D$1000,3,FALSE)</f>
        <v>1.73</v>
      </c>
    </row>
    <row r="581" spans="1:2" x14ac:dyDescent="0.2">
      <c r="A581" s="41">
        <v>37347</v>
      </c>
      <c r="B581" s="21">
        <f>VLOOKUP(A581,'Database Rates'!$A$1:$D$1000,3,FALSE)</f>
        <v>1.75</v>
      </c>
    </row>
    <row r="582" spans="1:2" x14ac:dyDescent="0.2">
      <c r="A582" s="41">
        <v>37377</v>
      </c>
      <c r="B582" s="21">
        <f>VLOOKUP(A582,'Database Rates'!$A$1:$D$1000,3,FALSE)</f>
        <v>1.75</v>
      </c>
    </row>
    <row r="583" spans="1:2" x14ac:dyDescent="0.2">
      <c r="A583" s="41">
        <v>37408</v>
      </c>
      <c r="B583" s="21">
        <f>VLOOKUP(A583,'Database Rates'!$A$1:$D$1000,3,FALSE)</f>
        <v>1.75</v>
      </c>
    </row>
    <row r="584" spans="1:2" x14ac:dyDescent="0.2">
      <c r="A584" s="41">
        <v>37438</v>
      </c>
      <c r="B584" s="21">
        <f>VLOOKUP(A584,'Database Rates'!$A$1:$D$1000,3,FALSE)</f>
        <v>1.73</v>
      </c>
    </row>
    <row r="585" spans="1:2" x14ac:dyDescent="0.2">
      <c r="A585" s="41">
        <v>37469</v>
      </c>
      <c r="B585" s="21">
        <f>VLOOKUP(A585,'Database Rates'!$A$1:$D$1000,3,FALSE)</f>
        <v>1.74</v>
      </c>
    </row>
    <row r="586" spans="1:2" x14ac:dyDescent="0.2">
      <c r="A586" s="41">
        <v>37500</v>
      </c>
      <c r="B586" s="21">
        <f>VLOOKUP(A586,'Database Rates'!$A$1:$D$1000,3,FALSE)</f>
        <v>1.75</v>
      </c>
    </row>
    <row r="587" spans="1:2" x14ac:dyDescent="0.2">
      <c r="A587" s="41">
        <v>37530</v>
      </c>
      <c r="B587" s="21">
        <f>VLOOKUP(A587,'Database Rates'!$A$1:$D$1000,3,FALSE)</f>
        <v>1.75</v>
      </c>
    </row>
    <row r="588" spans="1:2" x14ac:dyDescent="0.2">
      <c r="A588" s="41">
        <v>37561</v>
      </c>
      <c r="B588" s="21">
        <f>VLOOKUP(A588,'Database Rates'!$A$1:$D$1000,3,FALSE)</f>
        <v>1.34</v>
      </c>
    </row>
    <row r="589" spans="1:2" x14ac:dyDescent="0.2">
      <c r="A589" s="41">
        <v>37591</v>
      </c>
      <c r="B589" s="21">
        <f>VLOOKUP(A589,'Database Rates'!$A$1:$D$1000,3,FALSE)</f>
        <v>1.24</v>
      </c>
    </row>
    <row r="590" spans="1:2" x14ac:dyDescent="0.2">
      <c r="A590" s="41">
        <v>37622</v>
      </c>
      <c r="B590" s="21">
        <f>VLOOKUP(A590,'Database Rates'!$A$1:$D$1000,3,FALSE)</f>
        <v>1.24</v>
      </c>
    </row>
    <row r="591" spans="1:2" x14ac:dyDescent="0.2">
      <c r="A591" s="41">
        <v>37653</v>
      </c>
      <c r="B591" s="21">
        <f>VLOOKUP(A591,'Database Rates'!$A$1:$D$1000,3,FALSE)</f>
        <v>1.26</v>
      </c>
    </row>
    <row r="592" spans="1:2" x14ac:dyDescent="0.2">
      <c r="A592" s="41">
        <v>37681</v>
      </c>
      <c r="B592" s="21">
        <f>VLOOKUP(A592,'Database Rates'!$A$1:$D$1000,3,FALSE)</f>
        <v>1.25</v>
      </c>
    </row>
    <row r="593" spans="1:2" x14ac:dyDescent="0.2">
      <c r="A593" s="41">
        <v>37712</v>
      </c>
      <c r="B593" s="21">
        <f>VLOOKUP(A593,'Database Rates'!$A$1:$D$1000,3,FALSE)</f>
        <v>1.26</v>
      </c>
    </row>
    <row r="594" spans="1:2" x14ac:dyDescent="0.2">
      <c r="A594" s="41">
        <v>37742</v>
      </c>
      <c r="B594" s="21">
        <f>VLOOKUP(A594,'Database Rates'!$A$1:$D$1000,3,FALSE)</f>
        <v>1.26</v>
      </c>
    </row>
    <row r="595" spans="1:2" x14ac:dyDescent="0.2">
      <c r="A595" s="41">
        <v>37773</v>
      </c>
      <c r="B595" s="21">
        <f>VLOOKUP(A595,'Database Rates'!$A$1:$D$1000,3,FALSE)</f>
        <v>1.22</v>
      </c>
    </row>
    <row r="596" spans="1:2" x14ac:dyDescent="0.2">
      <c r="A596" s="41">
        <v>37803</v>
      </c>
      <c r="B596" s="21">
        <f>VLOOKUP(A596,'Database Rates'!$A$1:$D$1000,3,FALSE)</f>
        <v>1.01</v>
      </c>
    </row>
    <row r="597" spans="1:2" x14ac:dyDescent="0.2">
      <c r="A597" s="41">
        <v>37834</v>
      </c>
      <c r="B597" s="21">
        <f>VLOOKUP(A597,'Database Rates'!$A$1:$D$1000,3,FALSE)</f>
        <v>1.03</v>
      </c>
    </row>
    <row r="598" spans="1:2" x14ac:dyDescent="0.2">
      <c r="A598" s="41">
        <v>37865</v>
      </c>
      <c r="B598" s="21">
        <f>VLOOKUP(A598,'Database Rates'!$A$1:$D$1000,3,FALSE)</f>
        <v>1.01</v>
      </c>
    </row>
    <row r="599" spans="1:2" x14ac:dyDescent="0.2">
      <c r="A599" s="41">
        <v>37895</v>
      </c>
      <c r="B599" s="21">
        <f>VLOOKUP(A599,'Database Rates'!$A$1:$D$1000,3,FALSE)</f>
        <v>1.01</v>
      </c>
    </row>
    <row r="600" spans="1:2" x14ac:dyDescent="0.2">
      <c r="A600" s="41">
        <v>37926</v>
      </c>
      <c r="B600" s="21">
        <f>VLOOKUP(A600,'Database Rates'!$A$1:$D$1000,3,FALSE)</f>
        <v>1</v>
      </c>
    </row>
    <row r="601" spans="1:2" x14ac:dyDescent="0.2">
      <c r="A601" s="41">
        <v>37956</v>
      </c>
      <c r="B601" s="21">
        <f>VLOOKUP(A601,'Database Rates'!$A$1:$D$1000,3,FALSE)</f>
        <v>0.98</v>
      </c>
    </row>
    <row r="602" spans="1:2" x14ac:dyDescent="0.2">
      <c r="A602" s="41">
        <v>37987</v>
      </c>
      <c r="B602" s="21">
        <f>VLOOKUP(A602,'Database Rates'!$A$1:$D$1000,3,FALSE)</f>
        <v>1</v>
      </c>
    </row>
    <row r="603" spans="1:2" x14ac:dyDescent="0.2">
      <c r="A603" s="41">
        <v>38018</v>
      </c>
      <c r="B603" s="21">
        <f>VLOOKUP(A603,'Database Rates'!$A$1:$D$1000,3,FALSE)</f>
        <v>1.01</v>
      </c>
    </row>
    <row r="604" spans="1:2" x14ac:dyDescent="0.2">
      <c r="A604" s="41">
        <v>38047</v>
      </c>
      <c r="B604" s="21">
        <f>VLOOKUP(A604,'Database Rates'!$A$1:$D$1000,3,FALSE)</f>
        <v>1</v>
      </c>
    </row>
    <row r="605" spans="1:2" x14ac:dyDescent="0.2">
      <c r="A605" s="41">
        <v>38078</v>
      </c>
      <c r="B605" s="21">
        <f>VLOOKUP(A605,'Database Rates'!$A$1:$D$1000,3,FALSE)</f>
        <v>1</v>
      </c>
    </row>
    <row r="606" spans="1:2" x14ac:dyDescent="0.2">
      <c r="A606" s="41">
        <v>38108</v>
      </c>
      <c r="B606" s="21">
        <f>VLOOKUP(A606,'Database Rates'!$A$1:$D$1000,3,FALSE)</f>
        <v>1</v>
      </c>
    </row>
    <row r="607" spans="1:2" x14ac:dyDescent="0.2">
      <c r="A607" s="41">
        <v>38139</v>
      </c>
      <c r="B607" s="21">
        <f>VLOOKUP(A607,'Database Rates'!$A$1:$D$1000,3,FALSE)</f>
        <v>1.03</v>
      </c>
    </row>
    <row r="608" spans="1:2" x14ac:dyDescent="0.2">
      <c r="A608" s="41">
        <v>38169</v>
      </c>
      <c r="B608" s="21">
        <f>VLOOKUP(A608,'Database Rates'!$A$1:$D$1000,3,FALSE)</f>
        <v>1.26</v>
      </c>
    </row>
    <row r="609" spans="1:2" x14ac:dyDescent="0.2">
      <c r="A609" s="41">
        <v>38200</v>
      </c>
      <c r="B609" s="21">
        <f>VLOOKUP(A609,'Database Rates'!$A$1:$D$1000,3,FALSE)</f>
        <v>1.43</v>
      </c>
    </row>
    <row r="610" spans="1:2" x14ac:dyDescent="0.2">
      <c r="A610" s="41">
        <v>38231</v>
      </c>
      <c r="B610" s="21">
        <f>VLOOKUP(A610,'Database Rates'!$A$1:$D$1000,3,FALSE)</f>
        <v>1.61</v>
      </c>
    </row>
    <row r="611" spans="1:2" x14ac:dyDescent="0.2">
      <c r="A611" s="41">
        <v>38261</v>
      </c>
      <c r="B611" s="21">
        <f>VLOOKUP(A611,'Database Rates'!$A$1:$D$1000,3,FALSE)</f>
        <v>1.76</v>
      </c>
    </row>
    <row r="612" spans="1:2" x14ac:dyDescent="0.2">
      <c r="A612" s="41">
        <v>38292</v>
      </c>
      <c r="B612" s="21">
        <f>VLOOKUP(A612,'Database Rates'!$A$1:$D$1000,3,FALSE)</f>
        <v>1.93</v>
      </c>
    </row>
    <row r="613" spans="1:2" x14ac:dyDescent="0.2">
      <c r="A613" s="41">
        <v>38322</v>
      </c>
      <c r="B613" s="21">
        <f>VLOOKUP(A613,'Database Rates'!$A$1:$D$1000,3,FALSE)</f>
        <v>2.16</v>
      </c>
    </row>
    <row r="614" spans="1:2" x14ac:dyDescent="0.2">
      <c r="A614" s="41">
        <v>38353</v>
      </c>
      <c r="B614" s="21">
        <f>VLOOKUP(A614,'Database Rates'!$A$1:$D$1000,3,FALSE)</f>
        <v>2.2799999999999998</v>
      </c>
    </row>
    <row r="615" spans="1:2" x14ac:dyDescent="0.2">
      <c r="A615" s="41">
        <v>38384</v>
      </c>
      <c r="B615" s="21">
        <f>VLOOKUP(A615,'Database Rates'!$A$1:$D$1000,3,FALSE)</f>
        <v>2.5</v>
      </c>
    </row>
    <row r="616" spans="1:2" x14ac:dyDescent="0.2">
      <c r="A616" s="41">
        <v>38412</v>
      </c>
      <c r="B616" s="21">
        <f>VLOOKUP(A616,'Database Rates'!$A$1:$D$1000,3,FALSE)</f>
        <v>2.63</v>
      </c>
    </row>
    <row r="617" spans="1:2" x14ac:dyDescent="0.2">
      <c r="A617" s="41">
        <v>38443</v>
      </c>
      <c r="B617" s="21">
        <f>VLOOKUP(A617,'Database Rates'!$A$1:$D$1000,3,FALSE)</f>
        <v>2.79</v>
      </c>
    </row>
    <row r="618" spans="1:2" x14ac:dyDescent="0.2">
      <c r="A618" s="41">
        <v>38473</v>
      </c>
      <c r="B618" s="21">
        <f>VLOOKUP(A618,'Database Rates'!$A$1:$D$1000,3,FALSE)</f>
        <v>3</v>
      </c>
    </row>
    <row r="619" spans="1:2" x14ac:dyDescent="0.2">
      <c r="A619" s="41">
        <v>38504</v>
      </c>
      <c r="B619" s="21">
        <f>VLOOKUP(A619,'Database Rates'!$A$1:$D$1000,3,FALSE)</f>
        <v>3.04</v>
      </c>
    </row>
    <row r="620" spans="1:2" x14ac:dyDescent="0.2">
      <c r="A620" s="41">
        <v>38534</v>
      </c>
      <c r="B620" s="21">
        <f>VLOOKUP(A620,'Database Rates'!$A$1:$D$1000,3,FALSE)</f>
        <v>3.26</v>
      </c>
    </row>
    <row r="621" spans="1:2" x14ac:dyDescent="0.2">
      <c r="A621" s="41">
        <v>38565</v>
      </c>
      <c r="B621" s="21">
        <f>VLOOKUP(A621,'Database Rates'!$A$1:$D$1000,3,FALSE)</f>
        <v>3.5</v>
      </c>
    </row>
    <row r="622" spans="1:2" x14ac:dyDescent="0.2">
      <c r="A622" s="41">
        <v>38596</v>
      </c>
      <c r="B622" s="21">
        <f>VLOOKUP(A622,'Database Rates'!$A$1:$D$1000,3,FALSE)</f>
        <v>3.62</v>
      </c>
    </row>
    <row r="623" spans="1:2" x14ac:dyDescent="0.2">
      <c r="A623" s="41">
        <v>38626</v>
      </c>
      <c r="B623" s="21">
        <f>VLOOKUP(A623,'Database Rates'!$A$1:$D$1000,3,FALSE)</f>
        <v>3.78</v>
      </c>
    </row>
    <row r="624" spans="1:2" x14ac:dyDescent="0.2">
      <c r="A624" s="41">
        <v>38657</v>
      </c>
      <c r="B624" s="21">
        <f>VLOOKUP(A624,'Database Rates'!$A$1:$D$1000,3,FALSE)</f>
        <v>4</v>
      </c>
    </row>
    <row r="625" spans="1:2" x14ac:dyDescent="0.2">
      <c r="A625" s="41">
        <v>38687</v>
      </c>
      <c r="B625" s="21">
        <f>VLOOKUP(A625,'Database Rates'!$A$1:$D$1000,3,FALSE)</f>
        <v>4.16</v>
      </c>
    </row>
    <row r="626" spans="1:2" x14ac:dyDescent="0.2">
      <c r="A626" s="41">
        <v>38718</v>
      </c>
      <c r="B626" s="21">
        <f>VLOOKUP(A626,'Database Rates'!$A$1:$D$1000,3,FALSE)</f>
        <v>4.29</v>
      </c>
    </row>
    <row r="627" spans="1:2" x14ac:dyDescent="0.2">
      <c r="A627" s="41">
        <v>38749</v>
      </c>
      <c r="B627" s="21">
        <f>VLOOKUP(A627,'Database Rates'!$A$1:$D$1000,3,FALSE)</f>
        <v>4.49</v>
      </c>
    </row>
    <row r="628" spans="1:2" x14ac:dyDescent="0.2">
      <c r="A628" s="41">
        <v>38777</v>
      </c>
      <c r="B628" s="21">
        <f>VLOOKUP(A628,'Database Rates'!$A$1:$D$1000,3,FALSE)</f>
        <v>4.59</v>
      </c>
    </row>
    <row r="629" spans="1:2" x14ac:dyDescent="0.2">
      <c r="A629" s="41">
        <v>38808</v>
      </c>
      <c r="B629" s="21">
        <f>VLOOKUP(A629,'Database Rates'!$A$1:$D$1000,3,FALSE)</f>
        <v>4.79</v>
      </c>
    </row>
    <row r="630" spans="1:2" x14ac:dyDescent="0.2">
      <c r="A630" s="41">
        <v>38838</v>
      </c>
      <c r="B630" s="21">
        <f>VLOOKUP(A630,'Database Rates'!$A$1:$D$1000,3,FALSE)</f>
        <v>4.9400000000000004</v>
      </c>
    </row>
    <row r="631" spans="1:2" x14ac:dyDescent="0.2">
      <c r="A631" s="41">
        <v>38869</v>
      </c>
      <c r="B631" s="21">
        <f>VLOOKUP(A631,'Database Rates'!$A$1:$D$1000,3,FALSE)</f>
        <v>4.99</v>
      </c>
    </row>
    <row r="632" spans="1:2" x14ac:dyDescent="0.2">
      <c r="A632" s="41">
        <v>38899</v>
      </c>
      <c r="B632" s="21">
        <f>VLOOKUP(A632,'Database Rates'!$A$1:$D$1000,3,FALSE)</f>
        <v>5.24</v>
      </c>
    </row>
    <row r="633" spans="1:2" x14ac:dyDescent="0.2">
      <c r="A633" s="41">
        <v>38930</v>
      </c>
      <c r="B633" s="21">
        <f>VLOOKUP(A633,'Database Rates'!$A$1:$D$1000,3,FALSE)</f>
        <v>5.25</v>
      </c>
    </row>
    <row r="634" spans="1:2" x14ac:dyDescent="0.2">
      <c r="A634" s="41">
        <v>38961</v>
      </c>
      <c r="B634" s="21">
        <f>VLOOKUP(A634,'Database Rates'!$A$1:$D$1000,3,FALSE)</f>
        <v>5.25</v>
      </c>
    </row>
    <row r="635" spans="1:2" x14ac:dyDescent="0.2">
      <c r="A635" s="41">
        <v>38991</v>
      </c>
      <c r="B635" s="21">
        <f>VLOOKUP(A635,'Database Rates'!$A$1:$D$1000,3,FALSE)</f>
        <v>5.25</v>
      </c>
    </row>
    <row r="636" spans="1:2" x14ac:dyDescent="0.2">
      <c r="A636" s="41">
        <v>39022</v>
      </c>
      <c r="B636" s="21">
        <f>VLOOKUP(A636,'Database Rates'!$A$1:$D$1000,3,FALSE)</f>
        <v>5.25</v>
      </c>
    </row>
    <row r="637" spans="1:2" x14ac:dyDescent="0.2">
      <c r="A637" s="41">
        <v>39052</v>
      </c>
      <c r="B637" s="21">
        <f>VLOOKUP(A637,'Database Rates'!$A$1:$D$1000,3,FALSE)</f>
        <v>5.24</v>
      </c>
    </row>
    <row r="638" spans="1:2" x14ac:dyDescent="0.2">
      <c r="A638" s="41">
        <v>39083</v>
      </c>
      <c r="B638" s="21">
        <f>VLOOKUP(A638,'Database Rates'!$A$1:$D$1000,3,FALSE)</f>
        <v>5.25</v>
      </c>
    </row>
    <row r="639" spans="1:2" x14ac:dyDescent="0.2">
      <c r="A639" s="41">
        <v>39114</v>
      </c>
      <c r="B639" s="21">
        <f>VLOOKUP(A639,'Database Rates'!$A$1:$D$1000,3,FALSE)</f>
        <v>5.26</v>
      </c>
    </row>
    <row r="640" spans="1:2" x14ac:dyDescent="0.2">
      <c r="A640" s="41">
        <v>39142</v>
      </c>
      <c r="B640" s="21">
        <f>VLOOKUP(A640,'Database Rates'!$A$1:$D$1000,3,FALSE)</f>
        <v>5.26</v>
      </c>
    </row>
    <row r="641" spans="1:2" x14ac:dyDescent="0.2">
      <c r="A641" s="41">
        <v>39173</v>
      </c>
      <c r="B641" s="21">
        <f>VLOOKUP(A641,'Database Rates'!$A$1:$D$1000,3,FALSE)</f>
        <v>5.25</v>
      </c>
    </row>
    <row r="642" spans="1:2" x14ac:dyDescent="0.2">
      <c r="A642" s="41">
        <v>39203</v>
      </c>
      <c r="B642" s="21">
        <f>VLOOKUP(A642,'Database Rates'!$A$1:$D$1000,3,FALSE)</f>
        <v>5.25</v>
      </c>
    </row>
    <row r="643" spans="1:2" x14ac:dyDescent="0.2">
      <c r="A643" s="41">
        <v>39234</v>
      </c>
      <c r="B643" s="21">
        <f>VLOOKUP(A643,'Database Rates'!$A$1:$D$1000,3,FALSE)</f>
        <v>5.25</v>
      </c>
    </row>
    <row r="644" spans="1:2" x14ac:dyDescent="0.2">
      <c r="A644" s="41">
        <v>39264</v>
      </c>
      <c r="B644" s="21">
        <f>VLOOKUP(A644,'Database Rates'!$A$1:$D$1000,3,FALSE)</f>
        <v>5.26</v>
      </c>
    </row>
    <row r="645" spans="1:2" x14ac:dyDescent="0.2">
      <c r="A645" s="41">
        <v>39295</v>
      </c>
      <c r="B645" s="21">
        <f>VLOOKUP(A645,'Database Rates'!$A$1:$D$1000,3,FALSE)</f>
        <v>5.0199999999999996</v>
      </c>
    </row>
    <row r="646" spans="1:2" x14ac:dyDescent="0.2">
      <c r="A646" s="41">
        <v>39326</v>
      </c>
      <c r="B646" s="21">
        <f>VLOOKUP(A646,'Database Rates'!$A$1:$D$1000,3,FALSE)</f>
        <v>4.9400000000000004</v>
      </c>
    </row>
    <row r="647" spans="1:2" x14ac:dyDescent="0.2">
      <c r="A647" s="41">
        <v>39356</v>
      </c>
      <c r="B647" s="21">
        <f>VLOOKUP(A647,'Database Rates'!$A$1:$D$1000,3,FALSE)</f>
        <v>4.76</v>
      </c>
    </row>
    <row r="648" spans="1:2" x14ac:dyDescent="0.2">
      <c r="A648" s="41">
        <v>39387</v>
      </c>
      <c r="B648" s="21">
        <f>VLOOKUP(A648,'Database Rates'!$A$1:$D$1000,3,FALSE)</f>
        <v>4.49</v>
      </c>
    </row>
    <row r="649" spans="1:2" x14ac:dyDescent="0.2">
      <c r="A649" s="41">
        <v>39417</v>
      </c>
      <c r="B649" s="21">
        <f>VLOOKUP(A649,'Database Rates'!$A$1:$D$1000,3,FALSE)</f>
        <v>4.24</v>
      </c>
    </row>
    <row r="650" spans="1:2" x14ac:dyDescent="0.2">
      <c r="A650" s="41">
        <v>39448</v>
      </c>
      <c r="B650" s="21">
        <f>VLOOKUP(A650,'Database Rates'!$A$1:$D$1000,3,FALSE)</f>
        <v>3.94</v>
      </c>
    </row>
    <row r="651" spans="1:2" x14ac:dyDescent="0.2">
      <c r="A651" s="41">
        <v>39479</v>
      </c>
      <c r="B651" s="21">
        <f>VLOOKUP(A651,'Database Rates'!$A$1:$D$1000,3,FALSE)</f>
        <v>2.98</v>
      </c>
    </row>
    <row r="652" spans="1:2" x14ac:dyDescent="0.2">
      <c r="A652" s="41">
        <v>39508</v>
      </c>
      <c r="B652" s="21">
        <f>VLOOKUP(A652,'Database Rates'!$A$1:$D$1000,3,FALSE)</f>
        <v>2.61</v>
      </c>
    </row>
    <row r="653" spans="1:2" x14ac:dyDescent="0.2">
      <c r="A653" s="41">
        <v>39539</v>
      </c>
      <c r="B653" s="21">
        <f>VLOOKUP(A653,'Database Rates'!$A$1:$D$1000,3,FALSE)</f>
        <v>2.2799999999999998</v>
      </c>
    </row>
    <row r="654" spans="1:2" x14ac:dyDescent="0.2">
      <c r="A654" s="41">
        <v>39569</v>
      </c>
      <c r="B654" s="21">
        <f>VLOOKUP(A654,'Database Rates'!$A$1:$D$1000,3,FALSE)</f>
        <v>1.98</v>
      </c>
    </row>
    <row r="655" spans="1:2" x14ac:dyDescent="0.2">
      <c r="A655" s="41">
        <v>39600</v>
      </c>
      <c r="B655" s="21">
        <f>VLOOKUP(A655,'Database Rates'!$A$1:$D$1000,3,FALSE)</f>
        <v>2</v>
      </c>
    </row>
    <row r="656" spans="1:2" x14ac:dyDescent="0.2">
      <c r="A656" s="41">
        <v>39630</v>
      </c>
      <c r="B656" s="21">
        <f>VLOOKUP(A656,'Database Rates'!$A$1:$D$1000,3,FALSE)</f>
        <v>2.0099999999999998</v>
      </c>
    </row>
    <row r="657" spans="1:2" x14ac:dyDescent="0.2">
      <c r="A657" s="41">
        <v>39661</v>
      </c>
      <c r="B657" s="21">
        <f>VLOOKUP(A657,'Database Rates'!$A$1:$D$1000,3,FALSE)</f>
        <v>2</v>
      </c>
    </row>
    <row r="658" spans="1:2" x14ac:dyDescent="0.2">
      <c r="A658" s="41">
        <v>39692</v>
      </c>
      <c r="B658" s="21">
        <f>VLOOKUP(A658,'Database Rates'!$A$1:$D$1000,3,FALSE)</f>
        <v>1.81</v>
      </c>
    </row>
    <row r="659" spans="1:2" x14ac:dyDescent="0.2">
      <c r="A659" s="41">
        <v>39722</v>
      </c>
      <c r="B659" s="21">
        <f>VLOOKUP(A659,'Database Rates'!$A$1:$D$1000,3,FALSE)</f>
        <v>0.97</v>
      </c>
    </row>
    <row r="660" spans="1:2" x14ac:dyDescent="0.2">
      <c r="A660" s="41">
        <v>39753</v>
      </c>
      <c r="B660" s="21">
        <f>VLOOKUP(A660,'Database Rates'!$A$1:$D$1000,3,FALSE)</f>
        <v>0.39</v>
      </c>
    </row>
    <row r="661" spans="1:2" x14ac:dyDescent="0.2">
      <c r="A661" s="41">
        <v>39783</v>
      </c>
      <c r="B661" s="21">
        <f>VLOOKUP(A661,'Database Rates'!$A$1:$D$1000,3,FALSE)</f>
        <v>0.16</v>
      </c>
    </row>
    <row r="662" spans="1:2" x14ac:dyDescent="0.2">
      <c r="A662" s="41">
        <v>39814</v>
      </c>
      <c r="B662" s="21">
        <f>VLOOKUP(A662,'Database Rates'!$A$1:$D$1000,3,FALSE)</f>
        <v>0.15</v>
      </c>
    </row>
    <row r="663" spans="1:2" x14ac:dyDescent="0.2">
      <c r="A663" s="41">
        <v>39845</v>
      </c>
      <c r="B663" s="21">
        <f>VLOOKUP(A663,'Database Rates'!$A$1:$D$1000,3,FALSE)</f>
        <v>0.22</v>
      </c>
    </row>
    <row r="664" spans="1:2" x14ac:dyDescent="0.2">
      <c r="A664" s="41">
        <v>39873</v>
      </c>
      <c r="B664" s="21">
        <f>VLOOKUP(A664,'Database Rates'!$A$1:$D$1000,3,FALSE)</f>
        <v>0.18</v>
      </c>
    </row>
    <row r="665" spans="1:2" x14ac:dyDescent="0.2">
      <c r="A665" s="41">
        <v>39904</v>
      </c>
      <c r="B665" s="21">
        <f>VLOOKUP(A665,'Database Rates'!$A$1:$D$1000,3,FALSE)</f>
        <v>0.15</v>
      </c>
    </row>
    <row r="666" spans="1:2" x14ac:dyDescent="0.2">
      <c r="A666" s="41">
        <v>39934</v>
      </c>
      <c r="B666" s="21">
        <f>VLOOKUP(A666,'Database Rates'!$A$1:$D$1000,3,FALSE)</f>
        <v>0.18</v>
      </c>
    </row>
    <row r="667" spans="1:2" x14ac:dyDescent="0.2">
      <c r="A667" s="41">
        <v>39965</v>
      </c>
      <c r="B667" s="21">
        <f>VLOOKUP(A667,'Database Rates'!$A$1:$D$1000,3,FALSE)</f>
        <v>0.21</v>
      </c>
    </row>
    <row r="668" spans="1:2" x14ac:dyDescent="0.2">
      <c r="A668" s="41">
        <v>39995</v>
      </c>
      <c r="B668" s="21">
        <f>VLOOKUP(A668,'Database Rates'!$A$1:$D$1000,3,FALSE)</f>
        <v>0.16</v>
      </c>
    </row>
    <row r="669" spans="1:2" x14ac:dyDescent="0.2">
      <c r="A669" s="41">
        <v>40026</v>
      </c>
      <c r="B669" s="21">
        <f>VLOOKUP(A669,'Database Rates'!$A$1:$D$1000,3,FALSE)</f>
        <v>0.16</v>
      </c>
    </row>
    <row r="670" spans="1:2" x14ac:dyDescent="0.2">
      <c r="A670" s="41">
        <v>40057</v>
      </c>
      <c r="B670" s="21">
        <f>VLOOKUP(A670,'Database Rates'!$A$1:$D$1000,3,FALSE)</f>
        <v>0.15</v>
      </c>
    </row>
    <row r="671" spans="1:2" x14ac:dyDescent="0.2">
      <c r="A671" s="41">
        <v>40087</v>
      </c>
      <c r="B671" s="21">
        <f>VLOOKUP(A671,'Database Rates'!$A$1:$D$1000,3,FALSE)</f>
        <v>0.12</v>
      </c>
    </row>
    <row r="672" spans="1:2" x14ac:dyDescent="0.2">
      <c r="A672" s="41">
        <v>40118</v>
      </c>
      <c r="B672" s="21">
        <f>VLOOKUP(A672,'Database Rates'!$A$1:$D$1000,3,FALSE)</f>
        <v>0.12</v>
      </c>
    </row>
    <row r="673" spans="1:2" x14ac:dyDescent="0.2">
      <c r="A673" s="41">
        <v>40148</v>
      </c>
      <c r="B673" s="21">
        <f>VLOOKUP(A673,'Database Rates'!$A$1:$D$1000,3,FALSE)</f>
        <v>0.12</v>
      </c>
    </row>
    <row r="674" spans="1:2" x14ac:dyDescent="0.2">
      <c r="A674" s="41">
        <v>40179</v>
      </c>
      <c r="B674" s="21">
        <f>VLOOKUP(A674,'Database Rates'!$A$1:$D$1000,3,FALSE)</f>
        <v>0.11</v>
      </c>
    </row>
    <row r="675" spans="1:2" x14ac:dyDescent="0.2">
      <c r="A675" s="41">
        <v>40210</v>
      </c>
      <c r="B675" s="21">
        <f>VLOOKUP(A675,'Database Rates'!$A$1:$D$1000,3,FALSE)</f>
        <v>0.13</v>
      </c>
    </row>
    <row r="676" spans="1:2" x14ac:dyDescent="0.2">
      <c r="A676" s="41">
        <v>40238</v>
      </c>
      <c r="B676" s="21">
        <f>VLOOKUP(A676,'Database Rates'!$A$1:$D$1000,3,FALSE)</f>
        <v>0.16</v>
      </c>
    </row>
    <row r="677" spans="1:2" x14ac:dyDescent="0.2">
      <c r="A677" s="41">
        <v>40269</v>
      </c>
      <c r="B677" s="21">
        <f>VLOOKUP(A677,'Database Rates'!$A$1:$D$1000,3,FALSE)</f>
        <v>0.2</v>
      </c>
    </row>
    <row r="678" spans="1:2" x14ac:dyDescent="0.2">
      <c r="A678" s="41">
        <v>40299</v>
      </c>
      <c r="B678" s="21">
        <f>VLOOKUP(A678,'Database Rates'!$A$1:$D$1000,3,FALSE)</f>
        <v>0.2</v>
      </c>
    </row>
    <row r="679" spans="1:2" x14ac:dyDescent="0.2">
      <c r="A679" s="41">
        <v>40330</v>
      </c>
      <c r="B679" s="21">
        <f>VLOOKUP(A679,'Database Rates'!$A$1:$D$1000,3,FALSE)</f>
        <v>0.18</v>
      </c>
    </row>
    <row r="680" spans="1:2" x14ac:dyDescent="0.2">
      <c r="A680" s="41">
        <v>40360</v>
      </c>
      <c r="B680" s="21">
        <f>VLOOKUP(A680,'Database Rates'!$A$1:$D$1000,3,FALSE)</f>
        <v>0.18</v>
      </c>
    </row>
    <row r="681" spans="1:2" x14ac:dyDescent="0.2">
      <c r="A681" s="41">
        <v>40391</v>
      </c>
      <c r="B681" s="21">
        <f>VLOOKUP(A681,'Database Rates'!$A$1:$D$1000,3,FALSE)</f>
        <v>0.19</v>
      </c>
    </row>
    <row r="682" spans="1:2" x14ac:dyDescent="0.2">
      <c r="A682" s="41">
        <v>40422</v>
      </c>
      <c r="B682" s="21">
        <f>VLOOKUP(A682,'Database Rates'!$A$1:$D$1000,3,FALSE)</f>
        <v>0.19</v>
      </c>
    </row>
    <row r="683" spans="1:2" x14ac:dyDescent="0.2">
      <c r="A683" s="41">
        <v>40452</v>
      </c>
      <c r="B683" s="21">
        <f>VLOOKUP(A683,'Database Rates'!$A$1:$D$1000,3,FALSE)</f>
        <v>0.19</v>
      </c>
    </row>
    <row r="684" spans="1:2" x14ac:dyDescent="0.2">
      <c r="A684" s="41">
        <v>40483</v>
      </c>
      <c r="B684" s="21">
        <f>VLOOKUP(A684,'Database Rates'!$A$1:$D$1000,3,FALSE)</f>
        <v>0.19</v>
      </c>
    </row>
    <row r="685" spans="1:2" x14ac:dyDescent="0.2">
      <c r="A685" s="41">
        <v>40513</v>
      </c>
      <c r="B685" s="21">
        <f>VLOOKUP(A685,'Database Rates'!$A$1:$D$1000,3,FALSE)</f>
        <v>0.18</v>
      </c>
    </row>
    <row r="686" spans="1:2" x14ac:dyDescent="0.2">
      <c r="A686" s="41">
        <v>40544</v>
      </c>
      <c r="B686" s="21">
        <f>VLOOKUP(A686,'Database Rates'!$A$1:$D$1000,3,FALSE)</f>
        <v>0.17</v>
      </c>
    </row>
    <row r="687" spans="1:2" x14ac:dyDescent="0.2">
      <c r="A687" s="41">
        <v>40575</v>
      </c>
      <c r="B687" s="21">
        <f>VLOOKUP(A687,'Database Rates'!$A$1:$D$1000,3,FALSE)</f>
        <v>0.16</v>
      </c>
    </row>
    <row r="688" spans="1:2" x14ac:dyDescent="0.2">
      <c r="A688" s="41">
        <v>40603</v>
      </c>
      <c r="B688" s="21">
        <f>VLOOKUP(A688,'Database Rates'!$A$1:$D$1000,3,FALSE)</f>
        <v>0.14000000000000001</v>
      </c>
    </row>
    <row r="689" spans="1:2" x14ac:dyDescent="0.2">
      <c r="A689" s="41">
        <v>40634</v>
      </c>
      <c r="B689" s="21">
        <f>VLOOKUP(A689,'Database Rates'!$A$1:$D$1000,3,FALSE)</f>
        <v>0.1</v>
      </c>
    </row>
    <row r="690" spans="1:2" x14ac:dyDescent="0.2">
      <c r="A690" s="41">
        <v>40664</v>
      </c>
      <c r="B690" s="21">
        <f>VLOOKUP(A690,'Database Rates'!$A$1:$D$1000,3,FALSE)</f>
        <v>0.09</v>
      </c>
    </row>
    <row r="691" spans="1:2" x14ac:dyDescent="0.2">
      <c r="A691" s="41">
        <v>40695</v>
      </c>
      <c r="B691" s="21">
        <f>VLOOKUP(A691,'Database Rates'!$A$1:$D$1000,3,FALSE)</f>
        <v>0.09</v>
      </c>
    </row>
    <row r="692" spans="1:2" x14ac:dyDescent="0.2">
      <c r="A692" s="41">
        <v>40725</v>
      </c>
      <c r="B692" s="21">
        <f>VLOOKUP(A692,'Database Rates'!$A$1:$D$1000,3,FALSE)</f>
        <v>7.0000000000000007E-2</v>
      </c>
    </row>
    <row r="693" spans="1:2" x14ac:dyDescent="0.2">
      <c r="A693" s="41">
        <v>40756</v>
      </c>
      <c r="B693" s="21">
        <f>VLOOKUP(A693,'Database Rates'!$A$1:$D$1000,3,FALSE)</f>
        <v>0.1</v>
      </c>
    </row>
    <row r="694" spans="1:2" x14ac:dyDescent="0.2">
      <c r="A694" s="41">
        <v>40787</v>
      </c>
      <c r="B694" s="21">
        <f>VLOOKUP(A694,'Database Rates'!$A$1:$D$1000,3,FALSE)</f>
        <v>0.08</v>
      </c>
    </row>
    <row r="695" spans="1:2" x14ac:dyDescent="0.2">
      <c r="A695" s="41">
        <v>40817</v>
      </c>
      <c r="B695" s="21">
        <f>VLOOKUP(A695,'Database Rates'!$A$1:$D$1000,3,FALSE)</f>
        <v>7.0000000000000007E-2</v>
      </c>
    </row>
    <row r="696" spans="1:2" x14ac:dyDescent="0.2">
      <c r="A696" s="41">
        <v>40848</v>
      </c>
      <c r="B696" s="21">
        <f>VLOOKUP(A696,'Database Rates'!$A$1:$D$1000,3,FALSE)</f>
        <v>0.08</v>
      </c>
    </row>
    <row r="697" spans="1:2" x14ac:dyDescent="0.2">
      <c r="A697" s="41">
        <v>40878</v>
      </c>
      <c r="B697" s="21">
        <f>VLOOKUP(A697,'Database Rates'!$A$1:$D$1000,3,FALSE)</f>
        <v>7.0000000000000007E-2</v>
      </c>
    </row>
    <row r="698" spans="1:2" x14ac:dyDescent="0.2">
      <c r="A698" s="41">
        <v>40909</v>
      </c>
      <c r="B698" s="21">
        <f>VLOOKUP(A698,'Database Rates'!$A$1:$D$1000,3,FALSE)</f>
        <v>0.08</v>
      </c>
    </row>
    <row r="699" spans="1:2" x14ac:dyDescent="0.2">
      <c r="A699" s="41">
        <v>40940</v>
      </c>
      <c r="B699" s="21">
        <f>VLOOKUP(A699,'Database Rates'!$A$1:$D$1000,3,FALSE)</f>
        <v>0.1</v>
      </c>
    </row>
    <row r="700" spans="1:2" x14ac:dyDescent="0.2">
      <c r="A700" s="41">
        <v>40969</v>
      </c>
      <c r="B700" s="21">
        <f>VLOOKUP(A700,'Database Rates'!$A$1:$D$1000,3,FALSE)</f>
        <v>0.13</v>
      </c>
    </row>
    <row r="701" spans="1:2" x14ac:dyDescent="0.2">
      <c r="A701" s="41">
        <v>41000</v>
      </c>
      <c r="B701" s="21">
        <f>VLOOKUP(A701,'Database Rates'!$A$1:$D$1000,3,FALSE)</f>
        <v>0.14000000000000001</v>
      </c>
    </row>
    <row r="702" spans="1:2" x14ac:dyDescent="0.2">
      <c r="A702" s="41">
        <v>41030</v>
      </c>
      <c r="B702" s="21">
        <f>VLOOKUP(A702,'Database Rates'!$A$1:$D$1000,3,FALSE)</f>
        <v>0.16</v>
      </c>
    </row>
    <row r="703" spans="1:2" x14ac:dyDescent="0.2">
      <c r="A703" s="41">
        <v>41061</v>
      </c>
      <c r="B703" s="21">
        <f>VLOOKUP(A703,'Database Rates'!$A$1:$D$1000,3,FALSE)</f>
        <v>0.16</v>
      </c>
    </row>
    <row r="704" spans="1:2" x14ac:dyDescent="0.2">
      <c r="A704" s="41">
        <v>41091</v>
      </c>
      <c r="B704" s="21">
        <f>VLOOKUP(A704,'Database Rates'!$A$1:$D$1000,3,FALSE)</f>
        <v>0.16</v>
      </c>
    </row>
    <row r="705" spans="1:2" x14ac:dyDescent="0.2">
      <c r="A705" s="41">
        <v>41122</v>
      </c>
      <c r="B705" s="21">
        <f>VLOOKUP(A705,'Database Rates'!$A$1:$D$1000,3,FALSE)</f>
        <v>0.13</v>
      </c>
    </row>
    <row r="706" spans="1:2" x14ac:dyDescent="0.2">
      <c r="A706" s="41">
        <v>41153</v>
      </c>
      <c r="B706" s="21">
        <f>VLOOKUP(A706,'Database Rates'!$A$1:$D$1000,3,FALSE)</f>
        <v>0.14000000000000001</v>
      </c>
    </row>
    <row r="707" spans="1:2" x14ac:dyDescent="0.2">
      <c r="A707" s="41">
        <v>41183</v>
      </c>
      <c r="B707" s="21">
        <f>VLOOKUP(A707,'Database Rates'!$A$1:$D$1000,3,FALSE)</f>
        <v>0.16</v>
      </c>
    </row>
    <row r="708" spans="1:2" x14ac:dyDescent="0.2">
      <c r="A708" s="41">
        <v>41214</v>
      </c>
      <c r="B708" s="21">
        <f>VLOOKUP(A708,'Database Rates'!$A$1:$D$1000,3,FALSE)</f>
        <v>0.16</v>
      </c>
    </row>
    <row r="709" spans="1:2" x14ac:dyDescent="0.2">
      <c r="A709" s="41">
        <v>41244</v>
      </c>
      <c r="B709" s="21">
        <f>VLOOKUP(A709,'Database Rates'!$A$1:$D$1000,3,FALSE)</f>
        <v>0.16</v>
      </c>
    </row>
    <row r="710" spans="1:2" x14ac:dyDescent="0.2">
      <c r="A710" s="41">
        <v>41275</v>
      </c>
      <c r="B710" s="21">
        <f>VLOOKUP(A710,'Database Rates'!$A$1:$D$1000,3,FALSE)</f>
        <v>0.14000000000000001</v>
      </c>
    </row>
    <row r="711" spans="1:2" x14ac:dyDescent="0.2">
      <c r="A711" s="41">
        <v>41306</v>
      </c>
      <c r="B711" s="21">
        <f>VLOOKUP(A711,'Database Rates'!$A$1:$D$1000,3,FALSE)</f>
        <v>0.15</v>
      </c>
    </row>
    <row r="712" spans="1:2" x14ac:dyDescent="0.2">
      <c r="A712" s="41">
        <v>41334</v>
      </c>
      <c r="B712" s="21">
        <f>VLOOKUP(A712,'Database Rates'!$A$1:$D$1000,3,FALSE)</f>
        <v>0.14000000000000001</v>
      </c>
    </row>
    <row r="713" spans="1:2" x14ac:dyDescent="0.2">
      <c r="A713" s="41">
        <v>41365</v>
      </c>
      <c r="B713" s="21">
        <f>VLOOKUP(A713,'Database Rates'!$A$1:$D$1000,3,FALSE)</f>
        <v>0.15</v>
      </c>
    </row>
    <row r="714" spans="1:2" x14ac:dyDescent="0.2">
      <c r="A714" s="41">
        <v>41395</v>
      </c>
      <c r="B714" s="21">
        <f>VLOOKUP(A714,'Database Rates'!$A$1:$D$1000,3,FALSE)</f>
        <v>0.11</v>
      </c>
    </row>
    <row r="715" spans="1:2" x14ac:dyDescent="0.2">
      <c r="A715" s="41">
        <v>41426</v>
      </c>
      <c r="B715" s="21">
        <f>VLOOKUP(A715,'Database Rates'!$A$1:$D$1000,3,FALSE)</f>
        <v>0.09</v>
      </c>
    </row>
    <row r="716" spans="1:2" x14ac:dyDescent="0.2">
      <c r="A716" s="41">
        <v>41456</v>
      </c>
      <c r="B716" s="21">
        <f>VLOOKUP(A716,'Database Rates'!$A$1:$D$1000,3,FALSE)</f>
        <v>0.09</v>
      </c>
    </row>
    <row r="717" spans="1:2" x14ac:dyDescent="0.2">
      <c r="A717" s="41">
        <v>41487</v>
      </c>
      <c r="B717" s="21">
        <f>VLOOKUP(A717,'Database Rates'!$A$1:$D$1000,3,FALSE)</f>
        <v>0.08</v>
      </c>
    </row>
    <row r="718" spans="1:2" x14ac:dyDescent="0.2">
      <c r="A718" s="41">
        <v>41518</v>
      </c>
      <c r="B718" s="21">
        <f>VLOOKUP(A718,'Database Rates'!$A$1:$D$1000,3,FALSE)</f>
        <v>0.08</v>
      </c>
    </row>
    <row r="719" spans="1:2" x14ac:dyDescent="0.2">
      <c r="A719" s="41">
        <v>41548</v>
      </c>
      <c r="B719" s="21">
        <f>VLOOKUP(A719,'Database Rates'!$A$1:$D$1000,3,FALSE)</f>
        <v>0.09</v>
      </c>
    </row>
    <row r="720" spans="1:2" x14ac:dyDescent="0.2">
      <c r="A720" s="41">
        <v>41579</v>
      </c>
      <c r="B720" s="21">
        <f>VLOOKUP(A720,'Database Rates'!$A$1:$D$1000,3,FALSE)</f>
        <v>0.08</v>
      </c>
    </row>
    <row r="721" spans="1:2" x14ac:dyDescent="0.2">
      <c r="A721" s="41">
        <v>41609</v>
      </c>
      <c r="B721" s="21">
        <f>VLOOKUP(A721,'Database Rates'!$A$1:$D$1000,3,FALSE)</f>
        <v>0.09</v>
      </c>
    </row>
    <row r="722" spans="1:2" x14ac:dyDescent="0.2">
      <c r="A722" s="41">
        <v>41640</v>
      </c>
      <c r="B722" s="21">
        <f>VLOOKUP(A722,'Database Rates'!$A$1:$D$1000,3,FALSE)</f>
        <v>7.0000000000000007E-2</v>
      </c>
    </row>
    <row r="723" spans="1:2" x14ac:dyDescent="0.2">
      <c r="A723" s="41">
        <v>41671</v>
      </c>
      <c r="B723" s="21">
        <f>VLOOKUP(A723,'Database Rates'!$A$1:$D$1000,3,FALSE)</f>
        <v>7.0000000000000007E-2</v>
      </c>
    </row>
    <row r="724" spans="1:2" x14ac:dyDescent="0.2">
      <c r="A724" s="41">
        <v>41699</v>
      </c>
      <c r="B724" s="21">
        <f>VLOOKUP(A724,'Database Rates'!$A$1:$D$1000,3,FALSE)</f>
        <v>0.08</v>
      </c>
    </row>
    <row r="725" spans="1:2" x14ac:dyDescent="0.2">
      <c r="A725" s="41">
        <v>41730</v>
      </c>
      <c r="B725" s="21">
        <f>VLOOKUP(A725,'Database Rates'!$A$1:$D$1000,3,FALSE)</f>
        <v>0.09</v>
      </c>
    </row>
    <row r="726" spans="1:2" x14ac:dyDescent="0.2">
      <c r="A726" s="41">
        <v>41760</v>
      </c>
      <c r="B726" s="21">
        <f>VLOOKUP(A726,'Database Rates'!$A$1:$D$1000,3,FALSE)</f>
        <v>0.09</v>
      </c>
    </row>
    <row r="727" spans="1:2" x14ac:dyDescent="0.2">
      <c r="A727" s="41">
        <v>41791</v>
      </c>
      <c r="B727" s="21">
        <f>VLOOKUP(A727,'Database Rates'!$A$1:$D$1000,3,FALSE)</f>
        <v>0.1</v>
      </c>
    </row>
    <row r="728" spans="1:2" x14ac:dyDescent="0.2">
      <c r="A728" s="41">
        <v>41821</v>
      </c>
      <c r="B728" s="21">
        <f>VLOOKUP(A728,'Database Rates'!$A$1:$D$1000,3,FALSE)</f>
        <v>0.09</v>
      </c>
    </row>
    <row r="729" spans="1:2" x14ac:dyDescent="0.2">
      <c r="A729" s="41">
        <v>41852</v>
      </c>
      <c r="B729" s="21">
        <f>VLOOKUP(A729,'Database Rates'!$A$1:$D$1000,3,FALSE)</f>
        <v>0.09</v>
      </c>
    </row>
    <row r="730" spans="1:2" x14ac:dyDescent="0.2">
      <c r="A730" s="41">
        <v>41883</v>
      </c>
      <c r="B730" s="21">
        <f>VLOOKUP(A730,'Database Rates'!$A$1:$D$1000,3,FALSE)</f>
        <v>0.09</v>
      </c>
    </row>
    <row r="731" spans="1:2" x14ac:dyDescent="0.2">
      <c r="A731" s="41">
        <v>41913</v>
      </c>
      <c r="B731" s="21">
        <f>VLOOKUP(A731,'Database Rates'!$A$1:$D$1000,3,FALSE)</f>
        <v>0.09</v>
      </c>
    </row>
    <row r="732" spans="1:2" x14ac:dyDescent="0.2">
      <c r="A732" s="41">
        <v>41944</v>
      </c>
      <c r="B732" s="21">
        <f>VLOOKUP(A732,'Database Rates'!$A$1:$D$1000,3,FALSE)</f>
        <v>0.09</v>
      </c>
    </row>
    <row r="733" spans="1:2" x14ac:dyDescent="0.2">
      <c r="A733" s="41">
        <v>41974</v>
      </c>
      <c r="B733" s="21">
        <f>VLOOKUP(A733,'Database Rates'!$A$1:$D$1000,3,FALSE)</f>
        <v>0.12</v>
      </c>
    </row>
    <row r="734" spans="1:2" x14ac:dyDescent="0.2">
      <c r="A734" s="41">
        <v>42005</v>
      </c>
      <c r="B734" s="21">
        <f>VLOOKUP(A734,'Database Rates'!$A$1:$D$1000,3,FALSE)</f>
        <v>0.11</v>
      </c>
    </row>
    <row r="735" spans="1:2" x14ac:dyDescent="0.2">
      <c r="A735" s="41">
        <v>42036</v>
      </c>
      <c r="B735" s="21">
        <f>VLOOKUP(A735,'Database Rates'!$A$1:$D$1000,3,FALSE)</f>
        <v>0.11</v>
      </c>
    </row>
    <row r="736" spans="1:2" x14ac:dyDescent="0.2">
      <c r="A736" s="41">
        <v>42064</v>
      </c>
      <c r="B736" s="21">
        <f>VLOOKUP(A736,'Database Rates'!$A$1:$D$1000,3,FALSE)</f>
        <v>0.11</v>
      </c>
    </row>
    <row r="737" spans="1:2" x14ac:dyDescent="0.2">
      <c r="A737" s="41">
        <v>42095</v>
      </c>
      <c r="B737" s="21">
        <f>VLOOKUP(A737,'Database Rates'!$A$1:$D$1000,3,FALSE)</f>
        <v>0.12</v>
      </c>
    </row>
    <row r="738" spans="1:2" x14ac:dyDescent="0.2">
      <c r="A738" s="41">
        <v>42125</v>
      </c>
      <c r="B738" s="21">
        <f>VLOOKUP(A738,'Database Rates'!$A$1:$D$1000,3,FALSE)</f>
        <v>0.12</v>
      </c>
    </row>
    <row r="739" spans="1:2" x14ac:dyDescent="0.2">
      <c r="A739" s="41">
        <v>42156</v>
      </c>
      <c r="B739" s="21">
        <f>VLOOKUP(A739,'Database Rates'!$A$1:$D$1000,3,FALSE)</f>
        <v>0.13</v>
      </c>
    </row>
    <row r="740" spans="1:2" x14ac:dyDescent="0.2">
      <c r="A740" s="41">
        <v>42186</v>
      </c>
      <c r="B740" s="21">
        <f>VLOOKUP(A740,'Database Rates'!$A$1:$D$1000,3,FALSE)</f>
        <v>0.13</v>
      </c>
    </row>
    <row r="741" spans="1:2" x14ac:dyDescent="0.2">
      <c r="A741" s="41">
        <v>42217</v>
      </c>
      <c r="B741" s="21">
        <f>VLOOKUP(A741,'Database Rates'!$A$1:$D$1000,3,FALSE)</f>
        <v>0.14000000000000001</v>
      </c>
    </row>
    <row r="742" spans="1:2" x14ac:dyDescent="0.2">
      <c r="A742" s="41">
        <v>42248</v>
      </c>
      <c r="B742" s="21">
        <f>VLOOKUP(A742,'Database Rates'!$A$1:$D$1000,3,FALSE)</f>
        <v>0.14000000000000001</v>
      </c>
    </row>
    <row r="743" spans="1:2" x14ac:dyDescent="0.2">
      <c r="A743" s="41">
        <v>42278</v>
      </c>
      <c r="B743" s="21">
        <f>VLOOKUP(A743,'Database Rates'!$A$1:$D$1000,3,FALSE)</f>
        <v>0.12</v>
      </c>
    </row>
    <row r="744" spans="1:2" x14ac:dyDescent="0.2">
      <c r="A744" s="41">
        <v>42309</v>
      </c>
      <c r="B744" s="21">
        <f>VLOOKUP(A744,'Database Rates'!$A$1:$D$1000,3,FALSE)</f>
        <v>0.12</v>
      </c>
    </row>
    <row r="745" spans="1:2" x14ac:dyDescent="0.2">
      <c r="A745" s="41">
        <v>42339</v>
      </c>
      <c r="B745" s="21">
        <f>VLOOKUP(A745,'Database Rates'!$A$1:$D$1000,3,FALSE)</f>
        <v>0.24</v>
      </c>
    </row>
    <row r="746" spans="1:2" x14ac:dyDescent="0.2">
      <c r="A746" s="41">
        <v>42370</v>
      </c>
      <c r="B746" s="21">
        <f>VLOOKUP(A746,'Database Rates'!$A$1:$D$1000,3,FALSE)</f>
        <v>0.34</v>
      </c>
    </row>
    <row r="747" spans="1:2" x14ac:dyDescent="0.2">
      <c r="A747" s="41">
        <v>42401</v>
      </c>
      <c r="B747" s="21">
        <f>VLOOKUP(A747,'Database Rates'!$A$1:$D$1000,3,FALSE)</f>
        <v>0.38</v>
      </c>
    </row>
    <row r="748" spans="1:2" x14ac:dyDescent="0.2">
      <c r="A748" s="41">
        <v>42430</v>
      </c>
      <c r="B748" s="21">
        <f>VLOOKUP(A748,'Database Rates'!$A$1:$D$1000,3,FALSE)</f>
        <v>0.36</v>
      </c>
    </row>
    <row r="749" spans="1:2" x14ac:dyDescent="0.2">
      <c r="A749" s="41">
        <v>42461</v>
      </c>
      <c r="B749" s="21">
        <f>VLOOKUP(A749,'Database Rates'!$A$1:$D$1000,3,FALSE)</f>
        <v>0.37</v>
      </c>
    </row>
    <row r="750" spans="1:2" x14ac:dyDescent="0.2">
      <c r="A750" s="41">
        <v>42491</v>
      </c>
      <c r="B750" s="21">
        <f>VLOOKUP(A750,'Database Rates'!$A$1:$D$1000,3,FALSE)</f>
        <v>0.37</v>
      </c>
    </row>
    <row r="751" spans="1:2" x14ac:dyDescent="0.2">
      <c r="A751" s="41">
        <v>42522</v>
      </c>
      <c r="B751" s="21">
        <f>VLOOKUP(A751,'Database Rates'!$A$1:$D$1000,3,FALSE)</f>
        <v>0.38</v>
      </c>
    </row>
    <row r="752" spans="1:2" x14ac:dyDescent="0.2">
      <c r="A752" s="41">
        <v>42552</v>
      </c>
      <c r="B752" s="21">
        <f>VLOOKUP(A752,'Database Rates'!$A$1:$D$1000,3,FALSE)</f>
        <v>0.39</v>
      </c>
    </row>
    <row r="753" spans="1:2" x14ac:dyDescent="0.2">
      <c r="A753" s="41">
        <v>42583</v>
      </c>
      <c r="B753" s="21">
        <f>VLOOKUP(A753,'Database Rates'!$A$1:$D$1000,3,FALSE)</f>
        <v>0.4</v>
      </c>
    </row>
    <row r="754" spans="1:2" x14ac:dyDescent="0.2">
      <c r="A754" s="41">
        <v>42614</v>
      </c>
      <c r="B754" s="21">
        <f>VLOOKUP(A754,'Database Rates'!$A$1:$D$1000,3,FALSE)</f>
        <v>0.4</v>
      </c>
    </row>
    <row r="755" spans="1:2" x14ac:dyDescent="0.2">
      <c r="A755" s="41">
        <v>42644</v>
      </c>
      <c r="B755" s="21">
        <f>VLOOKUP(A755,'Database Rates'!$A$1:$D$1000,3,FALSE)</f>
        <v>0.4</v>
      </c>
    </row>
    <row r="756" spans="1:2" x14ac:dyDescent="0.2">
      <c r="A756" s="41">
        <v>42675</v>
      </c>
      <c r="B756" s="21">
        <f>VLOOKUP(A756,'Database Rates'!$A$1:$D$1000,3,FALSE)</f>
        <v>0.41</v>
      </c>
    </row>
    <row r="757" spans="1:2" x14ac:dyDescent="0.2">
      <c r="A757" s="41">
        <v>42705</v>
      </c>
      <c r="B757" s="21">
        <f>VLOOKUP(A757,'Database Rates'!$A$1:$D$1000,3,FALSE)</f>
        <v>0.54</v>
      </c>
    </row>
    <row r="758" spans="1:2" x14ac:dyDescent="0.2">
      <c r="A758" s="41">
        <v>42736</v>
      </c>
      <c r="B758" s="21">
        <f>VLOOKUP(A758,'Database Rates'!$A$1:$D$1000,3,FALSE)</f>
        <v>0.65</v>
      </c>
    </row>
    <row r="759" spans="1:2" x14ac:dyDescent="0.2">
      <c r="A759" s="41">
        <v>42767</v>
      </c>
      <c r="B759" s="21">
        <f>VLOOKUP(A759,'Database Rates'!$A$1:$D$1000,3,FALSE)</f>
        <v>0.66</v>
      </c>
    </row>
    <row r="760" spans="1:2" x14ac:dyDescent="0.2">
      <c r="A760" s="41">
        <v>42795</v>
      </c>
      <c r="B760" s="21">
        <f>VLOOKUP(A760,'Database Rates'!$A$1:$D$1000,3,FALSE)</f>
        <v>0.79</v>
      </c>
    </row>
    <row r="761" spans="1:2" x14ac:dyDescent="0.2">
      <c r="A761" s="41">
        <v>42826</v>
      </c>
      <c r="B761" s="21">
        <f>VLOOKUP(A761,'Database Rates'!$A$1:$D$1000,3,FALSE)</f>
        <v>0.9</v>
      </c>
    </row>
    <row r="762" spans="1:2" x14ac:dyDescent="0.2">
      <c r="A762" s="41">
        <v>42856</v>
      </c>
      <c r="B762" s="21">
        <f>VLOOKUP(A762,'Database Rates'!$A$1:$D$1000,3,FALSE)</f>
        <v>0.91</v>
      </c>
    </row>
    <row r="763" spans="1:2" x14ac:dyDescent="0.2">
      <c r="A763" s="41">
        <v>42887</v>
      </c>
      <c r="B763" s="21">
        <f>VLOOKUP(A763,'Database Rates'!$A$1:$D$1000,3,FALSE)</f>
        <v>1.04</v>
      </c>
    </row>
    <row r="764" spans="1:2" x14ac:dyDescent="0.2">
      <c r="A764" s="41">
        <v>42917</v>
      </c>
      <c r="B764" s="21">
        <f>VLOOKUP(A764,'Database Rates'!$A$1:$D$1000,3,FALSE)</f>
        <v>1.1499999999999999</v>
      </c>
    </row>
    <row r="765" spans="1:2" x14ac:dyDescent="0.2">
      <c r="A765" s="41">
        <v>42948</v>
      </c>
      <c r="B765" s="21">
        <f>VLOOKUP(A765,'Database Rates'!$A$1:$D$1000,3,FALSE)</f>
        <v>1.1599999999999999</v>
      </c>
    </row>
    <row r="766" spans="1:2" x14ac:dyDescent="0.2">
      <c r="A766" s="41">
        <v>42979</v>
      </c>
      <c r="B766" s="21">
        <f>VLOOKUP(A766,'Database Rates'!$A$1:$D$1000,3,FALSE)</f>
        <v>1.1499999999999999</v>
      </c>
    </row>
    <row r="767" spans="1:2" x14ac:dyDescent="0.2">
      <c r="A767" s="41">
        <v>43009</v>
      </c>
      <c r="B767" s="21">
        <f>VLOOKUP(A767,'Database Rates'!$A$1:$D$1000,3,FALSE)</f>
        <v>1.1499999999999999</v>
      </c>
    </row>
    <row r="768" spans="1:2" x14ac:dyDescent="0.2">
      <c r="A768" s="41">
        <v>43040</v>
      </c>
      <c r="B768" s="21">
        <f>VLOOKUP(A768,'Database Rates'!$A$1:$D$1000,3,FALSE)</f>
        <v>1.1599999999999999</v>
      </c>
    </row>
    <row r="769" spans="1:2" x14ac:dyDescent="0.2">
      <c r="A769" s="41">
        <v>43070</v>
      </c>
      <c r="B769" s="21">
        <f>VLOOKUP(A769,'Database Rates'!$A$1:$D$1000,3,FALSE)</f>
        <v>1.3</v>
      </c>
    </row>
    <row r="770" spans="1:2" x14ac:dyDescent="0.2">
      <c r="A770" s="41">
        <v>43101</v>
      </c>
      <c r="B770" s="21">
        <f>VLOOKUP(A770,'Database Rates'!$A$1:$D$1000,3,FALSE)</f>
        <v>1.41</v>
      </c>
    </row>
    <row r="771" spans="1:2" x14ac:dyDescent="0.2">
      <c r="A771" s="41">
        <v>43132</v>
      </c>
      <c r="B771" s="21">
        <f>VLOOKUP(A771,'Database Rates'!$A$1:$D$1000,3,FALSE)</f>
        <v>1.42</v>
      </c>
    </row>
    <row r="772" spans="1:2" x14ac:dyDescent="0.2">
      <c r="A772" s="41">
        <v>43160</v>
      </c>
      <c r="B772" s="21">
        <f>VLOOKUP(A772,'Database Rates'!$A$1:$D$1000,3,FALSE)</f>
        <v>1.51</v>
      </c>
    </row>
    <row r="773" spans="1:2" x14ac:dyDescent="0.2">
      <c r="A773" s="41">
        <v>43191</v>
      </c>
      <c r="B773" s="21">
        <f>VLOOKUP(A773,'Database Rates'!$A$1:$D$1000,3,FALSE)</f>
        <v>1.69</v>
      </c>
    </row>
    <row r="774" spans="1:2" x14ac:dyDescent="0.2">
      <c r="A774" s="41">
        <v>43221</v>
      </c>
      <c r="B774" s="21">
        <f>VLOOKUP(A774,'Database Rates'!$A$1:$D$1000,3,FALSE)</f>
        <v>1.7</v>
      </c>
    </row>
    <row r="775" spans="1:2" x14ac:dyDescent="0.2">
      <c r="A775" s="41">
        <v>43252</v>
      </c>
      <c r="B775" s="21">
        <f>VLOOKUP(A775,'Database Rates'!$A$1:$D$1000,3,FALSE)</f>
        <v>1.82</v>
      </c>
    </row>
    <row r="776" spans="1:2" x14ac:dyDescent="0.2">
      <c r="A776" s="41">
        <v>43282</v>
      </c>
      <c r="B776" s="21">
        <f>VLOOKUP(A776,'Database Rates'!$A$1:$D$1000,3,FALSE)</f>
        <v>1.91</v>
      </c>
    </row>
    <row r="777" spans="1:2" x14ac:dyDescent="0.2">
      <c r="A777" s="41">
        <v>43313</v>
      </c>
      <c r="B777" s="21">
        <f>VLOOKUP(A777,'Database Rates'!$A$1:$D$1000,3,FALSE)</f>
        <v>1.91</v>
      </c>
    </row>
    <row r="778" spans="1:2" x14ac:dyDescent="0.2">
      <c r="A778" s="41">
        <v>43344</v>
      </c>
      <c r="B778" s="21">
        <f>VLOOKUP(A778,'Database Rates'!$A$1:$D$1000,3,FALSE)</f>
        <v>1.95</v>
      </c>
    </row>
    <row r="779" spans="1:2" x14ac:dyDescent="0.2">
      <c r="A779" s="41">
        <v>43374</v>
      </c>
      <c r="B779" s="21">
        <f>VLOOKUP(A779,'Database Rates'!$A$1:$D$1000,3,FALSE)</f>
        <v>2.19</v>
      </c>
    </row>
    <row r="780" spans="1:2" x14ac:dyDescent="0.2">
      <c r="A780" s="41">
        <v>43405</v>
      </c>
      <c r="B780" s="21">
        <f>VLOOKUP(A780,'Database Rates'!$A$1:$D$1000,3,FALSE)</f>
        <v>2.2000000000000002</v>
      </c>
    </row>
    <row r="781" spans="1:2" x14ac:dyDescent="0.2">
      <c r="A781" s="41">
        <v>43435</v>
      </c>
      <c r="B781" s="21">
        <f>VLOOKUP(A781,'Database Rates'!$A$1:$D$1000,3,FALSE)</f>
        <v>2.27</v>
      </c>
    </row>
    <row r="782" spans="1:2" x14ac:dyDescent="0.2">
      <c r="A782" s="41">
        <v>43466</v>
      </c>
      <c r="B782" s="21">
        <f>VLOOKUP(A782,'Database Rates'!$A$1:$D$1000,3,FALSE)</f>
        <v>2.4</v>
      </c>
    </row>
    <row r="783" spans="1:2" x14ac:dyDescent="0.2">
      <c r="A783" s="41">
        <v>43497</v>
      </c>
      <c r="B783" s="21">
        <f>VLOOKUP(A783,'Database Rates'!$A$1:$D$1000,3,FALSE)</f>
        <v>2.4</v>
      </c>
    </row>
    <row r="784" spans="1:2" x14ac:dyDescent="0.2">
      <c r="A784" s="41">
        <v>43525</v>
      </c>
      <c r="B784" s="21">
        <f>VLOOKUP(A784,'Database Rates'!$A$1:$D$1000,3,FALSE)</f>
        <v>2.41</v>
      </c>
    </row>
    <row r="785" spans="1:2" x14ac:dyDescent="0.2">
      <c r="A785" s="43">
        <v>43556</v>
      </c>
      <c r="B785" s="21">
        <f>VLOOKUP(A785,'Database Rates'!$A$1:$D$1000,3,FALSE)</f>
        <v>2.42</v>
      </c>
    </row>
    <row r="786" spans="1:2" x14ac:dyDescent="0.2">
      <c r="A786" s="41">
        <v>43586</v>
      </c>
      <c r="B786" s="21">
        <f>VLOOKUP(A786,'Database Rates'!$A$1:$D$1000,3,FALSE)</f>
        <v>2.39</v>
      </c>
    </row>
    <row r="787" spans="1:2" x14ac:dyDescent="0.2">
      <c r="A787" s="41">
        <v>43617</v>
      </c>
      <c r="B787" s="21">
        <f>VLOOKUP(A787,'Database Rates'!$A$1:$D$1000,3,FALSE)</f>
        <v>2.38</v>
      </c>
    </row>
    <row r="788" spans="1:2" x14ac:dyDescent="0.2">
      <c r="A788" s="41">
        <v>43647</v>
      </c>
      <c r="B788" s="21">
        <f>VLOOKUP(A788,'Database Rates'!$A$1:$D$1000,3,FALSE)</f>
        <v>2.4</v>
      </c>
    </row>
    <row r="789" spans="1:2" x14ac:dyDescent="0.2">
      <c r="A789" s="41">
        <v>43678</v>
      </c>
      <c r="B789" s="21">
        <f>VLOOKUP(A789,'Database Rates'!$A$1:$D$1000,3,FALSE)</f>
        <v>2.13</v>
      </c>
    </row>
    <row r="790" spans="1:2" x14ac:dyDescent="0.2">
      <c r="A790" s="41">
        <v>43709</v>
      </c>
      <c r="B790" s="21">
        <f>VLOOKUP(A790,'Database Rates'!$A$1:$D$1000,3,FALSE)</f>
        <v>2.04</v>
      </c>
    </row>
    <row r="791" spans="1:2" x14ac:dyDescent="0.2">
      <c r="A791" s="41">
        <v>43739</v>
      </c>
      <c r="B791" s="21">
        <f>VLOOKUP(A791,'Database Rates'!$A$1:$D$1000,3,FALSE)</f>
        <v>1.83</v>
      </c>
    </row>
    <row r="792" spans="1:2" x14ac:dyDescent="0.2">
      <c r="A792" s="41">
        <v>43770</v>
      </c>
      <c r="B792" s="21">
        <f>VLOOKUP(A792,'Database Rates'!$A$1:$D$1000,3,FALSE)</f>
        <v>1.55</v>
      </c>
    </row>
    <row r="793" spans="1:2" x14ac:dyDescent="0.2">
      <c r="A793" s="41">
        <v>43800</v>
      </c>
      <c r="B793" s="21">
        <f>VLOOKUP(A793,'Database Rates'!$A$1:$D$1000,3,FALSE)</f>
        <v>1.55</v>
      </c>
    </row>
    <row r="794" spans="1:2" x14ac:dyDescent="0.2">
      <c r="A794" s="41">
        <v>43831</v>
      </c>
      <c r="B794" s="21">
        <f>VLOOKUP(A794,'Database Rates'!$A$1:$D$1000,3,FALSE)</f>
        <v>1.55</v>
      </c>
    </row>
    <row r="795" spans="1:2" x14ac:dyDescent="0.2">
      <c r="A795" s="41">
        <v>43862</v>
      </c>
      <c r="B795" s="21">
        <f>VLOOKUP(A795,'Database Rates'!$A$1:$D$1000,3,FALSE)</f>
        <v>1.58</v>
      </c>
    </row>
    <row r="796" spans="1:2" x14ac:dyDescent="0.2">
      <c r="A796" s="42">
        <v>43891</v>
      </c>
      <c r="B796" s="21">
        <f>VLOOKUP(A796,'Database Rates'!$A$1:$D$1000,3,FALSE)</f>
        <v>0.65</v>
      </c>
    </row>
    <row r="797" spans="1:2" x14ac:dyDescent="0.2">
      <c r="A797" s="41">
        <v>43922</v>
      </c>
      <c r="B797" s="21">
        <f>VLOOKUP(A797,'Database Rates'!$A$1:$D$1000,3,FALSE)</f>
        <v>0.05</v>
      </c>
    </row>
    <row r="798" spans="1:2" x14ac:dyDescent="0.2">
      <c r="A798" s="42">
        <v>43952</v>
      </c>
      <c r="B798" s="21">
        <f>VLOOKUP(A798,'Database Rates'!$A$1:$D$1000,3,FALSE)</f>
        <v>0.05</v>
      </c>
    </row>
    <row r="799" spans="1:2" x14ac:dyDescent="0.2">
      <c r="A799" s="41">
        <v>43983</v>
      </c>
      <c r="B799" s="21">
        <f>VLOOKUP(A799,'Database Rates'!$A$1:$D$1000,3,FALSE)</f>
        <v>0.08</v>
      </c>
    </row>
    <row r="800" spans="1:2" x14ac:dyDescent="0.2">
      <c r="A800" s="42">
        <v>44013</v>
      </c>
      <c r="B800" s="21">
        <f>VLOOKUP(A800,'Database Rates'!$A$1:$D$1000,3,FALSE)</f>
        <v>0.09</v>
      </c>
    </row>
    <row r="801" spans="1:2" x14ac:dyDescent="0.2">
      <c r="A801" s="41">
        <v>44044</v>
      </c>
      <c r="B801" s="21">
        <f>VLOOKUP(A801,'Database Rates'!$A$1:$D$1000,3,FALSE)</f>
        <v>0.1</v>
      </c>
    </row>
    <row r="802" spans="1:2" x14ac:dyDescent="0.2">
      <c r="A802" s="42">
        <v>44075</v>
      </c>
      <c r="B802" s="21">
        <f>VLOOKUP(A802,'Database Rates'!$A$1:$D$1000,3,FALSE)</f>
        <v>0.09</v>
      </c>
    </row>
    <row r="803" spans="1:2" x14ac:dyDescent="0.2">
      <c r="A803" s="41">
        <v>44105</v>
      </c>
      <c r="B803" s="21">
        <f>VLOOKUP(A803,'Database Rates'!$A$1:$D$1000,3,FALSE)</f>
        <v>0.09</v>
      </c>
    </row>
    <row r="804" spans="1:2" x14ac:dyDescent="0.2">
      <c r="A804" s="42">
        <v>44136</v>
      </c>
      <c r="B804" s="21">
        <f>VLOOKUP(A804,'Database Rates'!$A$1:$D$1000,3,FALSE)</f>
        <v>0.09</v>
      </c>
    </row>
    <row r="805" spans="1:2" x14ac:dyDescent="0.2">
      <c r="A805" s="41">
        <v>44166</v>
      </c>
      <c r="B805" s="21">
        <f>VLOOKUP(A805,'Database Rates'!$A$1:$D$1000,3,FALSE)</f>
        <v>0.09</v>
      </c>
    </row>
    <row r="806" spans="1:2" x14ac:dyDescent="0.2">
      <c r="A806" s="42">
        <v>44197</v>
      </c>
      <c r="B806" s="21">
        <f>VLOOKUP(A806,'Database Rates'!$A$1:$D$1000,3,FALSE)</f>
        <v>0.09</v>
      </c>
    </row>
    <row r="807" spans="1:2" x14ac:dyDescent="0.2">
      <c r="A807" s="41">
        <v>44228</v>
      </c>
      <c r="B807" s="21">
        <f>VLOOKUP(A807,'Database Rates'!$A$1:$D$1000,3,FALSE)</f>
        <v>0.08</v>
      </c>
    </row>
    <row r="808" spans="1:2" x14ac:dyDescent="0.2">
      <c r="A808" s="42">
        <v>44256</v>
      </c>
      <c r="B808" s="21">
        <f>VLOOKUP(A808,'Database Rates'!$A$1:$D$1000,3,FALSE)</f>
        <v>7.0000000000000007E-2</v>
      </c>
    </row>
    <row r="809" spans="1:2" x14ac:dyDescent="0.2">
      <c r="A809" s="41">
        <v>44287</v>
      </c>
      <c r="B809" s="21">
        <f>VLOOKUP(A809,'Database Rates'!$A$1:$D$1000,3,FALSE)</f>
        <v>7.0000000000000007E-2</v>
      </c>
    </row>
    <row r="810" spans="1:2" x14ac:dyDescent="0.2">
      <c r="A810" s="42">
        <v>44317</v>
      </c>
      <c r="B810" s="21">
        <f>VLOOKUP(A810,'Database Rates'!$A$1:$D$1000,3,FALSE)</f>
        <v>0.06</v>
      </c>
    </row>
    <row r="811" spans="1:2" x14ac:dyDescent="0.2">
      <c r="A811" s="41">
        <v>44348</v>
      </c>
      <c r="B811" s="21">
        <f>VLOOKUP(A811,'Database Rates'!$A$1:$D$1000,3,FALSE)</f>
        <v>0.08</v>
      </c>
    </row>
    <row r="812" spans="1:2" x14ac:dyDescent="0.2">
      <c r="A812" s="42">
        <v>44378</v>
      </c>
      <c r="B812" s="21">
        <f>VLOOKUP(A812,'Database Rates'!$A$1:$D$1000,3,FALSE)</f>
        <v>0.1</v>
      </c>
    </row>
    <row r="813" spans="1:2" x14ac:dyDescent="0.2">
      <c r="A813" s="41">
        <v>44409</v>
      </c>
      <c r="B813" s="21">
        <f>VLOOKUP(A813,'Database Rates'!$A$1:$D$1000,3,FALSE)</f>
        <v>0.09</v>
      </c>
    </row>
    <row r="814" spans="1:2" x14ac:dyDescent="0.2">
      <c r="A814" s="41">
        <v>44440</v>
      </c>
      <c r="B814" s="21">
        <f>VLOOKUP(A814,'Database Rates'!$A$1:$D$1000,3,FALSE)</f>
        <v>0.08</v>
      </c>
    </row>
    <row r="815" spans="1:2" x14ac:dyDescent="0.2">
      <c r="A815" s="42">
        <v>44470</v>
      </c>
      <c r="B815" s="21">
        <f>VLOOKUP(A815,'Database Rates'!$A$1:$D$1000,3,FALSE)</f>
        <v>0.08</v>
      </c>
    </row>
    <row r="816" spans="1:2" x14ac:dyDescent="0.2">
      <c r="A816" s="41">
        <v>44501</v>
      </c>
      <c r="B816" s="21">
        <f>VLOOKUP(A816,'Database Rates'!$A$1:$D$1000,3,FALSE)</f>
        <v>0.08</v>
      </c>
    </row>
    <row r="817" spans="1:2" x14ac:dyDescent="0.2">
      <c r="A817" s="41">
        <v>44531</v>
      </c>
      <c r="B817" s="21">
        <f>VLOOKUP(A817,'Database Rates'!$A$1:$D$1000,3,FALSE)</f>
        <v>0.08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62"/>
  <sheetViews>
    <sheetView zoomScale="140" zoomScaleNormal="140" workbookViewId="0">
      <pane ySplit="6" topLeftCell="A717" activePane="bottomLeft" state="frozen"/>
      <selection pane="bottomLeft" activeCell="T741" sqref="T741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2" customWidth="1"/>
    <col min="5" max="5" width="18.1640625" style="52" customWidth="1"/>
    <col min="6" max="17" width="9.1640625" style="52" customWidth="1"/>
    <col min="18" max="16384" width="9.1640625" style="52"/>
  </cols>
  <sheetData>
    <row r="1" spans="1:5" x14ac:dyDescent="0.2">
      <c r="A1" s="5" t="s">
        <v>49</v>
      </c>
    </row>
    <row r="3" spans="1:5" x14ac:dyDescent="0.2">
      <c r="A3" s="52" t="s">
        <v>50</v>
      </c>
      <c r="B3" s="6">
        <f>AVERAGE(D8:D755)</f>
        <v>7.2514526126373921E-2</v>
      </c>
    </row>
    <row r="4" spans="1:5" x14ac:dyDescent="0.2">
      <c r="A4" s="52"/>
      <c r="B4" s="6">
        <f>_xlfn.STDEV.S(D8:D755)</f>
        <v>6.7002655453035798E-2</v>
      </c>
    </row>
    <row r="5" spans="1:5" ht="16" customHeight="1" thickBot="1" x14ac:dyDescent="0.25"/>
    <row r="6" spans="1:5" ht="39.75" customHeight="1" thickBot="1" x14ac:dyDescent="0.25">
      <c r="A6" s="30" t="s">
        <v>51</v>
      </c>
      <c r="B6" s="31" t="s">
        <v>52</v>
      </c>
      <c r="C6" s="32" t="s">
        <v>53</v>
      </c>
      <c r="D6" s="32" t="s">
        <v>54</v>
      </c>
      <c r="E6" s="33" t="s">
        <v>55</v>
      </c>
    </row>
    <row r="7" spans="1:5" x14ac:dyDescent="0.2">
      <c r="A7" s="28">
        <v>21551</v>
      </c>
      <c r="B7" s="44">
        <f>VLOOKUP(A7,'Database Rates'!$A$1:$D$1000,4,FALSE)</f>
        <v>286.60000000000002</v>
      </c>
      <c r="C7" s="29"/>
      <c r="D7" s="29"/>
      <c r="E7" s="29"/>
    </row>
    <row r="8" spans="1:5" x14ac:dyDescent="0.2">
      <c r="A8" s="24">
        <v>21582</v>
      </c>
      <c r="B8" s="44">
        <f>VLOOKUP(A8,'Database Rates'!$A$1:$D$1000,4,FALSE)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2">
      <c r="A9" s="24">
        <v>21610</v>
      </c>
      <c r="B9" s="44">
        <f>VLOOKUP(A9,'Database Rates'!$A$1:$D$1000,4,FALSE)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6.4390821296758549E-2</v>
      </c>
      <c r="E9" s="25"/>
    </row>
    <row r="10" spans="1:5" x14ac:dyDescent="0.2">
      <c r="A10" s="24">
        <v>21641</v>
      </c>
      <c r="B10" s="44">
        <f>VLOOKUP(A10,'Database Rates'!$A$1:$D$1000,4,FALSE)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2">
      <c r="A11" s="24">
        <v>21671</v>
      </c>
      <c r="B11" s="44">
        <f>VLOOKUP(A11,'Database Rates'!$A$1:$D$1000,4,FALSE)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2">
      <c r="A12" s="24">
        <v>21702</v>
      </c>
      <c r="B12" s="44">
        <f>VLOOKUP(A12,'Database Rates'!$A$1:$D$1000,4,FALSE)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2">
      <c r="A13" s="24">
        <v>21732</v>
      </c>
      <c r="B13" s="44">
        <f>VLOOKUP(A13,'Database Rates'!$A$1:$D$1000,4,FALSE)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2">
      <c r="A14" s="24">
        <v>21763</v>
      </c>
      <c r="B14" s="44">
        <f>VLOOKUP(A14,'Database Rates'!$A$1:$D$1000,4,FALSE)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2">
      <c r="A15" s="24">
        <v>21794</v>
      </c>
      <c r="B15" s="44">
        <f>VLOOKUP(A15,'Database Rates'!$A$1:$D$1000,4,FALSE)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2">
      <c r="A16" s="24">
        <v>21824</v>
      </c>
      <c r="B16" s="44">
        <f>VLOOKUP(A16,'Database Rates'!$A$1:$D$1000,4,FALSE)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2">
      <c r="A17" s="24">
        <v>21855</v>
      </c>
      <c r="B17" s="44">
        <f>VLOOKUP(A17,'Database Rates'!$A$1:$D$1000,4,FALSE)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2">
      <c r="A18" s="24">
        <v>21885</v>
      </c>
      <c r="B18" s="44">
        <f>VLOOKUP(A18,'Database Rates'!$A$1:$D$1000,4,FALSE)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2">
      <c r="A19" s="24">
        <v>21916</v>
      </c>
      <c r="B19" s="44">
        <f>VLOOKUP(A19,'Database Rates'!$A$1:$D$1000,4,FALSE)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2">
      <c r="A20" s="24">
        <v>21947</v>
      </c>
      <c r="B20" s="44">
        <f>VLOOKUP(A20,'Database Rates'!$A$1:$D$1000,4,FALSE)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2">
      <c r="A21" s="24">
        <v>21976</v>
      </c>
      <c r="B21" s="44">
        <f>VLOOKUP(A21,'Database Rates'!$A$1:$D$1000,4,FALSE)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2">
      <c r="A22" s="24">
        <v>22007</v>
      </c>
      <c r="B22" s="44">
        <f>VLOOKUP(A22,'Database Rates'!$A$1:$D$1000,4,FALSE)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2">
      <c r="A23" s="24">
        <v>22037</v>
      </c>
      <c r="B23" s="44">
        <f>VLOOKUP(A23,'Database Rates'!$A$1:$D$1000,4,FALSE)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2">
      <c r="A24" s="24">
        <v>22068</v>
      </c>
      <c r="B24" s="44">
        <f>VLOOKUP(A24,'Database Rates'!$A$1:$D$1000,4,FALSE)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2">
      <c r="A25" s="24">
        <v>22098</v>
      </c>
      <c r="B25" s="44">
        <f>VLOOKUP(A25,'Database Rates'!$A$1:$D$1000,4,FALSE)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2">
      <c r="A26" s="24">
        <v>22129</v>
      </c>
      <c r="B26" s="44">
        <f>VLOOKUP(A26,'Database Rates'!$A$1:$D$1000,4,FALSE)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2">
      <c r="A27" s="24">
        <v>22160</v>
      </c>
      <c r="B27" s="44">
        <f>VLOOKUP(A27,'Database Rates'!$A$1:$D$1000,4,FALSE)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2">
      <c r="A28" s="24">
        <v>22190</v>
      </c>
      <c r="B28" s="44">
        <f>VLOOKUP(A28,'Database Rates'!$A$1:$D$1000,4,FALSE)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2">
      <c r="A29" s="24">
        <v>22221</v>
      </c>
      <c r="B29" s="44">
        <f>VLOOKUP(A29,'Database Rates'!$A$1:$D$1000,4,FALSE)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2">
      <c r="A30" s="24">
        <v>22251</v>
      </c>
      <c r="B30" s="44">
        <f>VLOOKUP(A30,'Database Rates'!$A$1:$D$1000,4,FALSE)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2">
      <c r="A31" s="24">
        <v>22282</v>
      </c>
      <c r="B31" s="44">
        <f>VLOOKUP(A31,'Database Rates'!$A$1:$D$1000,4,FALSE)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2">
      <c r="A32" s="24">
        <v>22313</v>
      </c>
      <c r="B32" s="44">
        <f>VLOOKUP(A32,'Database Rates'!$A$1:$D$1000,4,FALSE)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2">
      <c r="A33" s="24">
        <v>22341</v>
      </c>
      <c r="B33" s="44">
        <f>VLOOKUP(A33,'Database Rates'!$A$1:$D$1000,4,FALSE)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2">
      <c r="A34" s="24">
        <v>22372</v>
      </c>
      <c r="B34" s="44">
        <f>VLOOKUP(A34,'Database Rates'!$A$1:$D$1000,4,FALSE)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2">
      <c r="A35" s="24">
        <v>22402</v>
      </c>
      <c r="B35" s="44">
        <f>VLOOKUP(A35,'Database Rates'!$A$1:$D$1000,4,FALSE)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2">
      <c r="A36" s="24">
        <v>22433</v>
      </c>
      <c r="B36" s="44">
        <f>VLOOKUP(A36,'Database Rates'!$A$1:$D$1000,4,FALSE)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2">
      <c r="A37" s="24">
        <v>22463</v>
      </c>
      <c r="B37" s="44">
        <f>VLOOKUP(A37,'Database Rates'!$A$1:$D$1000,4,FALSE)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2">
      <c r="A38" s="24">
        <v>22494</v>
      </c>
      <c r="B38" s="44">
        <f>VLOOKUP(A38,'Database Rates'!$A$1:$D$1000,4,FALSE)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2">
      <c r="A39" s="24">
        <v>22525</v>
      </c>
      <c r="B39" s="44">
        <f>VLOOKUP(A39,'Database Rates'!$A$1:$D$1000,4,FALSE)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2">
      <c r="A40" s="24">
        <v>22555</v>
      </c>
      <c r="B40" s="44">
        <f>VLOOKUP(A40,'Database Rates'!$A$1:$D$1000,4,FALSE)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2">
      <c r="A41" s="24">
        <v>22586</v>
      </c>
      <c r="B41" s="44">
        <f>VLOOKUP(A41,'Database Rates'!$A$1:$D$1000,4,FALSE)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2">
      <c r="A42" s="24">
        <v>22616</v>
      </c>
      <c r="B42" s="44">
        <f>VLOOKUP(A42,'Database Rates'!$A$1:$D$1000,4,FALSE)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2">
      <c r="A43" s="24">
        <v>22647</v>
      </c>
      <c r="B43" s="44">
        <f>VLOOKUP(A43,'Database Rates'!$A$1:$D$1000,4,FALSE)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2">
      <c r="A44" s="24">
        <v>22678</v>
      </c>
      <c r="B44" s="44">
        <f>VLOOKUP(A44,'Database Rates'!$A$1:$D$1000,4,FALSE)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2">
      <c r="A45" s="24">
        <v>22706</v>
      </c>
      <c r="B45" s="44">
        <f>VLOOKUP(A45,'Database Rates'!$A$1:$D$1000,4,FALSE)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2">
      <c r="A46" s="24">
        <v>22737</v>
      </c>
      <c r="B46" s="44">
        <f>VLOOKUP(A46,'Database Rates'!$A$1:$D$1000,4,FALSE)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2">
      <c r="A47" s="24">
        <v>22767</v>
      </c>
      <c r="B47" s="44">
        <f>VLOOKUP(A47,'Database Rates'!$A$1:$D$1000,4,FALSE)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2">
      <c r="A48" s="24">
        <v>22798</v>
      </c>
      <c r="B48" s="44">
        <f>VLOOKUP(A48,'Database Rates'!$A$1:$D$1000,4,FALSE)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2">
      <c r="A49" s="24">
        <v>22828</v>
      </c>
      <c r="B49" s="44">
        <f>VLOOKUP(A49,'Database Rates'!$A$1:$D$1000,4,FALSE)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2">
      <c r="A50" s="24">
        <v>22859</v>
      </c>
      <c r="B50" s="44">
        <f>VLOOKUP(A50,'Database Rates'!$A$1:$D$1000,4,FALSE)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2">
      <c r="A51" s="24">
        <v>22890</v>
      </c>
      <c r="B51" s="44">
        <f>VLOOKUP(A51,'Database Rates'!$A$1:$D$1000,4,FALSE)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2">
      <c r="A52" s="24">
        <v>22920</v>
      </c>
      <c r="B52" s="44">
        <f>VLOOKUP(A52,'Database Rates'!$A$1:$D$1000,4,FALSE)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2">
      <c r="A53" s="24">
        <v>22951</v>
      </c>
      <c r="B53" s="44">
        <f>VLOOKUP(A53,'Database Rates'!$A$1:$D$1000,4,FALSE)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2">
      <c r="A54" s="24">
        <v>22981</v>
      </c>
      <c r="B54" s="44">
        <f>VLOOKUP(A54,'Database Rates'!$A$1:$D$1000,4,FALSE)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2">
      <c r="A55" s="24">
        <v>23012</v>
      </c>
      <c r="B55" s="44">
        <f>VLOOKUP(A55,'Database Rates'!$A$1:$D$1000,4,FALSE)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2">
      <c r="A56" s="24">
        <v>23043</v>
      </c>
      <c r="B56" s="44">
        <f>VLOOKUP(A56,'Database Rates'!$A$1:$D$1000,4,FALSE)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2">
      <c r="A57" s="24">
        <v>23071</v>
      </c>
      <c r="B57" s="44">
        <f>VLOOKUP(A57,'Database Rates'!$A$1:$D$1000,4,FALSE)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2">
      <c r="A58" s="24">
        <v>23102</v>
      </c>
      <c r="B58" s="44">
        <f>VLOOKUP(A58,'Database Rates'!$A$1:$D$1000,4,FALSE)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2">
      <c r="A59" s="24">
        <v>23132</v>
      </c>
      <c r="B59" s="44">
        <f>VLOOKUP(A59,'Database Rates'!$A$1:$D$1000,4,FALSE)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9.3815622570933677E-2</v>
      </c>
      <c r="E59" s="26">
        <f>(Table267[[#This Row],[M2 Money Stock, Billions of Dollars, Weekly, Seasonally Adjusted]]-B47)/B47</f>
        <v>8.2302158273381359E-2</v>
      </c>
    </row>
    <row r="60" spans="1:5" x14ac:dyDescent="0.2">
      <c r="A60" s="24">
        <v>23163</v>
      </c>
      <c r="B60" s="44">
        <f>VLOOKUP(A60,'Database Rates'!$A$1:$D$1000,4,FALSE)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2">
      <c r="A61" s="24">
        <v>23193</v>
      </c>
      <c r="B61" s="44">
        <f>VLOOKUP(A61,'Database Rates'!$A$1:$D$1000,4,FALSE)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2">
      <c r="A62" s="24">
        <v>23224</v>
      </c>
      <c r="B62" s="44">
        <f>VLOOKUP(A62,'Database Rates'!$A$1:$D$1000,4,FALSE)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2">
      <c r="A63" s="24">
        <v>23255</v>
      </c>
      <c r="B63" s="44">
        <f>VLOOKUP(A63,'Database Rates'!$A$1:$D$1000,4,FALSE)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2">
      <c r="A64" s="24">
        <v>23285</v>
      </c>
      <c r="B64" s="44">
        <f>VLOOKUP(A64,'Database Rates'!$A$1:$D$1000,4,FALSE)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2">
      <c r="A65" s="24">
        <v>23316</v>
      </c>
      <c r="B65" s="44">
        <f>VLOOKUP(A65,'Database Rates'!$A$1:$D$1000,4,FALSE)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2">
      <c r="A66" s="24">
        <v>23346</v>
      </c>
      <c r="B66" s="44">
        <f>VLOOKUP(A66,'Database Rates'!$A$1:$D$1000,4,FALSE)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2">
      <c r="A67" s="24">
        <v>23377</v>
      </c>
      <c r="B67" s="44">
        <f>VLOOKUP(A67,'Database Rates'!$A$1:$D$1000,4,FALSE)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2">
      <c r="A68" s="24">
        <v>23408</v>
      </c>
      <c r="B68" s="44">
        <f>VLOOKUP(A68,'Database Rates'!$A$1:$D$1000,4,FALSE)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2">
      <c r="A69" s="24">
        <v>23437</v>
      </c>
      <c r="B69" s="44">
        <f>VLOOKUP(A69,'Database Rates'!$A$1:$D$1000,4,FALSE)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2">
      <c r="A70" s="24">
        <v>23468</v>
      </c>
      <c r="B70" s="44">
        <f>VLOOKUP(A70,'Database Rates'!$A$1:$D$1000,4,FALSE)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2">
      <c r="A71" s="24">
        <v>23498</v>
      </c>
      <c r="B71" s="44">
        <f>VLOOKUP(A71,'Database Rates'!$A$1:$D$1000,4,FALSE)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2">
      <c r="A72" s="24">
        <v>23529</v>
      </c>
      <c r="B72" s="44">
        <f>VLOOKUP(A72,'Database Rates'!$A$1:$D$1000,4,FALSE)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2">
      <c r="A73" s="24">
        <v>23559</v>
      </c>
      <c r="B73" s="44">
        <f>VLOOKUP(A73,'Database Rates'!$A$1:$D$1000,4,FALSE)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2">
      <c r="A74" s="24">
        <v>23590</v>
      </c>
      <c r="B74" s="44">
        <f>VLOOKUP(A74,'Database Rates'!$A$1:$D$1000,4,FALSE)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2">
      <c r="A75" s="24">
        <v>23621</v>
      </c>
      <c r="B75" s="44">
        <f>VLOOKUP(A75,'Database Rates'!$A$1:$D$1000,4,FALSE)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2">
      <c r="A76" s="24">
        <v>23651</v>
      </c>
      <c r="B76" s="44">
        <f>VLOOKUP(A76,'Database Rates'!$A$1:$D$1000,4,FALSE)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2">
      <c r="A77" s="24">
        <v>23682</v>
      </c>
      <c r="B77" s="44">
        <f>VLOOKUP(A77,'Database Rates'!$A$1:$D$1000,4,FALSE)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2">
      <c r="A78" s="24">
        <v>23712</v>
      </c>
      <c r="B78" s="44">
        <f>VLOOKUP(A78,'Database Rates'!$A$1:$D$1000,4,FALSE)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2">
      <c r="A79" s="24">
        <v>23743</v>
      </c>
      <c r="B79" s="44">
        <f>VLOOKUP(A79,'Database Rates'!$A$1:$D$1000,4,FALSE)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2">
      <c r="A80" s="24">
        <v>23774</v>
      </c>
      <c r="B80" s="44">
        <f>VLOOKUP(A80,'Database Rates'!$A$1:$D$1000,4,FALSE)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2">
      <c r="A81" s="24">
        <v>23802</v>
      </c>
      <c r="B81" s="44">
        <f>VLOOKUP(A81,'Database Rates'!$A$1:$D$1000,4,FALSE)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2">
      <c r="A82" s="24">
        <v>23833</v>
      </c>
      <c r="B82" s="44">
        <f>VLOOKUP(A82,'Database Rates'!$A$1:$D$1000,4,FALSE)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2">
      <c r="A83" s="24">
        <v>23863</v>
      </c>
      <c r="B83" s="44">
        <f>VLOOKUP(A83,'Database Rates'!$A$1:$D$1000,4,FALSE)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2">
      <c r="A84" s="24">
        <v>23894</v>
      </c>
      <c r="B84" s="44">
        <f>VLOOKUP(A84,'Database Rates'!$A$1:$D$1000,4,FALSE)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2">
      <c r="A85" s="24">
        <v>23924</v>
      </c>
      <c r="B85" s="44">
        <f>VLOOKUP(A85,'Database Rates'!$A$1:$D$1000,4,FALSE)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2">
      <c r="A86" s="24">
        <v>23955</v>
      </c>
      <c r="B86" s="44">
        <f>VLOOKUP(A86,'Database Rates'!$A$1:$D$1000,4,FALSE)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2">
      <c r="A87" s="24">
        <v>23986</v>
      </c>
      <c r="B87" s="44">
        <f>VLOOKUP(A87,'Database Rates'!$A$1:$D$1000,4,FALSE)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2">
      <c r="A88" s="24">
        <v>24016</v>
      </c>
      <c r="B88" s="44">
        <f>VLOOKUP(A88,'Database Rates'!$A$1:$D$1000,4,FALSE)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2">
      <c r="A89" s="24">
        <v>24047</v>
      </c>
      <c r="B89" s="44">
        <f>VLOOKUP(A89,'Database Rates'!$A$1:$D$1000,4,FALSE)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2">
      <c r="A90" s="24">
        <v>24077</v>
      </c>
      <c r="B90" s="44">
        <f>VLOOKUP(A90,'Database Rates'!$A$1:$D$1000,4,FALSE)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2">
      <c r="A91" s="24">
        <v>24108</v>
      </c>
      <c r="B91" s="44">
        <f>VLOOKUP(A91,'Database Rates'!$A$1:$D$1000,4,FALSE)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2">
      <c r="A92" s="24">
        <v>24139</v>
      </c>
      <c r="B92" s="44">
        <f>VLOOKUP(A92,'Database Rates'!$A$1:$D$1000,4,FALSE)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2">
      <c r="A93" s="24">
        <v>24167</v>
      </c>
      <c r="B93" s="44">
        <f>VLOOKUP(A93,'Database Rates'!$A$1:$D$1000,4,FALSE)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2">
      <c r="A94" s="24">
        <v>24198</v>
      </c>
      <c r="B94" s="44">
        <f>VLOOKUP(A94,'Database Rates'!$A$1:$D$1000,4,FALSE)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2">
      <c r="A95" s="24">
        <v>24228</v>
      </c>
      <c r="B95" s="44">
        <f>VLOOKUP(A95,'Database Rates'!$A$1:$D$1000,4,FALSE)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2">
      <c r="A96" s="24">
        <v>24259</v>
      </c>
      <c r="B96" s="44">
        <f>VLOOKUP(A96,'Database Rates'!$A$1:$D$1000,4,FALSE)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2">
      <c r="A97" s="24">
        <v>24289</v>
      </c>
      <c r="B97" s="44">
        <f>VLOOKUP(A97,'Database Rates'!$A$1:$D$1000,4,FALSE)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2">
      <c r="A98" s="24">
        <v>24320</v>
      </c>
      <c r="B98" s="44">
        <f>VLOOKUP(A98,'Database Rates'!$A$1:$D$1000,4,FALSE)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2">
      <c r="A99" s="24">
        <v>24351</v>
      </c>
      <c r="B99" s="44">
        <f>VLOOKUP(A99,'Database Rates'!$A$1:$D$1000,4,FALSE)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2">
      <c r="A100" s="24">
        <v>24381</v>
      </c>
      <c r="B100" s="44">
        <f>VLOOKUP(A100,'Database Rates'!$A$1:$D$1000,4,FALSE)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2">
      <c r="A101" s="24">
        <v>24412</v>
      </c>
      <c r="B101" s="44">
        <f>VLOOKUP(A101,'Database Rates'!$A$1:$D$1000,4,FALSE)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2">
      <c r="A102" s="24">
        <v>24442</v>
      </c>
      <c r="B102" s="44">
        <f>VLOOKUP(A102,'Database Rates'!$A$1:$D$1000,4,FALSE)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2">
      <c r="A103" s="24">
        <v>24473</v>
      </c>
      <c r="B103" s="44">
        <f>VLOOKUP(A103,'Database Rates'!$A$1:$D$1000,4,FALSE)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2">
      <c r="A104" s="24">
        <v>24504</v>
      </c>
      <c r="B104" s="44">
        <f>VLOOKUP(A104,'Database Rates'!$A$1:$D$1000,4,FALSE)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2">
      <c r="A105" s="24">
        <v>24532</v>
      </c>
      <c r="B105" s="44">
        <f>VLOOKUP(A105,'Database Rates'!$A$1:$D$1000,4,FALSE)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2">
      <c r="A106" s="24">
        <v>24563</v>
      </c>
      <c r="B106" s="44">
        <f>VLOOKUP(A106,'Database Rates'!$A$1:$D$1000,4,FALSE)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2">
      <c r="A107" s="24">
        <v>24593</v>
      </c>
      <c r="B107" s="44">
        <f>VLOOKUP(A107,'Database Rates'!$A$1:$D$1000,4,FALSE)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2">
      <c r="A108" s="24">
        <v>24624</v>
      </c>
      <c r="B108" s="44">
        <f>VLOOKUP(A108,'Database Rates'!$A$1:$D$1000,4,FALSE)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2">
      <c r="A109" s="24">
        <v>24654</v>
      </c>
      <c r="B109" s="44">
        <f>VLOOKUP(A109,'Database Rates'!$A$1:$D$1000,4,FALSE)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2">
      <c r="A110" s="24">
        <v>24685</v>
      </c>
      <c r="B110" s="44">
        <f>VLOOKUP(A110,'Database Rates'!$A$1:$D$1000,4,FALSE)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2">
      <c r="A111" s="24">
        <v>24716</v>
      </c>
      <c r="B111" s="44">
        <f>VLOOKUP(A111,'Database Rates'!$A$1:$D$1000,4,FALSE)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2">
      <c r="A112" s="24">
        <v>24746</v>
      </c>
      <c r="B112" s="44">
        <f>VLOOKUP(A112,'Database Rates'!$A$1:$D$1000,4,FALSE)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2">
      <c r="A113" s="24">
        <v>24777</v>
      </c>
      <c r="B113" s="44">
        <f>VLOOKUP(A113,'Database Rates'!$A$1:$D$1000,4,FALSE)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2">
      <c r="A114" s="24">
        <v>24807</v>
      </c>
      <c r="B114" s="44">
        <f>VLOOKUP(A114,'Database Rates'!$A$1:$D$1000,4,FALSE)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2">
      <c r="A115" s="24">
        <v>24838</v>
      </c>
      <c r="B115" s="44">
        <f>VLOOKUP(A115,'Database Rates'!$A$1:$D$1000,4,FALSE)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2">
      <c r="A116" s="24">
        <v>24869</v>
      </c>
      <c r="B116" s="44">
        <f>VLOOKUP(A116,'Database Rates'!$A$1:$D$1000,4,FALSE)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2">
      <c r="A117" s="24">
        <v>24898</v>
      </c>
      <c r="B117" s="44">
        <f>VLOOKUP(A117,'Database Rates'!$A$1:$D$1000,4,FALSE)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2">
      <c r="A118" s="24">
        <v>24929</v>
      </c>
      <c r="B118" s="44">
        <f>VLOOKUP(A118,'Database Rates'!$A$1:$D$1000,4,FALSE)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2">
      <c r="A119" s="24">
        <v>24959</v>
      </c>
      <c r="B119" s="44">
        <f>VLOOKUP(A119,'Database Rates'!$A$1:$D$1000,4,FALSE)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2">
      <c r="A120" s="24">
        <v>24990</v>
      </c>
      <c r="B120" s="44">
        <f>VLOOKUP(A120,'Database Rates'!$A$1:$D$1000,4,FALSE)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2">
      <c r="A121" s="24">
        <v>25020</v>
      </c>
      <c r="B121" s="44">
        <f>VLOOKUP(A121,'Database Rates'!$A$1:$D$1000,4,FALSE)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2">
      <c r="A122" s="24">
        <v>25051</v>
      </c>
      <c r="B122" s="44">
        <f>VLOOKUP(A122,'Database Rates'!$A$1:$D$1000,4,FALSE)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2">
      <c r="A123" s="24">
        <v>25082</v>
      </c>
      <c r="B123" s="44">
        <f>VLOOKUP(A123,'Database Rates'!$A$1:$D$1000,4,FALSE)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2">
      <c r="A124" s="24">
        <v>25112</v>
      </c>
      <c r="B124" s="44">
        <f>VLOOKUP(A124,'Database Rates'!$A$1:$D$1000,4,FALSE)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2">
      <c r="A125" s="24">
        <v>25143</v>
      </c>
      <c r="B125" s="44">
        <f>VLOOKUP(A125,'Database Rates'!$A$1:$D$1000,4,FALSE)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2">
      <c r="A126" s="24">
        <v>25173</v>
      </c>
      <c r="B126" s="44">
        <f>VLOOKUP(A126,'Database Rates'!$A$1:$D$1000,4,FALSE)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2">
      <c r="A127" s="24">
        <v>25204</v>
      </c>
      <c r="B127" s="44">
        <f>VLOOKUP(A127,'Database Rates'!$A$1:$D$1000,4,FALSE)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2">
      <c r="A128" s="24">
        <v>25235</v>
      </c>
      <c r="B128" s="44">
        <f>VLOOKUP(A128,'Database Rates'!$A$1:$D$1000,4,FALSE)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2">
      <c r="A129" s="24">
        <v>25263</v>
      </c>
      <c r="B129" s="44">
        <f>VLOOKUP(A129,'Database Rates'!$A$1:$D$1000,4,FALSE)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2">
      <c r="A130" s="24">
        <v>25294</v>
      </c>
      <c r="B130" s="44">
        <f>VLOOKUP(A130,'Database Rates'!$A$1:$D$1000,4,FALSE)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2">
      <c r="A131" s="24">
        <v>25324</v>
      </c>
      <c r="B131" s="44">
        <f>VLOOKUP(A131,'Database Rates'!$A$1:$D$1000,4,FALSE)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2">
      <c r="A132" s="24">
        <v>25355</v>
      </c>
      <c r="B132" s="44">
        <f>VLOOKUP(A132,'Database Rates'!$A$1:$D$1000,4,FALSE)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2">
      <c r="A133" s="24">
        <v>25385</v>
      </c>
      <c r="B133" s="44">
        <f>VLOOKUP(A133,'Database Rates'!$A$1:$D$1000,4,FALSE)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2">
      <c r="A134" s="24">
        <v>25416</v>
      </c>
      <c r="B134" s="44">
        <f>VLOOKUP(A134,'Database Rates'!$A$1:$D$1000,4,FALSE)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2">
      <c r="A135" s="24">
        <v>25447</v>
      </c>
      <c r="B135" s="44">
        <f>VLOOKUP(A135,'Database Rates'!$A$1:$D$1000,4,FALSE)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2">
      <c r="A136" s="24">
        <v>25477</v>
      </c>
      <c r="B136" s="44">
        <f>VLOOKUP(A136,'Database Rates'!$A$1:$D$1000,4,FALSE)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2">
      <c r="A137" s="24">
        <v>25508</v>
      </c>
      <c r="B137" s="44">
        <f>VLOOKUP(A137,'Database Rates'!$A$1:$D$1000,4,FALSE)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2">
      <c r="A138" s="24">
        <v>25538</v>
      </c>
      <c r="B138" s="44">
        <f>VLOOKUP(A138,'Database Rates'!$A$1:$D$1000,4,FALSE)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2">
      <c r="A139" s="24">
        <v>25569</v>
      </c>
      <c r="B139" s="44">
        <f>VLOOKUP(A139,'Database Rates'!$A$1:$D$1000,4,FALSE)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2">
      <c r="A140" s="24">
        <v>25600</v>
      </c>
      <c r="B140" s="44">
        <f>VLOOKUP(A140,'Database Rates'!$A$1:$D$1000,4,FALSE)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2">
      <c r="A141" s="24">
        <v>25628</v>
      </c>
      <c r="B141" s="44">
        <f>VLOOKUP(A141,'Database Rates'!$A$1:$D$1000,4,FALSE)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2">
      <c r="A142" s="24">
        <v>25659</v>
      </c>
      <c r="B142" s="44">
        <f>VLOOKUP(A142,'Database Rates'!$A$1:$D$1000,4,FALSE)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2">
      <c r="A143" s="24">
        <v>25689</v>
      </c>
      <c r="B143" s="44">
        <f>VLOOKUP(A143,'Database Rates'!$A$1:$D$1000,4,FALSE)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2">
      <c r="A144" s="24">
        <v>25720</v>
      </c>
      <c r="B144" s="44">
        <f>VLOOKUP(A144,'Database Rates'!$A$1:$D$1000,4,FALSE)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2">
      <c r="A145" s="24">
        <v>25750</v>
      </c>
      <c r="B145" s="44">
        <f>VLOOKUP(A145,'Database Rates'!$A$1:$D$1000,4,FALSE)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2">
      <c r="A146" s="24">
        <v>25781</v>
      </c>
      <c r="B146" s="44">
        <f>VLOOKUP(A146,'Database Rates'!$A$1:$D$1000,4,FALSE)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2">
      <c r="A147" s="24">
        <v>25812</v>
      </c>
      <c r="B147" s="44">
        <f>VLOOKUP(A147,'Database Rates'!$A$1:$D$1000,4,FALSE)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2">
      <c r="A148" s="24">
        <v>25842</v>
      </c>
      <c r="B148" s="44">
        <f>VLOOKUP(A148,'Database Rates'!$A$1:$D$1000,4,FALSE)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2">
      <c r="A149" s="24">
        <v>25873</v>
      </c>
      <c r="B149" s="44">
        <f>VLOOKUP(A149,'Database Rates'!$A$1:$D$1000,4,FALSE)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2">
      <c r="A150" s="24">
        <v>25903</v>
      </c>
      <c r="B150" s="44">
        <f>VLOOKUP(A150,'Database Rates'!$A$1:$D$1000,4,FALSE)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2">
      <c r="A151" s="24">
        <v>25934</v>
      </c>
      <c r="B151" s="44">
        <f>VLOOKUP(A151,'Database Rates'!$A$1:$D$1000,4,FALSE)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2">
      <c r="A152" s="24">
        <v>25965</v>
      </c>
      <c r="B152" s="44">
        <f>VLOOKUP(A152,'Database Rates'!$A$1:$D$1000,4,FALSE)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2">
      <c r="A153" s="24">
        <v>25993</v>
      </c>
      <c r="B153" s="44">
        <f>VLOOKUP(A153,'Database Rates'!$A$1:$D$1000,4,FALSE)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2">
      <c r="A154" s="24">
        <v>26024</v>
      </c>
      <c r="B154" s="44">
        <f>VLOOKUP(A154,'Database Rates'!$A$1:$D$1000,4,FALSE)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2">
      <c r="A155" s="24">
        <v>26054</v>
      </c>
      <c r="B155" s="44">
        <f>VLOOKUP(A155,'Database Rates'!$A$1:$D$1000,4,FALSE)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2">
      <c r="A156" s="24">
        <v>26085</v>
      </c>
      <c r="B156" s="44">
        <f>VLOOKUP(A156,'Database Rates'!$A$1:$D$1000,4,FALSE)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2">
      <c r="A157" s="24">
        <v>26115</v>
      </c>
      <c r="B157" s="44">
        <f>VLOOKUP(A157,'Database Rates'!$A$1:$D$1000,4,FALSE)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2">
      <c r="A158" s="24">
        <v>26146</v>
      </c>
      <c r="B158" s="44">
        <f>VLOOKUP(A158,'Database Rates'!$A$1:$D$1000,4,FALSE)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2">
      <c r="A159" s="24">
        <v>26177</v>
      </c>
      <c r="B159" s="44">
        <f>VLOOKUP(A159,'Database Rates'!$A$1:$D$1000,4,FALSE)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2">
      <c r="A160" s="24">
        <v>26207</v>
      </c>
      <c r="B160" s="44">
        <f>VLOOKUP(A160,'Database Rates'!$A$1:$D$1000,4,FALSE)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2">
      <c r="A161" s="24">
        <v>26238</v>
      </c>
      <c r="B161" s="44">
        <f>VLOOKUP(A161,'Database Rates'!$A$1:$D$1000,4,FALSE)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2">
      <c r="A162" s="24">
        <v>26268</v>
      </c>
      <c r="B162" s="44">
        <f>VLOOKUP(A162,'Database Rates'!$A$1:$D$1000,4,FALSE)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2">
      <c r="A163" s="24">
        <v>26299</v>
      </c>
      <c r="B163" s="44">
        <f>VLOOKUP(A163,'Database Rates'!$A$1:$D$1000,4,FALSE)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2">
      <c r="A164" s="24">
        <v>26330</v>
      </c>
      <c r="B164" s="44">
        <f>VLOOKUP(A164,'Database Rates'!$A$1:$D$1000,4,FALSE)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2">
      <c r="A165" s="24">
        <v>26359</v>
      </c>
      <c r="B165" s="44">
        <f>VLOOKUP(A165,'Database Rates'!$A$1:$D$1000,4,FALSE)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2">
      <c r="A166" s="24">
        <v>26390</v>
      </c>
      <c r="B166" s="44">
        <f>VLOOKUP(A166,'Database Rates'!$A$1:$D$1000,4,FALSE)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2">
      <c r="A167" s="24">
        <v>26420</v>
      </c>
      <c r="B167" s="44">
        <f>VLOOKUP(A167,'Database Rates'!$A$1:$D$1000,4,FALSE)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2">
      <c r="A168" s="24">
        <v>26451</v>
      </c>
      <c r="B168" s="44">
        <f>VLOOKUP(A168,'Database Rates'!$A$1:$D$1000,4,FALSE)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2">
      <c r="A169" s="24">
        <v>26481</v>
      </c>
      <c r="B169" s="44">
        <f>VLOOKUP(A169,'Database Rates'!$A$1:$D$1000,4,FALSE)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2">
      <c r="A170" s="24">
        <v>26512</v>
      </c>
      <c r="B170" s="44">
        <f>VLOOKUP(A170,'Database Rates'!$A$1:$D$1000,4,FALSE)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2">
      <c r="A171" s="24">
        <v>26543</v>
      </c>
      <c r="B171" s="44">
        <f>VLOOKUP(A171,'Database Rates'!$A$1:$D$1000,4,FALSE)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2">
      <c r="A172" s="24">
        <v>26573</v>
      </c>
      <c r="B172" s="44">
        <f>VLOOKUP(A172,'Database Rates'!$A$1:$D$1000,4,FALSE)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2">
      <c r="A173" s="24">
        <v>26604</v>
      </c>
      <c r="B173" s="44">
        <f>VLOOKUP(A173,'Database Rates'!$A$1:$D$1000,4,FALSE)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2">
      <c r="A174" s="24">
        <v>26634</v>
      </c>
      <c r="B174" s="44">
        <f>VLOOKUP(A174,'Database Rates'!$A$1:$D$1000,4,FALSE)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2">
      <c r="A175" s="24">
        <v>26665</v>
      </c>
      <c r="B175" s="44">
        <f>VLOOKUP(A175,'Database Rates'!$A$1:$D$1000,4,FALSE)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2">
      <c r="A176" s="24">
        <v>26696</v>
      </c>
      <c r="B176" s="44">
        <f>VLOOKUP(A176,'Database Rates'!$A$1:$D$1000,4,FALSE)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2">
      <c r="A177" s="24">
        <v>26724</v>
      </c>
      <c r="B177" s="44">
        <f>VLOOKUP(A177,'Database Rates'!$A$1:$D$1000,4,FALSE)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2">
      <c r="A178" s="24">
        <v>26755</v>
      </c>
      <c r="B178" s="44">
        <f>VLOOKUP(A178,'Database Rates'!$A$1:$D$1000,4,FALSE)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2">
      <c r="A179" s="24">
        <v>26785</v>
      </c>
      <c r="B179" s="44">
        <f>VLOOKUP(A179,'Database Rates'!$A$1:$D$1000,4,FALSE)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2">
      <c r="A180" s="24">
        <v>26816</v>
      </c>
      <c r="B180" s="44">
        <f>VLOOKUP(A180,'Database Rates'!$A$1:$D$1000,4,FALSE)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2">
      <c r="A181" s="24">
        <v>26846</v>
      </c>
      <c r="B181" s="44">
        <f>VLOOKUP(A181,'Database Rates'!$A$1:$D$1000,4,FALSE)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2">
      <c r="A182" s="24">
        <v>26877</v>
      </c>
      <c r="B182" s="44">
        <f>VLOOKUP(A182,'Database Rates'!$A$1:$D$1000,4,FALSE)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2">
      <c r="A183" s="24">
        <v>26908</v>
      </c>
      <c r="B183" s="44">
        <f>VLOOKUP(A183,'Database Rates'!$A$1:$D$1000,4,FALSE)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2">
      <c r="A184" s="24">
        <v>26938</v>
      </c>
      <c r="B184" s="44">
        <f>VLOOKUP(A184,'Database Rates'!$A$1:$D$1000,4,FALSE)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2">
      <c r="A185" s="24">
        <v>26969</v>
      </c>
      <c r="B185" s="44">
        <f>VLOOKUP(A185,'Database Rates'!$A$1:$D$1000,4,FALSE)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2">
      <c r="A186" s="24">
        <v>26999</v>
      </c>
      <c r="B186" s="44">
        <f>VLOOKUP(A186,'Database Rates'!$A$1:$D$1000,4,FALSE)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2">
      <c r="A187" s="24">
        <v>27030</v>
      </c>
      <c r="B187" s="44">
        <f>VLOOKUP(A187,'Database Rates'!$A$1:$D$1000,4,FALSE)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2">
      <c r="A188" s="24">
        <v>27061</v>
      </c>
      <c r="B188" s="44">
        <f>VLOOKUP(A188,'Database Rates'!$A$1:$D$1000,4,FALSE)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2">
      <c r="A189" s="24">
        <v>27089</v>
      </c>
      <c r="B189" s="44">
        <f>VLOOKUP(A189,'Database Rates'!$A$1:$D$1000,4,FALSE)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2">
      <c r="A190" s="24">
        <v>27120</v>
      </c>
      <c r="B190" s="44">
        <f>VLOOKUP(A190,'Database Rates'!$A$1:$D$1000,4,FALSE)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2">
      <c r="A191" s="24">
        <v>27150</v>
      </c>
      <c r="B191" s="44">
        <f>VLOOKUP(A191,'Database Rates'!$A$1:$D$1000,4,FALSE)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2">
      <c r="A192" s="24">
        <v>27181</v>
      </c>
      <c r="B192" s="44">
        <f>VLOOKUP(A192,'Database Rates'!$A$1:$D$1000,4,FALSE)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2">
      <c r="A193" s="24">
        <v>27211</v>
      </c>
      <c r="B193" s="44">
        <f>VLOOKUP(A193,'Database Rates'!$A$1:$D$1000,4,FALSE)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2">
      <c r="A194" s="24">
        <v>27242</v>
      </c>
      <c r="B194" s="44">
        <f>VLOOKUP(A194,'Database Rates'!$A$1:$D$1000,4,FALSE)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2">
      <c r="A195" s="24">
        <v>27273</v>
      </c>
      <c r="B195" s="44">
        <f>VLOOKUP(A195,'Database Rates'!$A$1:$D$1000,4,FALSE)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2">
      <c r="A196" s="24">
        <v>27303</v>
      </c>
      <c r="B196" s="44">
        <f>VLOOKUP(A196,'Database Rates'!$A$1:$D$1000,4,FALSE)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2">
      <c r="A197" s="24">
        <v>27334</v>
      </c>
      <c r="B197" s="44">
        <f>VLOOKUP(A197,'Database Rates'!$A$1:$D$1000,4,FALSE)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2">
      <c r="A198" s="24">
        <v>27364</v>
      </c>
      <c r="B198" s="44">
        <f>VLOOKUP(A198,'Database Rates'!$A$1:$D$1000,4,FALSE)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2">
      <c r="A199" s="24">
        <v>27395</v>
      </c>
      <c r="B199" s="44">
        <f>VLOOKUP(A199,'Database Rates'!$A$1:$D$1000,4,FALSE)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2">
      <c r="A200" s="24">
        <v>27426</v>
      </c>
      <c r="B200" s="44">
        <f>VLOOKUP(A200,'Database Rates'!$A$1:$D$1000,4,FALSE)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2">
      <c r="A201" s="24">
        <v>27454</v>
      </c>
      <c r="B201" s="44">
        <f>VLOOKUP(A201,'Database Rates'!$A$1:$D$1000,4,FALSE)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2">
      <c r="A202" s="24">
        <v>27485</v>
      </c>
      <c r="B202" s="44">
        <f>VLOOKUP(A202,'Database Rates'!$A$1:$D$1000,4,FALSE)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2">
      <c r="A203" s="24">
        <v>27515</v>
      </c>
      <c r="B203" s="44">
        <f>VLOOKUP(A203,'Database Rates'!$A$1:$D$1000,4,FALSE)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2">
      <c r="A204" s="24">
        <v>27546</v>
      </c>
      <c r="B204" s="44">
        <f>VLOOKUP(A204,'Database Rates'!$A$1:$D$1000,4,FALSE)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2">
      <c r="A205" s="24">
        <v>27576</v>
      </c>
      <c r="B205" s="44">
        <f>VLOOKUP(A205,'Database Rates'!$A$1:$D$1000,4,FALSE)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2">
      <c r="A206" s="24">
        <v>27607</v>
      </c>
      <c r="B206" s="44">
        <f>VLOOKUP(A206,'Database Rates'!$A$1:$D$1000,4,FALSE)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2">
      <c r="A207" s="24">
        <v>27638</v>
      </c>
      <c r="B207" s="44">
        <f>VLOOKUP(A207,'Database Rates'!$A$1:$D$1000,4,FALSE)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2">
      <c r="A208" s="24">
        <v>27668</v>
      </c>
      <c r="B208" s="44">
        <f>VLOOKUP(A208,'Database Rates'!$A$1:$D$1000,4,FALSE)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2">
      <c r="A209" s="24">
        <v>27699</v>
      </c>
      <c r="B209" s="44">
        <f>VLOOKUP(A209,'Database Rates'!$A$1:$D$1000,4,FALSE)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2">
      <c r="A210" s="24">
        <v>27729</v>
      </c>
      <c r="B210" s="44">
        <f>VLOOKUP(A210,'Database Rates'!$A$1:$D$1000,4,FALSE)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2">
      <c r="A211" s="24">
        <v>27760</v>
      </c>
      <c r="B211" s="44">
        <f>VLOOKUP(A211,'Database Rates'!$A$1:$D$1000,4,FALSE)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2">
      <c r="A212" s="24">
        <v>27791</v>
      </c>
      <c r="B212" s="44">
        <f>VLOOKUP(A212,'Database Rates'!$A$1:$D$1000,4,FALSE)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2">
      <c r="A213" s="24">
        <v>27820</v>
      </c>
      <c r="B213" s="44">
        <f>VLOOKUP(A213,'Database Rates'!$A$1:$D$1000,4,FALSE)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2">
      <c r="A214" s="24">
        <v>27851</v>
      </c>
      <c r="B214" s="44">
        <f>VLOOKUP(A214,'Database Rates'!$A$1:$D$1000,4,FALSE)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2">
      <c r="A215" s="24">
        <v>27881</v>
      </c>
      <c r="B215" s="44">
        <f>VLOOKUP(A215,'Database Rates'!$A$1:$D$1000,4,FALSE)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2">
      <c r="A216" s="24">
        <v>27912</v>
      </c>
      <c r="B216" s="44">
        <f>VLOOKUP(A216,'Database Rates'!$A$1:$D$1000,4,FALSE)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2">
      <c r="A217" s="24">
        <v>27942</v>
      </c>
      <c r="B217" s="44">
        <f>VLOOKUP(A217,'Database Rates'!$A$1:$D$1000,4,FALSE)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2">
      <c r="A218" s="24">
        <v>27973</v>
      </c>
      <c r="B218" s="44">
        <f>VLOOKUP(A218,'Database Rates'!$A$1:$D$1000,4,FALSE)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2">
      <c r="A219" s="24">
        <v>28004</v>
      </c>
      <c r="B219" s="44">
        <f>VLOOKUP(A219,'Database Rates'!$A$1:$D$1000,4,FALSE)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2">
      <c r="A220" s="24">
        <v>28034</v>
      </c>
      <c r="B220" s="44">
        <f>VLOOKUP(A220,'Database Rates'!$A$1:$D$1000,4,FALSE)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2">
      <c r="A221" s="24">
        <v>28065</v>
      </c>
      <c r="B221" s="44">
        <f>VLOOKUP(A221,'Database Rates'!$A$1:$D$1000,4,FALSE)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2">
      <c r="A222" s="24">
        <v>28095</v>
      </c>
      <c r="B222" s="44">
        <f>VLOOKUP(A222,'Database Rates'!$A$1:$D$1000,4,FALSE)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2">
      <c r="A223" s="24">
        <v>28126</v>
      </c>
      <c r="B223" s="44">
        <f>VLOOKUP(A223,'Database Rates'!$A$1:$D$1000,4,FALSE)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2">
      <c r="A224" s="24">
        <v>28157</v>
      </c>
      <c r="B224" s="44">
        <f>VLOOKUP(A224,'Database Rates'!$A$1:$D$1000,4,FALSE)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2">
      <c r="A225" s="24">
        <v>28185</v>
      </c>
      <c r="B225" s="44">
        <f>VLOOKUP(A225,'Database Rates'!$A$1:$D$1000,4,FALSE)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2">
      <c r="A226" s="24">
        <v>28216</v>
      </c>
      <c r="B226" s="44">
        <f>VLOOKUP(A226,'Database Rates'!$A$1:$D$1000,4,FALSE)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2">
      <c r="A227" s="24">
        <v>28246</v>
      </c>
      <c r="B227" s="44">
        <f>VLOOKUP(A227,'Database Rates'!$A$1:$D$1000,4,FALSE)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2">
      <c r="A228" s="24">
        <v>28277</v>
      </c>
      <c r="B228" s="44">
        <f>VLOOKUP(A228,'Database Rates'!$A$1:$D$1000,4,FALSE)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2">
      <c r="A229" s="24">
        <v>28307</v>
      </c>
      <c r="B229" s="44">
        <f>VLOOKUP(A229,'Database Rates'!$A$1:$D$1000,4,FALSE)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2">
      <c r="A230" s="24">
        <v>28338</v>
      </c>
      <c r="B230" s="44">
        <f>VLOOKUP(A230,'Database Rates'!$A$1:$D$1000,4,FALSE)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2">
      <c r="A231" s="24">
        <v>28369</v>
      </c>
      <c r="B231" s="44">
        <f>VLOOKUP(A231,'Database Rates'!$A$1:$D$1000,4,FALSE)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2">
      <c r="A232" s="24">
        <v>28399</v>
      </c>
      <c r="B232" s="44">
        <f>VLOOKUP(A232,'Database Rates'!$A$1:$D$1000,4,FALSE)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2">
      <c r="A233" s="24">
        <v>28430</v>
      </c>
      <c r="B233" s="44">
        <f>VLOOKUP(A233,'Database Rates'!$A$1:$D$1000,4,FALSE)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2">
      <c r="A234" s="24">
        <v>28460</v>
      </c>
      <c r="B234" s="44">
        <f>VLOOKUP(A234,'Database Rates'!$A$1:$D$1000,4,FALSE)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2">
      <c r="A235" s="24">
        <v>28491</v>
      </c>
      <c r="B235" s="44">
        <f>VLOOKUP(A235,'Database Rates'!$A$1:$D$1000,4,FALSE)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2">
      <c r="A236" s="24">
        <v>28522</v>
      </c>
      <c r="B236" s="44">
        <f>VLOOKUP(A236,'Database Rates'!$A$1:$D$1000,4,FALSE)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2">
      <c r="A237" s="24">
        <v>28550</v>
      </c>
      <c r="B237" s="44">
        <f>VLOOKUP(A237,'Database Rates'!$A$1:$D$1000,4,FALSE)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2">
      <c r="A238" s="24">
        <v>28581</v>
      </c>
      <c r="B238" s="44">
        <f>VLOOKUP(A238,'Database Rates'!$A$1:$D$1000,4,FALSE)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2">
      <c r="A239" s="24">
        <v>28611</v>
      </c>
      <c r="B239" s="44">
        <f>VLOOKUP(A239,'Database Rates'!$A$1:$D$1000,4,FALSE)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2">
      <c r="A240" s="24">
        <v>28642</v>
      </c>
      <c r="B240" s="44">
        <f>VLOOKUP(A240,'Database Rates'!$A$1:$D$1000,4,FALSE)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2">
      <c r="A241" s="24">
        <v>28672</v>
      </c>
      <c r="B241" s="44">
        <f>VLOOKUP(A241,'Database Rates'!$A$1:$D$1000,4,FALSE)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2">
      <c r="A242" s="24">
        <v>28703</v>
      </c>
      <c r="B242" s="44">
        <f>VLOOKUP(A242,'Database Rates'!$A$1:$D$1000,4,FALSE)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2">
      <c r="A243" s="24">
        <v>28734</v>
      </c>
      <c r="B243" s="44">
        <f>VLOOKUP(A243,'Database Rates'!$A$1:$D$1000,4,FALSE)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2">
      <c r="A244" s="24">
        <v>28764</v>
      </c>
      <c r="B244" s="44">
        <f>VLOOKUP(A244,'Database Rates'!$A$1:$D$1000,4,FALSE)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2">
      <c r="A245" s="24">
        <v>28795</v>
      </c>
      <c r="B245" s="44">
        <f>VLOOKUP(A245,'Database Rates'!$A$1:$D$1000,4,FALSE)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2">
      <c r="A246" s="24">
        <v>28825</v>
      </c>
      <c r="B246" s="44">
        <f>VLOOKUP(A246,'Database Rates'!$A$1:$D$1000,4,FALSE)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2">
      <c r="A247" s="24">
        <v>28856</v>
      </c>
      <c r="B247" s="44">
        <f>VLOOKUP(A247,'Database Rates'!$A$1:$D$1000,4,FALSE)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2">
      <c r="A248" s="24">
        <v>28887</v>
      </c>
      <c r="B248" s="44">
        <f>VLOOKUP(A248,'Database Rates'!$A$1:$D$1000,4,FALSE)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2">
      <c r="A249" s="24">
        <v>28915</v>
      </c>
      <c r="B249" s="44">
        <f>VLOOKUP(A249,'Database Rates'!$A$1:$D$1000,4,FALSE)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2">
      <c r="A250" s="24">
        <v>28946</v>
      </c>
      <c r="B250" s="44">
        <f>VLOOKUP(A250,'Database Rates'!$A$1:$D$1000,4,FALSE)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2">
      <c r="A251" s="24">
        <v>28976</v>
      </c>
      <c r="B251" s="44">
        <f>VLOOKUP(A251,'Database Rates'!$A$1:$D$1000,4,FALSE)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2">
      <c r="A252" s="24">
        <v>29007</v>
      </c>
      <c r="B252" s="44">
        <f>VLOOKUP(A252,'Database Rates'!$A$1:$D$1000,4,FALSE)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2">
      <c r="A253" s="24">
        <v>29037</v>
      </c>
      <c r="B253" s="44">
        <f>VLOOKUP(A253,'Database Rates'!$A$1:$D$1000,4,FALSE)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2">
      <c r="A254" s="24">
        <v>29068</v>
      </c>
      <c r="B254" s="44">
        <f>VLOOKUP(A254,'Database Rates'!$A$1:$D$1000,4,FALSE)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2">
      <c r="A255" s="24">
        <v>29099</v>
      </c>
      <c r="B255" s="44">
        <f>VLOOKUP(A255,'Database Rates'!$A$1:$D$1000,4,FALSE)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2">
      <c r="A256" s="24">
        <v>29129</v>
      </c>
      <c r="B256" s="44">
        <f>VLOOKUP(A256,'Database Rates'!$A$1:$D$1000,4,FALSE)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2">
      <c r="A257" s="24">
        <v>29160</v>
      </c>
      <c r="B257" s="44">
        <f>VLOOKUP(A257,'Database Rates'!$A$1:$D$1000,4,FALSE)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2">
      <c r="A258" s="24">
        <v>29190</v>
      </c>
      <c r="B258" s="44">
        <f>VLOOKUP(A258,'Database Rates'!$A$1:$D$1000,4,FALSE)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2">
      <c r="A259" s="24">
        <v>29221</v>
      </c>
      <c r="B259" s="44">
        <f>VLOOKUP(A259,'Database Rates'!$A$1:$D$1000,4,FALSE)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2">
      <c r="A260" s="24">
        <v>29252</v>
      </c>
      <c r="B260" s="44">
        <f>VLOOKUP(A260,'Database Rates'!$A$1:$D$1000,4,FALSE)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2">
      <c r="A261" s="24">
        <v>29281</v>
      </c>
      <c r="B261" s="44">
        <f>VLOOKUP(A261,'Database Rates'!$A$1:$D$1000,4,FALSE)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2">
      <c r="A262" s="24">
        <v>29312</v>
      </c>
      <c r="B262" s="44">
        <f>VLOOKUP(A262,'Database Rates'!$A$1:$D$1000,4,FALSE)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2">
      <c r="A263" s="24">
        <v>29342</v>
      </c>
      <c r="B263" s="44">
        <f>VLOOKUP(A263,'Database Rates'!$A$1:$D$1000,4,FALSE)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2">
      <c r="A264" s="24">
        <v>29373</v>
      </c>
      <c r="B264" s="44">
        <f>VLOOKUP(A264,'Database Rates'!$A$1:$D$1000,4,FALSE)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2">
      <c r="A265" s="24">
        <v>29403</v>
      </c>
      <c r="B265" s="44">
        <f>VLOOKUP(A265,'Database Rates'!$A$1:$D$1000,4,FALSE)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2">
      <c r="A266" s="24">
        <v>29434</v>
      </c>
      <c r="B266" s="44">
        <f>VLOOKUP(A266,'Database Rates'!$A$1:$D$1000,4,FALSE)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2">
      <c r="A267" s="24">
        <v>29465</v>
      </c>
      <c r="B267" s="44">
        <f>VLOOKUP(A267,'Database Rates'!$A$1:$D$1000,4,FALSE)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2">
      <c r="A268" s="24">
        <v>29495</v>
      </c>
      <c r="B268" s="44">
        <f>VLOOKUP(A268,'Database Rates'!$A$1:$D$1000,4,FALSE)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2">
      <c r="A269" s="24">
        <v>29526</v>
      </c>
      <c r="B269" s="44">
        <f>VLOOKUP(A269,'Database Rates'!$A$1:$D$1000,4,FALSE)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2">
      <c r="A270" s="24">
        <v>29556</v>
      </c>
      <c r="B270" s="44">
        <f>VLOOKUP(A270,'Database Rates'!$A$1:$D$1000,4,FALSE)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2">
      <c r="A271" s="24">
        <v>29587</v>
      </c>
      <c r="B271" s="44">
        <f>VLOOKUP(A271,'Database Rates'!$A$1:$D$1000,4,FALSE)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2">
      <c r="A272" s="24">
        <v>29618</v>
      </c>
      <c r="B272" s="44">
        <f>VLOOKUP(A272,'Database Rates'!$A$1:$D$1000,4,FALSE)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2">
      <c r="A273" s="24">
        <v>29646</v>
      </c>
      <c r="B273" s="44">
        <f>VLOOKUP(A273,'Database Rates'!$A$1:$D$1000,4,FALSE)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2">
      <c r="A274" s="24">
        <v>29677</v>
      </c>
      <c r="B274" s="44">
        <f>VLOOKUP(A274,'Database Rates'!$A$1:$D$1000,4,FALSE)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2">
      <c r="A275" s="24">
        <v>29707</v>
      </c>
      <c r="B275" s="44">
        <f>VLOOKUP(A275,'Database Rates'!$A$1:$D$1000,4,FALSE)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2">
      <c r="A276" s="24">
        <v>29738</v>
      </c>
      <c r="B276" s="44">
        <f>VLOOKUP(A276,'Database Rates'!$A$1:$D$1000,4,FALSE)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2">
      <c r="A277" s="24">
        <v>29768</v>
      </c>
      <c r="B277" s="44">
        <f>VLOOKUP(A277,'Database Rates'!$A$1:$D$1000,4,FALSE)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2">
      <c r="A278" s="24">
        <v>29799</v>
      </c>
      <c r="B278" s="44">
        <f>VLOOKUP(A278,'Database Rates'!$A$1:$D$1000,4,FALSE)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2">
      <c r="A279" s="24">
        <v>29830</v>
      </c>
      <c r="B279" s="44">
        <f>VLOOKUP(A279,'Database Rates'!$A$1:$D$1000,4,FALSE)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2">
      <c r="A280" s="24">
        <v>29860</v>
      </c>
      <c r="B280" s="44">
        <f>VLOOKUP(A280,'Database Rates'!$A$1:$D$1000,4,FALSE)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2">
      <c r="A281" s="24">
        <v>29891</v>
      </c>
      <c r="B281" s="44">
        <f>VLOOKUP(A281,'Database Rates'!$A$1:$D$1000,4,FALSE)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2">
      <c r="A282" s="24">
        <v>29921</v>
      </c>
      <c r="B282" s="44">
        <f>VLOOKUP(A282,'Database Rates'!$A$1:$D$1000,4,FALSE)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2">
      <c r="A283" s="24">
        <v>29952</v>
      </c>
      <c r="B283" s="44">
        <f>VLOOKUP(A283,'Database Rates'!$A$1:$D$1000,4,FALSE)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2">
      <c r="A284" s="24">
        <v>29983</v>
      </c>
      <c r="B284" s="44">
        <f>VLOOKUP(A284,'Database Rates'!$A$1:$D$1000,4,FALSE)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2">
      <c r="A285" s="24">
        <v>30011</v>
      </c>
      <c r="B285" s="44">
        <f>VLOOKUP(A285,'Database Rates'!$A$1:$D$1000,4,FALSE)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2">
      <c r="A286" s="24">
        <v>30042</v>
      </c>
      <c r="B286" s="44">
        <f>VLOOKUP(A286,'Database Rates'!$A$1:$D$1000,4,FALSE)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2">
      <c r="A287" s="24">
        <v>30072</v>
      </c>
      <c r="B287" s="44">
        <f>VLOOKUP(A287,'Database Rates'!$A$1:$D$1000,4,FALSE)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2">
      <c r="A288" s="24">
        <v>30103</v>
      </c>
      <c r="B288" s="44">
        <f>VLOOKUP(A288,'Database Rates'!$A$1:$D$1000,4,FALSE)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2">
      <c r="A289" s="24">
        <v>30133</v>
      </c>
      <c r="B289" s="44">
        <f>VLOOKUP(A289,'Database Rates'!$A$1:$D$1000,4,FALSE)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2">
      <c r="A290" s="24">
        <v>30164</v>
      </c>
      <c r="B290" s="44">
        <f>VLOOKUP(A290,'Database Rates'!$A$1:$D$1000,4,FALSE)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2">
      <c r="A291" s="24">
        <v>30195</v>
      </c>
      <c r="B291" s="44">
        <f>VLOOKUP(A291,'Database Rates'!$A$1:$D$1000,4,FALSE)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2">
      <c r="A292" s="24">
        <v>30225</v>
      </c>
      <c r="B292" s="44">
        <f>VLOOKUP(A292,'Database Rates'!$A$1:$D$1000,4,FALSE)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2">
      <c r="A293" s="24">
        <v>30256</v>
      </c>
      <c r="B293" s="44">
        <f>VLOOKUP(A293,'Database Rates'!$A$1:$D$1000,4,FALSE)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2">
      <c r="A294" s="24">
        <v>30286</v>
      </c>
      <c r="B294" s="44">
        <f>VLOOKUP(A294,'Database Rates'!$A$1:$D$1000,4,FALSE)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2">
      <c r="A295" s="24">
        <v>30317</v>
      </c>
      <c r="B295" s="44">
        <f>VLOOKUP(A295,'Database Rates'!$A$1:$D$1000,4,FALSE)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2">
      <c r="A296" s="24">
        <v>30348</v>
      </c>
      <c r="B296" s="44">
        <f>VLOOKUP(A296,'Database Rates'!$A$1:$D$1000,4,FALSE)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2">
      <c r="A297" s="24">
        <v>30376</v>
      </c>
      <c r="B297" s="44">
        <f>VLOOKUP(A297,'Database Rates'!$A$1:$D$1000,4,FALSE)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2">
      <c r="A298" s="24">
        <v>30407</v>
      </c>
      <c r="B298" s="44">
        <f>VLOOKUP(A298,'Database Rates'!$A$1:$D$1000,4,FALSE)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2">
      <c r="A299" s="24">
        <v>30437</v>
      </c>
      <c r="B299" s="44">
        <f>VLOOKUP(A299,'Database Rates'!$A$1:$D$1000,4,FALSE)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2">
      <c r="A300" s="24">
        <v>30468</v>
      </c>
      <c r="B300" s="44">
        <f>VLOOKUP(A300,'Database Rates'!$A$1:$D$1000,4,FALSE)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2">
      <c r="A301" s="24">
        <v>30498</v>
      </c>
      <c r="B301" s="44">
        <f>VLOOKUP(A301,'Database Rates'!$A$1:$D$1000,4,FALSE)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2">
      <c r="A302" s="24">
        <v>30529</v>
      </c>
      <c r="B302" s="44">
        <f>VLOOKUP(A302,'Database Rates'!$A$1:$D$1000,4,FALSE)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2">
      <c r="A303" s="24">
        <v>30560</v>
      </c>
      <c r="B303" s="44">
        <f>VLOOKUP(A303,'Database Rates'!$A$1:$D$1000,4,FALSE)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2">
      <c r="A304" s="24">
        <v>30590</v>
      </c>
      <c r="B304" s="44">
        <f>VLOOKUP(A304,'Database Rates'!$A$1:$D$1000,4,FALSE)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2">
      <c r="A305" s="24">
        <v>30621</v>
      </c>
      <c r="B305" s="44">
        <f>VLOOKUP(A305,'Database Rates'!$A$1:$D$1000,4,FALSE)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2">
      <c r="A306" s="24">
        <v>30651</v>
      </c>
      <c r="B306" s="44">
        <f>VLOOKUP(A306,'Database Rates'!$A$1:$D$1000,4,FALSE)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2">
      <c r="A307" s="24">
        <v>30682</v>
      </c>
      <c r="B307" s="44">
        <f>VLOOKUP(A307,'Database Rates'!$A$1:$D$1000,4,FALSE)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2">
      <c r="A308" s="24">
        <v>30713</v>
      </c>
      <c r="B308" s="44">
        <f>VLOOKUP(A308,'Database Rates'!$A$1:$D$1000,4,FALSE)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2">
      <c r="A309" s="24">
        <v>30742</v>
      </c>
      <c r="B309" s="44">
        <f>VLOOKUP(A309,'Database Rates'!$A$1:$D$1000,4,FALSE)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2">
      <c r="A310" s="24">
        <v>30773</v>
      </c>
      <c r="B310" s="44">
        <f>VLOOKUP(A310,'Database Rates'!$A$1:$D$1000,4,FALSE)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2">
      <c r="A311" s="24">
        <v>30803</v>
      </c>
      <c r="B311" s="44">
        <f>VLOOKUP(A311,'Database Rates'!$A$1:$D$1000,4,FALSE)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2">
      <c r="A312" s="24">
        <v>30834</v>
      </c>
      <c r="B312" s="44">
        <f>VLOOKUP(A312,'Database Rates'!$A$1:$D$1000,4,FALSE)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2">
      <c r="A313" s="24">
        <v>30864</v>
      </c>
      <c r="B313" s="44">
        <f>VLOOKUP(A313,'Database Rates'!$A$1:$D$1000,4,FALSE)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2">
      <c r="A314" s="24">
        <v>30895</v>
      </c>
      <c r="B314" s="44">
        <f>VLOOKUP(A314,'Database Rates'!$A$1:$D$1000,4,FALSE)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2">
      <c r="A315" s="24">
        <v>30926</v>
      </c>
      <c r="B315" s="44">
        <f>VLOOKUP(A315,'Database Rates'!$A$1:$D$1000,4,FALSE)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2">
      <c r="A316" s="24">
        <v>30956</v>
      </c>
      <c r="B316" s="44">
        <f>VLOOKUP(A316,'Database Rates'!$A$1:$D$1000,4,FALSE)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2">
      <c r="A317" s="24">
        <v>30987</v>
      </c>
      <c r="B317" s="44">
        <f>VLOOKUP(A317,'Database Rates'!$A$1:$D$1000,4,FALSE)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2">
      <c r="A318" s="24">
        <v>31017</v>
      </c>
      <c r="B318" s="44">
        <f>VLOOKUP(A318,'Database Rates'!$A$1:$D$1000,4,FALSE)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2">
      <c r="A319" s="24">
        <v>31048</v>
      </c>
      <c r="B319" s="44">
        <f>VLOOKUP(A319,'Database Rates'!$A$1:$D$1000,4,FALSE)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2">
      <c r="A320" s="24">
        <v>31079</v>
      </c>
      <c r="B320" s="44">
        <f>VLOOKUP(A320,'Database Rates'!$A$1:$D$1000,4,FALSE)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2">
      <c r="A321" s="24">
        <v>31107</v>
      </c>
      <c r="B321" s="44">
        <f>VLOOKUP(A321,'Database Rates'!$A$1:$D$1000,4,FALSE)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2">
      <c r="A322" s="24">
        <v>31138</v>
      </c>
      <c r="B322" s="44">
        <f>VLOOKUP(A322,'Database Rates'!$A$1:$D$1000,4,FALSE)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2">
      <c r="A323" s="24">
        <v>31168</v>
      </c>
      <c r="B323" s="44">
        <f>VLOOKUP(A323,'Database Rates'!$A$1:$D$1000,4,FALSE)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2">
      <c r="A324" s="24">
        <v>31199</v>
      </c>
      <c r="B324" s="44">
        <f>VLOOKUP(A324,'Database Rates'!$A$1:$D$1000,4,FALSE)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2">
      <c r="A325" s="24">
        <v>31229</v>
      </c>
      <c r="B325" s="44">
        <f>VLOOKUP(A325,'Database Rates'!$A$1:$D$1000,4,FALSE)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2">
      <c r="A326" s="24">
        <v>31260</v>
      </c>
      <c r="B326" s="44">
        <f>VLOOKUP(A326,'Database Rates'!$A$1:$D$1000,4,FALSE)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2">
      <c r="A327" s="24">
        <v>31291</v>
      </c>
      <c r="B327" s="44">
        <f>VLOOKUP(A327,'Database Rates'!$A$1:$D$1000,4,FALSE)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2">
      <c r="A328" s="24">
        <v>31321</v>
      </c>
      <c r="B328" s="44">
        <f>VLOOKUP(A328,'Database Rates'!$A$1:$D$1000,4,FALSE)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2">
      <c r="A329" s="24">
        <v>31352</v>
      </c>
      <c r="B329" s="44">
        <f>VLOOKUP(A329,'Database Rates'!$A$1:$D$1000,4,FALSE)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2">
      <c r="A330" s="24">
        <v>31382</v>
      </c>
      <c r="B330" s="44">
        <f>VLOOKUP(A330,'Database Rates'!$A$1:$D$1000,4,FALSE)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2">
      <c r="A331" s="24">
        <v>31413</v>
      </c>
      <c r="B331" s="44">
        <f>VLOOKUP(A331,'Database Rates'!$A$1:$D$1000,4,FALSE)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2">
      <c r="A332" s="24">
        <v>31444</v>
      </c>
      <c r="B332" s="44">
        <f>VLOOKUP(A332,'Database Rates'!$A$1:$D$1000,4,FALSE)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2">
      <c r="A333" s="24">
        <v>31472</v>
      </c>
      <c r="B333" s="44">
        <f>VLOOKUP(A333,'Database Rates'!$A$1:$D$1000,4,FALSE)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2">
      <c r="A334" s="24">
        <v>31503</v>
      </c>
      <c r="B334" s="44">
        <f>VLOOKUP(A334,'Database Rates'!$A$1:$D$1000,4,FALSE)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2">
      <c r="A335" s="24">
        <v>31533</v>
      </c>
      <c r="B335" s="44">
        <f>VLOOKUP(A335,'Database Rates'!$A$1:$D$1000,4,FALSE)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2">
      <c r="A336" s="24">
        <v>31564</v>
      </c>
      <c r="B336" s="44">
        <f>VLOOKUP(A336,'Database Rates'!$A$1:$D$1000,4,FALSE)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2">
      <c r="A337" s="24">
        <v>31594</v>
      </c>
      <c r="B337" s="44">
        <f>VLOOKUP(A337,'Database Rates'!$A$1:$D$1000,4,FALSE)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2">
      <c r="A338" s="24">
        <v>31625</v>
      </c>
      <c r="B338" s="44">
        <f>VLOOKUP(A338,'Database Rates'!$A$1:$D$1000,4,FALSE)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2">
      <c r="A339" s="24">
        <v>31656</v>
      </c>
      <c r="B339" s="44">
        <f>VLOOKUP(A339,'Database Rates'!$A$1:$D$1000,4,FALSE)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2">
      <c r="A340" s="24">
        <v>31686</v>
      </c>
      <c r="B340" s="44">
        <f>VLOOKUP(A340,'Database Rates'!$A$1:$D$1000,4,FALSE)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2">
      <c r="A341" s="24">
        <v>31717</v>
      </c>
      <c r="B341" s="44">
        <f>VLOOKUP(A341,'Database Rates'!$A$1:$D$1000,4,FALSE)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2">
      <c r="A342" s="24">
        <v>31747</v>
      </c>
      <c r="B342" s="44">
        <f>VLOOKUP(A342,'Database Rates'!$A$1:$D$1000,4,FALSE)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2">
      <c r="A343" s="24">
        <v>31778</v>
      </c>
      <c r="B343" s="44">
        <f>VLOOKUP(A343,'Database Rates'!$A$1:$D$1000,4,FALSE)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2">
      <c r="A344" s="24">
        <v>31809</v>
      </c>
      <c r="B344" s="44">
        <f>VLOOKUP(A344,'Database Rates'!$A$1:$D$1000,4,FALSE)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2">
      <c r="A345" s="24">
        <v>31837</v>
      </c>
      <c r="B345" s="44">
        <f>VLOOKUP(A345,'Database Rates'!$A$1:$D$1000,4,FALSE)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2">
      <c r="A346" s="24">
        <v>31868</v>
      </c>
      <c r="B346" s="44">
        <f>VLOOKUP(A346,'Database Rates'!$A$1:$D$1000,4,FALSE)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2">
      <c r="A347" s="24">
        <v>31898</v>
      </c>
      <c r="B347" s="44">
        <f>VLOOKUP(A347,'Database Rates'!$A$1:$D$1000,4,FALSE)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2">
      <c r="A348" s="24">
        <v>31929</v>
      </c>
      <c r="B348" s="44">
        <f>VLOOKUP(A348,'Database Rates'!$A$1:$D$1000,4,FALSE)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2">
      <c r="A349" s="24">
        <v>31959</v>
      </c>
      <c r="B349" s="44">
        <f>VLOOKUP(A349,'Database Rates'!$A$1:$D$1000,4,FALSE)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2">
      <c r="A350" s="24">
        <v>31990</v>
      </c>
      <c r="B350" s="44">
        <f>VLOOKUP(A350,'Database Rates'!$A$1:$D$1000,4,FALSE)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2">
      <c r="A351" s="24">
        <v>32021</v>
      </c>
      <c r="B351" s="44">
        <f>VLOOKUP(A351,'Database Rates'!$A$1:$D$1000,4,FALSE)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2">
      <c r="A352" s="24">
        <v>32051</v>
      </c>
      <c r="B352" s="44">
        <f>VLOOKUP(A352,'Database Rates'!$A$1:$D$1000,4,FALSE)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2">
      <c r="A353" s="24">
        <v>32082</v>
      </c>
      <c r="B353" s="44">
        <f>VLOOKUP(A353,'Database Rates'!$A$1:$D$1000,4,FALSE)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2">
      <c r="A354" s="24">
        <v>32112</v>
      </c>
      <c r="B354" s="44">
        <f>VLOOKUP(A354,'Database Rates'!$A$1:$D$1000,4,FALSE)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2">
      <c r="A355" s="24">
        <v>32143</v>
      </c>
      <c r="B355" s="44">
        <f>VLOOKUP(A355,'Database Rates'!$A$1:$D$1000,4,FALSE)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2">
      <c r="A356" s="24">
        <v>32174</v>
      </c>
      <c r="B356" s="44">
        <f>VLOOKUP(A356,'Database Rates'!$A$1:$D$1000,4,FALSE)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2">
      <c r="A357" s="24">
        <v>32203</v>
      </c>
      <c r="B357" s="44">
        <f>VLOOKUP(A357,'Database Rates'!$A$1:$D$1000,4,FALSE)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2">
      <c r="A358" s="24">
        <v>32234</v>
      </c>
      <c r="B358" s="44">
        <f>VLOOKUP(A358,'Database Rates'!$A$1:$D$1000,4,FALSE)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2">
      <c r="A359" s="24">
        <v>32264</v>
      </c>
      <c r="B359" s="44">
        <f>VLOOKUP(A359,'Database Rates'!$A$1:$D$1000,4,FALSE)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2">
      <c r="A360" s="24">
        <v>32295</v>
      </c>
      <c r="B360" s="44">
        <f>VLOOKUP(A360,'Database Rates'!$A$1:$D$1000,4,FALSE)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2">
      <c r="A361" s="24">
        <v>32325</v>
      </c>
      <c r="B361" s="44">
        <f>VLOOKUP(A361,'Database Rates'!$A$1:$D$1000,4,FALSE)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2">
      <c r="A362" s="24">
        <v>32356</v>
      </c>
      <c r="B362" s="44">
        <f>VLOOKUP(A362,'Database Rates'!$A$1:$D$1000,4,FALSE)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2">
      <c r="A363" s="24">
        <v>32387</v>
      </c>
      <c r="B363" s="44">
        <f>VLOOKUP(A363,'Database Rates'!$A$1:$D$1000,4,FALSE)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2">
      <c r="A364" s="24">
        <v>32417</v>
      </c>
      <c r="B364" s="44">
        <f>VLOOKUP(A364,'Database Rates'!$A$1:$D$1000,4,FALSE)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2">
      <c r="A365" s="24">
        <v>32448</v>
      </c>
      <c r="B365" s="44">
        <f>VLOOKUP(A365,'Database Rates'!$A$1:$D$1000,4,FALSE)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2">
      <c r="A366" s="24">
        <v>32478</v>
      </c>
      <c r="B366" s="44">
        <f>VLOOKUP(A366,'Database Rates'!$A$1:$D$1000,4,FALSE)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2">
      <c r="A367" s="24">
        <v>32509</v>
      </c>
      <c r="B367" s="44">
        <f>VLOOKUP(A367,'Database Rates'!$A$1:$D$1000,4,FALSE)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2">
      <c r="A368" s="24">
        <v>32540</v>
      </c>
      <c r="B368" s="44">
        <f>VLOOKUP(A368,'Database Rates'!$A$1:$D$1000,4,FALSE)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2">
      <c r="A369" s="24">
        <v>32568</v>
      </c>
      <c r="B369" s="44">
        <f>VLOOKUP(A369,'Database Rates'!$A$1:$D$1000,4,FALSE)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2">
      <c r="A370" s="24">
        <v>32599</v>
      </c>
      <c r="B370" s="44">
        <f>VLOOKUP(A370,'Database Rates'!$A$1:$D$1000,4,FALSE)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2">
      <c r="A371" s="24">
        <v>32629</v>
      </c>
      <c r="B371" s="44">
        <f>VLOOKUP(A371,'Database Rates'!$A$1:$D$1000,4,FALSE)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2">
      <c r="A372" s="24">
        <v>32660</v>
      </c>
      <c r="B372" s="44">
        <f>VLOOKUP(A372,'Database Rates'!$A$1:$D$1000,4,FALSE)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2">
      <c r="A373" s="24">
        <v>32690</v>
      </c>
      <c r="B373" s="44">
        <f>VLOOKUP(A373,'Database Rates'!$A$1:$D$1000,4,FALSE)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2">
      <c r="A374" s="24">
        <v>32721</v>
      </c>
      <c r="B374" s="44">
        <f>VLOOKUP(A374,'Database Rates'!$A$1:$D$1000,4,FALSE)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2">
      <c r="A375" s="24">
        <v>32752</v>
      </c>
      <c r="B375" s="44">
        <f>VLOOKUP(A375,'Database Rates'!$A$1:$D$1000,4,FALSE)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2">
      <c r="A376" s="24">
        <v>32782</v>
      </c>
      <c r="B376" s="44">
        <f>VLOOKUP(A376,'Database Rates'!$A$1:$D$1000,4,FALSE)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2">
      <c r="A377" s="24">
        <v>32813</v>
      </c>
      <c r="B377" s="44">
        <f>VLOOKUP(A377,'Database Rates'!$A$1:$D$1000,4,FALSE)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2">
      <c r="A378" s="24">
        <v>32843</v>
      </c>
      <c r="B378" s="44">
        <f>VLOOKUP(A378,'Database Rates'!$A$1:$D$1000,4,FALSE)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2">
      <c r="A379" s="24">
        <v>32874</v>
      </c>
      <c r="B379" s="44">
        <f>VLOOKUP(A379,'Database Rates'!$A$1:$D$1000,4,FALSE)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2">
      <c r="A380" s="24">
        <v>32905</v>
      </c>
      <c r="B380" s="44">
        <f>VLOOKUP(A380,'Database Rates'!$A$1:$D$1000,4,FALSE)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2">
      <c r="A381" s="24">
        <v>32933</v>
      </c>
      <c r="B381" s="44">
        <f>VLOOKUP(A381,'Database Rates'!$A$1:$D$1000,4,FALSE)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2">
      <c r="A382" s="24">
        <v>32964</v>
      </c>
      <c r="B382" s="44">
        <f>VLOOKUP(A382,'Database Rates'!$A$1:$D$1000,4,FALSE)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2">
      <c r="A383" s="24">
        <v>32994</v>
      </c>
      <c r="B383" s="44">
        <f>VLOOKUP(A383,'Database Rates'!$A$1:$D$1000,4,FALSE)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2">
      <c r="A384" s="24">
        <v>33025</v>
      </c>
      <c r="B384" s="44">
        <f>VLOOKUP(A384,'Database Rates'!$A$1:$D$1000,4,FALSE)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2">
      <c r="A385" s="24">
        <v>33055</v>
      </c>
      <c r="B385" s="44">
        <f>VLOOKUP(A385,'Database Rates'!$A$1:$D$1000,4,FALSE)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2">
      <c r="A386" s="24">
        <v>33086</v>
      </c>
      <c r="B386" s="44">
        <f>VLOOKUP(A386,'Database Rates'!$A$1:$D$1000,4,FALSE)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2">
      <c r="A387" s="24">
        <v>33117</v>
      </c>
      <c r="B387" s="44">
        <f>VLOOKUP(A387,'Database Rates'!$A$1:$D$1000,4,FALSE)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2">
      <c r="A388" s="24">
        <v>33147</v>
      </c>
      <c r="B388" s="44">
        <f>VLOOKUP(A388,'Database Rates'!$A$1:$D$1000,4,FALSE)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2">
      <c r="A389" s="24">
        <v>33178</v>
      </c>
      <c r="B389" s="44">
        <f>VLOOKUP(A389,'Database Rates'!$A$1:$D$1000,4,FALSE)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2">
      <c r="A390" s="24">
        <v>33208</v>
      </c>
      <c r="B390" s="44">
        <f>VLOOKUP(A390,'Database Rates'!$A$1:$D$1000,4,FALSE)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2">
      <c r="A391" s="24">
        <v>33239</v>
      </c>
      <c r="B391" s="44">
        <f>VLOOKUP(A391,'Database Rates'!$A$1:$D$1000,4,FALSE)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2">
      <c r="A392" s="24">
        <v>33270</v>
      </c>
      <c r="B392" s="44">
        <f>VLOOKUP(A392,'Database Rates'!$A$1:$D$1000,4,FALSE)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2">
      <c r="A393" s="24">
        <v>33298</v>
      </c>
      <c r="B393" s="44">
        <f>VLOOKUP(A393,'Database Rates'!$A$1:$D$1000,4,FALSE)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2">
      <c r="A394" s="24">
        <v>33329</v>
      </c>
      <c r="B394" s="44">
        <f>VLOOKUP(A394,'Database Rates'!$A$1:$D$1000,4,FALSE)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2">
      <c r="A395" s="24">
        <v>33359</v>
      </c>
      <c r="B395" s="44">
        <f>VLOOKUP(A395,'Database Rates'!$A$1:$D$1000,4,FALSE)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2">
      <c r="A396" s="24">
        <v>33390</v>
      </c>
      <c r="B396" s="44">
        <f>VLOOKUP(A396,'Database Rates'!$A$1:$D$1000,4,FALSE)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2">
      <c r="A397" s="24">
        <v>33420</v>
      </c>
      <c r="B397" s="44">
        <f>VLOOKUP(A397,'Database Rates'!$A$1:$D$1000,4,FALSE)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2">
      <c r="A398" s="24">
        <v>33451</v>
      </c>
      <c r="B398" s="44">
        <f>VLOOKUP(A398,'Database Rates'!$A$1:$D$1000,4,FALSE)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2">
      <c r="A399" s="24">
        <v>33482</v>
      </c>
      <c r="B399" s="44">
        <f>VLOOKUP(A399,'Database Rates'!$A$1:$D$1000,4,FALSE)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2">
      <c r="A400" s="24">
        <v>33512</v>
      </c>
      <c r="B400" s="44">
        <f>VLOOKUP(A400,'Database Rates'!$A$1:$D$1000,4,FALSE)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2">
      <c r="A401" s="24">
        <v>33543</v>
      </c>
      <c r="B401" s="44">
        <f>VLOOKUP(A401,'Database Rates'!$A$1:$D$1000,4,FALSE)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2">
      <c r="A402" s="24">
        <v>33573</v>
      </c>
      <c r="B402" s="44">
        <f>VLOOKUP(A402,'Database Rates'!$A$1:$D$1000,4,FALSE)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2">
      <c r="A403" s="24">
        <v>33604</v>
      </c>
      <c r="B403" s="44">
        <f>VLOOKUP(A403,'Database Rates'!$A$1:$D$1000,4,FALSE)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2">
      <c r="A404" s="24">
        <v>33635</v>
      </c>
      <c r="B404" s="44">
        <f>VLOOKUP(A404,'Database Rates'!$A$1:$D$1000,4,FALSE)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2">
      <c r="A405" s="24">
        <v>33664</v>
      </c>
      <c r="B405" s="44">
        <f>VLOOKUP(A405,'Database Rates'!$A$1:$D$1000,4,FALSE)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2">
      <c r="A406" s="24">
        <v>33695</v>
      </c>
      <c r="B406" s="44">
        <f>VLOOKUP(A406,'Database Rates'!$A$1:$D$1000,4,FALSE)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2">
      <c r="A407" s="24">
        <v>33725</v>
      </c>
      <c r="B407" s="44">
        <f>VLOOKUP(A407,'Database Rates'!$A$1:$D$1000,4,FALSE)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2">
      <c r="A408" s="24">
        <v>33756</v>
      </c>
      <c r="B408" s="44">
        <f>VLOOKUP(A408,'Database Rates'!$A$1:$D$1000,4,FALSE)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2">
      <c r="A409" s="24">
        <v>33786</v>
      </c>
      <c r="B409" s="44">
        <f>VLOOKUP(A409,'Database Rates'!$A$1:$D$1000,4,FALSE)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2">
      <c r="A410" s="24">
        <v>33817</v>
      </c>
      <c r="B410" s="44">
        <f>VLOOKUP(A410,'Database Rates'!$A$1:$D$1000,4,FALSE)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2">
      <c r="A411" s="24">
        <v>33848</v>
      </c>
      <c r="B411" s="44">
        <f>VLOOKUP(A411,'Database Rates'!$A$1:$D$1000,4,FALSE)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2">
      <c r="A412" s="24">
        <v>33878</v>
      </c>
      <c r="B412" s="44">
        <f>VLOOKUP(A412,'Database Rates'!$A$1:$D$1000,4,FALSE)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2">
      <c r="A413" s="24">
        <v>33909</v>
      </c>
      <c r="B413" s="44">
        <f>VLOOKUP(A413,'Database Rates'!$A$1:$D$1000,4,FALSE)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2">
      <c r="A414" s="24">
        <v>33939</v>
      </c>
      <c r="B414" s="44">
        <f>VLOOKUP(A414,'Database Rates'!$A$1:$D$1000,4,FALSE)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2">
      <c r="A415" s="24">
        <v>33970</v>
      </c>
      <c r="B415" s="44">
        <f>VLOOKUP(A415,'Database Rates'!$A$1:$D$1000,4,FALSE)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2">
      <c r="A416" s="24">
        <v>34001</v>
      </c>
      <c r="B416" s="44">
        <f>VLOOKUP(A416,'Database Rates'!$A$1:$D$1000,4,FALSE)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2">
      <c r="A417" s="24">
        <v>34029</v>
      </c>
      <c r="B417" s="44">
        <f>VLOOKUP(A417,'Database Rates'!$A$1:$D$1000,4,FALSE)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2">
      <c r="A418" s="24">
        <v>34060</v>
      </c>
      <c r="B418" s="44">
        <f>VLOOKUP(A418,'Database Rates'!$A$1:$D$1000,4,FALSE)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2">
      <c r="A419" s="24">
        <v>34090</v>
      </c>
      <c r="B419" s="44">
        <f>VLOOKUP(A419,'Database Rates'!$A$1:$D$1000,4,FALSE)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2">
      <c r="A420" s="24">
        <v>34121</v>
      </c>
      <c r="B420" s="44">
        <f>VLOOKUP(A420,'Database Rates'!$A$1:$D$1000,4,FALSE)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2">
      <c r="A421" s="24">
        <v>34151</v>
      </c>
      <c r="B421" s="44">
        <f>VLOOKUP(A421,'Database Rates'!$A$1:$D$1000,4,FALSE)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2">
      <c r="A422" s="24">
        <v>34182</v>
      </c>
      <c r="B422" s="44">
        <f>VLOOKUP(A422,'Database Rates'!$A$1:$D$1000,4,FALSE)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2">
      <c r="A423" s="24">
        <v>34213</v>
      </c>
      <c r="B423" s="44">
        <f>VLOOKUP(A423,'Database Rates'!$A$1:$D$1000,4,FALSE)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2">
      <c r="A424" s="24">
        <v>34243</v>
      </c>
      <c r="B424" s="44">
        <f>VLOOKUP(A424,'Database Rates'!$A$1:$D$1000,4,FALSE)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2">
      <c r="A425" s="24">
        <v>34274</v>
      </c>
      <c r="B425" s="44">
        <f>VLOOKUP(A425,'Database Rates'!$A$1:$D$1000,4,FALSE)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2">
      <c r="A426" s="24">
        <v>34304</v>
      </c>
      <c r="B426" s="44">
        <f>VLOOKUP(A426,'Database Rates'!$A$1:$D$1000,4,FALSE)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2">
      <c r="A427" s="24">
        <v>34335</v>
      </c>
      <c r="B427" s="44">
        <f>VLOOKUP(A427,'Database Rates'!$A$1:$D$1000,4,FALSE)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2">
      <c r="A428" s="24">
        <v>34366</v>
      </c>
      <c r="B428" s="44">
        <f>VLOOKUP(A428,'Database Rates'!$A$1:$D$1000,4,FALSE)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2">
      <c r="A429" s="24">
        <v>34394</v>
      </c>
      <c r="B429" s="44">
        <f>VLOOKUP(A429,'Database Rates'!$A$1:$D$1000,4,FALSE)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2">
      <c r="A430" s="24">
        <v>34425</v>
      </c>
      <c r="B430" s="44">
        <f>VLOOKUP(A430,'Database Rates'!$A$1:$D$1000,4,FALSE)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2">
      <c r="A431" s="24">
        <v>34455</v>
      </c>
      <c r="B431" s="44">
        <f>VLOOKUP(A431,'Database Rates'!$A$1:$D$1000,4,FALSE)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2">
      <c r="A432" s="24">
        <v>34486</v>
      </c>
      <c r="B432" s="44">
        <f>VLOOKUP(A432,'Database Rates'!$A$1:$D$1000,4,FALSE)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2">
      <c r="A433" s="24">
        <v>34516</v>
      </c>
      <c r="B433" s="44">
        <f>VLOOKUP(A433,'Database Rates'!$A$1:$D$1000,4,FALSE)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2">
      <c r="A434" s="24">
        <v>34547</v>
      </c>
      <c r="B434" s="44">
        <f>VLOOKUP(A434,'Database Rates'!$A$1:$D$1000,4,FALSE)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2">
      <c r="A435" s="24">
        <v>34578</v>
      </c>
      <c r="B435" s="44">
        <f>VLOOKUP(A435,'Database Rates'!$A$1:$D$1000,4,FALSE)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2">
      <c r="A436" s="24">
        <v>34608</v>
      </c>
      <c r="B436" s="44">
        <f>VLOOKUP(A436,'Database Rates'!$A$1:$D$1000,4,FALSE)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2">
      <c r="A437" s="24">
        <v>34639</v>
      </c>
      <c r="B437" s="44">
        <f>VLOOKUP(A437,'Database Rates'!$A$1:$D$1000,4,FALSE)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2">
      <c r="A438" s="24">
        <v>34669</v>
      </c>
      <c r="B438" s="44">
        <f>VLOOKUP(A438,'Database Rates'!$A$1:$D$1000,4,FALSE)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2">
      <c r="A439" s="24">
        <v>34700</v>
      </c>
      <c r="B439" s="44">
        <f>VLOOKUP(A439,'Database Rates'!$A$1:$D$1000,4,FALSE)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2">
      <c r="A440" s="24">
        <v>34731</v>
      </c>
      <c r="B440" s="44">
        <f>VLOOKUP(A440,'Database Rates'!$A$1:$D$1000,4,FALSE)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2">
      <c r="A441" s="24">
        <v>34759</v>
      </c>
      <c r="B441" s="44">
        <f>VLOOKUP(A441,'Database Rates'!$A$1:$D$1000,4,FALSE)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2">
      <c r="A442" s="24">
        <v>34790</v>
      </c>
      <c r="B442" s="44">
        <f>VLOOKUP(A442,'Database Rates'!$A$1:$D$1000,4,FALSE)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2">
      <c r="A443" s="24">
        <v>34820</v>
      </c>
      <c r="B443" s="44">
        <f>VLOOKUP(A443,'Database Rates'!$A$1:$D$1000,4,FALSE)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2">
      <c r="A444" s="24">
        <v>34851</v>
      </c>
      <c r="B444" s="44">
        <f>VLOOKUP(A444,'Database Rates'!$A$1:$D$1000,4,FALSE)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2">
      <c r="A445" s="24">
        <v>34881</v>
      </c>
      <c r="B445" s="44">
        <f>VLOOKUP(A445,'Database Rates'!$A$1:$D$1000,4,FALSE)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2">
      <c r="A446" s="24">
        <v>34912</v>
      </c>
      <c r="B446" s="44">
        <f>VLOOKUP(A446,'Database Rates'!$A$1:$D$1000,4,FALSE)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2">
      <c r="A447" s="24">
        <v>34943</v>
      </c>
      <c r="B447" s="44">
        <f>VLOOKUP(A447,'Database Rates'!$A$1:$D$1000,4,FALSE)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2">
      <c r="A448" s="24">
        <v>34973</v>
      </c>
      <c r="B448" s="44">
        <f>VLOOKUP(A448,'Database Rates'!$A$1:$D$1000,4,FALSE)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2">
      <c r="A449" s="24">
        <v>35004</v>
      </c>
      <c r="B449" s="44">
        <f>VLOOKUP(A449,'Database Rates'!$A$1:$D$1000,4,FALSE)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2">
      <c r="A450" s="24">
        <v>35034</v>
      </c>
      <c r="B450" s="44">
        <f>VLOOKUP(A450,'Database Rates'!$A$1:$D$1000,4,FALSE)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2">
      <c r="A451" s="24">
        <v>35065</v>
      </c>
      <c r="B451" s="44">
        <f>VLOOKUP(A451,'Database Rates'!$A$1:$D$1000,4,FALSE)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2">
      <c r="A452" s="24">
        <v>35096</v>
      </c>
      <c r="B452" s="44">
        <f>VLOOKUP(A452,'Database Rates'!$A$1:$D$1000,4,FALSE)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2">
      <c r="A453" s="24">
        <v>35125</v>
      </c>
      <c r="B453" s="44">
        <f>VLOOKUP(A453,'Database Rates'!$A$1:$D$1000,4,FALSE)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2">
      <c r="A454" s="24">
        <v>35156</v>
      </c>
      <c r="B454" s="44">
        <f>VLOOKUP(A454,'Database Rates'!$A$1:$D$1000,4,FALSE)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2">
      <c r="A455" s="24">
        <v>35186</v>
      </c>
      <c r="B455" s="44">
        <f>VLOOKUP(A455,'Database Rates'!$A$1:$D$1000,4,FALSE)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2">
      <c r="A456" s="24">
        <v>35217</v>
      </c>
      <c r="B456" s="44">
        <f>VLOOKUP(A456,'Database Rates'!$A$1:$D$1000,4,FALSE)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2">
      <c r="A457" s="24">
        <v>35247</v>
      </c>
      <c r="B457" s="44">
        <f>VLOOKUP(A457,'Database Rates'!$A$1:$D$1000,4,FALSE)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4.7569658574872407E-2</v>
      </c>
    </row>
    <row r="458" spans="1:5" x14ac:dyDescent="0.2">
      <c r="A458" s="24">
        <v>35278</v>
      </c>
      <c r="B458" s="44">
        <f>VLOOKUP(A458,'Database Rates'!$A$1:$D$1000,4,FALSE)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2">
      <c r="A459" s="24">
        <v>35309</v>
      </c>
      <c r="B459" s="44">
        <f>VLOOKUP(A459,'Database Rates'!$A$1:$D$1000,4,FALSE)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2">
      <c r="A460" s="24">
        <v>35339</v>
      </c>
      <c r="B460" s="44">
        <f>VLOOKUP(A460,'Database Rates'!$A$1:$D$1000,4,FALSE)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2">
      <c r="A461" s="24">
        <v>35370</v>
      </c>
      <c r="B461" s="44">
        <f>VLOOKUP(A461,'Database Rates'!$A$1:$D$1000,4,FALSE)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2">
      <c r="A462" s="24">
        <v>35400</v>
      </c>
      <c r="B462" s="44">
        <f>VLOOKUP(A462,'Database Rates'!$A$1:$D$1000,4,FALSE)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2">
      <c r="A463" s="24">
        <v>35431</v>
      </c>
      <c r="B463" s="44">
        <f>VLOOKUP(A463,'Database Rates'!$A$1:$D$1000,4,FALSE)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2">
      <c r="A464" s="24">
        <v>35462</v>
      </c>
      <c r="B464" s="44">
        <f>VLOOKUP(A464,'Database Rates'!$A$1:$D$1000,4,FALSE)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2">
      <c r="A465" s="24">
        <v>35490</v>
      </c>
      <c r="B465" s="44">
        <f>VLOOKUP(A465,'Database Rates'!$A$1:$D$1000,4,FALSE)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2">
      <c r="A466" s="24">
        <v>35521</v>
      </c>
      <c r="B466" s="44">
        <f>VLOOKUP(A466,'Database Rates'!$A$1:$D$1000,4,FALSE)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2">
      <c r="A467" s="24">
        <v>35551</v>
      </c>
      <c r="B467" s="44">
        <f>VLOOKUP(A467,'Database Rates'!$A$1:$D$1000,4,FALSE)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2">
      <c r="A468" s="24">
        <v>35582</v>
      </c>
      <c r="B468" s="44">
        <f>VLOOKUP(A468,'Database Rates'!$A$1:$D$1000,4,FALSE)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2">
      <c r="A469" s="24">
        <v>35612</v>
      </c>
      <c r="B469" s="44">
        <f>VLOOKUP(A469,'Database Rates'!$A$1:$D$1000,4,FALSE)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2">
      <c r="A470" s="24">
        <v>35643</v>
      </c>
      <c r="B470" s="44">
        <f>VLOOKUP(A470,'Database Rates'!$A$1:$D$1000,4,FALSE)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2">
      <c r="A471" s="24">
        <v>35674</v>
      </c>
      <c r="B471" s="44">
        <f>VLOOKUP(A471,'Database Rates'!$A$1:$D$1000,4,FALSE)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2">
      <c r="A472" s="24">
        <v>35704</v>
      </c>
      <c r="B472" s="44">
        <f>VLOOKUP(A472,'Database Rates'!$A$1:$D$1000,4,FALSE)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2">
      <c r="A473" s="24">
        <v>35735</v>
      </c>
      <c r="B473" s="44">
        <f>VLOOKUP(A473,'Database Rates'!$A$1:$D$1000,4,FALSE)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2">
      <c r="A474" s="24">
        <v>35765</v>
      </c>
      <c r="B474" s="44">
        <f>VLOOKUP(A474,'Database Rates'!$A$1:$D$1000,4,FALSE)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2">
      <c r="A475" s="24">
        <v>35796</v>
      </c>
      <c r="B475" s="44">
        <f>VLOOKUP(A475,'Database Rates'!$A$1:$D$1000,4,FALSE)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2">
      <c r="A476" s="24">
        <v>35827</v>
      </c>
      <c r="B476" s="44">
        <f>VLOOKUP(A476,'Database Rates'!$A$1:$D$1000,4,FALSE)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2">
      <c r="A477" s="24">
        <v>35855</v>
      </c>
      <c r="B477" s="44">
        <f>VLOOKUP(A477,'Database Rates'!$A$1:$D$1000,4,FALSE)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2">
      <c r="A478" s="24">
        <v>35886</v>
      </c>
      <c r="B478" s="44">
        <f>VLOOKUP(A478,'Database Rates'!$A$1:$D$1000,4,FALSE)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2">
      <c r="A479" s="24">
        <v>35916</v>
      </c>
      <c r="B479" s="44">
        <f>VLOOKUP(A479,'Database Rates'!$A$1:$D$1000,4,FALSE)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2">
      <c r="A480" s="24">
        <v>35947</v>
      </c>
      <c r="B480" s="44">
        <f>VLOOKUP(A480,'Database Rates'!$A$1:$D$1000,4,FALSE)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2">
      <c r="A481" s="24">
        <v>35977</v>
      </c>
      <c r="B481" s="44">
        <f>VLOOKUP(A481,'Database Rates'!$A$1:$D$1000,4,FALSE)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2">
      <c r="A482" s="24">
        <v>36008</v>
      </c>
      <c r="B482" s="44">
        <f>VLOOKUP(A482,'Database Rates'!$A$1:$D$1000,4,FALSE)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2">
      <c r="A483" s="24">
        <v>36039</v>
      </c>
      <c r="B483" s="44">
        <f>VLOOKUP(A483,'Database Rates'!$A$1:$D$1000,4,FALSE)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2">
      <c r="A484" s="24">
        <v>36069</v>
      </c>
      <c r="B484" s="44">
        <f>VLOOKUP(A484,'Database Rates'!$A$1:$D$1000,4,FALSE)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2">
      <c r="A485" s="24">
        <v>36100</v>
      </c>
      <c r="B485" s="44">
        <f>VLOOKUP(A485,'Database Rates'!$A$1:$D$1000,4,FALSE)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2">
      <c r="A486" s="24">
        <v>36130</v>
      </c>
      <c r="B486" s="44">
        <f>VLOOKUP(A486,'Database Rates'!$A$1:$D$1000,4,FALSE)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2">
      <c r="A487" s="24">
        <v>36161</v>
      </c>
      <c r="B487" s="44">
        <f>VLOOKUP(A487,'Database Rates'!$A$1:$D$1000,4,FALSE)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2">
      <c r="A488" s="24">
        <v>36192</v>
      </c>
      <c r="B488" s="44">
        <f>VLOOKUP(A488,'Database Rates'!$A$1:$D$1000,4,FALSE)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2">
      <c r="A489" s="24">
        <v>36220</v>
      </c>
      <c r="B489" s="44">
        <f>VLOOKUP(A489,'Database Rates'!$A$1:$D$1000,4,FALSE)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2">
      <c r="A490" s="24">
        <v>36251</v>
      </c>
      <c r="B490" s="44">
        <f>VLOOKUP(A490,'Database Rates'!$A$1:$D$1000,4,FALSE)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2">
      <c r="A491" s="24">
        <v>36281</v>
      </c>
      <c r="B491" s="44">
        <f>VLOOKUP(A491,'Database Rates'!$A$1:$D$1000,4,FALSE)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2">
      <c r="A492" s="24">
        <v>36312</v>
      </c>
      <c r="B492" s="44">
        <f>VLOOKUP(A492,'Database Rates'!$A$1:$D$1000,4,FALSE)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2">
      <c r="A493" s="24">
        <v>36342</v>
      </c>
      <c r="B493" s="44">
        <f>VLOOKUP(A493,'Database Rates'!$A$1:$D$1000,4,FALSE)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2">
      <c r="A494" s="24">
        <v>36373</v>
      </c>
      <c r="B494" s="44">
        <f>VLOOKUP(A494,'Database Rates'!$A$1:$D$1000,4,FALSE)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2">
      <c r="A495" s="24">
        <v>36404</v>
      </c>
      <c r="B495" s="44">
        <f>VLOOKUP(A495,'Database Rates'!$A$1:$D$1000,4,FALSE)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2">
      <c r="A496" s="24">
        <v>36434</v>
      </c>
      <c r="B496" s="44">
        <f>VLOOKUP(A496,'Database Rates'!$A$1:$D$1000,4,FALSE)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2">
      <c r="A497" s="24">
        <v>36465</v>
      </c>
      <c r="B497" s="44">
        <f>VLOOKUP(A497,'Database Rates'!$A$1:$D$1000,4,FALSE)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2">
      <c r="A498" s="24">
        <v>36495</v>
      </c>
      <c r="B498" s="44">
        <f>VLOOKUP(A498,'Database Rates'!$A$1:$D$1000,4,FALSE)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2">
      <c r="A499" s="24">
        <v>36526</v>
      </c>
      <c r="B499" s="44">
        <f>VLOOKUP(A499,'Database Rates'!$A$1:$D$1000,4,FALSE)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2">
      <c r="A500" s="24">
        <v>36557</v>
      </c>
      <c r="B500" s="44">
        <f>VLOOKUP(A500,'Database Rates'!$A$1:$D$1000,4,FALSE)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2">
      <c r="A501" s="24">
        <v>36586</v>
      </c>
      <c r="B501" s="44">
        <f>VLOOKUP(A501,'Database Rates'!$A$1:$D$1000,4,FALSE)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2">
      <c r="A502" s="24">
        <v>36617</v>
      </c>
      <c r="B502" s="44">
        <f>VLOOKUP(A502,'Database Rates'!$A$1:$D$1000,4,FALSE)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2">
      <c r="A503" s="24">
        <v>36647</v>
      </c>
      <c r="B503" s="44">
        <f>VLOOKUP(A503,'Database Rates'!$A$1:$D$1000,4,FALSE)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2">
      <c r="A504" s="24">
        <v>36678</v>
      </c>
      <c r="B504" s="44">
        <f>VLOOKUP(A504,'Database Rates'!$A$1:$D$1000,4,FALSE)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2">
      <c r="A505" s="24">
        <v>36708</v>
      </c>
      <c r="B505" s="44">
        <f>VLOOKUP(A505,'Database Rates'!$A$1:$D$1000,4,FALSE)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2">
      <c r="A506" s="24">
        <v>36739</v>
      </c>
      <c r="B506" s="44">
        <f>VLOOKUP(A506,'Database Rates'!$A$1:$D$1000,4,FALSE)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7.2722430021636475E-2</v>
      </c>
      <c r="E506" s="26">
        <f>(Table267[[#This Row],[M2 Money Stock, Billions of Dollars, Weekly, Seasonally Adjusted]]-B494)/B494</f>
        <v>5.8395764219961815E-2</v>
      </c>
    </row>
    <row r="507" spans="1:5" x14ac:dyDescent="0.2">
      <c r="A507" s="24">
        <v>36770</v>
      </c>
      <c r="B507" s="44">
        <f>VLOOKUP(A507,'Database Rates'!$A$1:$D$1000,4,FALSE)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2">
      <c r="A508" s="24">
        <v>36800</v>
      </c>
      <c r="B508" s="44">
        <f>VLOOKUP(A508,'Database Rates'!$A$1:$D$1000,4,FALSE)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2">
      <c r="A509" s="24">
        <v>36831</v>
      </c>
      <c r="B509" s="44">
        <f>VLOOKUP(A509,'Database Rates'!$A$1:$D$1000,4,FALSE)</f>
        <v>4880.1000000000004</v>
      </c>
      <c r="C509" s="26">
        <f>(Table267[[#This Row],[M2 Money Stock, Billions of Dollars, Weekly, Seasonally Adjusted]]-B508)/B508</f>
        <v>2.2385607491991594E-3</v>
      </c>
      <c r="D509" s="27">
        <f>((1+Table267[[#This Row],[Monthly change]])^12)-1</f>
        <v>2.7195945554437939E-2</v>
      </c>
      <c r="E509" s="26">
        <f>(Table267[[#This Row],[M2 Money Stock, Billions of Dollars, Weekly, Seasonally Adjusted]]-B497)/B497</f>
        <v>5.847521960741793E-2</v>
      </c>
    </row>
    <row r="510" spans="1:5" x14ac:dyDescent="0.2">
      <c r="A510" s="24">
        <v>36861</v>
      </c>
      <c r="B510" s="44">
        <f>VLOOKUP(A510,'Database Rates'!$A$1:$D$1000,4,FALSE)</f>
        <v>4924.7</v>
      </c>
      <c r="C510" s="26">
        <f>(Table267[[#This Row],[M2 Money Stock, Billions of Dollars, Weekly, Seasonally Adjusted]]-B509)/B509</f>
        <v>9.1391569844879103E-3</v>
      </c>
      <c r="D510" s="27">
        <f>((1+Table267[[#This Row],[Monthly change]])^12)-1</f>
        <v>0.11535391963300845</v>
      </c>
      <c r="E510" s="26">
        <f>(Table267[[#This Row],[M2 Money Stock, Billions of Dollars, Weekly, Seasonally Adjusted]]-B498)/B498</f>
        <v>6.1815437688658867E-2</v>
      </c>
    </row>
    <row r="511" spans="1:5" x14ac:dyDescent="0.2">
      <c r="A511" s="24">
        <v>36892</v>
      </c>
      <c r="B511" s="44">
        <f>VLOOKUP(A511,'Database Rates'!$A$1:$D$1000,4,FALSE)</f>
        <v>4975.3</v>
      </c>
      <c r="C511" s="26">
        <f>(Table267[[#This Row],[M2 Money Stock, Billions of Dollars, Weekly, Seasonally Adjusted]]-B510)/B510</f>
        <v>1.0274737547464894E-2</v>
      </c>
      <c r="D511" s="27">
        <f>((1+Table267[[#This Row],[Monthly change]])^12)-1</f>
        <v>0.13050872987526962</v>
      </c>
      <c r="E511" s="26">
        <f>(Table267[[#This Row],[M2 Money Stock, Billions of Dollars, Weekly, Seasonally Adjusted]]-B499)/B499</f>
        <v>6.6242338519566318E-2</v>
      </c>
    </row>
    <row r="512" spans="1:5" x14ac:dyDescent="0.2">
      <c r="A512" s="24">
        <v>36923</v>
      </c>
      <c r="B512" s="44">
        <f>VLOOKUP(A512,'Database Rates'!$A$1:$D$1000,4,FALSE)</f>
        <v>5013.5</v>
      </c>
      <c r="C512" s="26">
        <f>(Table267[[#This Row],[M2 Money Stock, Billions of Dollars, Weekly, Seasonally Adjusted]]-B511)/B511</f>
        <v>7.6779289691073539E-3</v>
      </c>
      <c r="D512" s="27">
        <f>((1+Table267[[#This Row],[Monthly change]])^12)-1</f>
        <v>9.6127204380139553E-2</v>
      </c>
      <c r="E512" s="26">
        <f>(Table267[[#This Row],[M2 Money Stock, Billions of Dollars, Weekly, Seasonally Adjusted]]-B500)/B500</f>
        <v>7.1398042484079244E-2</v>
      </c>
    </row>
    <row r="513" spans="1:5" x14ac:dyDescent="0.2">
      <c r="A513" s="24">
        <v>36951</v>
      </c>
      <c r="B513" s="44">
        <f>VLOOKUP(A513,'Database Rates'!$A$1:$D$1000,4,FALSE)</f>
        <v>5071.2</v>
      </c>
      <c r="C513" s="26">
        <f>(Table267[[#This Row],[M2 Money Stock, Billions of Dollars, Weekly, Seasonally Adjusted]]-B512)/B512</f>
        <v>1.1508925900069775E-2</v>
      </c>
      <c r="D513" s="27">
        <f>((1+Table267[[#This Row],[Monthly change]])^12)-1</f>
        <v>0.14719338435586637</v>
      </c>
      <c r="E513" s="26">
        <f>(Table267[[#This Row],[M2 Money Stock, Billions of Dollars, Weekly, Seasonally Adjusted]]-B501)/B501</f>
        <v>7.6642180799116819E-2</v>
      </c>
    </row>
    <row r="514" spans="1:5" x14ac:dyDescent="0.2">
      <c r="A514" s="24">
        <v>36982</v>
      </c>
      <c r="B514" s="44">
        <f>VLOOKUP(A514,'Database Rates'!$A$1:$D$1000,4,FALSE)</f>
        <v>5135.2</v>
      </c>
      <c r="C514" s="26">
        <f>(Table267[[#This Row],[M2 Money Stock, Billions of Dollars, Weekly, Seasonally Adjusted]]-B513)/B513</f>
        <v>1.2620287111531788E-2</v>
      </c>
      <c r="D514" s="27">
        <f>((1+Table267[[#This Row],[Monthly change]])^12)-1</f>
        <v>0.16241040010605268</v>
      </c>
      <c r="E514" s="26">
        <f>(Table267[[#This Row],[M2 Money Stock, Billions of Dollars, Weekly, Seasonally Adjusted]]-B502)/B502</f>
        <v>7.7442772917059949E-2</v>
      </c>
    </row>
    <row r="515" spans="1:5" x14ac:dyDescent="0.2">
      <c r="A515" s="24">
        <v>37012</v>
      </c>
      <c r="B515" s="44">
        <f>VLOOKUP(A515,'Database Rates'!$A$1:$D$1000,4,FALSE)</f>
        <v>5132.2</v>
      </c>
      <c r="C515" s="26">
        <f>(Table267[[#This Row],[M2 Money Stock, Billions of Dollars, Weekly, Seasonally Adjusted]]-B514)/B514</f>
        <v>-5.8420314690761806E-4</v>
      </c>
      <c r="D515" s="27">
        <f>((1+Table267[[#This Row],[Monthly change]])^12)-1</f>
        <v>-6.9879562109936844E-3</v>
      </c>
      <c r="E515" s="26">
        <f>(Table267[[#This Row],[M2 Money Stock, Billions of Dollars, Weekly, Seasonally Adjusted]]-B503)/B503</f>
        <v>7.9576768547929111E-2</v>
      </c>
    </row>
    <row r="516" spans="1:5" x14ac:dyDescent="0.2">
      <c r="A516" s="24">
        <v>37043</v>
      </c>
      <c r="B516" s="44">
        <f>VLOOKUP(A516,'Database Rates'!$A$1:$D$1000,4,FALSE)</f>
        <v>5172.5</v>
      </c>
      <c r="C516" s="26">
        <f>(Table267[[#This Row],[M2 Money Stock, Billions of Dollars, Weekly, Seasonally Adjusted]]-B515)/B515</f>
        <v>7.8523829936479831E-3</v>
      </c>
      <c r="D516" s="27">
        <f>((1+Table267[[#This Row],[Monthly change]])^12)-1</f>
        <v>9.8406575387650408E-2</v>
      </c>
      <c r="E516" s="26">
        <f>(Table267[[#This Row],[M2 Money Stock, Billions of Dollars, Weekly, Seasonally Adjusted]]-B504)/B504</f>
        <v>8.3972505134330813E-2</v>
      </c>
    </row>
    <row r="517" spans="1:5" x14ac:dyDescent="0.2">
      <c r="A517" s="24">
        <v>37073</v>
      </c>
      <c r="B517" s="44">
        <f>VLOOKUP(A517,'Database Rates'!$A$1:$D$1000,4,FALSE)</f>
        <v>5202.3999999999996</v>
      </c>
      <c r="C517" s="26">
        <f>(Table267[[#This Row],[M2 Money Stock, Billions of Dollars, Weekly, Seasonally Adjusted]]-B516)/B516</f>
        <v>5.7805703238278661E-3</v>
      </c>
      <c r="D517" s="27">
        <f>((1+Table267[[#This Row],[Monthly change]])^12)-1</f>
        <v>7.1615285984311772E-2</v>
      </c>
      <c r="E517" s="26">
        <f>(Table267[[#This Row],[M2 Money Stock, Billions of Dollars, Weekly, Seasonally Adjusted]]-B505)/B505</f>
        <v>8.6232095878398141E-2</v>
      </c>
    </row>
    <row r="518" spans="1:5" x14ac:dyDescent="0.2">
      <c r="A518" s="24">
        <v>37104</v>
      </c>
      <c r="B518" s="44">
        <f>VLOOKUP(A518,'Database Rates'!$A$1:$D$1000,4,FALSE)</f>
        <v>5236.3</v>
      </c>
      <c r="C518" s="26">
        <f>(Table267[[#This Row],[M2 Money Stock, Billions of Dollars, Weekly, Seasonally Adjusted]]-B517)/B517</f>
        <v>6.5162232815624615E-3</v>
      </c>
      <c r="D518" s="27">
        <f>((1+Table267[[#This Row],[Monthly change]])^12)-1</f>
        <v>8.1058889177882731E-2</v>
      </c>
      <c r="E518" s="26">
        <f>(Table267[[#This Row],[M2 Money Stock, Billions of Dollars, Weekly, Seasonally Adjusted]]-B506)/B506</f>
        <v>8.6933056564608244E-2</v>
      </c>
    </row>
    <row r="519" spans="1:5" x14ac:dyDescent="0.2">
      <c r="A519" s="24">
        <v>37135</v>
      </c>
      <c r="B519" s="44">
        <f>VLOOKUP(A519,'Database Rates'!$A$1:$D$1000,4,FALSE)</f>
        <v>5347.4</v>
      </c>
      <c r="C519" s="26">
        <f>(Table267[[#This Row],[M2 Money Stock, Billions of Dollars, Weekly, Seasonally Adjusted]]-B518)/B518</f>
        <v>2.1217271737677262E-2</v>
      </c>
      <c r="D519" s="27">
        <f>((1+Table267[[#This Row],[Monthly change]])^12)-1</f>
        <v>0.28652377513321658</v>
      </c>
      <c r="E519" s="26">
        <f>(Table267[[#This Row],[M2 Money Stock, Billions of Dollars, Weekly, Seasonally Adjusted]]-B507)/B507</f>
        <v>0.10182972059671966</v>
      </c>
    </row>
    <row r="520" spans="1:5" x14ac:dyDescent="0.2">
      <c r="A520" s="24">
        <v>37165</v>
      </c>
      <c r="B520" s="44">
        <f>VLOOKUP(A520,'Database Rates'!$A$1:$D$1000,4,FALSE)</f>
        <v>5336</v>
      </c>
      <c r="C520" s="26">
        <f>(Table267[[#This Row],[M2 Money Stock, Billions of Dollars, Weekly, Seasonally Adjusted]]-B519)/B519</f>
        <v>-2.1318771739536292E-3</v>
      </c>
      <c r="D520" s="27">
        <f>((1+Table267[[#This Row],[Monthly change]])^12)-1</f>
        <v>-2.5284684095874588E-2</v>
      </c>
      <c r="E520" s="26">
        <f>(Table267[[#This Row],[M2 Money Stock, Billions of Dollars, Weekly, Seasonally Adjusted]]-B508)/B508</f>
        <v>9.5867904378542715E-2</v>
      </c>
    </row>
    <row r="521" spans="1:5" x14ac:dyDescent="0.2">
      <c r="A521" s="24">
        <v>37196</v>
      </c>
      <c r="B521" s="44">
        <f>VLOOKUP(A521,'Database Rates'!$A$1:$D$1000,4,FALSE)</f>
        <v>5379.6</v>
      </c>
      <c r="C521" s="26">
        <f>(Table267[[#This Row],[M2 Money Stock, Billions of Dollars, Weekly, Seasonally Adjusted]]-B520)/B520</f>
        <v>8.1709145427287036E-3</v>
      </c>
      <c r="D521" s="27">
        <f>((1+Table267[[#This Row],[Monthly change]])^12)-1</f>
        <v>0.10257963855514318</v>
      </c>
      <c r="E521" s="26">
        <f>(Table267[[#This Row],[M2 Money Stock, Billions of Dollars, Weekly, Seasonally Adjusted]]-B509)/B509</f>
        <v>0.10235445994959119</v>
      </c>
    </row>
    <row r="522" spans="1:5" x14ac:dyDescent="0.2">
      <c r="A522" s="24">
        <v>37226</v>
      </c>
      <c r="B522" s="44">
        <f>VLOOKUP(A522,'Database Rates'!$A$1:$D$1000,4,FALSE)</f>
        <v>5432.7</v>
      </c>
      <c r="C522" s="26">
        <f>(Table267[[#This Row],[M2 Money Stock, Billions of Dollars, Weekly, Seasonally Adjusted]]-B521)/B521</f>
        <v>9.8706223511040685E-3</v>
      </c>
      <c r="D522" s="27">
        <f>((1+Table267[[#This Row],[Monthly change]])^12)-1</f>
        <v>0.12509413936627811</v>
      </c>
      <c r="E522" s="26">
        <f>(Table267[[#This Row],[M2 Money Stock, Billions of Dollars, Weekly, Seasonally Adjusted]]-B510)/B510</f>
        <v>0.10315349158324365</v>
      </c>
    </row>
    <row r="523" spans="1:5" x14ac:dyDescent="0.2">
      <c r="A523" s="24">
        <v>37257</v>
      </c>
      <c r="B523" s="44">
        <f>VLOOKUP(A523,'Database Rates'!$A$1:$D$1000,4,FALSE)</f>
        <v>5453</v>
      </c>
      <c r="C523" s="26">
        <f>(Table267[[#This Row],[M2 Money Stock, Billions of Dollars, Weekly, Seasonally Adjusted]]-B522)/B522</f>
        <v>3.7366318773354285E-3</v>
      </c>
      <c r="D523" s="27">
        <f>((1+Table267[[#This Row],[Monthly change]])^12)-1</f>
        <v>4.5772677112602134E-2</v>
      </c>
      <c r="E523" s="26">
        <f>(Table267[[#This Row],[M2 Money Stock, Billions of Dollars, Weekly, Seasonally Adjusted]]-B511)/B511</f>
        <v>9.6014310694832433E-2</v>
      </c>
    </row>
    <row r="524" spans="1:5" x14ac:dyDescent="0.2">
      <c r="A524" s="24">
        <v>37288</v>
      </c>
      <c r="B524" s="44">
        <f>VLOOKUP(A524,'Database Rates'!$A$1:$D$1000,4,FALSE)</f>
        <v>5482.4</v>
      </c>
      <c r="C524" s="26">
        <f>(Table267[[#This Row],[M2 Money Stock, Billions of Dollars, Weekly, Seasonally Adjusted]]-B523)/B523</f>
        <v>5.3915275994864545E-3</v>
      </c>
      <c r="D524" s="27">
        <f>((1+Table267[[#This Row],[Monthly change]])^12)-1</f>
        <v>6.6651757980516591E-2</v>
      </c>
      <c r="E524" s="26">
        <f>(Table267[[#This Row],[M2 Money Stock, Billions of Dollars, Weekly, Seasonally Adjusted]]-B512)/B512</f>
        <v>9.3527475815298619E-2</v>
      </c>
    </row>
    <row r="525" spans="1:5" x14ac:dyDescent="0.2">
      <c r="A525" s="24">
        <v>37316</v>
      </c>
      <c r="B525" s="44">
        <f>VLOOKUP(A525,'Database Rates'!$A$1:$D$1000,4,FALSE)</f>
        <v>5494.2</v>
      </c>
      <c r="C525" s="26">
        <f>(Table267[[#This Row],[M2 Money Stock, Billions of Dollars, Weekly, Seasonally Adjusted]]-B524)/B524</f>
        <v>2.1523420399825227E-3</v>
      </c>
      <c r="D525" s="27">
        <f>((1+Table267[[#This Row],[Monthly change]])^12)-1</f>
        <v>2.6136058768008841E-2</v>
      </c>
      <c r="E525" s="26">
        <f>(Table267[[#This Row],[M2 Money Stock, Billions of Dollars, Weekly, Seasonally Adjusted]]-B513)/B513</f>
        <v>8.3412210127780412E-2</v>
      </c>
    </row>
    <row r="526" spans="1:5" x14ac:dyDescent="0.2">
      <c r="A526" s="24">
        <v>37347</v>
      </c>
      <c r="B526" s="44">
        <f>VLOOKUP(A526,'Database Rates'!$A$1:$D$1000,4,FALSE)</f>
        <v>5494.4</v>
      </c>
      <c r="C526" s="26">
        <f>(Table267[[#This Row],[M2 Money Stock, Billions of Dollars, Weekly, Seasonally Adjusted]]-B525)/B525</f>
        <v>3.6402023952498657E-5</v>
      </c>
      <c r="D526" s="27">
        <f>((1+Table267[[#This Row],[Monthly change]])^12)-1</f>
        <v>4.3691175512794445E-4</v>
      </c>
      <c r="E526" s="26">
        <f>(Table267[[#This Row],[M2 Money Stock, Billions of Dollars, Weekly, Seasonally Adjusted]]-B514)/B514</f>
        <v>6.9948590123072099E-2</v>
      </c>
    </row>
    <row r="527" spans="1:5" x14ac:dyDescent="0.2">
      <c r="A527" s="24">
        <v>37377</v>
      </c>
      <c r="B527" s="44">
        <f>VLOOKUP(A527,'Database Rates'!$A$1:$D$1000,4,FALSE)</f>
        <v>5520.6</v>
      </c>
      <c r="C527" s="26">
        <f>(Table267[[#This Row],[M2 Money Stock, Billions of Dollars, Weekly, Seasonally Adjusted]]-B526)/B526</f>
        <v>4.7684915550379892E-3</v>
      </c>
      <c r="D527" s="27">
        <f>((1+Table267[[#This Row],[Monthly change]])^12)-1</f>
        <v>5.8746752579921457E-2</v>
      </c>
      <c r="E527" s="26">
        <f>(Table267[[#This Row],[M2 Money Stock, Billions of Dollars, Weekly, Seasonally Adjusted]]-B515)/B515</f>
        <v>7.567904602314808E-2</v>
      </c>
    </row>
    <row r="528" spans="1:5" x14ac:dyDescent="0.2">
      <c r="A528" s="24">
        <v>37408</v>
      </c>
      <c r="B528" s="44">
        <f>VLOOKUP(A528,'Database Rates'!$A$1:$D$1000,4,FALSE)</f>
        <v>5545.6</v>
      </c>
      <c r="C528" s="26">
        <f>(Table267[[#This Row],[M2 Money Stock, Billions of Dollars, Weekly, Seasonally Adjusted]]-B527)/B527</f>
        <v>4.5284932797159724E-3</v>
      </c>
      <c r="D528" s="27">
        <f>((1+Table267[[#This Row],[Monthly change]])^12)-1</f>
        <v>5.5716038364245879E-2</v>
      </c>
      <c r="E528" s="26">
        <f>(Table267[[#This Row],[M2 Money Stock, Billions of Dollars, Weekly, Seasonally Adjusted]]-B516)/B516</f>
        <v>7.2131464475592141E-2</v>
      </c>
    </row>
    <row r="529" spans="1:5" x14ac:dyDescent="0.2">
      <c r="A529" s="24">
        <v>37438</v>
      </c>
      <c r="B529" s="44">
        <f>VLOOKUP(A529,'Database Rates'!$A$1:$D$1000,4,FALSE)</f>
        <v>5588.2</v>
      </c>
      <c r="C529" s="26">
        <f>(Table267[[#This Row],[M2 Money Stock, Billions of Dollars, Weekly, Seasonally Adjusted]]-B528)/B528</f>
        <v>7.6817657241776277E-3</v>
      </c>
      <c r="D529" s="27">
        <f>((1+Table267[[#This Row],[Monthly change]])^12)-1</f>
        <v>9.6177287759676044E-2</v>
      </c>
      <c r="E529" s="26">
        <f>(Table267[[#This Row],[M2 Money Stock, Billions of Dollars, Weekly, Seasonally Adjusted]]-B517)/B517</f>
        <v>7.4158080885745076E-2</v>
      </c>
    </row>
    <row r="530" spans="1:5" x14ac:dyDescent="0.2">
      <c r="A530" s="24">
        <v>37469</v>
      </c>
      <c r="B530" s="44">
        <f>VLOOKUP(A530,'Database Rates'!$A$1:$D$1000,4,FALSE)</f>
        <v>5630.6</v>
      </c>
      <c r="C530" s="26">
        <f>(Table267[[#This Row],[M2 Money Stock, Billions of Dollars, Weekly, Seasonally Adjusted]]-B529)/B529</f>
        <v>7.587416341576992E-3</v>
      </c>
      <c r="D530" s="27">
        <f>((1+Table267[[#This Row],[Monthly change]])^12)-1</f>
        <v>9.4946299039021076E-2</v>
      </c>
      <c r="E530" s="26">
        <f>(Table267[[#This Row],[M2 Money Stock, Billions of Dollars, Weekly, Seasonally Adjusted]]-B518)/B518</f>
        <v>7.5301262341729874E-2</v>
      </c>
    </row>
    <row r="531" spans="1:5" x14ac:dyDescent="0.2">
      <c r="A531" s="24">
        <v>37500</v>
      </c>
      <c r="B531" s="44">
        <f>VLOOKUP(A531,'Database Rates'!$A$1:$D$1000,4,FALSE)</f>
        <v>5655</v>
      </c>
      <c r="C531" s="26">
        <f>(Table267[[#This Row],[M2 Money Stock, Billions of Dollars, Weekly, Seasonally Adjusted]]-B530)/B530</f>
        <v>4.3334635740417777E-3</v>
      </c>
      <c r="D531" s="27">
        <f>((1+Table267[[#This Row],[Monthly change]])^12)-1</f>
        <v>5.3259049593178398E-2</v>
      </c>
      <c r="E531" s="26">
        <f>(Table267[[#This Row],[M2 Money Stock, Billions of Dollars, Weekly, Seasonally Adjusted]]-B519)/B519</f>
        <v>5.7523282342820885E-2</v>
      </c>
    </row>
    <row r="532" spans="1:5" x14ac:dyDescent="0.2">
      <c r="A532" s="24">
        <v>37530</v>
      </c>
      <c r="B532" s="44">
        <f>VLOOKUP(A532,'Database Rates'!$A$1:$D$1000,4,FALSE)</f>
        <v>5699.6</v>
      </c>
      <c r="C532" s="26">
        <f>(Table267[[#This Row],[M2 Money Stock, Billions of Dollars, Weekly, Seasonally Adjusted]]-B531)/B531</f>
        <v>7.8868258178603646E-3</v>
      </c>
      <c r="D532" s="27">
        <f>((1+Table267[[#This Row],[Monthly change]])^12)-1</f>
        <v>9.8857109655983599E-2</v>
      </c>
      <c r="E532" s="26">
        <f>(Table267[[#This Row],[M2 Money Stock, Billions of Dollars, Weekly, Seasonally Adjusted]]-B520)/B520</f>
        <v>6.8140929535232458E-2</v>
      </c>
    </row>
    <row r="533" spans="1:5" x14ac:dyDescent="0.2">
      <c r="A533" s="24">
        <v>37561</v>
      </c>
      <c r="B533" s="44">
        <f>VLOOKUP(A533,'Database Rates'!$A$1:$D$1000,4,FALSE)</f>
        <v>5749.7</v>
      </c>
      <c r="C533" s="26">
        <f>(Table267[[#This Row],[M2 Money Stock, Billions of Dollars, Weekly, Seasonally Adjusted]]-B532)/B532</f>
        <v>8.7900905326688625E-3</v>
      </c>
      <c r="D533" s="27">
        <f>((1+Table267[[#This Row],[Monthly change]])^12)-1</f>
        <v>0.11073303710371518</v>
      </c>
      <c r="E533" s="26">
        <f>(Table267[[#This Row],[M2 Money Stock, Billions of Dollars, Weekly, Seasonally Adjusted]]-B521)/B521</f>
        <v>6.8796936575209952E-2</v>
      </c>
    </row>
    <row r="534" spans="1:5" x14ac:dyDescent="0.2">
      <c r="A534" s="24">
        <v>37591</v>
      </c>
      <c r="B534" s="44">
        <f>VLOOKUP(A534,'Database Rates'!$A$1:$D$1000,4,FALSE)</f>
        <v>5770.9</v>
      </c>
      <c r="C534" s="26">
        <f>(Table267[[#This Row],[M2 Money Stock, Billions of Dollars, Weekly, Seasonally Adjusted]]-B533)/B533</f>
        <v>3.6871488947249108E-3</v>
      </c>
      <c r="D534" s="27">
        <f>((1+Table267[[#This Row],[Monthly change]])^12)-1</f>
        <v>4.5154181135653948E-2</v>
      </c>
      <c r="E534" s="26">
        <f>(Table267[[#This Row],[M2 Money Stock, Billions of Dollars, Weekly, Seasonally Adjusted]]-B522)/B522</f>
        <v>6.2252655217479309E-2</v>
      </c>
    </row>
    <row r="535" spans="1:5" x14ac:dyDescent="0.2">
      <c r="A535" s="24">
        <v>37622</v>
      </c>
      <c r="B535" s="44">
        <f>VLOOKUP(A535,'Database Rates'!$A$1:$D$1000,4,FALSE)</f>
        <v>5803.5</v>
      </c>
      <c r="C535" s="26">
        <f>(Table267[[#This Row],[M2 Money Stock, Billions of Dollars, Weekly, Seasonally Adjusted]]-B534)/B534</f>
        <v>5.6490322133463354E-3</v>
      </c>
      <c r="D535" s="27">
        <f>((1+Table267[[#This Row],[Monthly change]])^12)-1</f>
        <v>6.99347177960703E-2</v>
      </c>
      <c r="E535" s="26">
        <f>(Table267[[#This Row],[M2 Money Stock, Billions of Dollars, Weekly, Seasonally Adjusted]]-B523)/B523</f>
        <v>6.4276545021089315E-2</v>
      </c>
    </row>
    <row r="536" spans="1:5" x14ac:dyDescent="0.2">
      <c r="A536" s="24">
        <v>37653</v>
      </c>
      <c r="B536" s="44">
        <f>VLOOKUP(A536,'Database Rates'!$A$1:$D$1000,4,FALSE)</f>
        <v>5839.5</v>
      </c>
      <c r="C536" s="26">
        <f>(Table267[[#This Row],[M2 Money Stock, Billions of Dollars, Weekly, Seasonally Adjusted]]-B535)/B535</f>
        <v>6.2031532695787026E-3</v>
      </c>
      <c r="D536" s="27">
        <f>((1+Table267[[#This Row],[Monthly change]])^12)-1</f>
        <v>7.7030712972347093E-2</v>
      </c>
      <c r="E536" s="26">
        <f>(Table267[[#This Row],[M2 Money Stock, Billions of Dollars, Weekly, Seasonally Adjusted]]-B524)/B524</f>
        <v>6.513570698963965E-2</v>
      </c>
    </row>
    <row r="537" spans="1:5" x14ac:dyDescent="0.2">
      <c r="A537" s="24">
        <v>37681</v>
      </c>
      <c r="B537" s="44">
        <f>VLOOKUP(A537,'Database Rates'!$A$1:$D$1000,4,FALSE)</f>
        <v>5860.3</v>
      </c>
      <c r="C537" s="26">
        <f>(Table267[[#This Row],[M2 Money Stock, Billions of Dollars, Weekly, Seasonally Adjusted]]-B536)/B536</f>
        <v>3.5619487969860745E-3</v>
      </c>
      <c r="D537" s="27">
        <f>((1+Table267[[#This Row],[Monthly change]])^12)-1</f>
        <v>4.3590781603682238E-2</v>
      </c>
      <c r="E537" s="26">
        <f>(Table267[[#This Row],[M2 Money Stock, Billions of Dollars, Weekly, Seasonally Adjusted]]-B525)/B525</f>
        <v>6.6633904845109462E-2</v>
      </c>
    </row>
    <row r="538" spans="1:5" x14ac:dyDescent="0.2">
      <c r="A538" s="24">
        <v>37712</v>
      </c>
      <c r="B538" s="44">
        <f>VLOOKUP(A538,'Database Rates'!$A$1:$D$1000,4,FALSE)</f>
        <v>5897.7</v>
      </c>
      <c r="C538" s="26">
        <f>(Table267[[#This Row],[M2 Money Stock, Billions of Dollars, Weekly, Seasonally Adjusted]]-B537)/B537</f>
        <v>6.3819258399740002E-3</v>
      </c>
      <c r="D538" s="27">
        <f>((1+Table267[[#This Row],[Monthly change]])^12)-1</f>
        <v>7.9329236616785037E-2</v>
      </c>
      <c r="E538" s="26">
        <f>(Table267[[#This Row],[M2 Money Stock, Billions of Dollars, Weekly, Seasonally Adjusted]]-B526)/B526</f>
        <v>7.3402009318578959E-2</v>
      </c>
    </row>
    <row r="539" spans="1:5" x14ac:dyDescent="0.2">
      <c r="A539" s="24">
        <v>37742</v>
      </c>
      <c r="B539" s="44">
        <f>VLOOKUP(A539,'Database Rates'!$A$1:$D$1000,4,FALSE)</f>
        <v>5958</v>
      </c>
      <c r="C539" s="26">
        <f>(Table267[[#This Row],[M2 Money Stock, Billions of Dollars, Weekly, Seasonally Adjusted]]-B538)/B538</f>
        <v>1.022432473676182E-2</v>
      </c>
      <c r="D539" s="27">
        <f>((1+Table267[[#This Row],[Monthly change]])^12)-1</f>
        <v>0.12983196564595345</v>
      </c>
      <c r="E539" s="26">
        <f>(Table267[[#This Row],[M2 Money Stock, Billions of Dollars, Weekly, Seasonally Adjusted]]-B527)/B527</f>
        <v>7.923051842191059E-2</v>
      </c>
    </row>
    <row r="540" spans="1:5" x14ac:dyDescent="0.2">
      <c r="A540" s="24">
        <v>37773</v>
      </c>
      <c r="B540" s="44">
        <f>VLOOKUP(A540,'Database Rates'!$A$1:$D$1000,4,FALSE)</f>
        <v>5994.7</v>
      </c>
      <c r="C540" s="26">
        <f>(Table267[[#This Row],[M2 Money Stock, Billions of Dollars, Weekly, Seasonally Adjusted]]-B539)/B539</f>
        <v>6.1597851628062807E-3</v>
      </c>
      <c r="D540" s="27">
        <f>((1+Table267[[#This Row],[Monthly change]])^12)-1</f>
        <v>7.6473795074952333E-2</v>
      </c>
      <c r="E540" s="26">
        <f>(Table267[[#This Row],[M2 Money Stock, Billions of Dollars, Weekly, Seasonally Adjusted]]-B528)/B528</f>
        <v>8.0983121754183388E-2</v>
      </c>
    </row>
    <row r="541" spans="1:5" x14ac:dyDescent="0.2">
      <c r="A541" s="24">
        <v>37803</v>
      </c>
      <c r="B541" s="44">
        <f>VLOOKUP(A541,'Database Rates'!$A$1:$D$1000,4,FALSE)</f>
        <v>6041.4</v>
      </c>
      <c r="C541" s="26">
        <f>(Table267[[#This Row],[M2 Money Stock, Billions of Dollars, Weekly, Seasonally Adjusted]]-B540)/B540</f>
        <v>7.7902146896424874E-3</v>
      </c>
      <c r="D541" s="27">
        <f>((1+Table267[[#This Row],[Monthly change]])^12)-1</f>
        <v>9.7593802648689554E-2</v>
      </c>
      <c r="E541" s="26">
        <f>(Table267[[#This Row],[M2 Money Stock, Billions of Dollars, Weekly, Seasonally Adjusted]]-B529)/B529</f>
        <v>8.1099459575534133E-2</v>
      </c>
    </row>
    <row r="542" spans="1:5" x14ac:dyDescent="0.2">
      <c r="A542" s="24">
        <v>37834</v>
      </c>
      <c r="B542" s="44">
        <f>VLOOKUP(A542,'Database Rates'!$A$1:$D$1000,4,FALSE)</f>
        <v>6099.5</v>
      </c>
      <c r="C542" s="26">
        <f>(Table267[[#This Row],[M2 Money Stock, Billions of Dollars, Weekly, Seasonally Adjusted]]-B541)/B541</f>
        <v>9.6169761975701609E-3</v>
      </c>
      <c r="D542" s="27">
        <f>((1+Table267[[#This Row],[Monthly change]])^12)-1</f>
        <v>0.12170778193401</v>
      </c>
      <c r="E542" s="26">
        <f>(Table267[[#This Row],[M2 Money Stock, Billions of Dollars, Weekly, Seasonally Adjusted]]-B530)/B530</f>
        <v>8.3277093027385993E-2</v>
      </c>
    </row>
    <row r="543" spans="1:5" x14ac:dyDescent="0.2">
      <c r="A543" s="24">
        <v>37865</v>
      </c>
      <c r="B543" s="44">
        <f>VLOOKUP(A543,'Database Rates'!$A$1:$D$1000,4,FALSE)</f>
        <v>6071.6</v>
      </c>
      <c r="C543" s="26">
        <f>(Table267[[#This Row],[M2 Money Stock, Billions of Dollars, Weekly, Seasonally Adjusted]]-B542)/B542</f>
        <v>-4.5741454217558221E-3</v>
      </c>
      <c r="D543" s="27">
        <f>((1+Table267[[#This Row],[Monthly change]])^12)-1</f>
        <v>-5.3529679597987156E-2</v>
      </c>
      <c r="E543" s="26">
        <f>(Table267[[#This Row],[M2 Money Stock, Billions of Dollars, Weekly, Seasonally Adjusted]]-B531)/B531</f>
        <v>7.3669319186560625E-2</v>
      </c>
    </row>
    <row r="544" spans="1:5" x14ac:dyDescent="0.2">
      <c r="A544" s="24">
        <v>37895</v>
      </c>
      <c r="B544" s="44">
        <f>VLOOKUP(A544,'Database Rates'!$A$1:$D$1000,4,FALSE)</f>
        <v>6062.5</v>
      </c>
      <c r="C544" s="26">
        <f>(Table267[[#This Row],[M2 Money Stock, Billions of Dollars, Weekly, Seasonally Adjusted]]-B543)/B543</f>
        <v>-1.4987812108835173E-3</v>
      </c>
      <c r="D544" s="27">
        <f>((1+Table267[[#This Row],[Monthly change]])^12)-1</f>
        <v>-1.7837853952552774E-2</v>
      </c>
      <c r="E544" s="26">
        <f>(Table267[[#This Row],[M2 Money Stock, Billions of Dollars, Weekly, Seasonally Adjusted]]-B532)/B532</f>
        <v>6.3671134816478278E-2</v>
      </c>
    </row>
    <row r="545" spans="1:5" x14ac:dyDescent="0.2">
      <c r="A545" s="24">
        <v>37926</v>
      </c>
      <c r="B545" s="44">
        <f>VLOOKUP(A545,'Database Rates'!$A$1:$D$1000,4,FALSE)</f>
        <v>6067.7</v>
      </c>
      <c r="C545" s="26">
        <f>(Table267[[#This Row],[M2 Money Stock, Billions of Dollars, Weekly, Seasonally Adjusted]]-B544)/B544</f>
        <v>8.5773195876285657E-4</v>
      </c>
      <c r="D545" s="27">
        <f>((1+Table267[[#This Row],[Monthly change]])^12)-1</f>
        <v>1.0341479073034288E-2</v>
      </c>
      <c r="E545" s="26">
        <f>(Table267[[#This Row],[M2 Money Stock, Billions of Dollars, Weekly, Seasonally Adjusted]]-B533)/B533</f>
        <v>5.5307233420874131E-2</v>
      </c>
    </row>
    <row r="546" spans="1:5" x14ac:dyDescent="0.2">
      <c r="A546" s="24">
        <v>37956</v>
      </c>
      <c r="B546" s="44">
        <f>VLOOKUP(A546,'Database Rates'!$A$1:$D$1000,4,FALSE)</f>
        <v>6065.9</v>
      </c>
      <c r="C546" s="26">
        <f>(Table267[[#This Row],[M2 Money Stock, Billions of Dollars, Weekly, Seasonally Adjusted]]-B545)/B545</f>
        <v>-2.9665276793516192E-4</v>
      </c>
      <c r="D546" s="27">
        <f>((1+Table267[[#This Row],[Monthly change]])^12)-1</f>
        <v>-3.5540307657020431E-3</v>
      </c>
      <c r="E546" s="26">
        <f>(Table267[[#This Row],[M2 Money Stock, Billions of Dollars, Weekly, Seasonally Adjusted]]-B534)/B534</f>
        <v>5.1118543034881912E-2</v>
      </c>
    </row>
    <row r="547" spans="1:5" x14ac:dyDescent="0.2">
      <c r="A547" s="24">
        <v>37987</v>
      </c>
      <c r="B547" s="44">
        <f>VLOOKUP(A547,'Database Rates'!$A$1:$D$1000,4,FALSE)</f>
        <v>6074.4</v>
      </c>
      <c r="C547" s="26">
        <f>(Table267[[#This Row],[M2 Money Stock, Billions of Dollars, Weekly, Seasonally Adjusted]]-B546)/B546</f>
        <v>1.4012759854267298E-3</v>
      </c>
      <c r="D547" s="27">
        <f>((1+Table267[[#This Row],[Monthly change]])^12)-1</f>
        <v>1.6945514979624487E-2</v>
      </c>
      <c r="E547" s="26">
        <f>(Table267[[#This Row],[M2 Money Stock, Billions of Dollars, Weekly, Seasonally Adjusted]]-B535)/B535</f>
        <v>4.6678728353579675E-2</v>
      </c>
    </row>
    <row r="548" spans="1:5" x14ac:dyDescent="0.2">
      <c r="A548" s="24">
        <v>38018</v>
      </c>
      <c r="B548" s="44">
        <f>VLOOKUP(A548,'Database Rates'!$A$1:$D$1000,4,FALSE)</f>
        <v>6113.2</v>
      </c>
      <c r="C548" s="26">
        <f>(Table267[[#This Row],[M2 Money Stock, Billions of Dollars, Weekly, Seasonally Adjusted]]-B547)/B547</f>
        <v>6.3874621361780888E-3</v>
      </c>
      <c r="D548" s="27">
        <f>((1+Table267[[#This Row],[Monthly change]])^12)-1</f>
        <v>7.940048988956061E-2</v>
      </c>
      <c r="E548" s="26">
        <f>(Table267[[#This Row],[M2 Money Stock, Billions of Dollars, Weekly, Seasonally Adjusted]]-B536)/B536</f>
        <v>4.6870451237263432E-2</v>
      </c>
    </row>
    <row r="549" spans="1:5" x14ac:dyDescent="0.2">
      <c r="A549" s="24">
        <v>38047</v>
      </c>
      <c r="B549" s="44">
        <f>VLOOKUP(A549,'Database Rates'!$A$1:$D$1000,4,FALSE)</f>
        <v>6149</v>
      </c>
      <c r="C549" s="26">
        <f>(Table267[[#This Row],[M2 Money Stock, Billions of Dollars, Weekly, Seasonally Adjusted]]-B548)/B548</f>
        <v>5.8561800693581407E-3</v>
      </c>
      <c r="D549" s="27">
        <f>((1+Table267[[#This Row],[Monthly change]])^12)-1</f>
        <v>7.258239237593167E-2</v>
      </c>
      <c r="E549" s="26">
        <f>(Table267[[#This Row],[M2 Money Stock, Billions of Dollars, Weekly, Seasonally Adjusted]]-B537)/B537</f>
        <v>4.9263689572206171E-2</v>
      </c>
    </row>
    <row r="550" spans="1:5" x14ac:dyDescent="0.2">
      <c r="A550" s="24">
        <v>38078</v>
      </c>
      <c r="B550" s="44">
        <f>VLOOKUP(A550,'Database Rates'!$A$1:$D$1000,4,FALSE)</f>
        <v>6190.2</v>
      </c>
      <c r="C550" s="26">
        <f>(Table267[[#This Row],[M2 Money Stock, Billions of Dollars, Weekly, Seasonally Adjusted]]-B549)/B549</f>
        <v>6.7002764677182988E-3</v>
      </c>
      <c r="D550" s="27">
        <f>((1+Table267[[#This Row],[Monthly change]])^12)-1</f>
        <v>8.3433486601493856E-2</v>
      </c>
      <c r="E550" s="26">
        <f>(Table267[[#This Row],[M2 Money Stock, Billions of Dollars, Weekly, Seasonally Adjusted]]-B538)/B538</f>
        <v>4.9595605066381811E-2</v>
      </c>
    </row>
    <row r="551" spans="1:5" x14ac:dyDescent="0.2">
      <c r="A551" s="24">
        <v>38108</v>
      </c>
      <c r="B551" s="44">
        <f>VLOOKUP(A551,'Database Rates'!$A$1:$D$1000,4,FALSE)</f>
        <v>6267</v>
      </c>
      <c r="C551" s="26">
        <f>(Table267[[#This Row],[M2 Money Stock, Billions of Dollars, Weekly, Seasonally Adjusted]]-B550)/B550</f>
        <v>1.2406707376175274E-2</v>
      </c>
      <c r="D551" s="27">
        <f>((1+Table267[[#This Row],[Monthly change]])^12)-1</f>
        <v>0.15947173285931915</v>
      </c>
      <c r="E551" s="26">
        <f>(Table267[[#This Row],[M2 Money Stock, Billions of Dollars, Weekly, Seasonally Adjusted]]-B539)/B539</f>
        <v>5.1863041289023165E-2</v>
      </c>
    </row>
    <row r="552" spans="1:5" x14ac:dyDescent="0.2">
      <c r="A552" s="24">
        <v>38139</v>
      </c>
      <c r="B552" s="44">
        <f>VLOOKUP(A552,'Database Rates'!$A$1:$D$1000,4,FALSE)</f>
        <v>6269.4</v>
      </c>
      <c r="C552" s="26">
        <f>(Table267[[#This Row],[M2 Money Stock, Billions of Dollars, Weekly, Seasonally Adjusted]]-B551)/B551</f>
        <v>3.8295835327902287E-4</v>
      </c>
      <c r="D552" s="27">
        <f>((1+Table267[[#This Row],[Monthly change]])^12)-1</f>
        <v>4.6051919746079584E-3</v>
      </c>
      <c r="E552" s="26">
        <f>(Table267[[#This Row],[M2 Money Stock, Billions of Dollars, Weekly, Seasonally Adjusted]]-B540)/B540</f>
        <v>4.5823811033079191E-2</v>
      </c>
    </row>
    <row r="553" spans="1:5" x14ac:dyDescent="0.2">
      <c r="A553" s="24">
        <v>38169</v>
      </c>
      <c r="B553" s="44">
        <f>VLOOKUP(A553,'Database Rates'!$A$1:$D$1000,4,FALSE)</f>
        <v>6283.1</v>
      </c>
      <c r="C553" s="26">
        <f>(Table267[[#This Row],[M2 Money Stock, Billions of Dollars, Weekly, Seasonally Adjusted]]-B552)/B552</f>
        <v>2.1852170861646615E-3</v>
      </c>
      <c r="D553" s="27">
        <f>((1+Table267[[#This Row],[Monthly change]])^12)-1</f>
        <v>2.6540073479834225E-2</v>
      </c>
      <c r="E553" s="26">
        <f>(Table267[[#This Row],[M2 Money Stock, Billions of Dollars, Weekly, Seasonally Adjusted]]-B541)/B541</f>
        <v>4.0007283080080898E-2</v>
      </c>
    </row>
    <row r="554" spans="1:5" x14ac:dyDescent="0.2">
      <c r="A554" s="24">
        <v>38200</v>
      </c>
      <c r="B554" s="44">
        <f>VLOOKUP(A554,'Database Rates'!$A$1:$D$1000,4,FALSE)</f>
        <v>6309.2</v>
      </c>
      <c r="C554" s="26">
        <f>(Table267[[#This Row],[M2 Money Stock, Billions of Dollars, Weekly, Seasonally Adjusted]]-B553)/B553</f>
        <v>4.1540004138083831E-3</v>
      </c>
      <c r="D554" s="27">
        <f>((1+Table267[[#This Row],[Monthly change]])^12)-1</f>
        <v>5.1002800482566224E-2</v>
      </c>
      <c r="E554" s="26">
        <f>(Table267[[#This Row],[M2 Money Stock, Billions of Dollars, Weekly, Seasonally Adjusted]]-B542)/B542</f>
        <v>3.4379867202229658E-2</v>
      </c>
    </row>
    <row r="555" spans="1:5" x14ac:dyDescent="0.2">
      <c r="A555" s="24">
        <v>38231</v>
      </c>
      <c r="B555" s="44">
        <f>VLOOKUP(A555,'Database Rates'!$A$1:$D$1000,4,FALSE)</f>
        <v>6343.9</v>
      </c>
      <c r="C555" s="26">
        <f>(Table267[[#This Row],[M2 Money Stock, Billions of Dollars, Weekly, Seasonally Adjusted]]-B554)/B554</f>
        <v>5.4999049007797849E-3</v>
      </c>
      <c r="D555" s="27">
        <f>((1+Table267[[#This Row],[Monthly change]])^12)-1</f>
        <v>6.8032347305271079E-2</v>
      </c>
      <c r="E555" s="26">
        <f>(Table267[[#This Row],[M2 Money Stock, Billions of Dollars, Weekly, Seasonally Adjusted]]-B543)/B543</f>
        <v>4.484814546412795E-2</v>
      </c>
    </row>
    <row r="556" spans="1:5" x14ac:dyDescent="0.2">
      <c r="A556" s="24">
        <v>38261</v>
      </c>
      <c r="B556" s="44">
        <f>VLOOKUP(A556,'Database Rates'!$A$1:$D$1000,4,FALSE)</f>
        <v>6372.1</v>
      </c>
      <c r="C556" s="26">
        <f>(Table267[[#This Row],[M2 Money Stock, Billions of Dollars, Weekly, Seasonally Adjusted]]-B555)/B555</f>
        <v>4.4452150885103377E-3</v>
      </c>
      <c r="D556" s="27">
        <f>((1+Table267[[#This Row],[Monthly change]])^12)-1</f>
        <v>5.4666255750891235E-2</v>
      </c>
      <c r="E556" s="26">
        <f>(Table267[[#This Row],[M2 Money Stock, Billions of Dollars, Weekly, Seasonally Adjusted]]-B544)/B544</f>
        <v>5.1068041237113462E-2</v>
      </c>
    </row>
    <row r="557" spans="1:5" x14ac:dyDescent="0.2">
      <c r="A557" s="24">
        <v>38292</v>
      </c>
      <c r="B557" s="44">
        <f>VLOOKUP(A557,'Database Rates'!$A$1:$D$1000,4,FALSE)</f>
        <v>6398.7</v>
      </c>
      <c r="C557" s="26">
        <f>(Table267[[#This Row],[M2 Money Stock, Billions of Dollars, Weekly, Seasonally Adjusted]]-B556)/B556</f>
        <v>4.1744479841809533E-3</v>
      </c>
      <c r="D557" s="27">
        <f>((1+Table267[[#This Row],[Monthly change]])^12)-1</f>
        <v>5.1259647867322844E-2</v>
      </c>
      <c r="E557" s="26">
        <f>(Table267[[#This Row],[M2 Money Stock, Billions of Dollars, Weekly, Seasonally Adjusted]]-B545)/B545</f>
        <v>5.4551147881404818E-2</v>
      </c>
    </row>
    <row r="558" spans="1:5" x14ac:dyDescent="0.2">
      <c r="A558" s="24">
        <v>38322</v>
      </c>
      <c r="B558" s="44">
        <f>VLOOKUP(A558,'Database Rates'!$A$1:$D$1000,4,FALSE)</f>
        <v>6417.2</v>
      </c>
      <c r="C558" s="26">
        <f>(Table267[[#This Row],[M2 Money Stock, Billions of Dollars, Weekly, Seasonally Adjusted]]-B557)/B557</f>
        <v>2.8912122774938662E-3</v>
      </c>
      <c r="D558" s="27">
        <f>((1+Table267[[#This Row],[Monthly change]])^12)-1</f>
        <v>3.5251600185579379E-2</v>
      </c>
      <c r="E558" s="26">
        <f>(Table267[[#This Row],[M2 Money Stock, Billions of Dollars, Weekly, Seasonally Adjusted]]-B546)/B546</f>
        <v>5.7913912197695344E-2</v>
      </c>
    </row>
    <row r="559" spans="1:5" x14ac:dyDescent="0.2">
      <c r="A559" s="24">
        <v>38353</v>
      </c>
      <c r="B559" s="44">
        <f>VLOOKUP(A559,'Database Rates'!$A$1:$D$1000,4,FALSE)</f>
        <v>6423.4</v>
      </c>
      <c r="C559" s="26">
        <f>(Table267[[#This Row],[M2 Money Stock, Billions of Dollars, Weekly, Seasonally Adjusted]]-B558)/B558</f>
        <v>9.6615346256931659E-4</v>
      </c>
      <c r="D559" s="27">
        <f>((1+Table267[[#This Row],[Monthly change]])^12)-1</f>
        <v>1.1655648257526297E-2</v>
      </c>
      <c r="E559" s="26">
        <f>(Table267[[#This Row],[M2 Money Stock, Billions of Dollars, Weekly, Seasonally Adjusted]]-B547)/B547</f>
        <v>5.7454234163044911E-2</v>
      </c>
    </row>
    <row r="560" spans="1:5" x14ac:dyDescent="0.2">
      <c r="A560" s="24">
        <v>38384</v>
      </c>
      <c r="B560" s="44">
        <f>VLOOKUP(A560,'Database Rates'!$A$1:$D$1000,4,FALSE)</f>
        <v>6431.8</v>
      </c>
      <c r="C560" s="26">
        <f>(Table267[[#This Row],[M2 Money Stock, Billions of Dollars, Weekly, Seasonally Adjusted]]-B559)/B559</f>
        <v>1.3077186536725948E-3</v>
      </c>
      <c r="D560" s="27">
        <f>((1+Table267[[#This Row],[Monthly change]])^12)-1</f>
        <v>1.5805985748448048E-2</v>
      </c>
      <c r="E560" s="26">
        <f>(Table267[[#This Row],[M2 Money Stock, Billions of Dollars, Weekly, Seasonally Adjusted]]-B548)/B548</f>
        <v>5.2116731008309949E-2</v>
      </c>
    </row>
    <row r="561" spans="1:5" x14ac:dyDescent="0.2">
      <c r="A561" s="24">
        <v>38412</v>
      </c>
      <c r="B561" s="44">
        <f>VLOOKUP(A561,'Database Rates'!$A$1:$D$1000,4,FALSE)</f>
        <v>6440.8</v>
      </c>
      <c r="C561" s="26">
        <f>(Table267[[#This Row],[M2 Money Stock, Billions of Dollars, Weekly, Seasonally Adjusted]]-B560)/B560</f>
        <v>1.3992972418296588E-3</v>
      </c>
      <c r="D561" s="27">
        <f>((1+Table267[[#This Row],[Monthly change]])^12)-1</f>
        <v>1.6921401738243524E-2</v>
      </c>
      <c r="E561" s="26">
        <f>(Table267[[#This Row],[M2 Money Stock, Billions of Dollars, Weekly, Seasonally Adjusted]]-B549)/B549</f>
        <v>4.7454870710684695E-2</v>
      </c>
    </row>
    <row r="562" spans="1:5" x14ac:dyDescent="0.2">
      <c r="A562" s="24">
        <v>38443</v>
      </c>
      <c r="B562" s="44">
        <f>VLOOKUP(A562,'Database Rates'!$A$1:$D$1000,4,FALSE)</f>
        <v>6454.7</v>
      </c>
      <c r="C562" s="26">
        <f>(Table267[[#This Row],[M2 Money Stock, Billions of Dollars, Weekly, Seasonally Adjusted]]-B561)/B561</f>
        <v>2.1581170040988131E-3</v>
      </c>
      <c r="D562" s="27">
        <f>((1+Table267[[#This Row],[Monthly change]])^12)-1</f>
        <v>2.620701907799794E-2</v>
      </c>
      <c r="E562" s="26">
        <f>(Table267[[#This Row],[M2 Money Stock, Billions of Dollars, Weekly, Seasonally Adjusted]]-B550)/B550</f>
        <v>4.2728829440082709E-2</v>
      </c>
    </row>
    <row r="563" spans="1:5" x14ac:dyDescent="0.2">
      <c r="A563" s="24">
        <v>38473</v>
      </c>
      <c r="B563" s="44">
        <f>VLOOKUP(A563,'Database Rates'!$A$1:$D$1000,4,FALSE)</f>
        <v>6472</v>
      </c>
      <c r="C563" s="26">
        <f>(Table267[[#This Row],[M2 Money Stock, Billions of Dollars, Weekly, Seasonally Adjusted]]-B562)/B562</f>
        <v>2.680217515918661E-3</v>
      </c>
      <c r="D563" s="27">
        <f>((1+Table267[[#This Row],[Monthly change]])^12)-1</f>
        <v>3.264098697048512E-2</v>
      </c>
      <c r="E563" s="26">
        <f>(Table267[[#This Row],[M2 Money Stock, Billions of Dollars, Weekly, Seasonally Adjusted]]-B551)/B551</f>
        <v>3.271102600925483E-2</v>
      </c>
    </row>
    <row r="564" spans="1:5" x14ac:dyDescent="0.2">
      <c r="A564" s="24">
        <v>38504</v>
      </c>
      <c r="B564" s="44">
        <f>VLOOKUP(A564,'Database Rates'!$A$1:$D$1000,4,FALSE)</f>
        <v>6504.4</v>
      </c>
      <c r="C564" s="26">
        <f>(Table267[[#This Row],[M2 Money Stock, Billions of Dollars, Weekly, Seasonally Adjusted]]-B563)/B563</f>
        <v>5.0061804697156421E-3</v>
      </c>
      <c r="D564" s="27">
        <f>((1+Table267[[#This Row],[Monthly change]])^12)-1</f>
        <v>6.1756162783985546E-2</v>
      </c>
      <c r="E564" s="26">
        <f>(Table267[[#This Row],[M2 Money Stock, Billions of Dollars, Weekly, Seasonally Adjusted]]-B552)/B552</f>
        <v>3.7483650748077968E-2</v>
      </c>
    </row>
    <row r="565" spans="1:5" x14ac:dyDescent="0.2">
      <c r="A565" s="24">
        <v>38534</v>
      </c>
      <c r="B565" s="44">
        <f>VLOOKUP(A565,'Database Rates'!$A$1:$D$1000,4,FALSE)</f>
        <v>6536</v>
      </c>
      <c r="C565" s="26">
        <f>(Table267[[#This Row],[M2 Money Stock, Billions of Dollars, Weekly, Seasonally Adjusted]]-B564)/B564</f>
        <v>4.8582498001353489E-3</v>
      </c>
      <c r="D565" s="27">
        <f>((1+Table267[[#This Row],[Monthly change]])^12)-1</f>
        <v>5.9882273329414426E-2</v>
      </c>
      <c r="E565" s="26">
        <f>(Table267[[#This Row],[M2 Money Stock, Billions of Dollars, Weekly, Seasonally Adjusted]]-B553)/B553</f>
        <v>4.0250831595868224E-2</v>
      </c>
    </row>
    <row r="566" spans="1:5" x14ac:dyDescent="0.2">
      <c r="A566" s="24">
        <v>38565</v>
      </c>
      <c r="B566" s="44">
        <f>VLOOKUP(A566,'Database Rates'!$A$1:$D$1000,4,FALSE)</f>
        <v>6568.7</v>
      </c>
      <c r="C566" s="26">
        <f>(Table267[[#This Row],[M2 Money Stock, Billions of Dollars, Weekly, Seasonally Adjusted]]-B565)/B565</f>
        <v>5.0030599755201679E-3</v>
      </c>
      <c r="D566" s="27">
        <f>((1+Table267[[#This Row],[Monthly change]])^12)-1</f>
        <v>6.1716603058751041E-2</v>
      </c>
      <c r="E566" s="26">
        <f>(Table267[[#This Row],[M2 Money Stock, Billions of Dollars, Weekly, Seasonally Adjusted]]-B554)/B554</f>
        <v>4.1130412730615608E-2</v>
      </c>
    </row>
    <row r="567" spans="1:5" x14ac:dyDescent="0.2">
      <c r="A567" s="24">
        <v>38596</v>
      </c>
      <c r="B567" s="44">
        <f>VLOOKUP(A567,'Database Rates'!$A$1:$D$1000,4,FALSE)</f>
        <v>6602.9</v>
      </c>
      <c r="C567" s="26">
        <f>(Table267[[#This Row],[M2 Money Stock, Billions of Dollars, Weekly, Seasonally Adjusted]]-B566)/B566</f>
        <v>5.2065096594455249E-3</v>
      </c>
      <c r="D567" s="27">
        <f>((1+Table267[[#This Row],[Monthly change]])^12)-1</f>
        <v>6.4298643809176603E-2</v>
      </c>
      <c r="E567" s="26">
        <f>(Table267[[#This Row],[M2 Money Stock, Billions of Dollars, Weekly, Seasonally Adjusted]]-B555)/B555</f>
        <v>4.0826620848374032E-2</v>
      </c>
    </row>
    <row r="568" spans="1:5" x14ac:dyDescent="0.2">
      <c r="A568" s="24">
        <v>38626</v>
      </c>
      <c r="B568" s="44">
        <f>VLOOKUP(A568,'Database Rates'!$A$1:$D$1000,4,FALSE)</f>
        <v>6637</v>
      </c>
      <c r="C568" s="26">
        <f>(Table267[[#This Row],[M2 Money Stock, Billions of Dollars, Weekly, Seasonally Adjusted]]-B567)/B567</f>
        <v>5.16439746172142E-3</v>
      </c>
      <c r="D568" s="27">
        <f>((1+Table267[[#This Row],[Monthly change]])^12)-1</f>
        <v>6.3763713380787124E-2</v>
      </c>
      <c r="E568" s="26">
        <f>(Table267[[#This Row],[M2 Money Stock, Billions of Dollars, Weekly, Seasonally Adjusted]]-B556)/B556</f>
        <v>4.1571852293592317E-2</v>
      </c>
    </row>
    <row r="569" spans="1:5" x14ac:dyDescent="0.2">
      <c r="A569" s="24">
        <v>38657</v>
      </c>
      <c r="B569" s="44">
        <f>VLOOKUP(A569,'Database Rates'!$A$1:$D$1000,4,FALSE)</f>
        <v>6653.4</v>
      </c>
      <c r="C569" s="26">
        <f>(Table267[[#This Row],[M2 Money Stock, Billions of Dollars, Weekly, Seasonally Adjusted]]-B568)/B568</f>
        <v>2.4709959318968866E-3</v>
      </c>
      <c r="D569" s="27">
        <f>((1+Table267[[#This Row],[Monthly change]])^12)-1</f>
        <v>3.0058273130044277E-2</v>
      </c>
      <c r="E569" s="26">
        <f>(Table267[[#This Row],[M2 Money Stock, Billions of Dollars, Weekly, Seasonally Adjusted]]-B557)/B557</f>
        <v>3.9804960382577685E-2</v>
      </c>
    </row>
    <row r="570" spans="1:5" x14ac:dyDescent="0.2">
      <c r="A570" s="24">
        <v>38687</v>
      </c>
      <c r="B570" s="44">
        <f>VLOOKUP(A570,'Database Rates'!$A$1:$D$1000,4,FALSE)</f>
        <v>6680.1</v>
      </c>
      <c r="C570" s="26">
        <f>(Table267[[#This Row],[M2 Money Stock, Billions of Dollars, Weekly, Seasonally Adjusted]]-B569)/B569</f>
        <v>4.0129858418253414E-3</v>
      </c>
      <c r="D570" s="27">
        <f>((1+Table267[[#This Row],[Monthly change]])^12)-1</f>
        <v>4.9233044533994796E-2</v>
      </c>
      <c r="E570" s="26">
        <f>(Table267[[#This Row],[M2 Money Stock, Billions of Dollars, Weekly, Seasonally Adjusted]]-B558)/B558</f>
        <v>4.0968023437013112E-2</v>
      </c>
    </row>
    <row r="571" spans="1:5" x14ac:dyDescent="0.2">
      <c r="A571" s="24">
        <v>38718</v>
      </c>
      <c r="B571" s="44">
        <f>VLOOKUP(A571,'Database Rates'!$A$1:$D$1000,4,FALSE)</f>
        <v>6722.5</v>
      </c>
      <c r="C571" s="26">
        <f>(Table267[[#This Row],[M2 Money Stock, Billions of Dollars, Weekly, Seasonally Adjusted]]-B570)/B570</f>
        <v>6.347210371102174E-3</v>
      </c>
      <c r="D571" s="27">
        <f>((1+Table267[[#This Row],[Monthly change]])^12)-1</f>
        <v>7.8882539653975625E-2</v>
      </c>
      <c r="E571" s="26">
        <f>(Table267[[#This Row],[M2 Money Stock, Billions of Dollars, Weekly, Seasonally Adjusted]]-B559)/B559</f>
        <v>4.6564124918267641E-2</v>
      </c>
    </row>
    <row r="572" spans="1:5" x14ac:dyDescent="0.2">
      <c r="A572" s="24">
        <v>38749</v>
      </c>
      <c r="B572" s="44">
        <f>VLOOKUP(A572,'Database Rates'!$A$1:$D$1000,4,FALSE)</f>
        <v>6746.8</v>
      </c>
      <c r="C572" s="26">
        <f>(Table267[[#This Row],[M2 Money Stock, Billions of Dollars, Weekly, Seasonally Adjusted]]-B571)/B571</f>
        <v>3.6147266641874572E-3</v>
      </c>
      <c r="D572" s="27">
        <f>((1+Table267[[#This Row],[Monthly change]])^12)-1</f>
        <v>4.4249568197420652E-2</v>
      </c>
      <c r="E572" s="26">
        <f>(Table267[[#This Row],[M2 Money Stock, Billions of Dollars, Weekly, Seasonally Adjusted]]-B560)/B560</f>
        <v>4.8975403464038059E-2</v>
      </c>
    </row>
    <row r="573" spans="1:5" x14ac:dyDescent="0.2">
      <c r="A573" s="24">
        <v>38777</v>
      </c>
      <c r="B573" s="44">
        <f>VLOOKUP(A573,'Database Rates'!$A$1:$D$1000,4,FALSE)</f>
        <v>6761.1</v>
      </c>
      <c r="C573" s="26">
        <f>(Table267[[#This Row],[M2 Money Stock, Billions of Dollars, Weekly, Seasonally Adjusted]]-B572)/B572</f>
        <v>2.1195233295784937E-3</v>
      </c>
      <c r="D573" s="27">
        <f>((1+Table267[[#This Row],[Monthly change]])^12)-1</f>
        <v>2.5732881776806549E-2</v>
      </c>
      <c r="E573" s="26">
        <f>(Table267[[#This Row],[M2 Money Stock, Billions of Dollars, Weekly, Seasonally Adjusted]]-B561)/B561</f>
        <v>4.9729847223947361E-2</v>
      </c>
    </row>
    <row r="574" spans="1:5" x14ac:dyDescent="0.2">
      <c r="A574" s="24">
        <v>38808</v>
      </c>
      <c r="B574" s="44">
        <f>VLOOKUP(A574,'Database Rates'!$A$1:$D$1000,4,FALSE)</f>
        <v>6798.5</v>
      </c>
      <c r="C574" s="26">
        <f>(Table267[[#This Row],[M2 Money Stock, Billions of Dollars, Weekly, Seasonally Adjusted]]-B573)/B573</f>
        <v>5.5316442590702154E-3</v>
      </c>
      <c r="D574" s="27">
        <f>((1+Table267[[#This Row],[Monthly change]])^12)-1</f>
        <v>6.8436976449352871E-2</v>
      </c>
      <c r="E574" s="26">
        <f>(Table267[[#This Row],[M2 Money Stock, Billions of Dollars, Weekly, Seasonally Adjusted]]-B562)/B562</f>
        <v>5.3263513408833903E-2</v>
      </c>
    </row>
    <row r="575" spans="1:5" x14ac:dyDescent="0.2">
      <c r="A575" s="24">
        <v>38838</v>
      </c>
      <c r="B575" s="44">
        <f>VLOOKUP(A575,'Database Rates'!$A$1:$D$1000,4,FALSE)</f>
        <v>6805.2</v>
      </c>
      <c r="C575" s="26">
        <f>(Table267[[#This Row],[M2 Money Stock, Billions of Dollars, Weekly, Seasonally Adjusted]]-B574)/B574</f>
        <v>9.8551150989186127E-4</v>
      </c>
      <c r="D575" s="27">
        <f>((1+Table267[[#This Row],[Monthly change]])^12)-1</f>
        <v>1.1890450535625208E-2</v>
      </c>
      <c r="E575" s="26">
        <f>(Table267[[#This Row],[M2 Money Stock, Billions of Dollars, Weekly, Seasonally Adjusted]]-B563)/B563</f>
        <v>5.1483312731767587E-2</v>
      </c>
    </row>
    <row r="576" spans="1:5" x14ac:dyDescent="0.2">
      <c r="A576" s="24">
        <v>38869</v>
      </c>
      <c r="B576" s="44">
        <f>VLOOKUP(A576,'Database Rates'!$A$1:$D$1000,4,FALSE)</f>
        <v>6843.2</v>
      </c>
      <c r="C576" s="26">
        <f>(Table267[[#This Row],[M2 Money Stock, Billions of Dollars, Weekly, Seasonally Adjusted]]-B575)/B575</f>
        <v>5.5839652030799979E-3</v>
      </c>
      <c r="D576" s="27">
        <f>((1+Table267[[#This Row],[Monthly change]])^12)-1</f>
        <v>6.910429665591411E-2</v>
      </c>
      <c r="E576" s="26">
        <f>(Table267[[#This Row],[M2 Money Stock, Billions of Dollars, Weekly, Seasonally Adjusted]]-B564)/B564</f>
        <v>5.2087817477399947E-2</v>
      </c>
    </row>
    <row r="577" spans="1:5" x14ac:dyDescent="0.2">
      <c r="A577" s="24">
        <v>38899</v>
      </c>
      <c r="B577" s="44">
        <f>VLOOKUP(A577,'Database Rates'!$A$1:$D$1000,4,FALSE)</f>
        <v>6884.6</v>
      </c>
      <c r="C577" s="26">
        <f>(Table267[[#This Row],[M2 Money Stock, Billions of Dollars, Weekly, Seasonally Adjusted]]-B576)/B576</f>
        <v>6.0498012625673E-3</v>
      </c>
      <c r="D577" s="27">
        <f>((1+Table267[[#This Row],[Monthly change]])^12)-1</f>
        <v>7.5062604117979381E-2</v>
      </c>
      <c r="E577" s="26">
        <f>(Table267[[#This Row],[M2 Money Stock, Billions of Dollars, Weekly, Seasonally Adjusted]]-B565)/B565</f>
        <v>5.3335373317013518E-2</v>
      </c>
    </row>
    <row r="578" spans="1:5" x14ac:dyDescent="0.2">
      <c r="A578" s="24">
        <v>38930</v>
      </c>
      <c r="B578" s="44">
        <f>VLOOKUP(A578,'Database Rates'!$A$1:$D$1000,4,FALSE)</f>
        <v>6915.4</v>
      </c>
      <c r="C578" s="26">
        <f>(Table267[[#This Row],[M2 Money Stock, Billions of Dollars, Weekly, Seasonally Adjusted]]-B577)/B577</f>
        <v>4.4737530139731096E-3</v>
      </c>
      <c r="D578" s="27">
        <f>((1+Table267[[#This Row],[Monthly change]])^12)-1</f>
        <v>5.5025889390063032E-2</v>
      </c>
      <c r="E578" s="26">
        <f>(Table267[[#This Row],[M2 Money Stock, Billions of Dollars, Weekly, Seasonally Adjusted]]-B566)/B566</f>
        <v>5.27806110798179E-2</v>
      </c>
    </row>
    <row r="579" spans="1:5" x14ac:dyDescent="0.2">
      <c r="A579" s="24">
        <v>38961</v>
      </c>
      <c r="B579" s="44">
        <f>VLOOKUP(A579,'Database Rates'!$A$1:$D$1000,4,FALSE)</f>
        <v>6942.6</v>
      </c>
      <c r="C579" s="26">
        <f>(Table267[[#This Row],[M2 Money Stock, Billions of Dollars, Weekly, Seasonally Adjusted]]-B578)/B578</f>
        <v>3.9332504265842507E-3</v>
      </c>
      <c r="D579" s="27">
        <f>((1+Table267[[#This Row],[Monthly change]])^12)-1</f>
        <v>4.8233561449092743E-2</v>
      </c>
      <c r="E579" s="26">
        <f>(Table267[[#This Row],[M2 Money Stock, Billions of Dollars, Weekly, Seasonally Adjusted]]-B567)/B567</f>
        <v>5.1447091429523507E-2</v>
      </c>
    </row>
    <row r="580" spans="1:5" x14ac:dyDescent="0.2">
      <c r="A580" s="24">
        <v>38991</v>
      </c>
      <c r="B580" s="44">
        <f>VLOOKUP(A580,'Database Rates'!$A$1:$D$1000,4,FALSE)</f>
        <v>6991.6</v>
      </c>
      <c r="C580" s="26">
        <f>(Table267[[#This Row],[M2 Money Stock, Billions of Dollars, Weekly, Seasonally Adjusted]]-B579)/B579</f>
        <v>7.0578745714861861E-3</v>
      </c>
      <c r="D580" s="27">
        <f>((1+Table267[[#This Row],[Monthly change]])^12)-1</f>
        <v>8.8060781483037642E-2</v>
      </c>
      <c r="E580" s="26">
        <f>(Table267[[#This Row],[M2 Money Stock, Billions of Dollars, Weekly, Seasonally Adjusted]]-B568)/B568</f>
        <v>5.3427753503088801E-2</v>
      </c>
    </row>
    <row r="581" spans="1:5" x14ac:dyDescent="0.2">
      <c r="A581" s="24">
        <v>39022</v>
      </c>
      <c r="B581" s="44">
        <f>VLOOKUP(A581,'Database Rates'!$A$1:$D$1000,4,FALSE)</f>
        <v>7026.5</v>
      </c>
      <c r="C581" s="26">
        <f>(Table267[[#This Row],[M2 Money Stock, Billions of Dollars, Weekly, Seasonally Adjusted]]-B580)/B580</f>
        <v>4.9917043309113274E-3</v>
      </c>
      <c r="D581" s="27">
        <f>((1+Table267[[#This Row],[Monthly change]])^12)-1</f>
        <v>6.1572654515585468E-2</v>
      </c>
      <c r="E581" s="26">
        <f>(Table267[[#This Row],[M2 Money Stock, Billions of Dollars, Weekly, Seasonally Adjusted]]-B569)/B569</f>
        <v>5.6076592418913697E-2</v>
      </c>
    </row>
    <row r="582" spans="1:5" x14ac:dyDescent="0.2">
      <c r="A582" s="24">
        <v>39052</v>
      </c>
      <c r="B582" s="44">
        <f>VLOOKUP(A582,'Database Rates'!$A$1:$D$1000,4,FALSE)</f>
        <v>7069.5</v>
      </c>
      <c r="C582" s="26">
        <f>(Table267[[#This Row],[M2 Money Stock, Billions of Dollars, Weekly, Seasonally Adjusted]]-B581)/B581</f>
        <v>6.1196897459617162E-3</v>
      </c>
      <c r="D582" s="27">
        <f>((1+Table267[[#This Row],[Monthly change]])^12)-1</f>
        <v>7.5959138765098411E-2</v>
      </c>
      <c r="E582" s="26">
        <f>(Table267[[#This Row],[M2 Money Stock, Billions of Dollars, Weekly, Seasonally Adjusted]]-B570)/B570</f>
        <v>5.8292540530830321E-2</v>
      </c>
    </row>
    <row r="583" spans="1:5" x14ac:dyDescent="0.2">
      <c r="A583" s="24">
        <v>39083</v>
      </c>
      <c r="B583" s="44">
        <f>VLOOKUP(A583,'Database Rates'!$A$1:$D$1000,4,FALSE)</f>
        <v>7107.4</v>
      </c>
      <c r="C583" s="26">
        <f>(Table267[[#This Row],[M2 Money Stock, Billions of Dollars, Weekly, Seasonally Adjusted]]-B582)/B582</f>
        <v>5.3610580663412738E-3</v>
      </c>
      <c r="D583" s="27">
        <f>((1+Table267[[#This Row],[Monthly change]])^12)-1</f>
        <v>6.626390950401051E-2</v>
      </c>
      <c r="E583" s="26">
        <f>(Table267[[#This Row],[M2 Money Stock, Billions of Dollars, Weekly, Seasonally Adjusted]]-B571)/B571</f>
        <v>5.7255485310524303E-2</v>
      </c>
    </row>
    <row r="584" spans="1:5" x14ac:dyDescent="0.2">
      <c r="A584" s="24">
        <v>39114</v>
      </c>
      <c r="B584" s="44">
        <f>VLOOKUP(A584,'Database Rates'!$A$1:$D$1000,4,FALSE)</f>
        <v>7123.2</v>
      </c>
      <c r="C584" s="26">
        <f>(Table267[[#This Row],[M2 Money Stock, Billions of Dollars, Weekly, Seasonally Adjusted]]-B583)/B583</f>
        <v>2.2230351464670884E-3</v>
      </c>
      <c r="D584" s="27">
        <f>((1+Table267[[#This Row],[Monthly change]])^12)-1</f>
        <v>2.7005015233658503E-2</v>
      </c>
      <c r="E584" s="26">
        <f>(Table267[[#This Row],[M2 Money Stock, Billions of Dollars, Weekly, Seasonally Adjusted]]-B572)/B572</f>
        <v>5.5789411276456931E-2</v>
      </c>
    </row>
    <row r="585" spans="1:5" x14ac:dyDescent="0.2">
      <c r="A585" s="24">
        <v>39142</v>
      </c>
      <c r="B585" s="44">
        <f>VLOOKUP(A585,'Database Rates'!$A$1:$D$1000,4,FALSE)</f>
        <v>7156.9</v>
      </c>
      <c r="C585" s="26">
        <f>(Table267[[#This Row],[M2 Money Stock, Billions of Dollars, Weekly, Seasonally Adjusted]]-B584)/B584</f>
        <v>4.7310197663970998E-3</v>
      </c>
      <c r="D585" s="27">
        <f>((1+Table267[[#This Row],[Monthly change]])^12)-1</f>
        <v>5.8273031539609832E-2</v>
      </c>
      <c r="E585" s="26">
        <f>(Table267[[#This Row],[M2 Money Stock, Billions of Dollars, Weekly, Seasonally Adjusted]]-B573)/B573</f>
        <v>5.8540769993048358E-2</v>
      </c>
    </row>
    <row r="586" spans="1:5" x14ac:dyDescent="0.2">
      <c r="A586" s="24">
        <v>39173</v>
      </c>
      <c r="B586" s="44">
        <f>VLOOKUP(A586,'Database Rates'!$A$1:$D$1000,4,FALSE)</f>
        <v>7229.3</v>
      </c>
      <c r="C586" s="26">
        <f>(Table267[[#This Row],[M2 Money Stock, Billions of Dollars, Weekly, Seasonally Adjusted]]-B585)/B585</f>
        <v>1.0116111724350004E-2</v>
      </c>
      <c r="D586" s="27">
        <f>((1+Table267[[#This Row],[Monthly change]])^12)-1</f>
        <v>0.12838051951623464</v>
      </c>
      <c r="E586" s="26">
        <f>(Table267[[#This Row],[M2 Money Stock, Billions of Dollars, Weekly, Seasonally Adjusted]]-B574)/B574</f>
        <v>6.3366919173347094E-2</v>
      </c>
    </row>
    <row r="587" spans="1:5" x14ac:dyDescent="0.2">
      <c r="A587" s="24">
        <v>39203</v>
      </c>
      <c r="B587" s="44">
        <f>VLOOKUP(A587,'Database Rates'!$A$1:$D$1000,4,FALSE)</f>
        <v>7243.2</v>
      </c>
      <c r="C587" s="26">
        <f>(Table267[[#This Row],[M2 Money Stock, Billions of Dollars, Weekly, Seasonally Adjusted]]-B586)/B586</f>
        <v>1.9227311081293674E-3</v>
      </c>
      <c r="D587" s="27">
        <f>((1+Table267[[#This Row],[Monthly change]])^12)-1</f>
        <v>2.3318338937595051E-2</v>
      </c>
      <c r="E587" s="26">
        <f>(Table267[[#This Row],[M2 Money Stock, Billions of Dollars, Weekly, Seasonally Adjusted]]-B575)/B575</f>
        <v>6.4362546288132608E-2</v>
      </c>
    </row>
    <row r="588" spans="1:5" x14ac:dyDescent="0.2">
      <c r="A588" s="24">
        <v>39234</v>
      </c>
      <c r="B588" s="44">
        <f>VLOOKUP(A588,'Database Rates'!$A$1:$D$1000,4,FALSE)</f>
        <v>7276.3</v>
      </c>
      <c r="C588" s="26">
        <f>(Table267[[#This Row],[M2 Money Stock, Billions of Dollars, Weekly, Seasonally Adjusted]]-B587)/B587</f>
        <v>4.5698034018114043E-3</v>
      </c>
      <c r="D588" s="27">
        <f>((1+Table267[[#This Row],[Monthly change]])^12)-1</f>
        <v>5.6237138055367009E-2</v>
      </c>
      <c r="E588" s="26">
        <f>(Table267[[#This Row],[M2 Money Stock, Billions of Dollars, Weekly, Seasonally Adjusted]]-B576)/B576</f>
        <v>6.3289104512508826E-2</v>
      </c>
    </row>
    <row r="589" spans="1:5" x14ac:dyDescent="0.2">
      <c r="A589" s="24">
        <v>39264</v>
      </c>
      <c r="B589" s="44">
        <f>VLOOKUP(A589,'Database Rates'!$A$1:$D$1000,4,FALSE)</f>
        <v>7306.6</v>
      </c>
      <c r="C589" s="26">
        <f>(Table267[[#This Row],[M2 Money Stock, Billions of Dollars, Weekly, Seasonally Adjusted]]-B588)/B588</f>
        <v>4.1642043346206423E-3</v>
      </c>
      <c r="D589" s="27">
        <f>((1+Table267[[#This Row],[Monthly change]])^12)-1</f>
        <v>5.1130967461848975E-2</v>
      </c>
      <c r="E589" s="26">
        <f>(Table267[[#This Row],[M2 Money Stock, Billions of Dollars, Weekly, Seasonally Adjusted]]-B577)/B577</f>
        <v>6.1296226360282369E-2</v>
      </c>
    </row>
    <row r="590" spans="1:5" x14ac:dyDescent="0.2">
      <c r="A590" s="24">
        <v>39295</v>
      </c>
      <c r="B590" s="44">
        <f>VLOOKUP(A590,'Database Rates'!$A$1:$D$1000,4,FALSE)</f>
        <v>7382.8</v>
      </c>
      <c r="C590" s="26">
        <f>(Table267[[#This Row],[M2 Money Stock, Billions of Dollars, Weekly, Seasonally Adjusted]]-B589)/B589</f>
        <v>1.0428927271234201E-2</v>
      </c>
      <c r="D590" s="27">
        <f>((1+Table267[[#This Row],[Monthly change]])^12)-1</f>
        <v>0.13258094906321172</v>
      </c>
      <c r="E590" s="26">
        <f>(Table267[[#This Row],[M2 Money Stock, Billions of Dollars, Weekly, Seasonally Adjusted]]-B578)/B578</f>
        <v>6.7588281227405581E-2</v>
      </c>
    </row>
    <row r="591" spans="1:5" x14ac:dyDescent="0.2">
      <c r="A591" s="24">
        <v>39326</v>
      </c>
      <c r="B591" s="44">
        <f>VLOOKUP(A591,'Database Rates'!$A$1:$D$1000,4,FALSE)</f>
        <v>7401.1</v>
      </c>
      <c r="C591" s="26">
        <f>(Table267[[#This Row],[M2 Money Stock, Billions of Dollars, Weekly, Seasonally Adjusted]]-B590)/B590</f>
        <v>2.4787343555290921E-3</v>
      </c>
      <c r="D591" s="27">
        <f>((1+Table267[[#This Row],[Monthly change]])^12)-1</f>
        <v>3.0153693734676912E-2</v>
      </c>
      <c r="E591" s="26">
        <f>(Table267[[#This Row],[M2 Money Stock, Billions of Dollars, Weekly, Seasonally Adjusted]]-B579)/B579</f>
        <v>6.6041540633192175E-2</v>
      </c>
    </row>
    <row r="592" spans="1:5" x14ac:dyDescent="0.2">
      <c r="A592" s="24">
        <v>39356</v>
      </c>
      <c r="B592" s="44">
        <f>VLOOKUP(A592,'Database Rates'!$A$1:$D$1000,4,FALSE)</f>
        <v>7414.8</v>
      </c>
      <c r="C592" s="26">
        <f>(Table267[[#This Row],[M2 Money Stock, Billions of Dollars, Weekly, Seasonally Adjusted]]-B591)/B591</f>
        <v>1.8510761913769329E-3</v>
      </c>
      <c r="D592" s="27">
        <f>((1+Table267[[#This Row],[Monthly change]])^12)-1</f>
        <v>2.2440463397707999E-2</v>
      </c>
      <c r="E592" s="26">
        <f>(Table267[[#This Row],[M2 Money Stock, Billions of Dollars, Weekly, Seasonally Adjusted]]-B580)/B580</f>
        <v>6.0529778591452574E-2</v>
      </c>
    </row>
    <row r="593" spans="1:5" x14ac:dyDescent="0.2">
      <c r="A593" s="24">
        <v>39387</v>
      </c>
      <c r="B593" s="44">
        <f>VLOOKUP(A593,'Database Rates'!$A$1:$D$1000,4,FALSE)</f>
        <v>7439.6</v>
      </c>
      <c r="C593" s="26">
        <f>(Table267[[#This Row],[M2 Money Stock, Billions of Dollars, Weekly, Seasonally Adjusted]]-B592)/B592</f>
        <v>3.3446620272967824E-3</v>
      </c>
      <c r="D593" s="27">
        <f>((1+Table267[[#This Row],[Monthly change]])^12)-1</f>
        <v>4.0882564543462729E-2</v>
      </c>
      <c r="E593" s="26">
        <f>(Table267[[#This Row],[M2 Money Stock, Billions of Dollars, Weekly, Seasonally Adjusted]]-B581)/B581</f>
        <v>5.8791717071088073E-2</v>
      </c>
    </row>
    <row r="594" spans="1:5" x14ac:dyDescent="0.2">
      <c r="A594" s="24">
        <v>39417</v>
      </c>
      <c r="B594" s="44">
        <f>VLOOKUP(A594,'Database Rates'!$A$1:$D$1000,4,FALSE)</f>
        <v>7469.4</v>
      </c>
      <c r="C594" s="26">
        <f>(Table267[[#This Row],[M2 Money Stock, Billions of Dollars, Weekly, Seasonally Adjusted]]-B593)/B593</f>
        <v>4.0055916984783144E-3</v>
      </c>
      <c r="D594" s="27">
        <f>((1+Table267[[#This Row],[Monthly change]])^12)-1</f>
        <v>4.9140322243672596E-2</v>
      </c>
      <c r="E594" s="26">
        <f>(Table267[[#This Row],[M2 Money Stock, Billions of Dollars, Weekly, Seasonally Adjusted]]-B582)/B582</f>
        <v>5.6566942499469502E-2</v>
      </c>
    </row>
    <row r="595" spans="1:5" x14ac:dyDescent="0.2">
      <c r="A595" s="24">
        <v>39448</v>
      </c>
      <c r="B595" s="44">
        <f>VLOOKUP(A595,'Database Rates'!$A$1:$D$1000,4,FALSE)</f>
        <v>7503.1</v>
      </c>
      <c r="C595" s="26">
        <f>(Table267[[#This Row],[M2 Money Stock, Billions of Dollars, Weekly, Seasonally Adjusted]]-B594)/B594</f>
        <v>4.5117412375827682E-3</v>
      </c>
      <c r="D595" s="27">
        <f>((1+Table267[[#This Row],[Monthly change]])^12)-1</f>
        <v>5.5504789672225163E-2</v>
      </c>
      <c r="E595" s="26">
        <f>(Table267[[#This Row],[M2 Money Stock, Billions of Dollars, Weekly, Seasonally Adjusted]]-B583)/B583</f>
        <v>5.567436756057078E-2</v>
      </c>
    </row>
    <row r="596" spans="1:5" x14ac:dyDescent="0.2">
      <c r="A596" s="24">
        <v>39479</v>
      </c>
      <c r="B596" s="44">
        <f>VLOOKUP(A596,'Database Rates'!$A$1:$D$1000,4,FALSE)</f>
        <v>7587.6</v>
      </c>
      <c r="C596" s="26">
        <f>(Table267[[#This Row],[M2 Money Stock, Billions of Dollars, Weekly, Seasonally Adjusted]]-B595)/B595</f>
        <v>1.1262011701829909E-2</v>
      </c>
      <c r="D596" s="27">
        <f>((1+Table267[[#This Row],[Monthly change]])^12)-1</f>
        <v>0.14383746718173818</v>
      </c>
      <c r="E596" s="26">
        <f>(Table267[[#This Row],[M2 Money Stock, Billions of Dollars, Weekly, Seasonally Adjusted]]-B584)/B584</f>
        <v>6.5195417789757487E-2</v>
      </c>
    </row>
    <row r="597" spans="1:5" x14ac:dyDescent="0.2">
      <c r="A597" s="24">
        <v>39508</v>
      </c>
      <c r="B597" s="44">
        <f>VLOOKUP(A597,'Database Rates'!$A$1:$D$1000,4,FALSE)</f>
        <v>7653.3</v>
      </c>
      <c r="C597" s="26">
        <f>(Table267[[#This Row],[M2 Money Stock, Billions of Dollars, Weekly, Seasonally Adjusted]]-B596)/B596</f>
        <v>8.6588644630713023E-3</v>
      </c>
      <c r="D597" s="27">
        <f>((1+Table267[[#This Row],[Monthly change]])^12)-1</f>
        <v>0.10900043213689892</v>
      </c>
      <c r="E597" s="26">
        <f>(Table267[[#This Row],[M2 Money Stock, Billions of Dollars, Weekly, Seasonally Adjusted]]-B585)/B585</f>
        <v>6.935963894982472E-2</v>
      </c>
    </row>
    <row r="598" spans="1:5" x14ac:dyDescent="0.2">
      <c r="A598" s="24">
        <v>39539</v>
      </c>
      <c r="B598" s="44">
        <f>VLOOKUP(A598,'Database Rates'!$A$1:$D$1000,4,FALSE)</f>
        <v>7696.1</v>
      </c>
      <c r="C598" s="26">
        <f>(Table267[[#This Row],[M2 Money Stock, Billions of Dollars, Weekly, Seasonally Adjusted]]-B597)/B597</f>
        <v>5.5923588517371829E-3</v>
      </c>
      <c r="D598" s="27">
        <f>((1+Table267[[#This Row],[Monthly change]])^12)-1</f>
        <v>6.9211387836399796E-2</v>
      </c>
      <c r="E598" s="26">
        <f>(Table267[[#This Row],[M2 Money Stock, Billions of Dollars, Weekly, Seasonally Adjusted]]-B586)/B586</f>
        <v>6.4570566998187959E-2</v>
      </c>
    </row>
    <row r="599" spans="1:5" x14ac:dyDescent="0.2">
      <c r="A599" s="24">
        <v>39569</v>
      </c>
      <c r="B599" s="44">
        <f>VLOOKUP(A599,'Database Rates'!$A$1:$D$1000,4,FALSE)</f>
        <v>7708.3</v>
      </c>
      <c r="C599" s="26">
        <f>(Table267[[#This Row],[M2 Money Stock, Billions of Dollars, Weekly, Seasonally Adjusted]]-B598)/B598</f>
        <v>1.5852184872857443E-3</v>
      </c>
      <c r="D599" s="27">
        <f>((1+Table267[[#This Row],[Monthly change]])^12)-1</f>
        <v>1.9189353921410746E-2</v>
      </c>
      <c r="E599" s="26">
        <f>(Table267[[#This Row],[M2 Money Stock, Billions of Dollars, Weekly, Seasonally Adjusted]]-B587)/B587</f>
        <v>6.4211950519107622E-2</v>
      </c>
    </row>
    <row r="600" spans="1:5" x14ac:dyDescent="0.2">
      <c r="A600" s="24">
        <v>39600</v>
      </c>
      <c r="B600" s="44">
        <f>VLOOKUP(A600,'Database Rates'!$A$1:$D$1000,4,FALSE)</f>
        <v>7725.8</v>
      </c>
      <c r="C600" s="26">
        <f>(Table267[[#This Row],[M2 Money Stock, Billions of Dollars, Weekly, Seasonally Adjusted]]-B599)/B599</f>
        <v>2.2702800876976763E-3</v>
      </c>
      <c r="D600" s="27">
        <f>((1+Table267[[#This Row],[Monthly change]])^12)-1</f>
        <v>2.7586123891768066E-2</v>
      </c>
      <c r="E600" s="26">
        <f>(Table267[[#This Row],[M2 Money Stock, Billions of Dollars, Weekly, Seasonally Adjusted]]-B588)/B588</f>
        <v>6.1775902587853718E-2</v>
      </c>
    </row>
    <row r="601" spans="1:5" x14ac:dyDescent="0.2">
      <c r="A601" s="24">
        <v>39630</v>
      </c>
      <c r="B601" s="44">
        <f>VLOOKUP(A601,'Database Rates'!$A$1:$D$1000,4,FALSE)</f>
        <v>7772.1</v>
      </c>
      <c r="C601" s="26">
        <f>(Table267[[#This Row],[M2 Money Stock, Billions of Dollars, Weekly, Seasonally Adjusted]]-B600)/B600</f>
        <v>5.9929068834295709E-3</v>
      </c>
      <c r="D601" s="27">
        <f>((1+Table267[[#This Row],[Monthly change]])^12)-1</f>
        <v>7.4333264497241869E-2</v>
      </c>
      <c r="E601" s="26">
        <f>(Table267[[#This Row],[M2 Money Stock, Billions of Dollars, Weekly, Seasonally Adjusted]]-B589)/B589</f>
        <v>6.3709522897106727E-2</v>
      </c>
    </row>
    <row r="602" spans="1:5" x14ac:dyDescent="0.2">
      <c r="A602" s="24">
        <v>39661</v>
      </c>
      <c r="B602" s="44">
        <f>VLOOKUP(A602,'Database Rates'!$A$1:$D$1000,4,FALSE)</f>
        <v>7787</v>
      </c>
      <c r="C602" s="26">
        <f>(Table267[[#This Row],[M2 Money Stock, Billions of Dollars, Weekly, Seasonally Adjusted]]-B601)/B601</f>
        <v>1.9171137787727429E-3</v>
      </c>
      <c r="D602" s="27">
        <f>((1+Table267[[#This Row],[Monthly change]])^12)-1</f>
        <v>2.3249493641853247E-2</v>
      </c>
      <c r="E602" s="26">
        <f>(Table267[[#This Row],[M2 Money Stock, Billions of Dollars, Weekly, Seasonally Adjusted]]-B590)/B590</f>
        <v>5.4748875765292276E-2</v>
      </c>
    </row>
    <row r="603" spans="1:5" x14ac:dyDescent="0.2">
      <c r="A603" s="24">
        <v>39692</v>
      </c>
      <c r="B603" s="44">
        <f>VLOOKUP(A603,'Database Rates'!$A$1:$D$1000,4,FALSE)</f>
        <v>7856.5</v>
      </c>
      <c r="C603" s="26">
        <f>(Table267[[#This Row],[M2 Money Stock, Billions of Dollars, Weekly, Seasonally Adjusted]]-B602)/B602</f>
        <v>8.9251316296391423E-3</v>
      </c>
      <c r="D603" s="27">
        <f>((1+Table267[[#This Row],[Monthly change]])^12)-1</f>
        <v>0.11251860291344551</v>
      </c>
      <c r="E603" s="26">
        <f>(Table267[[#This Row],[M2 Money Stock, Billions of Dollars, Weekly, Seasonally Adjusted]]-B591)/B591</f>
        <v>6.1531393981975602E-2</v>
      </c>
    </row>
    <row r="604" spans="1:5" x14ac:dyDescent="0.2">
      <c r="A604" s="24">
        <v>39722</v>
      </c>
      <c r="B604" s="44">
        <f>VLOOKUP(A604,'Database Rates'!$A$1:$D$1000,4,FALSE)</f>
        <v>7963.1</v>
      </c>
      <c r="C604" s="26">
        <f>(Table267[[#This Row],[M2 Money Stock, Billions of Dollars, Weekly, Seasonally Adjusted]]-B603)/B603</f>
        <v>1.3568382867689221E-2</v>
      </c>
      <c r="D604" s="27">
        <f>((1+Table267[[#This Row],[Monthly change]])^12)-1</f>
        <v>0.17553795816187967</v>
      </c>
      <c r="E604" s="26">
        <f>(Table267[[#This Row],[M2 Money Stock, Billions of Dollars, Weekly, Seasonally Adjusted]]-B592)/B592</f>
        <v>7.3946701192210196E-2</v>
      </c>
    </row>
    <row r="605" spans="1:5" x14ac:dyDescent="0.2">
      <c r="A605" s="24">
        <v>39753</v>
      </c>
      <c r="B605" s="44">
        <f>VLOOKUP(A605,'Database Rates'!$A$1:$D$1000,4,FALSE)</f>
        <v>8013.5</v>
      </c>
      <c r="C605" s="26">
        <f>(Table267[[#This Row],[M2 Money Stock, Billions of Dollars, Weekly, Seasonally Adjusted]]-B604)/B604</f>
        <v>6.3291934045785732E-3</v>
      </c>
      <c r="D605" s="27">
        <f>((1+Table267[[#This Row],[Monthly change]])^12)-1</f>
        <v>7.8650775390493255E-2</v>
      </c>
      <c r="E605" s="26">
        <f>(Table267[[#This Row],[M2 Money Stock, Billions of Dollars, Weekly, Seasonally Adjusted]]-B593)/B593</f>
        <v>7.714124415291139E-2</v>
      </c>
    </row>
    <row r="606" spans="1:5" x14ac:dyDescent="0.2">
      <c r="A606" s="24">
        <v>39783</v>
      </c>
      <c r="B606" s="44">
        <f>VLOOKUP(A606,'Database Rates'!$A$1:$D$1000,4,FALSE)</f>
        <v>8189.7</v>
      </c>
      <c r="C606" s="26">
        <f>(Table267[[#This Row],[M2 Money Stock, Billions of Dollars, Weekly, Seasonally Adjusted]]-B605)/B605</f>
        <v>2.1987895426467813E-2</v>
      </c>
      <c r="D606" s="27">
        <f>((1+Table267[[#This Row],[Monthly change]])^12)-1</f>
        <v>0.2982221771508442</v>
      </c>
      <c r="E606" s="26">
        <f>(Table267[[#This Row],[M2 Money Stock, Billions of Dollars, Weekly, Seasonally Adjusted]]-B594)/B594</f>
        <v>9.6433448469756641E-2</v>
      </c>
    </row>
    <row r="607" spans="1:5" x14ac:dyDescent="0.2">
      <c r="A607" s="24">
        <v>39814</v>
      </c>
      <c r="B607" s="44">
        <f>VLOOKUP(A607,'Database Rates'!$A$1:$D$1000,4,FALSE)</f>
        <v>8271.2000000000007</v>
      </c>
      <c r="C607" s="26">
        <f>(Table267[[#This Row],[M2 Money Stock, Billions of Dollars, Weekly, Seasonally Adjusted]]-B606)/B606</f>
        <v>9.9515244758661379E-3</v>
      </c>
      <c r="D607" s="27">
        <f>((1+Table267[[#This Row],[Monthly change]])^12)-1</f>
        <v>0.12617621012807745</v>
      </c>
      <c r="E607" s="26">
        <f>(Table267[[#This Row],[M2 Money Stock, Billions of Dollars, Weekly, Seasonally Adjusted]]-B595)/B595</f>
        <v>0.10237101997840897</v>
      </c>
    </row>
    <row r="608" spans="1:5" x14ac:dyDescent="0.2">
      <c r="A608" s="24">
        <v>39845</v>
      </c>
      <c r="B608" s="44">
        <f>VLOOKUP(A608,'Database Rates'!$A$1:$D$1000,4,FALSE)</f>
        <v>8300.5</v>
      </c>
      <c r="C608" s="26">
        <f>(Table267[[#This Row],[M2 Money Stock, Billions of Dollars, Weekly, Seasonally Adjusted]]-B607)/B607</f>
        <v>3.5424122255536404E-3</v>
      </c>
      <c r="D608" s="27">
        <f>((1+Table267[[#This Row],[Monthly change]])^12)-1</f>
        <v>4.3347017841310453E-2</v>
      </c>
      <c r="E608" s="26">
        <f>(Table267[[#This Row],[M2 Money Stock, Billions of Dollars, Weekly, Seasonally Adjusted]]-B596)/B596</f>
        <v>9.3955928093204646E-2</v>
      </c>
    </row>
    <row r="609" spans="1:5" x14ac:dyDescent="0.2">
      <c r="A609" s="24">
        <v>39873</v>
      </c>
      <c r="B609" s="44">
        <f>VLOOKUP(A609,'Database Rates'!$A$1:$D$1000,4,FALSE)</f>
        <v>8366.5</v>
      </c>
      <c r="C609" s="26">
        <f>(Table267[[#This Row],[M2 Money Stock, Billions of Dollars, Weekly, Seasonally Adjusted]]-B608)/B608</f>
        <v>7.9513282332389617E-3</v>
      </c>
      <c r="D609" s="27">
        <f>((1+Table267[[#This Row],[Monthly change]])^12)-1</f>
        <v>9.9701298384905268E-2</v>
      </c>
      <c r="E609" s="26">
        <f>(Table267[[#This Row],[M2 Money Stock, Billions of Dollars, Weekly, Seasonally Adjusted]]-B597)/B597</f>
        <v>9.3188559183620109E-2</v>
      </c>
    </row>
    <row r="610" spans="1:5" x14ac:dyDescent="0.2">
      <c r="A610" s="24">
        <v>39904</v>
      </c>
      <c r="B610" s="44">
        <f>VLOOKUP(A610,'Database Rates'!$A$1:$D$1000,4,FALSE)</f>
        <v>8369.9</v>
      </c>
      <c r="C610" s="26">
        <f>(Table267[[#This Row],[M2 Money Stock, Billions of Dollars, Weekly, Seasonally Adjusted]]-B609)/B609</f>
        <v>4.0638259726285018E-4</v>
      </c>
      <c r="D610" s="27">
        <f>((1+Table267[[#This Row],[Monthly change]])^12)-1</f>
        <v>4.8875056352917223E-3</v>
      </c>
      <c r="E610" s="26">
        <f>(Table267[[#This Row],[M2 Money Stock, Billions of Dollars, Weekly, Seasonally Adjusted]]-B598)/B598</f>
        <v>8.7550837437143383E-2</v>
      </c>
    </row>
    <row r="611" spans="1:5" x14ac:dyDescent="0.2">
      <c r="A611" s="24">
        <v>39934</v>
      </c>
      <c r="B611" s="44">
        <f>VLOOKUP(A611,'Database Rates'!$A$1:$D$1000,4,FALSE)</f>
        <v>8427.6</v>
      </c>
      <c r="C611" s="26">
        <f>(Table267[[#This Row],[M2 Money Stock, Billions of Dollars, Weekly, Seasonally Adjusted]]-B610)/B610</f>
        <v>6.8937502240171006E-3</v>
      </c>
      <c r="D611" s="27">
        <f>((1+Table267[[#This Row],[Monthly change]])^12)-1</f>
        <v>8.5934779137545547E-2</v>
      </c>
      <c r="E611" s="26">
        <f>(Table267[[#This Row],[M2 Money Stock, Billions of Dollars, Weekly, Seasonally Adjusted]]-B599)/B599</f>
        <v>9.3314998118910808E-2</v>
      </c>
    </row>
    <row r="612" spans="1:5" x14ac:dyDescent="0.2">
      <c r="A612" s="24">
        <v>39965</v>
      </c>
      <c r="B612" s="44">
        <f>VLOOKUP(A612,'Database Rates'!$A$1:$D$1000,4,FALSE)</f>
        <v>8437.2000000000007</v>
      </c>
      <c r="C612" s="26">
        <f>(Table267[[#This Row],[M2 Money Stock, Billions of Dollars, Weekly, Seasonally Adjusted]]-B611)/B611</f>
        <v>1.1391143386017802E-3</v>
      </c>
      <c r="D612" s="27">
        <f>((1+Table267[[#This Row],[Monthly change]])^12)-1</f>
        <v>1.3755338456231669E-2</v>
      </c>
      <c r="E612" s="26">
        <f>(Table267[[#This Row],[M2 Money Stock, Billions of Dollars, Weekly, Seasonally Adjusted]]-B600)/B600</f>
        <v>9.2081078982111958E-2</v>
      </c>
    </row>
    <row r="613" spans="1:5" x14ac:dyDescent="0.2">
      <c r="A613" s="24">
        <v>39995</v>
      </c>
      <c r="B613" s="44">
        <f>VLOOKUP(A613,'Database Rates'!$A$1:$D$1000,4,FALSE)</f>
        <v>8442</v>
      </c>
      <c r="C613" s="26">
        <f>(Table267[[#This Row],[M2 Money Stock, Billions of Dollars, Weekly, Seasonally Adjusted]]-B612)/B612</f>
        <v>5.6890911676850994E-4</v>
      </c>
      <c r="D613" s="27">
        <f>((1+Table267[[#This Row],[Monthly change]])^12)-1</f>
        <v>6.8483113625943393E-3</v>
      </c>
      <c r="E613" s="26">
        <f>(Table267[[#This Row],[M2 Money Stock, Billions of Dollars, Weekly, Seasonally Adjusted]]-B601)/B601</f>
        <v>8.6192920832207462E-2</v>
      </c>
    </row>
    <row r="614" spans="1:5" x14ac:dyDescent="0.2">
      <c r="A614" s="24">
        <v>40026</v>
      </c>
      <c r="B614" s="44">
        <f>VLOOKUP(A614,'Database Rates'!$A$1:$D$1000,4,FALSE)</f>
        <v>8441.7999999999993</v>
      </c>
      <c r="C614" s="26">
        <f>(Table267[[#This Row],[M2 Money Stock, Billions of Dollars, Weekly, Seasonally Adjusted]]-B613)/B613</f>
        <v>-2.3691068467274057E-5</v>
      </c>
      <c r="D614" s="27">
        <f>((1+Table267[[#This Row],[Monthly change]])^12)-1</f>
        <v>-2.842557809281665E-4</v>
      </c>
      <c r="E614" s="26">
        <f>(Table267[[#This Row],[M2 Money Stock, Billions of Dollars, Weekly, Seasonally Adjusted]]-B602)/B602</f>
        <v>8.4088866058815881E-2</v>
      </c>
    </row>
    <row r="615" spans="1:5" x14ac:dyDescent="0.2">
      <c r="A615" s="24">
        <v>40057</v>
      </c>
      <c r="B615" s="44">
        <f>VLOOKUP(A615,'Database Rates'!$A$1:$D$1000,4,FALSE)</f>
        <v>8441.1</v>
      </c>
      <c r="C615" s="26">
        <f>(Table267[[#This Row],[M2 Money Stock, Billions of Dollars, Weekly, Seasonally Adjusted]]-B614)/B614</f>
        <v>-8.2920704115106809E-5</v>
      </c>
      <c r="D615" s="27">
        <f>((1+Table267[[#This Row],[Monthly change]])^12)-1</f>
        <v>-9.9459476914143252E-4</v>
      </c>
      <c r="E615" s="26">
        <f>(Table267[[#This Row],[M2 Money Stock, Billions of Dollars, Weekly, Seasonally Adjusted]]-B603)/B603</f>
        <v>7.440972443199903E-2</v>
      </c>
    </row>
    <row r="616" spans="1:5" x14ac:dyDescent="0.2">
      <c r="A616" s="24">
        <v>40087</v>
      </c>
      <c r="B616" s="44">
        <f>VLOOKUP(A616,'Database Rates'!$A$1:$D$1000,4,FALSE)</f>
        <v>8468.1</v>
      </c>
      <c r="C616" s="26">
        <f>(Table267[[#This Row],[M2 Money Stock, Billions of Dollars, Weekly, Seasonally Adjusted]]-B615)/B615</f>
        <v>3.1986352489604434E-3</v>
      </c>
      <c r="D616" s="27">
        <f>((1+Table267[[#This Row],[Monthly change]])^12)-1</f>
        <v>3.9066138462212852E-2</v>
      </c>
      <c r="E616" s="26">
        <f>(Table267[[#This Row],[M2 Money Stock, Billions of Dollars, Weekly, Seasonally Adjusted]]-B604)/B604</f>
        <v>6.3417513280004015E-2</v>
      </c>
    </row>
    <row r="617" spans="1:5" x14ac:dyDescent="0.2">
      <c r="A617" s="24">
        <v>40118</v>
      </c>
      <c r="B617" s="44">
        <f>VLOOKUP(A617,'Database Rates'!$A$1:$D$1000,4,FALSE)</f>
        <v>8498.2000000000007</v>
      </c>
      <c r="C617" s="26">
        <f>(Table267[[#This Row],[M2 Money Stock, Billions of Dollars, Weekly, Seasonally Adjusted]]-B616)/B616</f>
        <v>3.5545163614034273E-3</v>
      </c>
      <c r="D617" s="27">
        <f>((1+Table267[[#This Row],[Monthly change]])^12)-1</f>
        <v>4.3498038685344964E-2</v>
      </c>
      <c r="E617" s="26">
        <f>(Table267[[#This Row],[M2 Money Stock, Billions of Dollars, Weekly, Seasonally Adjusted]]-B605)/B605</f>
        <v>6.0485430835465245E-2</v>
      </c>
    </row>
    <row r="618" spans="1:5" x14ac:dyDescent="0.2">
      <c r="A618" s="24">
        <v>40148</v>
      </c>
      <c r="B618" s="44">
        <f>VLOOKUP(A618,'Database Rates'!$A$1:$D$1000,4,FALSE)</f>
        <v>8493.1</v>
      </c>
      <c r="C618" s="26">
        <f>(Table267[[#This Row],[M2 Money Stock, Billions of Dollars, Weekly, Seasonally Adjusted]]-B617)/B617</f>
        <v>-6.0012708573584561E-4</v>
      </c>
      <c r="D618" s="27">
        <f>((1+Table267[[#This Row],[Monthly change]])^12)-1</f>
        <v>-7.1778024486315317E-3</v>
      </c>
      <c r="E618" s="26">
        <f>(Table267[[#This Row],[M2 Money Stock, Billions of Dollars, Weekly, Seasonally Adjusted]]-B606)/B606</f>
        <v>3.7046534061076788E-2</v>
      </c>
    </row>
    <row r="619" spans="1:5" x14ac:dyDescent="0.2">
      <c r="A619" s="24">
        <v>40179</v>
      </c>
      <c r="B619" s="44">
        <f>VLOOKUP(A619,'Database Rates'!$A$1:$D$1000,4,FALSE)</f>
        <v>8455.4</v>
      </c>
      <c r="C619" s="26">
        <f>(Table267[[#This Row],[M2 Money Stock, Billions of Dollars, Weekly, Seasonally Adjusted]]-B618)/B618</f>
        <v>-4.4388974579365279E-3</v>
      </c>
      <c r="D619" s="27">
        <f>((1+Table267[[#This Row],[Monthly change]])^12)-1</f>
        <v>-5.1985369074737275E-2</v>
      </c>
      <c r="E619" s="26">
        <f>(Table267[[#This Row],[M2 Money Stock, Billions of Dollars, Weekly, Seasonally Adjusted]]-B607)/B607</f>
        <v>2.2270045458941738E-2</v>
      </c>
    </row>
    <row r="620" spans="1:5" x14ac:dyDescent="0.2">
      <c r="A620" s="24">
        <v>40210</v>
      </c>
      <c r="B620" s="44">
        <f>VLOOKUP(A620,'Database Rates'!$A$1:$D$1000,4,FALSE)</f>
        <v>8505.1</v>
      </c>
      <c r="C620" s="26">
        <f>(Table267[[#This Row],[M2 Money Stock, Billions of Dollars, Weekly, Seasonally Adjusted]]-B619)/B619</f>
        <v>5.8779005132815398E-3</v>
      </c>
      <c r="D620" s="27">
        <f>((1+Table267[[#This Row],[Monthly change]])^12)-1</f>
        <v>7.2860361333442425E-2</v>
      </c>
      <c r="E620" s="26">
        <f>(Table267[[#This Row],[M2 Money Stock, Billions of Dollars, Weekly, Seasonally Adjusted]]-B608)/B608</f>
        <v>2.4649117523040824E-2</v>
      </c>
    </row>
    <row r="621" spans="1:5" x14ac:dyDescent="0.2">
      <c r="A621" s="24">
        <v>40238</v>
      </c>
      <c r="B621" s="44">
        <f>VLOOKUP(A621,'Database Rates'!$A$1:$D$1000,4,FALSE)</f>
        <v>8502.2000000000007</v>
      </c>
      <c r="C621" s="26">
        <f>(Table267[[#This Row],[M2 Money Stock, Billions of Dollars, Weekly, Seasonally Adjusted]]-B620)/B620</f>
        <v>-3.4097188745571907E-4</v>
      </c>
      <c r="D621" s="27">
        <f>((1+Table267[[#This Row],[Monthly change]])^12)-1</f>
        <v>-4.0839980833745626E-3</v>
      </c>
      <c r="E621" s="26">
        <f>(Table267[[#This Row],[M2 Money Stock, Billions of Dollars, Weekly, Seasonally Adjusted]]-B609)/B609</f>
        <v>1.6219446602522048E-2</v>
      </c>
    </row>
    <row r="622" spans="1:5" x14ac:dyDescent="0.2">
      <c r="A622" s="24">
        <v>40269</v>
      </c>
      <c r="B622" s="44">
        <f>VLOOKUP(A622,'Database Rates'!$A$1:$D$1000,4,FALSE)</f>
        <v>8532.7999999999993</v>
      </c>
      <c r="C622" s="26">
        <f>(Table267[[#This Row],[M2 Money Stock, Billions of Dollars, Weekly, Seasonally Adjusted]]-B621)/B621</f>
        <v>3.5990684763941736E-3</v>
      </c>
      <c r="D622" s="27">
        <f>((1+Table267[[#This Row],[Monthly change]])^12)-1</f>
        <v>4.4054079003424507E-2</v>
      </c>
      <c r="E622" s="26">
        <f>(Table267[[#This Row],[M2 Money Stock, Billions of Dollars, Weekly, Seasonally Adjusted]]-B610)/B610</f>
        <v>1.9462598119451804E-2</v>
      </c>
    </row>
    <row r="623" spans="1:5" x14ac:dyDescent="0.2">
      <c r="A623" s="24">
        <v>40299</v>
      </c>
      <c r="B623" s="44">
        <f>VLOOKUP(A623,'Database Rates'!$A$1:$D$1000,4,FALSE)</f>
        <v>8587.7000000000007</v>
      </c>
      <c r="C623" s="26">
        <f>(Table267[[#This Row],[M2 Money Stock, Billions of Dollars, Weekly, Seasonally Adjusted]]-B622)/B622</f>
        <v>6.4339958747423424E-3</v>
      </c>
      <c r="D623" s="27">
        <f>((1+Table267[[#This Row],[Monthly change]])^12)-1</f>
        <v>7.999955914755752E-2</v>
      </c>
      <c r="E623" s="26">
        <f>(Table267[[#This Row],[M2 Money Stock, Billions of Dollars, Weekly, Seasonally Adjusted]]-B611)/B611</f>
        <v>1.8997104751056097E-2</v>
      </c>
    </row>
    <row r="624" spans="1:5" x14ac:dyDescent="0.2">
      <c r="A624" s="24">
        <v>40330</v>
      </c>
      <c r="B624" s="44">
        <f>VLOOKUP(A624,'Database Rates'!$A$1:$D$1000,4,FALSE)</f>
        <v>8606.7000000000007</v>
      </c>
      <c r="C624" s="26">
        <f>(Table267[[#This Row],[M2 Money Stock, Billions of Dollars, Weekly, Seasonally Adjusted]]-B623)/B623</f>
        <v>2.2124666674429704E-3</v>
      </c>
      <c r="D624" s="27">
        <f>((1+Table267[[#This Row],[Monthly change]])^12)-1</f>
        <v>2.6875065099576156E-2</v>
      </c>
      <c r="E624" s="26">
        <f>(Table267[[#This Row],[M2 Money Stock, Billions of Dollars, Weekly, Seasonally Adjusted]]-B612)/B612</f>
        <v>2.0089603185891054E-2</v>
      </c>
    </row>
    <row r="625" spans="1:5" x14ac:dyDescent="0.2">
      <c r="A625" s="24">
        <v>40360</v>
      </c>
      <c r="B625" s="44">
        <f>VLOOKUP(A625,'Database Rates'!$A$1:$D$1000,4,FALSE)</f>
        <v>8616.2999999999993</v>
      </c>
      <c r="C625" s="26">
        <f>(Table267[[#This Row],[M2 Money Stock, Billions of Dollars, Weekly, Seasonally Adjusted]]-B624)/B624</f>
        <v>1.1154100874898095E-3</v>
      </c>
      <c r="D625" s="27">
        <f>((1+Table267[[#This Row],[Monthly change]])^12)-1</f>
        <v>1.3467340334929467E-2</v>
      </c>
      <c r="E625" s="26">
        <f>(Table267[[#This Row],[M2 Money Stock, Billions of Dollars, Weekly, Seasonally Adjusted]]-B613)/B613</f>
        <v>2.0646766169154143E-2</v>
      </c>
    </row>
    <row r="626" spans="1:5" x14ac:dyDescent="0.2">
      <c r="A626" s="24">
        <v>40391</v>
      </c>
      <c r="B626" s="44">
        <f>VLOOKUP(A626,'Database Rates'!$A$1:$D$1000,4,FALSE)</f>
        <v>8666.7000000000007</v>
      </c>
      <c r="C626" s="26">
        <f>(Table267[[#This Row],[M2 Money Stock, Billions of Dollars, Weekly, Seasonally Adjusted]]-B625)/B625</f>
        <v>5.8493785035341689E-3</v>
      </c>
      <c r="D626" s="27">
        <f>((1+Table267[[#This Row],[Monthly change]])^12)-1</f>
        <v>7.2495362417833276E-2</v>
      </c>
      <c r="E626" s="26">
        <f>(Table267[[#This Row],[M2 Money Stock, Billions of Dollars, Weekly, Seasonally Adjusted]]-B614)/B614</f>
        <v>2.664123765073817E-2</v>
      </c>
    </row>
    <row r="627" spans="1:5" x14ac:dyDescent="0.2">
      <c r="A627" s="24">
        <v>40422</v>
      </c>
      <c r="B627" s="44">
        <f>VLOOKUP(A627,'Database Rates'!$A$1:$D$1000,4,FALSE)</f>
        <v>8697.7999999999993</v>
      </c>
      <c r="C627" s="26">
        <f>(Table267[[#This Row],[M2 Money Stock, Billions of Dollars, Weekly, Seasonally Adjusted]]-B626)/B626</f>
        <v>3.5884477367393057E-3</v>
      </c>
      <c r="D627" s="27">
        <f>((1+Table267[[#This Row],[Monthly change]])^12)-1</f>
        <v>4.3921500388866441E-2</v>
      </c>
      <c r="E627" s="26">
        <f>(Table267[[#This Row],[M2 Money Stock, Billions of Dollars, Weekly, Seasonally Adjusted]]-B615)/B615</f>
        <v>3.0410728459560828E-2</v>
      </c>
    </row>
    <row r="628" spans="1:5" x14ac:dyDescent="0.2">
      <c r="A628" s="24">
        <v>40452</v>
      </c>
      <c r="B628" s="44">
        <f>VLOOKUP(A628,'Database Rates'!$A$1:$D$1000,4,FALSE)</f>
        <v>8746.9</v>
      </c>
      <c r="C628" s="26">
        <f>(Table267[[#This Row],[M2 Money Stock, Billions of Dollars, Weekly, Seasonally Adjusted]]-B627)/B627</f>
        <v>5.6451056589022931E-3</v>
      </c>
      <c r="D628" s="27">
        <f>((1+Table267[[#This Row],[Monthly change]])^12)-1</f>
        <v>6.9884588179448759E-2</v>
      </c>
      <c r="E628" s="26">
        <f>(Table267[[#This Row],[M2 Money Stock, Billions of Dollars, Weekly, Seasonally Adjusted]]-B616)/B616</f>
        <v>3.2923560184693057E-2</v>
      </c>
    </row>
    <row r="629" spans="1:5" x14ac:dyDescent="0.2">
      <c r="A629" s="24">
        <v>40483</v>
      </c>
      <c r="B629" s="44">
        <f>VLOOKUP(A629,'Database Rates'!$A$1:$D$1000,4,FALSE)</f>
        <v>8767.7000000000007</v>
      </c>
      <c r="C629" s="26">
        <f>(Table267[[#This Row],[M2 Money Stock, Billions of Dollars, Weekly, Seasonally Adjusted]]-B628)/B628</f>
        <v>2.3779853433789221E-3</v>
      </c>
      <c r="D629" s="27">
        <f>((1+Table267[[#This Row],[Monthly change]])^12)-1</f>
        <v>2.8912016107287775E-2</v>
      </c>
      <c r="E629" s="26">
        <f>(Table267[[#This Row],[M2 Money Stock, Billions of Dollars, Weekly, Seasonally Adjusted]]-B617)/B617</f>
        <v>3.1712597961921343E-2</v>
      </c>
    </row>
    <row r="630" spans="1:5" x14ac:dyDescent="0.2">
      <c r="A630" s="24">
        <v>40513</v>
      </c>
      <c r="B630" s="44">
        <f>VLOOKUP(A630,'Database Rates'!$A$1:$D$1000,4,FALSE)</f>
        <v>8799.4</v>
      </c>
      <c r="C630" s="26">
        <f>(Table267[[#This Row],[M2 Money Stock, Billions of Dollars, Weekly, Seasonally Adjusted]]-B629)/B629</f>
        <v>3.6155434150346049E-3</v>
      </c>
      <c r="D630" s="27">
        <f>((1+Table267[[#This Row],[Monthly change]])^12)-1</f>
        <v>4.4259766081301333E-2</v>
      </c>
      <c r="E630" s="26">
        <f>(Table267[[#This Row],[M2 Money Stock, Billions of Dollars, Weekly, Seasonally Adjusted]]-B618)/B618</f>
        <v>3.6064570062756741E-2</v>
      </c>
    </row>
    <row r="631" spans="1:5" x14ac:dyDescent="0.2">
      <c r="A631" s="24">
        <v>40544</v>
      </c>
      <c r="B631" s="44">
        <f>VLOOKUP(A631,'Database Rates'!$A$1:$D$1000,4,FALSE)</f>
        <v>8820.4</v>
      </c>
      <c r="C631" s="26">
        <f>(Table267[[#This Row],[M2 Money Stock, Billions of Dollars, Weekly, Seasonally Adjusted]]-B630)/B630</f>
        <v>2.3865263540695956E-3</v>
      </c>
      <c r="D631" s="27">
        <f>((1+Table267[[#This Row],[Monthly change]])^12)-1</f>
        <v>2.9017226243692518E-2</v>
      </c>
      <c r="E631" s="26">
        <f>(Table267[[#This Row],[M2 Money Stock, Billions of Dollars, Weekly, Seasonally Adjusted]]-B619)/B619</f>
        <v>4.316767982591007E-2</v>
      </c>
    </row>
    <row r="632" spans="1:5" x14ac:dyDescent="0.2">
      <c r="A632" s="24">
        <v>40575</v>
      </c>
      <c r="B632" s="44">
        <f>VLOOKUP(A632,'Database Rates'!$A$1:$D$1000,4,FALSE)</f>
        <v>8884.2000000000007</v>
      </c>
      <c r="C632" s="26">
        <f>(Table267[[#This Row],[M2 Money Stock, Billions of Dollars, Weekly, Seasonally Adjusted]]-B631)/B631</f>
        <v>7.2332320529682435E-3</v>
      </c>
      <c r="D632" s="27">
        <f>((1+Table267[[#This Row],[Monthly change]])^12)-1</f>
        <v>9.0336508898516188E-2</v>
      </c>
      <c r="E632" s="26">
        <f>(Table267[[#This Row],[M2 Money Stock, Billions of Dollars, Weekly, Seasonally Adjusted]]-B620)/B620</f>
        <v>4.4573256046372217E-2</v>
      </c>
    </row>
    <row r="633" spans="1:5" x14ac:dyDescent="0.2">
      <c r="A633" s="24">
        <v>40603</v>
      </c>
      <c r="B633" s="44">
        <f>VLOOKUP(A633,'Database Rates'!$A$1:$D$1000,4,FALSE)</f>
        <v>8940.6</v>
      </c>
      <c r="C633" s="26">
        <f>(Table267[[#This Row],[M2 Money Stock, Billions of Dollars, Weekly, Seasonally Adjusted]]-B632)/B632</f>
        <v>6.3483487539676767E-3</v>
      </c>
      <c r="D633" s="27">
        <f>((1+Table267[[#This Row],[Monthly change]])^12)-1</f>
        <v>7.8897184965561529E-2</v>
      </c>
      <c r="E633" s="26">
        <f>(Table267[[#This Row],[M2 Money Stock, Billions of Dollars, Weekly, Seasonally Adjusted]]-B621)/B621</f>
        <v>5.1563124838277102E-2</v>
      </c>
    </row>
    <row r="634" spans="1:5" x14ac:dyDescent="0.2">
      <c r="A634" s="24">
        <v>40634</v>
      </c>
      <c r="B634" s="44">
        <f>VLOOKUP(A634,'Database Rates'!$A$1:$D$1000,4,FALSE)</f>
        <v>9002.1</v>
      </c>
      <c r="C634" s="26">
        <f>(Table267[[#This Row],[M2 Money Stock, Billions of Dollars, Weekly, Seasonally Adjusted]]-B633)/B633</f>
        <v>6.878732970941547E-3</v>
      </c>
      <c r="D634" s="27">
        <f>((1+Table267[[#This Row],[Monthly change]])^12)-1</f>
        <v>8.5740441813480617E-2</v>
      </c>
      <c r="E634" s="26">
        <f>(Table267[[#This Row],[M2 Money Stock, Billions of Dollars, Weekly, Seasonally Adjusted]]-B622)/B622</f>
        <v>5.4999531220701427E-2</v>
      </c>
    </row>
    <row r="635" spans="1:5" x14ac:dyDescent="0.2">
      <c r="A635" s="24">
        <v>40664</v>
      </c>
      <c r="B635" s="44">
        <f>VLOOKUP(A635,'Database Rates'!$A$1:$D$1000,4,FALSE)</f>
        <v>9072.7000000000007</v>
      </c>
      <c r="C635" s="26">
        <f>(Table267[[#This Row],[M2 Money Stock, Billions of Dollars, Weekly, Seasonally Adjusted]]-B634)/B634</f>
        <v>7.8426145010609041E-3</v>
      </c>
      <c r="D635" s="27">
        <f>((1+Table267[[#This Row],[Monthly change]])^12)-1</f>
        <v>9.8278828054355394E-2</v>
      </c>
      <c r="E635" s="26">
        <f>(Table267[[#This Row],[M2 Money Stock, Billions of Dollars, Weekly, Seasonally Adjusted]]-B623)/B623</f>
        <v>5.6476122826833723E-2</v>
      </c>
    </row>
    <row r="636" spans="1:5" x14ac:dyDescent="0.2">
      <c r="A636" s="24">
        <v>40695</v>
      </c>
      <c r="B636" s="44">
        <f>VLOOKUP(A636,'Database Rates'!$A$1:$D$1000,4,FALSE)</f>
        <v>9148.4</v>
      </c>
      <c r="C636" s="26">
        <f>(Table267[[#This Row],[M2 Money Stock, Billions of Dollars, Weekly, Seasonally Adjusted]]-B635)/B635</f>
        <v>8.3437124560493455E-3</v>
      </c>
      <c r="D636" s="27">
        <f>((1+Table267[[#This Row],[Monthly change]])^12)-1</f>
        <v>0.10484952947736281</v>
      </c>
      <c r="E636" s="26">
        <f>(Table267[[#This Row],[M2 Money Stock, Billions of Dollars, Weekly, Seasonally Adjusted]]-B624)/B624</f>
        <v>6.2939337957637523E-2</v>
      </c>
    </row>
    <row r="637" spans="1:5" x14ac:dyDescent="0.2">
      <c r="A637" s="24">
        <v>40725</v>
      </c>
      <c r="B637" s="44">
        <f>VLOOKUP(A637,'Database Rates'!$A$1:$D$1000,4,FALSE)</f>
        <v>9313.7999999999993</v>
      </c>
      <c r="C637" s="26">
        <f>(Table267[[#This Row],[M2 Money Stock, Billions of Dollars, Weekly, Seasonally Adjusted]]-B636)/B636</f>
        <v>1.8079664203576543E-2</v>
      </c>
      <c r="D637" s="27">
        <f>((1+Table267[[#This Row],[Monthly change]])^12)-1</f>
        <v>0.23988427423392356</v>
      </c>
      <c r="E637" s="26">
        <f>(Table267[[#This Row],[M2 Money Stock, Billions of Dollars, Weekly, Seasonally Adjusted]]-B625)/B625</f>
        <v>8.0951220361408033E-2</v>
      </c>
    </row>
    <row r="638" spans="1:5" x14ac:dyDescent="0.2">
      <c r="A638" s="24">
        <v>40756</v>
      </c>
      <c r="B638" s="44">
        <f>VLOOKUP(A638,'Database Rates'!$A$1:$D$1000,4,FALSE)</f>
        <v>9505</v>
      </c>
      <c r="C638" s="26">
        <f>(Table267[[#This Row],[M2 Money Stock, Billions of Dollars, Weekly, Seasonally Adjusted]]-B637)/B637</f>
        <v>2.0528677875840232E-2</v>
      </c>
      <c r="D638" s="27">
        <f>((1+Table267[[#This Row],[Monthly change]])^12)-1</f>
        <v>0.2761524541312308</v>
      </c>
      <c r="E638" s="26">
        <f>(Table267[[#This Row],[M2 Money Stock, Billions of Dollars, Weekly, Seasonally Adjusted]]-B626)/B626</f>
        <v>9.6726551051726631E-2</v>
      </c>
    </row>
    <row r="639" spans="1:5" x14ac:dyDescent="0.2">
      <c r="A639" s="24">
        <v>40787</v>
      </c>
      <c r="B639" s="44">
        <f>VLOOKUP(A639,'Database Rates'!$A$1:$D$1000,4,FALSE)</f>
        <v>9525.7999999999993</v>
      </c>
      <c r="C639" s="26">
        <f>(Table267[[#This Row],[M2 Money Stock, Billions of Dollars, Weekly, Seasonally Adjusted]]-B638)/B638</f>
        <v>2.1883219358231742E-3</v>
      </c>
      <c r="D639" s="27">
        <f>((1+Table267[[#This Row],[Monthly change]])^12)-1</f>
        <v>2.65782377654602E-2</v>
      </c>
      <c r="E639" s="26">
        <f>(Table267[[#This Row],[M2 Money Stock, Billions of Dollars, Weekly, Seasonally Adjusted]]-B627)/B627</f>
        <v>9.5196486467842456E-2</v>
      </c>
    </row>
    <row r="640" spans="1:5" x14ac:dyDescent="0.2">
      <c r="A640" s="24">
        <v>40817</v>
      </c>
      <c r="B640" s="44">
        <f>VLOOKUP(A640,'Database Rates'!$A$1:$D$1000,4,FALSE)</f>
        <v>9559.5</v>
      </c>
      <c r="C640" s="26">
        <f>(Table267[[#This Row],[M2 Money Stock, Billions of Dollars, Weekly, Seasonally Adjusted]]-B639)/B639</f>
        <v>3.5377606080329977E-3</v>
      </c>
      <c r="D640" s="27">
        <f>((1+Table267[[#This Row],[Monthly change]])^12)-1</f>
        <v>4.3288985883904063E-2</v>
      </c>
      <c r="E640" s="26">
        <f>(Table267[[#This Row],[M2 Money Stock, Billions of Dollars, Weekly, Seasonally Adjusted]]-B628)/B628</f>
        <v>9.290148509757748E-2</v>
      </c>
    </row>
    <row r="641" spans="1:5" x14ac:dyDescent="0.2">
      <c r="A641" s="24">
        <v>40848</v>
      </c>
      <c r="B641" s="44">
        <f>VLOOKUP(A641,'Database Rates'!$A$1:$D$1000,4,FALSE)</f>
        <v>9610.1</v>
      </c>
      <c r="C641" s="26">
        <f>(Table267[[#This Row],[M2 Money Stock, Billions of Dollars, Weekly, Seasonally Adjusted]]-B640)/B640</f>
        <v>5.2931638684031975E-3</v>
      </c>
      <c r="D641" s="27">
        <f>((1+Table267[[#This Row],[Monthly change]])^12)-1</f>
        <v>6.5400145191946368E-2</v>
      </c>
      <c r="E641" s="26">
        <f>(Table267[[#This Row],[M2 Money Stock, Billions of Dollars, Weekly, Seasonally Adjusted]]-B629)/B629</f>
        <v>9.6079929742121595E-2</v>
      </c>
    </row>
    <row r="642" spans="1:5" x14ac:dyDescent="0.2">
      <c r="A642" s="24">
        <v>40878</v>
      </c>
      <c r="B642" s="44">
        <f>VLOOKUP(A642,'Database Rates'!$A$1:$D$1000,4,FALSE)</f>
        <v>9657.7000000000007</v>
      </c>
      <c r="C642" s="26">
        <f>(Table267[[#This Row],[M2 Money Stock, Billions of Dollars, Weekly, Seasonally Adjusted]]-B641)/B641</f>
        <v>4.9531222359809326E-3</v>
      </c>
      <c r="D642" s="27">
        <f>((1+Table267[[#This Row],[Monthly change]])^12)-1</f>
        <v>6.1083706599951215E-2</v>
      </c>
      <c r="E642" s="26">
        <f>(Table267[[#This Row],[M2 Money Stock, Billions of Dollars, Weekly, Seasonally Adjusted]]-B630)/B630</f>
        <v>9.7540741414187462E-2</v>
      </c>
    </row>
    <row r="643" spans="1:5" x14ac:dyDescent="0.2">
      <c r="A643" s="24">
        <v>40909</v>
      </c>
      <c r="B643" s="44">
        <f>VLOOKUP(A643,'Database Rates'!$A$1:$D$1000,4,FALSE)</f>
        <v>9731.5</v>
      </c>
      <c r="C643" s="26">
        <f>(Table267[[#This Row],[M2 Money Stock, Billions of Dollars, Weekly, Seasonally Adjusted]]-B642)/B642</f>
        <v>7.64157097445554E-3</v>
      </c>
      <c r="D643" s="27">
        <f>((1+Table267[[#This Row],[Monthly change]])^12)-1</f>
        <v>9.5652706588318148E-2</v>
      </c>
      <c r="E643" s="26">
        <f>(Table267[[#This Row],[M2 Money Stock, Billions of Dollars, Weekly, Seasonally Adjusted]]-B631)/B631</f>
        <v>0.10329463516393819</v>
      </c>
    </row>
    <row r="644" spans="1:5" x14ac:dyDescent="0.2">
      <c r="A644" s="24">
        <v>40940</v>
      </c>
      <c r="B644" s="44">
        <f>VLOOKUP(A644,'Database Rates'!$A$1:$D$1000,4,FALSE)</f>
        <v>9789.2999999999993</v>
      </c>
      <c r="C644" s="26">
        <f>(Table267[[#This Row],[M2 Money Stock, Billions of Dollars, Weekly, Seasonally Adjusted]]-B643)/B643</f>
        <v>5.9394749010943096E-3</v>
      </c>
      <c r="D644" s="27">
        <f>((1+Table267[[#This Row],[Monthly change]])^12)-1</f>
        <v>7.3648723011891848E-2</v>
      </c>
      <c r="E644" s="26">
        <f>(Table267[[#This Row],[M2 Money Stock, Billions of Dollars, Weekly, Seasonally Adjusted]]-B632)/B632</f>
        <v>0.10187749037617326</v>
      </c>
    </row>
    <row r="645" spans="1:5" x14ac:dyDescent="0.2">
      <c r="A645" s="24">
        <v>40969</v>
      </c>
      <c r="B645" s="44">
        <f>VLOOKUP(A645,'Database Rates'!$A$1:$D$1000,4,FALSE)</f>
        <v>9837.1</v>
      </c>
      <c r="C645" s="26">
        <f>(Table267[[#This Row],[M2 Money Stock, Billions of Dollars, Weekly, Seasonally Adjusted]]-B644)/B644</f>
        <v>4.88288233070813E-3</v>
      </c>
      <c r="D645" s="27">
        <f>((1+Table267[[#This Row],[Monthly change]])^12)-1</f>
        <v>6.019409167060541E-2</v>
      </c>
      <c r="E645" s="26">
        <f>(Table267[[#This Row],[M2 Money Stock, Billions of Dollars, Weekly, Seasonally Adjusted]]-B633)/B633</f>
        <v>0.10027291233250564</v>
      </c>
    </row>
    <row r="646" spans="1:5" x14ac:dyDescent="0.2">
      <c r="A646" s="24">
        <v>41000</v>
      </c>
      <c r="B646" s="44">
        <f>VLOOKUP(A646,'Database Rates'!$A$1:$D$1000,4,FALSE)</f>
        <v>9889.9</v>
      </c>
      <c r="C646" s="26">
        <f>(Table267[[#This Row],[M2 Money Stock, Billions of Dollars, Weekly, Seasonally Adjusted]]-B645)/B645</f>
        <v>5.3674355246972451E-3</v>
      </c>
      <c r="D646" s="27">
        <f>((1+Table267[[#This Row],[Monthly change]])^12)-1</f>
        <v>6.6345077846988509E-2</v>
      </c>
      <c r="E646" s="26">
        <f>(Table267[[#This Row],[M2 Money Stock, Billions of Dollars, Weekly, Seasonally Adjusted]]-B634)/B634</f>
        <v>9.8621432776796442E-2</v>
      </c>
    </row>
    <row r="647" spans="1:5" x14ac:dyDescent="0.2">
      <c r="A647" s="24">
        <v>41030</v>
      </c>
      <c r="B647" s="44">
        <f>VLOOKUP(A647,'Database Rates'!$A$1:$D$1000,4,FALSE)</f>
        <v>9934.6</v>
      </c>
      <c r="C647" s="26">
        <f>(Table267[[#This Row],[M2 Money Stock, Billions of Dollars, Weekly, Seasonally Adjusted]]-B646)/B646</f>
        <v>4.5197625860727338E-3</v>
      </c>
      <c r="D647" s="27">
        <f>((1+Table267[[#This Row],[Monthly change]])^12)-1</f>
        <v>5.5605936646525356E-2</v>
      </c>
      <c r="E647" s="26">
        <f>(Table267[[#This Row],[M2 Money Stock, Billions of Dollars, Weekly, Seasonally Adjusted]]-B635)/B635</f>
        <v>9.4999283564980608E-2</v>
      </c>
    </row>
    <row r="648" spans="1:5" x14ac:dyDescent="0.2">
      <c r="A648" s="24">
        <v>41061</v>
      </c>
      <c r="B648" s="44">
        <f>VLOOKUP(A648,'Database Rates'!$A$1:$D$1000,4,FALSE)</f>
        <v>9998.1</v>
      </c>
      <c r="C648" s="26">
        <f>(Table267[[#This Row],[M2 Money Stock, Billions of Dollars, Weekly, Seasonally Adjusted]]-B647)/B647</f>
        <v>6.391802387615002E-3</v>
      </c>
      <c r="D648" s="27">
        <f>((1+Table267[[#This Row],[Monthly change]])^12)-1</f>
        <v>7.9456352834953448E-2</v>
      </c>
      <c r="E648" s="26">
        <f>(Table267[[#This Row],[M2 Money Stock, Billions of Dollars, Weekly, Seasonally Adjusted]]-B636)/B636</f>
        <v>9.2879629224782559E-2</v>
      </c>
    </row>
    <row r="649" spans="1:5" x14ac:dyDescent="0.2">
      <c r="A649" s="24">
        <v>41091</v>
      </c>
      <c r="B649" s="44">
        <f>VLOOKUP(A649,'Database Rates'!$A$1:$D$1000,4,FALSE)</f>
        <v>10055.299999999999</v>
      </c>
      <c r="C649" s="26">
        <f>(Table267[[#This Row],[M2 Money Stock, Billions of Dollars, Weekly, Seasonally Adjusted]]-B648)/B648</f>
        <v>5.7210870065311312E-3</v>
      </c>
      <c r="D649" s="27">
        <f>((1+Table267[[#This Row],[Monthly change]])^12)-1</f>
        <v>7.0855010785819905E-2</v>
      </c>
      <c r="E649" s="26">
        <f>(Table267[[#This Row],[M2 Money Stock, Billions of Dollars, Weekly, Seasonally Adjusted]]-B637)/B637</f>
        <v>7.9613047306147877E-2</v>
      </c>
    </row>
    <row r="650" spans="1:5" x14ac:dyDescent="0.2">
      <c r="A650" s="24">
        <v>41122</v>
      </c>
      <c r="B650" s="44">
        <f>VLOOKUP(A650,'Database Rates'!$A$1:$D$1000,4,FALSE)</f>
        <v>10115.200000000001</v>
      </c>
      <c r="C650" s="26">
        <f>(Table267[[#This Row],[M2 Money Stock, Billions of Dollars, Weekly, Seasonally Adjusted]]-B649)/B649</f>
        <v>5.9570574721789964E-3</v>
      </c>
      <c r="D650" s="27">
        <f>((1+Table267[[#This Row],[Monthly change]])^12)-1</f>
        <v>7.3873937196125006E-2</v>
      </c>
      <c r="E650" s="26">
        <f>(Table267[[#This Row],[M2 Money Stock, Billions of Dollars, Weekly, Seasonally Adjusted]]-B638)/B638</f>
        <v>6.4197790636507185E-2</v>
      </c>
    </row>
    <row r="651" spans="1:5" x14ac:dyDescent="0.2">
      <c r="A651" s="24">
        <v>41153</v>
      </c>
      <c r="B651" s="44">
        <f>VLOOKUP(A651,'Database Rates'!$A$1:$D$1000,4,FALSE)</f>
        <v>10193.1</v>
      </c>
      <c r="C651" s="26">
        <f>(Table267[[#This Row],[M2 Money Stock, Billions of Dollars, Weekly, Seasonally Adjusted]]-B650)/B650</f>
        <v>7.7012812401138515E-3</v>
      </c>
      <c r="D651" s="27">
        <f>((1+Table267[[#This Row],[Monthly change]])^12)-1</f>
        <v>9.6432067530826115E-2</v>
      </c>
      <c r="E651" s="26">
        <f>(Table267[[#This Row],[M2 Money Stock, Billions of Dollars, Weekly, Seasonally Adjusted]]-B639)/B639</f>
        <v>7.0051859161435373E-2</v>
      </c>
    </row>
    <row r="652" spans="1:5" x14ac:dyDescent="0.2">
      <c r="A652" s="24">
        <v>41183</v>
      </c>
      <c r="B652" s="44">
        <f>VLOOKUP(A652,'Database Rates'!$A$1:$D$1000,4,FALSE)</f>
        <v>10256.5</v>
      </c>
      <c r="C652" s="26">
        <f>(Table267[[#This Row],[M2 Money Stock, Billions of Dollars, Weekly, Seasonally Adjusted]]-B651)/B651</f>
        <v>6.2198938497610773E-3</v>
      </c>
      <c r="D652" s="27">
        <f>((1+Table267[[#This Row],[Monthly change]])^12)-1</f>
        <v>7.7245760228741078E-2</v>
      </c>
      <c r="E652" s="26">
        <f>(Table267[[#This Row],[M2 Money Stock, Billions of Dollars, Weekly, Seasonally Adjusted]]-B640)/B640</f>
        <v>7.2911763167529689E-2</v>
      </c>
    </row>
    <row r="653" spans="1:5" x14ac:dyDescent="0.2">
      <c r="A653" s="24">
        <v>41214</v>
      </c>
      <c r="B653" s="44">
        <f>VLOOKUP(A653,'Database Rates'!$A$1:$D$1000,4,FALSE)</f>
        <v>10319.799999999999</v>
      </c>
      <c r="C653" s="26">
        <f>(Table267[[#This Row],[M2 Money Stock, Billions of Dollars, Weekly, Seasonally Adjusted]]-B652)/B652</f>
        <v>6.1716959976599499E-3</v>
      </c>
      <c r="D653" s="27">
        <f>((1+Table267[[#This Row],[Monthly change]])^12)-1</f>
        <v>7.6626723505862415E-2</v>
      </c>
      <c r="E653" s="26">
        <f>(Table267[[#This Row],[M2 Money Stock, Billions of Dollars, Weekly, Seasonally Adjusted]]-B641)/B641</f>
        <v>7.3849387623437721E-2</v>
      </c>
    </row>
    <row r="654" spans="1:5" x14ac:dyDescent="0.2">
      <c r="A654" s="24">
        <v>41244</v>
      </c>
      <c r="B654" s="44">
        <f>VLOOKUP(A654,'Database Rates'!$A$1:$D$1000,4,FALSE)</f>
        <v>10451.5</v>
      </c>
      <c r="C654" s="26">
        <f>(Table267[[#This Row],[M2 Money Stock, Billions of Dollars, Weekly, Seasonally Adjusted]]-B653)/B653</f>
        <v>1.2761875230140191E-2</v>
      </c>
      <c r="D654" s="27">
        <f>((1+Table267[[#This Row],[Monthly change]])^12)-1</f>
        <v>0.16436228827863109</v>
      </c>
      <c r="E654" s="26">
        <f>(Table267[[#This Row],[M2 Money Stock, Billions of Dollars, Weekly, Seasonally Adjusted]]-B642)/B642</f>
        <v>8.2193482920363978E-2</v>
      </c>
    </row>
    <row r="655" spans="1:5" x14ac:dyDescent="0.2">
      <c r="A655" s="24">
        <v>41275</v>
      </c>
      <c r="B655" s="44">
        <f>VLOOKUP(A655,'Database Rates'!$A$1:$D$1000,4,FALSE)</f>
        <v>10477</v>
      </c>
      <c r="C655" s="26">
        <f>(Table267[[#This Row],[M2 Money Stock, Billions of Dollars, Weekly, Seasonally Adjusted]]-B654)/B654</f>
        <v>2.4398411711237622E-3</v>
      </c>
      <c r="D655" s="27">
        <f>((1+Table267[[#This Row],[Monthly change]])^12)-1</f>
        <v>2.9674193377519531E-2</v>
      </c>
      <c r="E655" s="26">
        <f>(Table267[[#This Row],[M2 Money Stock, Billions of Dollars, Weekly, Seasonally Adjusted]]-B643)/B643</f>
        <v>7.6606895134357506E-2</v>
      </c>
    </row>
    <row r="656" spans="1:5" x14ac:dyDescent="0.2">
      <c r="A656" s="24">
        <v>41306</v>
      </c>
      <c r="B656" s="44">
        <f>VLOOKUP(A656,'Database Rates'!$A$1:$D$1000,4,FALSE)</f>
        <v>10489.1</v>
      </c>
      <c r="C656" s="26">
        <f>(Table267[[#This Row],[M2 Money Stock, Billions of Dollars, Weekly, Seasonally Adjusted]]-B655)/B655</f>
        <v>1.1549107568960928E-3</v>
      </c>
      <c r="D656" s="27">
        <f>((1+Table267[[#This Row],[Monthly change]])^12)-1</f>
        <v>1.3947300906728799E-2</v>
      </c>
      <c r="E656" s="26">
        <f>(Table267[[#This Row],[M2 Money Stock, Billions of Dollars, Weekly, Seasonally Adjusted]]-B644)/B644</f>
        <v>7.148621454036562E-2</v>
      </c>
    </row>
    <row r="657" spans="1:5" x14ac:dyDescent="0.2">
      <c r="A657" s="24">
        <v>41334</v>
      </c>
      <c r="B657" s="44">
        <f>VLOOKUP(A657,'Database Rates'!$A$1:$D$1000,4,FALSE)</f>
        <v>10555.8</v>
      </c>
      <c r="C657" s="26">
        <f>(Table267[[#This Row],[M2 Money Stock, Billions of Dollars, Weekly, Seasonally Adjusted]]-B656)/B656</f>
        <v>6.3589821815025985E-3</v>
      </c>
      <c r="D657" s="27">
        <f>((1+Table267[[#This Row],[Monthly change]])^12)-1</f>
        <v>7.9033992961971222E-2</v>
      </c>
      <c r="E657" s="26">
        <f>(Table267[[#This Row],[M2 Money Stock, Billions of Dollars, Weekly, Seasonally Adjusted]]-B645)/B645</f>
        <v>7.3060149840908278E-2</v>
      </c>
    </row>
    <row r="658" spans="1:5" x14ac:dyDescent="0.2">
      <c r="A658" s="24">
        <v>41365</v>
      </c>
      <c r="B658" s="44">
        <f>VLOOKUP(A658,'Database Rates'!$A$1:$D$1000,4,FALSE)</f>
        <v>10590.3</v>
      </c>
      <c r="C658" s="26">
        <f>(Table267[[#This Row],[M2 Money Stock, Billions of Dollars, Weekly, Seasonally Adjusted]]-B657)/B657</f>
        <v>3.2683453646336611E-3</v>
      </c>
      <c r="D658" s="27">
        <f>((1+Table267[[#This Row],[Monthly change]])^12)-1</f>
        <v>3.9932899329771843E-2</v>
      </c>
      <c r="E658" s="26">
        <f>(Table267[[#This Row],[M2 Money Stock, Billions of Dollars, Weekly, Seasonally Adjusted]]-B646)/B646</f>
        <v>7.0819725174167555E-2</v>
      </c>
    </row>
    <row r="659" spans="1:5" x14ac:dyDescent="0.2">
      <c r="A659" s="24">
        <v>41395</v>
      </c>
      <c r="B659" s="44">
        <f>VLOOKUP(A659,'Database Rates'!$A$1:$D$1000,4,FALSE)</f>
        <v>10630.1</v>
      </c>
      <c r="C659" s="26">
        <f>(Table267[[#This Row],[M2 Money Stock, Billions of Dollars, Weekly, Seasonally Adjusted]]-B658)/B658</f>
        <v>3.7581560484595427E-3</v>
      </c>
      <c r="D659" s="27">
        <f>((1+Table267[[#This Row],[Monthly change]])^12)-1</f>
        <v>4.6041815980409018E-2</v>
      </c>
      <c r="E659" s="26">
        <f>(Table267[[#This Row],[M2 Money Stock, Billions of Dollars, Weekly, Seasonally Adjusted]]-B647)/B647</f>
        <v>7.0007851347814704E-2</v>
      </c>
    </row>
    <row r="660" spans="1:5" x14ac:dyDescent="0.2">
      <c r="A660" s="24">
        <v>41426</v>
      </c>
      <c r="B660" s="44">
        <f>VLOOKUP(A660,'Database Rates'!$A$1:$D$1000,4,FALSE)</f>
        <v>10682.5</v>
      </c>
      <c r="C660" s="26">
        <f>(Table267[[#This Row],[M2 Money Stock, Billions of Dollars, Weekly, Seasonally Adjusted]]-B659)/B659</f>
        <v>4.9293985945569312E-3</v>
      </c>
      <c r="D660" s="27">
        <f>((1+Table267[[#This Row],[Monthly change]])^12)-1</f>
        <v>6.0783161222602411E-2</v>
      </c>
      <c r="E660" s="26">
        <f>(Table267[[#This Row],[M2 Money Stock, Billions of Dollars, Weekly, Seasonally Adjusted]]-B648)/B648</f>
        <v>6.8453006071153483E-2</v>
      </c>
    </row>
    <row r="661" spans="1:5" x14ac:dyDescent="0.2">
      <c r="A661" s="24">
        <v>41456</v>
      </c>
      <c r="B661" s="44">
        <f>VLOOKUP(A661,'Database Rates'!$A$1:$D$1000,4,FALSE)</f>
        <v>10728.9</v>
      </c>
      <c r="C661" s="26">
        <f>(Table267[[#This Row],[M2 Money Stock, Billions of Dollars, Weekly, Seasonally Adjusted]]-B660)/B660</f>
        <v>4.3435525391995917E-3</v>
      </c>
      <c r="D661" s="27">
        <f>((1+Table267[[#This Row],[Monthly change]])^12)-1</f>
        <v>5.3386021934856753E-2</v>
      </c>
      <c r="E661" s="26">
        <f>(Table267[[#This Row],[M2 Money Stock, Billions of Dollars, Weekly, Seasonally Adjusted]]-B649)/B649</f>
        <v>6.698954780066238E-2</v>
      </c>
    </row>
    <row r="662" spans="1:5" x14ac:dyDescent="0.2">
      <c r="A662" s="24">
        <v>41487</v>
      </c>
      <c r="B662" s="44">
        <f>VLOOKUP(A662,'Database Rates'!$A$1:$D$1000,4,FALSE)</f>
        <v>10783.5</v>
      </c>
      <c r="C662" s="26">
        <f>(Table267[[#This Row],[M2 Money Stock, Billions of Dollars, Weekly, Seasonally Adjusted]]-B661)/B661</f>
        <v>5.0890585241730622E-3</v>
      </c>
      <c r="D662" s="27">
        <f>((1+Table267[[#This Row],[Monthly change]])^12)-1</f>
        <v>6.2807334916984425E-2</v>
      </c>
      <c r="E662" s="26">
        <f>(Table267[[#This Row],[M2 Money Stock, Billions of Dollars, Weekly, Seasonally Adjusted]]-B650)/B650</f>
        <v>6.606888642834538E-2</v>
      </c>
    </row>
    <row r="663" spans="1:5" x14ac:dyDescent="0.2">
      <c r="A663" s="24">
        <v>41518</v>
      </c>
      <c r="B663" s="44">
        <f>VLOOKUP(A663,'Database Rates'!$A$1:$D$1000,4,FALSE)</f>
        <v>10835.3</v>
      </c>
      <c r="C663" s="26">
        <f>(Table267[[#This Row],[M2 Money Stock, Billions of Dollars, Weekly, Seasonally Adjusted]]-B662)/B662</f>
        <v>4.8036351833819517E-3</v>
      </c>
      <c r="D663" s="27">
        <f>((1+Table267[[#This Row],[Monthly change]])^12)-1</f>
        <v>5.9191217485463854E-2</v>
      </c>
      <c r="E663" s="26">
        <f>(Table267[[#This Row],[M2 Money Stock, Billions of Dollars, Weekly, Seasonally Adjusted]]-B651)/B651</f>
        <v>6.3003404263668447E-2</v>
      </c>
    </row>
    <row r="664" spans="1:5" x14ac:dyDescent="0.2">
      <c r="A664" s="24">
        <v>41548</v>
      </c>
      <c r="B664" s="44">
        <f>VLOOKUP(A664,'Database Rates'!$A$1:$D$1000,4,FALSE)</f>
        <v>10948.7</v>
      </c>
      <c r="C664" s="26">
        <f>(Table267[[#This Row],[M2 Money Stock, Billions of Dollars, Weekly, Seasonally Adjusted]]-B663)/B663</f>
        <v>1.0465792363847929E-2</v>
      </c>
      <c r="D664" s="27">
        <f>((1+Table267[[#This Row],[Monthly change]])^12)-1</f>
        <v>0.13307690969683517</v>
      </c>
      <c r="E664" s="26">
        <f>(Table267[[#This Row],[M2 Money Stock, Billions of Dollars, Weekly, Seasonally Adjusted]]-B652)/B652</f>
        <v>6.7488909472042197E-2</v>
      </c>
    </row>
    <row r="665" spans="1:5" x14ac:dyDescent="0.2">
      <c r="A665" s="24">
        <v>41579</v>
      </c>
      <c r="B665" s="44">
        <f>VLOOKUP(A665,'Database Rates'!$A$1:$D$1000,4,FALSE)</f>
        <v>10954.1</v>
      </c>
      <c r="C665" s="26">
        <f>(Table267[[#This Row],[M2 Money Stock, Billions of Dollars, Weekly, Seasonally Adjusted]]-B664)/B664</f>
        <v>4.9320923945305253E-4</v>
      </c>
      <c r="D665" s="27">
        <f>((1+Table267[[#This Row],[Monthly change]])^12)-1</f>
        <v>5.9345921507789612E-3</v>
      </c>
      <c r="E665" s="26">
        <f>(Table267[[#This Row],[M2 Money Stock, Billions of Dollars, Weekly, Seasonally Adjusted]]-B653)/B653</f>
        <v>6.1464369464524618E-2</v>
      </c>
    </row>
    <row r="666" spans="1:5" x14ac:dyDescent="0.2">
      <c r="A666" s="24">
        <v>41609</v>
      </c>
      <c r="B666" s="44">
        <f>VLOOKUP(A666,'Database Rates'!$A$1:$D$1000,4,FALSE)</f>
        <v>11020.3</v>
      </c>
      <c r="C666" s="26">
        <f>(Table267[[#This Row],[M2 Money Stock, Billions of Dollars, Weekly, Seasonally Adjusted]]-B665)/B665</f>
        <v>6.0433992751571476E-3</v>
      </c>
      <c r="D666" s="27">
        <f>((1+Table267[[#This Row],[Monthly change]])^12)-1</f>
        <v>7.4980513195204823E-2</v>
      </c>
      <c r="E666" s="26">
        <f>(Table267[[#This Row],[M2 Money Stock, Billions of Dollars, Weekly, Seasonally Adjusted]]-B654)/B654</f>
        <v>5.4422810122948792E-2</v>
      </c>
    </row>
    <row r="667" spans="1:5" x14ac:dyDescent="0.2">
      <c r="A667" s="24">
        <v>41640</v>
      </c>
      <c r="B667" s="44">
        <f>VLOOKUP(A667,'Database Rates'!$A$1:$D$1000,4,FALSE)</f>
        <v>11076.6</v>
      </c>
      <c r="C667" s="26">
        <f>(Table267[[#This Row],[M2 Money Stock, Billions of Dollars, Weekly, Seasonally Adjusted]]-B666)/B666</f>
        <v>5.1087538451767278E-3</v>
      </c>
      <c r="D667" s="27">
        <f>((1+Table267[[#This Row],[Monthly change]])^12)-1</f>
        <v>6.305727799529981E-2</v>
      </c>
      <c r="E667" s="26">
        <f>(Table267[[#This Row],[M2 Money Stock, Billions of Dollars, Weekly, Seasonally Adjusted]]-B655)/B655</f>
        <v>5.7230123126849324E-2</v>
      </c>
    </row>
    <row r="668" spans="1:5" x14ac:dyDescent="0.2">
      <c r="A668" s="24">
        <v>41671</v>
      </c>
      <c r="B668" s="44">
        <f>VLOOKUP(A668,'Database Rates'!$A$1:$D$1000,4,FALSE)</f>
        <v>11169.3</v>
      </c>
      <c r="C668" s="26">
        <f>(Table267[[#This Row],[M2 Money Stock, Billions of Dollars, Weekly, Seasonally Adjusted]]-B667)/B667</f>
        <v>8.3689940956610254E-3</v>
      </c>
      <c r="D668" s="27">
        <f>((1+Table267[[#This Row],[Monthly change]])^12)-1</f>
        <v>0.10518199063450462</v>
      </c>
      <c r="E668" s="26">
        <f>(Table267[[#This Row],[M2 Money Stock, Billions of Dollars, Weekly, Seasonally Adjusted]]-B656)/B656</f>
        <v>6.4848271062340798E-2</v>
      </c>
    </row>
    <row r="669" spans="1:5" x14ac:dyDescent="0.2">
      <c r="A669" s="24">
        <v>41699</v>
      </c>
      <c r="B669" s="44">
        <f>VLOOKUP(A669,'Database Rates'!$A$1:$D$1000,4,FALSE)</f>
        <v>11207.6</v>
      </c>
      <c r="C669" s="26">
        <f>(Table267[[#This Row],[M2 Money Stock, Billions of Dollars, Weekly, Seasonally Adjusted]]-B668)/B668</f>
        <v>3.4290421064884185E-3</v>
      </c>
      <c r="D669" s="27">
        <f>((1+Table267[[#This Row],[Monthly change]])^12)-1</f>
        <v>4.1933494215143252E-2</v>
      </c>
      <c r="E669" s="26">
        <f>(Table267[[#This Row],[M2 Money Stock, Billions of Dollars, Weekly, Seasonally Adjusted]]-B657)/B657</f>
        <v>6.1748043729513737E-2</v>
      </c>
    </row>
    <row r="670" spans="1:5" x14ac:dyDescent="0.2">
      <c r="A670" s="24">
        <v>41730</v>
      </c>
      <c r="B670" s="44">
        <f>VLOOKUP(A670,'Database Rates'!$A$1:$D$1000,4,FALSE)</f>
        <v>11259.8</v>
      </c>
      <c r="C670" s="26">
        <f>(Table267[[#This Row],[M2 Money Stock, Billions of Dollars, Weekly, Seasonally Adjusted]]-B669)/B669</f>
        <v>4.65755380277659E-3</v>
      </c>
      <c r="D670" s="27">
        <f>((1+Table267[[#This Row],[Monthly change]])^12)-1</f>
        <v>5.7344833396705042E-2</v>
      </c>
      <c r="E670" s="26">
        <f>(Table267[[#This Row],[M2 Money Stock, Billions of Dollars, Weekly, Seasonally Adjusted]]-B658)/B658</f>
        <v>6.3218228001095347E-2</v>
      </c>
    </row>
    <row r="671" spans="1:5" x14ac:dyDescent="0.2">
      <c r="A671" s="24">
        <v>41760</v>
      </c>
      <c r="B671" s="44">
        <f>VLOOKUP(A671,'Database Rates'!$A$1:$D$1000,4,FALSE)</f>
        <v>11326.3</v>
      </c>
      <c r="C671" s="26">
        <f>(Table267[[#This Row],[M2 Money Stock, Billions of Dollars, Weekly, Seasonally Adjusted]]-B670)/B670</f>
        <v>5.9059663581946401E-3</v>
      </c>
      <c r="D671" s="27">
        <f>((1+Table267[[#This Row],[Monthly change]])^12)-1</f>
        <v>7.3219633810457374E-2</v>
      </c>
      <c r="E671" s="26">
        <f>(Table267[[#This Row],[M2 Money Stock, Billions of Dollars, Weekly, Seasonally Adjusted]]-B659)/B659</f>
        <v>6.5493269113178515E-2</v>
      </c>
    </row>
    <row r="672" spans="1:5" x14ac:dyDescent="0.2">
      <c r="A672" s="24">
        <v>41791</v>
      </c>
      <c r="B672" s="44">
        <f>VLOOKUP(A672,'Database Rates'!$A$1:$D$1000,4,FALSE)</f>
        <v>11377.2</v>
      </c>
      <c r="C672" s="26">
        <f>(Table267[[#This Row],[M2 Money Stock, Billions of Dollars, Weekly, Seasonally Adjusted]]-B671)/B671</f>
        <v>4.4939653726284367E-3</v>
      </c>
      <c r="D672" s="27">
        <f>((1+Table267[[#This Row],[Monthly change]])^12)-1</f>
        <v>5.528067261534253E-2</v>
      </c>
      <c r="E672" s="26">
        <f>(Table267[[#This Row],[M2 Money Stock, Billions of Dollars, Weekly, Seasonally Adjusted]]-B660)/B660</f>
        <v>6.5031593728059986E-2</v>
      </c>
    </row>
    <row r="673" spans="1:5" x14ac:dyDescent="0.2">
      <c r="A673" s="24">
        <v>41821</v>
      </c>
      <c r="B673" s="44">
        <f>VLOOKUP(A673,'Database Rates'!$A$1:$D$1000,4,FALSE)</f>
        <v>11434</v>
      </c>
      <c r="C673" s="26">
        <f>(Table267[[#This Row],[M2 Money Stock, Billions of Dollars, Weekly, Seasonally Adjusted]]-B672)/B672</f>
        <v>4.9924410223956038E-3</v>
      </c>
      <c r="D673" s="27">
        <f>((1+Table267[[#This Row],[Monthly change]])^12)-1</f>
        <v>6.1581992559083032E-2</v>
      </c>
      <c r="E673" s="26">
        <f>(Table267[[#This Row],[M2 Money Stock, Billions of Dollars, Weekly, Seasonally Adjusted]]-B661)/B661</f>
        <v>6.5719691673890177E-2</v>
      </c>
    </row>
    <row r="674" spans="1:5" x14ac:dyDescent="0.2">
      <c r="A674" s="24">
        <v>41852</v>
      </c>
      <c r="B674" s="44">
        <f>VLOOKUP(A674,'Database Rates'!$A$1:$D$1000,4,FALSE)</f>
        <v>11462.9</v>
      </c>
      <c r="C674" s="26">
        <f>(Table267[[#This Row],[M2 Money Stock, Billions of Dollars, Weekly, Seasonally Adjusted]]-B673)/B673</f>
        <v>2.5275494140283047E-3</v>
      </c>
      <c r="D674" s="27">
        <f>((1+Table267[[#This Row],[Monthly change]])^12)-1</f>
        <v>3.0755807049617445E-2</v>
      </c>
      <c r="E674" s="26">
        <f>(Table267[[#This Row],[M2 Money Stock, Billions of Dollars, Weekly, Seasonally Adjusted]]-B662)/B662</f>
        <v>6.3003663003662974E-2</v>
      </c>
    </row>
    <row r="675" spans="1:5" x14ac:dyDescent="0.2">
      <c r="A675" s="24">
        <v>41883</v>
      </c>
      <c r="B675" s="44">
        <f>VLOOKUP(A675,'Database Rates'!$A$1:$D$1000,4,FALSE)</f>
        <v>11496.7</v>
      </c>
      <c r="C675" s="26">
        <f>(Table267[[#This Row],[M2 Money Stock, Billions of Dollars, Weekly, Seasonally Adjusted]]-B674)/B674</f>
        <v>2.9486430135481504E-3</v>
      </c>
      <c r="D675" s="27">
        <f>((1+Table267[[#This Row],[Monthly change]])^12)-1</f>
        <v>3.5963230601917084E-2</v>
      </c>
      <c r="E675" s="26">
        <f>(Table267[[#This Row],[M2 Money Stock, Billions of Dollars, Weekly, Seasonally Adjusted]]-B663)/B663</f>
        <v>6.1041226361983655E-2</v>
      </c>
    </row>
    <row r="676" spans="1:5" x14ac:dyDescent="0.2">
      <c r="A676" s="24">
        <v>41913</v>
      </c>
      <c r="B676" s="44">
        <f>VLOOKUP(A676,'Database Rates'!$A$1:$D$1000,4,FALSE)</f>
        <v>11558.6</v>
      </c>
      <c r="C676" s="26">
        <f>(Table267[[#This Row],[M2 Money Stock, Billions of Dollars, Weekly, Seasonally Adjusted]]-B675)/B675</f>
        <v>5.3841537136743271E-3</v>
      </c>
      <c r="D676" s="27">
        <f>((1+Table267[[#This Row],[Monthly change]])^12)-1</f>
        <v>6.6557883495485859E-2</v>
      </c>
      <c r="E676" s="26">
        <f>(Table267[[#This Row],[M2 Money Stock, Billions of Dollars, Weekly, Seasonally Adjusted]]-B664)/B664</f>
        <v>5.5705243544895706E-2</v>
      </c>
    </row>
    <row r="677" spans="1:5" x14ac:dyDescent="0.2">
      <c r="A677" s="24">
        <v>41944</v>
      </c>
      <c r="B677" s="44">
        <f>VLOOKUP(A677,'Database Rates'!$A$1:$D$1000,4,FALSE)</f>
        <v>11594.7</v>
      </c>
      <c r="C677" s="26">
        <f>(Table267[[#This Row],[M2 Money Stock, Billions of Dollars, Weekly, Seasonally Adjusted]]-B676)/B676</f>
        <v>3.1232156143477896E-3</v>
      </c>
      <c r="D677" s="27">
        <f>((1+Table267[[#This Row],[Monthly change]])^12)-1</f>
        <v>3.8129132481438344E-2</v>
      </c>
      <c r="E677" s="26">
        <f>(Table267[[#This Row],[M2 Money Stock, Billions of Dollars, Weekly, Seasonally Adjusted]]-B665)/B665</f>
        <v>5.8480386339361548E-2</v>
      </c>
    </row>
    <row r="678" spans="1:5" x14ac:dyDescent="0.2">
      <c r="A678" s="24">
        <v>41974</v>
      </c>
      <c r="B678" s="44">
        <f>VLOOKUP(A678,'Database Rates'!$A$1:$D$1000,4,FALSE)</f>
        <v>11674</v>
      </c>
      <c r="C678" s="26">
        <f>(Table267[[#This Row],[M2 Money Stock, Billions of Dollars, Weekly, Seasonally Adjusted]]-B677)/B677</f>
        <v>6.8393317636505704E-3</v>
      </c>
      <c r="D678" s="27">
        <f>((1+Table267[[#This Row],[Monthly change]])^12)-1</f>
        <v>8.5230704820356218E-2</v>
      </c>
      <c r="E678" s="26">
        <f>(Table267[[#This Row],[M2 Money Stock, Billions of Dollars, Weekly, Seasonally Adjusted]]-B666)/B666</f>
        <v>5.9317804415487854E-2</v>
      </c>
    </row>
    <row r="679" spans="1:5" x14ac:dyDescent="0.2">
      <c r="A679" s="24">
        <v>42005</v>
      </c>
      <c r="B679" s="44">
        <f>VLOOKUP(A679,'Database Rates'!$A$1:$D$1000,4,FALSE)</f>
        <v>11743.9</v>
      </c>
      <c r="C679" s="26">
        <f>(Table267[[#This Row],[M2 Money Stock, Billions of Dollars, Weekly, Seasonally Adjusted]]-B678)/B678</f>
        <v>5.987664896350834E-3</v>
      </c>
      <c r="D679" s="27">
        <f>((1+Table267[[#This Row],[Monthly change]])^12)-1</f>
        <v>7.4266089315507822E-2</v>
      </c>
      <c r="E679" s="26">
        <f>(Table267[[#This Row],[M2 Money Stock, Billions of Dollars, Weekly, Seasonally Adjusted]]-B667)/B667</f>
        <v>6.0244118231226121E-2</v>
      </c>
    </row>
    <row r="680" spans="1:5" x14ac:dyDescent="0.2">
      <c r="A680" s="24">
        <v>42036</v>
      </c>
      <c r="B680" s="44">
        <f>VLOOKUP(A680,'Database Rates'!$A$1:$D$1000,4,FALSE)</f>
        <v>11871.7</v>
      </c>
      <c r="C680" s="26">
        <f>(Table267[[#This Row],[M2 Money Stock, Billions of Dollars, Weekly, Seasonally Adjusted]]-B679)/B679</f>
        <v>1.0882245250726001E-2</v>
      </c>
      <c r="D680" s="27">
        <f>((1+Table267[[#This Row],[Monthly change]])^12)-1</f>
        <v>0.13869345902854735</v>
      </c>
      <c r="E680" s="26">
        <f>(Table267[[#This Row],[M2 Money Stock, Billions of Dollars, Weekly, Seasonally Adjusted]]-B668)/B668</f>
        <v>6.2886662548235023E-2</v>
      </c>
    </row>
    <row r="681" spans="1:5" x14ac:dyDescent="0.2">
      <c r="A681" s="24">
        <v>42064</v>
      </c>
      <c r="B681" s="44">
        <f>VLOOKUP(A681,'Database Rates'!$A$1:$D$1000,4,FALSE)</f>
        <v>11888.1</v>
      </c>
      <c r="C681" s="26">
        <f>(Table267[[#This Row],[M2 Money Stock, Billions of Dollars, Weekly, Seasonally Adjusted]]-B680)/B680</f>
        <v>1.3814365255186397E-3</v>
      </c>
      <c r="D681" s="27">
        <f>((1+Table267[[#This Row],[Monthly change]])^12)-1</f>
        <v>1.6703772309919707E-2</v>
      </c>
      <c r="E681" s="26">
        <f>(Table267[[#This Row],[M2 Money Stock, Billions of Dollars, Weekly, Seasonally Adjusted]]-B669)/B669</f>
        <v>6.0717727256504511E-2</v>
      </c>
    </row>
    <row r="682" spans="1:5" x14ac:dyDescent="0.2">
      <c r="A682" s="24">
        <v>42095</v>
      </c>
      <c r="B682" s="44">
        <f>VLOOKUP(A682,'Database Rates'!$A$1:$D$1000,4,FALSE)</f>
        <v>11927.6</v>
      </c>
      <c r="C682" s="26">
        <f>(Table267[[#This Row],[M2 Money Stock, Billions of Dollars, Weekly, Seasonally Adjusted]]-B681)/B681</f>
        <v>3.322650381473911E-3</v>
      </c>
      <c r="D682" s="27">
        <f>((1+Table267[[#This Row],[Monthly change]])^12)-1</f>
        <v>4.0608575655226797E-2</v>
      </c>
      <c r="E682" s="26">
        <f>(Table267[[#This Row],[M2 Money Stock, Billions of Dollars, Weekly, Seasonally Adjusted]]-B670)/B670</f>
        <v>5.930833584965995E-2</v>
      </c>
    </row>
    <row r="683" spans="1:5" x14ac:dyDescent="0.2">
      <c r="A683" s="24">
        <v>42125</v>
      </c>
      <c r="B683" s="44">
        <f>VLOOKUP(A683,'Database Rates'!$A$1:$D$1000,4,FALSE)</f>
        <v>11957.9</v>
      </c>
      <c r="C683" s="26">
        <f>(Table267[[#This Row],[M2 Money Stock, Billions of Dollars, Weekly, Seasonally Adjusted]]-B682)/B682</f>
        <v>2.5403266373787915E-3</v>
      </c>
      <c r="D683" s="27">
        <f>((1+Table267[[#This Row],[Monthly change]])^12)-1</f>
        <v>3.0913462013756776E-2</v>
      </c>
      <c r="E683" s="26">
        <f>(Table267[[#This Row],[M2 Money Stock, Billions of Dollars, Weekly, Seasonally Adjusted]]-B671)/B671</f>
        <v>5.5764018258389801E-2</v>
      </c>
    </row>
    <row r="684" spans="1:5" x14ac:dyDescent="0.2">
      <c r="A684" s="24">
        <v>42156</v>
      </c>
      <c r="B684" s="44">
        <f>VLOOKUP(A684,'Database Rates'!$A$1:$D$1000,4,FALSE)</f>
        <v>12002.9</v>
      </c>
      <c r="C684" s="26">
        <f>(Table267[[#This Row],[M2 Money Stock, Billions of Dollars, Weekly, Seasonally Adjusted]]-B683)/B683</f>
        <v>3.7632025690129537E-3</v>
      </c>
      <c r="D684" s="27">
        <f>((1+Table267[[#This Row],[Monthly change]])^12)-1</f>
        <v>4.6104927009282592E-2</v>
      </c>
      <c r="E684" s="26">
        <f>(Table267[[#This Row],[M2 Money Stock, Billions of Dollars, Weekly, Seasonally Adjusted]]-B672)/B672</f>
        <v>5.4995956825932467E-2</v>
      </c>
    </row>
    <row r="685" spans="1:5" x14ac:dyDescent="0.2">
      <c r="A685" s="24">
        <v>42186</v>
      </c>
      <c r="B685" s="44">
        <f>VLOOKUP(A685,'Database Rates'!$A$1:$D$1000,4,FALSE)</f>
        <v>12052</v>
      </c>
      <c r="C685" s="26">
        <f>(Table267[[#This Row],[M2 Money Stock, Billions of Dollars, Weekly, Seasonally Adjusted]]-B684)/B684</f>
        <v>4.0906780861292161E-3</v>
      </c>
      <c r="D685" s="27">
        <f>((1+Table267[[#This Row],[Monthly change]])^12)-1</f>
        <v>5.0207756700040296E-2</v>
      </c>
      <c r="E685" s="26">
        <f>(Table267[[#This Row],[M2 Money Stock, Billions of Dollars, Weekly, Seasonally Adjusted]]-B673)/B673</f>
        <v>5.4049326569879305E-2</v>
      </c>
    </row>
    <row r="686" spans="1:5" x14ac:dyDescent="0.2">
      <c r="A686" s="24">
        <v>42217</v>
      </c>
      <c r="B686" s="44">
        <f>VLOOKUP(A686,'Database Rates'!$A$1:$D$1000,4,FALSE)</f>
        <v>12100.6</v>
      </c>
      <c r="C686" s="26">
        <f>(Table267[[#This Row],[M2 Money Stock, Billions of Dollars, Weekly, Seasonally Adjusted]]-B685)/B685</f>
        <v>4.0325257218719185E-3</v>
      </c>
      <c r="D686" s="27">
        <f>((1+Table267[[#This Row],[Monthly change]])^12)-1</f>
        <v>4.9478110079323567E-2</v>
      </c>
      <c r="E686" s="26">
        <f>(Table267[[#This Row],[M2 Money Stock, Billions of Dollars, Weekly, Seasonally Adjusted]]-B674)/B674</f>
        <v>5.5631646441999909E-2</v>
      </c>
    </row>
    <row r="687" spans="1:5" x14ac:dyDescent="0.2">
      <c r="A687" s="24">
        <v>42248</v>
      </c>
      <c r="B687" s="44">
        <f>VLOOKUP(A687,'Database Rates'!$A$1:$D$1000,4,FALSE)</f>
        <v>12154.6</v>
      </c>
      <c r="C687" s="26">
        <f>(Table267[[#This Row],[M2 Money Stock, Billions of Dollars, Weekly, Seasonally Adjusted]]-B686)/B686</f>
        <v>4.4625886319686623E-3</v>
      </c>
      <c r="D687" s="27">
        <f>((1+Table267[[#This Row],[Monthly change]])^12)-1</f>
        <v>5.4885182971341706E-2</v>
      </c>
      <c r="E687" s="26">
        <f>(Table267[[#This Row],[M2 Money Stock, Billions of Dollars, Weekly, Seasonally Adjusted]]-B675)/B675</f>
        <v>5.722511677263907E-2</v>
      </c>
    </row>
    <row r="688" spans="1:5" x14ac:dyDescent="0.2">
      <c r="A688" s="24">
        <v>42278</v>
      </c>
      <c r="B688" s="44">
        <f>VLOOKUP(A688,'Database Rates'!$A$1:$D$1000,4,FALSE)</f>
        <v>12192.5</v>
      </c>
      <c r="C688" s="26">
        <f>(Table267[[#This Row],[M2 Money Stock, Billions of Dollars, Weekly, Seasonally Adjusted]]-B687)/B687</f>
        <v>3.118161025455353E-3</v>
      </c>
      <c r="D688" s="27">
        <f>((1+Table267[[#This Row],[Monthly change]])^12)-1</f>
        <v>3.8066362478947458E-2</v>
      </c>
      <c r="E688" s="26">
        <f>(Table267[[#This Row],[M2 Money Stock, Billions of Dollars, Weekly, Seasonally Adjusted]]-B676)/B676</f>
        <v>5.4842281937258805E-2</v>
      </c>
    </row>
    <row r="689" spans="1:5" x14ac:dyDescent="0.2">
      <c r="A689" s="24">
        <v>42309</v>
      </c>
      <c r="B689" s="44">
        <f>VLOOKUP(A689,'Database Rates'!$A$1:$D$1000,4,FALSE)</f>
        <v>12277</v>
      </c>
      <c r="C689" s="26">
        <f>(Table267[[#This Row],[M2 Money Stock, Billions of Dollars, Weekly, Seasonally Adjusted]]-B688)/B688</f>
        <v>6.9304900553619027E-3</v>
      </c>
      <c r="D689" s="27">
        <f>((1+Table267[[#This Row],[Monthly change]])^12)-1</f>
        <v>8.6410361412644798E-2</v>
      </c>
      <c r="E689" s="26">
        <f>(Table267[[#This Row],[M2 Money Stock, Billions of Dollars, Weekly, Seasonally Adjusted]]-B677)/B677</f>
        <v>5.8845851984096115E-2</v>
      </c>
    </row>
    <row r="690" spans="1:5" x14ac:dyDescent="0.2">
      <c r="A690" s="24">
        <v>42339</v>
      </c>
      <c r="B690" s="44">
        <f>VLOOKUP(A690,'Database Rates'!$A$1:$D$1000,4,FALSE)</f>
        <v>12340.1</v>
      </c>
      <c r="C690" s="26">
        <f>(Table267[[#This Row],[M2 Money Stock, Billions of Dollars, Weekly, Seasonally Adjusted]]-B689)/B689</f>
        <v>5.1396921071923405E-3</v>
      </c>
      <c r="D690" s="27">
        <f>((1+Table267[[#This Row],[Monthly change]])^12)-1</f>
        <v>6.3450008191338947E-2</v>
      </c>
      <c r="E690" s="26">
        <f>(Table267[[#This Row],[M2 Money Stock, Billions of Dollars, Weekly, Seasonally Adjusted]]-B678)/B678</f>
        <v>5.7058420421449409E-2</v>
      </c>
    </row>
    <row r="691" spans="1:5" x14ac:dyDescent="0.2">
      <c r="A691" s="24">
        <v>42370</v>
      </c>
      <c r="B691" s="44">
        <f>VLOOKUP(A691,'Database Rates'!$A$1:$D$1000,4,FALSE)</f>
        <v>12471.4</v>
      </c>
      <c r="C691" s="26">
        <f>(Table267[[#This Row],[M2 Money Stock, Billions of Dollars, Weekly, Seasonally Adjusted]]-B690)/B690</f>
        <v>1.064010826492486E-2</v>
      </c>
      <c r="D691" s="27">
        <f>((1+Table267[[#This Row],[Monthly change]])^12)-1</f>
        <v>0.13542474770078017</v>
      </c>
      <c r="E691" s="26">
        <f>(Table267[[#This Row],[M2 Money Stock, Billions of Dollars, Weekly, Seasonally Adjusted]]-B679)/B679</f>
        <v>6.1947053363874016E-2</v>
      </c>
    </row>
    <row r="692" spans="1:5" x14ac:dyDescent="0.2">
      <c r="A692" s="24">
        <v>42401</v>
      </c>
      <c r="B692" s="44">
        <f>VLOOKUP(A692,'Database Rates'!$A$1:$D$1000,4,FALSE)</f>
        <v>12552.3</v>
      </c>
      <c r="C692" s="26">
        <f>(Table267[[#This Row],[M2 Money Stock, Billions of Dollars, Weekly, Seasonally Adjusted]]-B691)/B691</f>
        <v>6.4868418942540243E-3</v>
      </c>
      <c r="D692" s="27">
        <f>((1+Table267[[#This Row],[Monthly change]])^12)-1</f>
        <v>8.0680261470660097E-2</v>
      </c>
      <c r="E692" s="26">
        <f>(Table267[[#This Row],[M2 Money Stock, Billions of Dollars, Weekly, Seasonally Adjusted]]-B680)/B680</f>
        <v>5.7329615809024695E-2</v>
      </c>
    </row>
    <row r="693" spans="1:5" x14ac:dyDescent="0.2">
      <c r="A693" s="24">
        <v>42430</v>
      </c>
      <c r="B693" s="44">
        <f>VLOOKUP(A693,'Database Rates'!$A$1:$D$1000,4,FALSE)</f>
        <v>12616.6</v>
      </c>
      <c r="C693" s="26">
        <f>(Table267[[#This Row],[M2 Money Stock, Billions of Dollars, Weekly, Seasonally Adjusted]]-B692)/B692</f>
        <v>5.1225671789234721E-3</v>
      </c>
      <c r="D693" s="27">
        <f>((1+Table267[[#This Row],[Monthly change]])^12)-1</f>
        <v>6.3232607977260713E-2</v>
      </c>
      <c r="E693" s="26">
        <f>(Table267[[#This Row],[M2 Money Stock, Billions of Dollars, Weekly, Seasonally Adjusted]]-B681)/B681</f>
        <v>6.1279767162120101E-2</v>
      </c>
    </row>
    <row r="694" spans="1:5" x14ac:dyDescent="0.2">
      <c r="A694" s="24">
        <v>42461</v>
      </c>
      <c r="B694" s="44">
        <f>VLOOKUP(A694,'Database Rates'!$A$1:$D$1000,4,FALSE)</f>
        <v>12697</v>
      </c>
      <c r="C694" s="26">
        <f>(Table267[[#This Row],[M2 Money Stock, Billions of Dollars, Weekly, Seasonally Adjusted]]-B693)/B693</f>
        <v>6.3725567902604219E-3</v>
      </c>
      <c r="D694" s="27">
        <f>((1+Table267[[#This Row],[Monthly change]])^12)-1</f>
        <v>7.9208664838789966E-2</v>
      </c>
      <c r="E694" s="26">
        <f>(Table267[[#This Row],[M2 Money Stock, Billions of Dollars, Weekly, Seasonally Adjusted]]-B682)/B682</f>
        <v>6.4505851973573863E-2</v>
      </c>
    </row>
    <row r="695" spans="1:5" x14ac:dyDescent="0.2">
      <c r="A695" s="24">
        <v>42491</v>
      </c>
      <c r="B695" s="44">
        <f>VLOOKUP(A695,'Database Rates'!$A$1:$D$1000,4,FALSE)</f>
        <v>12763.7</v>
      </c>
      <c r="C695" s="26">
        <f>(Table267[[#This Row],[M2 Money Stock, Billions of Dollars, Weekly, Seasonally Adjusted]]-B694)/B694</f>
        <v>5.2532094195479823E-3</v>
      </c>
      <c r="D695" s="27">
        <f>((1+Table267[[#This Row],[Monthly change]])^12)-1</f>
        <v>6.4892136104294451E-2</v>
      </c>
      <c r="E695" s="26">
        <f>(Table267[[#This Row],[M2 Money Stock, Billions of Dollars, Weekly, Seasonally Adjusted]]-B683)/B683</f>
        <v>6.7386414002458719E-2</v>
      </c>
    </row>
    <row r="696" spans="1:5" x14ac:dyDescent="0.2">
      <c r="A696" s="24">
        <v>42522</v>
      </c>
      <c r="B696" s="44">
        <f>VLOOKUP(A696,'Database Rates'!$A$1:$D$1000,4,FALSE)</f>
        <v>12830.6</v>
      </c>
      <c r="C696" s="26">
        <f>(Table267[[#This Row],[M2 Money Stock, Billions of Dollars, Weekly, Seasonally Adjusted]]-B695)/B695</f>
        <v>5.2414268589828679E-3</v>
      </c>
      <c r="D696" s="27">
        <f>((1+Table267[[#This Row],[Monthly change]])^12)-1</f>
        <v>6.4742366707151611E-2</v>
      </c>
      <c r="E696" s="26">
        <f>(Table267[[#This Row],[M2 Money Stock, Billions of Dollars, Weekly, Seasonally Adjusted]]-B684)/B684</f>
        <v>6.8958335069025045E-2</v>
      </c>
    </row>
    <row r="697" spans="1:5" x14ac:dyDescent="0.2">
      <c r="A697" s="24">
        <v>42552</v>
      </c>
      <c r="B697" s="44">
        <f>VLOOKUP(A697,'Database Rates'!$A$1:$D$1000,4,FALSE)</f>
        <v>12889.1</v>
      </c>
      <c r="C697" s="26">
        <f>(Table267[[#This Row],[M2 Money Stock, Billions of Dollars, Weekly, Seasonally Adjusted]]-B696)/B696</f>
        <v>4.5594126541237357E-3</v>
      </c>
      <c r="D697" s="27">
        <f>((1+Table267[[#This Row],[Monthly change]])^12)-1</f>
        <v>5.6106043500617098E-2</v>
      </c>
      <c r="E697" s="26">
        <f>(Table267[[#This Row],[M2 Money Stock, Billions of Dollars, Weekly, Seasonally Adjusted]]-B685)/B685</f>
        <v>6.9457351476933313E-2</v>
      </c>
    </row>
    <row r="698" spans="1:5" x14ac:dyDescent="0.2">
      <c r="A698" s="24">
        <v>42583</v>
      </c>
      <c r="B698" s="44">
        <f>VLOOKUP(A698,'Database Rates'!$A$1:$D$1000,4,FALSE)</f>
        <v>12968.2</v>
      </c>
      <c r="C698" s="26">
        <f>(Table267[[#This Row],[M2 Money Stock, Billions of Dollars, Weekly, Seasonally Adjusted]]-B697)/B697</f>
        <v>6.1369684462065123E-3</v>
      </c>
      <c r="D698" s="27">
        <f>((1+Table267[[#This Row],[Monthly change]])^12)-1</f>
        <v>7.6180896853132563E-2</v>
      </c>
      <c r="E698" s="26">
        <f>(Table267[[#This Row],[M2 Money Stock, Billions of Dollars, Weekly, Seasonally Adjusted]]-B686)/B686</f>
        <v>7.1698924020296539E-2</v>
      </c>
    </row>
    <row r="699" spans="1:5" x14ac:dyDescent="0.2">
      <c r="A699" s="24">
        <v>42614</v>
      </c>
      <c r="B699" s="44">
        <f>VLOOKUP(A699,'Database Rates'!$A$1:$D$1000,4,FALSE)</f>
        <v>13027.4</v>
      </c>
      <c r="C699" s="26">
        <f>(Table267[[#This Row],[M2 Money Stock, Billions of Dollars, Weekly, Seasonally Adjusted]]-B698)/B698</f>
        <v>4.5650128776544858E-3</v>
      </c>
      <c r="D699" s="27">
        <f>((1+Table267[[#This Row],[Monthly change]])^12)-1</f>
        <v>5.6176696698698514E-2</v>
      </c>
      <c r="E699" s="26">
        <f>(Table267[[#This Row],[M2 Money Stock, Billions of Dollars, Weekly, Seasonally Adjusted]]-B687)/B687</f>
        <v>7.1808204301252135E-2</v>
      </c>
    </row>
    <row r="700" spans="1:5" x14ac:dyDescent="0.2">
      <c r="A700" s="24">
        <v>42644</v>
      </c>
      <c r="B700" s="44">
        <f>VLOOKUP(A700,'Database Rates'!$A$1:$D$1000,4,FALSE)</f>
        <v>13099.7</v>
      </c>
      <c r="C700" s="26">
        <f>(Table267[[#This Row],[M2 Money Stock, Billions of Dollars, Weekly, Seasonally Adjusted]]-B699)/B699</f>
        <v>5.5498411041344465E-3</v>
      </c>
      <c r="D700" s="27">
        <f>((1+Table267[[#This Row],[Monthly change]])^12)-1</f>
        <v>6.8669022262763502E-2</v>
      </c>
      <c r="E700" s="26">
        <f>(Table267[[#This Row],[M2 Money Stock, Billions of Dollars, Weekly, Seasonally Adjusted]]-B688)/B688</f>
        <v>7.4406397375435779E-2</v>
      </c>
    </row>
    <row r="701" spans="1:5" x14ac:dyDescent="0.2">
      <c r="A701" s="24">
        <v>42675</v>
      </c>
      <c r="B701" s="44">
        <f>VLOOKUP(A701,'Database Rates'!$A$1:$D$1000,4,FALSE)</f>
        <v>13174.1</v>
      </c>
      <c r="C701" s="26">
        <f>(Table267[[#This Row],[M2 Money Stock, Billions of Dollars, Weekly, Seasonally Adjusted]]-B700)/B700</f>
        <v>5.6795193783063455E-3</v>
      </c>
      <c r="D701" s="27">
        <f>((1+Table267[[#This Row],[Monthly change]])^12)-1</f>
        <v>7.0324015230056824E-2</v>
      </c>
      <c r="E701" s="26">
        <f>(Table267[[#This Row],[M2 Money Stock, Billions of Dollars, Weekly, Seasonally Adjusted]]-B689)/B689</f>
        <v>7.3071597295756324E-2</v>
      </c>
    </row>
    <row r="702" spans="1:5" x14ac:dyDescent="0.2">
      <c r="A702" s="24">
        <v>42705</v>
      </c>
      <c r="B702" s="44">
        <f>VLOOKUP(A702,'Database Rates'!$A$1:$D$1000,4,FALSE)</f>
        <v>13214.2</v>
      </c>
      <c r="C702" s="26">
        <f>(Table267[[#This Row],[M2 Money Stock, Billions of Dollars, Weekly, Seasonally Adjusted]]-B701)/B701</f>
        <v>3.0438511928708879E-3</v>
      </c>
      <c r="D702" s="27">
        <f>((1+Table267[[#This Row],[Monthly change]])^12)-1</f>
        <v>3.7143953300913468E-2</v>
      </c>
      <c r="E702" s="26">
        <f>(Table267[[#This Row],[M2 Money Stock, Billions of Dollars, Weekly, Seasonally Adjusted]]-B690)/B690</f>
        <v>7.0834109934279327E-2</v>
      </c>
    </row>
    <row r="703" spans="1:5" x14ac:dyDescent="0.2">
      <c r="A703" s="24">
        <v>42736</v>
      </c>
      <c r="B703" s="44">
        <f>VLOOKUP(A703,'Database Rates'!$A$1:$D$1000,4,FALSE)</f>
        <v>13288.7</v>
      </c>
      <c r="C703" s="26">
        <f>(Table267[[#This Row],[M2 Money Stock, Billions of Dollars, Weekly, Seasonally Adjusted]]-B702)/B702</f>
        <v>5.6378744078339968E-3</v>
      </c>
      <c r="D703" s="27">
        <f>((1+Table267[[#This Row],[Monthly change]])^12)-1</f>
        <v>6.9792273727009357E-2</v>
      </c>
      <c r="E703" s="26">
        <f>(Table267[[#This Row],[M2 Money Stock, Billions of Dollars, Weekly, Seasonally Adjusted]]-B691)/B691</f>
        <v>6.5533941658514769E-2</v>
      </c>
    </row>
    <row r="704" spans="1:5" x14ac:dyDescent="0.2">
      <c r="A704" s="24">
        <v>42767</v>
      </c>
      <c r="B704" s="44">
        <f>VLOOKUP(A704,'Database Rates'!$A$1:$D$1000,4,FALSE)</f>
        <v>13359.2</v>
      </c>
      <c r="C704" s="26">
        <f>(Table267[[#This Row],[M2 Money Stock, Billions of Dollars, Weekly, Seasonally Adjusted]]-B703)/B703</f>
        <v>5.3052593556931829E-3</v>
      </c>
      <c r="D704" s="27">
        <f>((1+Table267[[#This Row],[Monthly change]])^12)-1</f>
        <v>6.5553979561988829E-2</v>
      </c>
      <c r="E704" s="26">
        <f>(Table267[[#This Row],[M2 Money Stock, Billions of Dollars, Weekly, Seasonally Adjusted]]-B692)/B692</f>
        <v>6.4283039761637434E-2</v>
      </c>
    </row>
    <row r="705" spans="1:5" x14ac:dyDescent="0.2">
      <c r="A705" s="24">
        <v>42795</v>
      </c>
      <c r="B705" s="44">
        <f>VLOOKUP(A705,'Database Rates'!$A$1:$D$1000,4,FALSE)</f>
        <v>13428.6</v>
      </c>
      <c r="C705" s="26">
        <f>(Table267[[#This Row],[M2 Money Stock, Billions of Dollars, Weekly, Seasonally Adjusted]]-B704)/B704</f>
        <v>5.1949218516078536E-3</v>
      </c>
      <c r="D705" s="27">
        <f>((1+Table267[[#This Row],[Monthly change]])^12)-1</f>
        <v>6.4151425030094522E-2</v>
      </c>
      <c r="E705" s="26">
        <f>(Table267[[#This Row],[M2 Money Stock, Billions of Dollars, Weekly, Seasonally Adjusted]]-B693)/B693</f>
        <v>6.4359653155366736E-2</v>
      </c>
    </row>
    <row r="706" spans="1:5" x14ac:dyDescent="0.2">
      <c r="A706" s="24">
        <v>42826</v>
      </c>
      <c r="B706" s="44">
        <f>VLOOKUP(A706,'Database Rates'!$A$1:$D$1000,4,FALSE)</f>
        <v>13486.6</v>
      </c>
      <c r="C706" s="26">
        <f>(Table267[[#This Row],[M2 Money Stock, Billions of Dollars, Weekly, Seasonally Adjusted]]-B705)/B705</f>
        <v>4.3191397465111771E-3</v>
      </c>
      <c r="D706" s="27">
        <f>((1+Table267[[#This Row],[Monthly change]])^12)-1</f>
        <v>5.3078804467546981E-2</v>
      </c>
      <c r="E706" s="26">
        <f>(Table267[[#This Row],[M2 Money Stock, Billions of Dollars, Weekly, Seasonally Adjusted]]-B694)/B694</f>
        <v>6.2187918405922686E-2</v>
      </c>
    </row>
    <row r="707" spans="1:5" x14ac:dyDescent="0.2">
      <c r="A707" s="24">
        <v>42856</v>
      </c>
      <c r="B707" s="44">
        <f>VLOOKUP(A707,'Database Rates'!$A$1:$D$1000,4,FALSE)</f>
        <v>13537.3</v>
      </c>
      <c r="C707" s="26">
        <f>(Table267[[#This Row],[M2 Money Stock, Billions of Dollars, Weekly, Seasonally Adjusted]]-B706)/B706</f>
        <v>3.759286995981115E-3</v>
      </c>
      <c r="D707" s="27">
        <f>((1+Table267[[#This Row],[Monthly change]])^12)-1</f>
        <v>4.6055959136982239E-2</v>
      </c>
      <c r="E707" s="26">
        <f>(Table267[[#This Row],[M2 Money Stock, Billions of Dollars, Weekly, Seasonally Adjusted]]-B695)/B695</f>
        <v>6.0609384426145906E-2</v>
      </c>
    </row>
    <row r="708" spans="1:5" x14ac:dyDescent="0.2">
      <c r="A708" s="24">
        <v>42887</v>
      </c>
      <c r="B708" s="44">
        <f>VLOOKUP(A708,'Database Rates'!$A$1:$D$1000,4,FALSE)</f>
        <v>13564.7</v>
      </c>
      <c r="C708" s="26">
        <f>(Table267[[#This Row],[M2 Money Stock, Billions of Dollars, Weekly, Seasonally Adjusted]]-B707)/B707</f>
        <v>2.0240372895630188E-3</v>
      </c>
      <c r="D708" s="27">
        <f>((1+Table267[[#This Row],[Monthly change]])^12)-1</f>
        <v>2.4560664012247768E-2</v>
      </c>
      <c r="E708" s="26">
        <f>(Table267[[#This Row],[M2 Money Stock, Billions of Dollars, Weekly, Seasonally Adjusted]]-B696)/B696</f>
        <v>5.7214783408414287E-2</v>
      </c>
    </row>
    <row r="709" spans="1:5" x14ac:dyDescent="0.2">
      <c r="A709" s="24">
        <v>42917</v>
      </c>
      <c r="B709" s="44">
        <f>VLOOKUP(A709,'Database Rates'!$A$1:$D$1000,4,FALSE)</f>
        <v>13621.8</v>
      </c>
      <c r="C709" s="26">
        <f>(Table267[[#This Row],[M2 Money Stock, Billions of Dollars, Weekly, Seasonally Adjusted]]-B708)/B708</f>
        <v>4.209455424742054E-3</v>
      </c>
      <c r="D709" s="27">
        <f>((1+Table267[[#This Row],[Monthly change]])^12)-1</f>
        <v>5.1699519249605697E-2</v>
      </c>
      <c r="E709" s="26">
        <f>(Table267[[#This Row],[M2 Money Stock, Billions of Dollars, Weekly, Seasonally Adjusted]]-B697)/B697</f>
        <v>5.6846482686921419E-2</v>
      </c>
    </row>
    <row r="710" spans="1:5" x14ac:dyDescent="0.2">
      <c r="A710" s="24">
        <v>42948</v>
      </c>
      <c r="B710" s="44">
        <f>VLOOKUP(A710,'Database Rates'!$A$1:$D$1000,4,FALSE)</f>
        <v>13671.4</v>
      </c>
      <c r="C710" s="26">
        <f>(Table267[[#This Row],[M2 Money Stock, Billions of Dollars, Weekly, Seasonally Adjusted]]-B709)/B709</f>
        <v>3.6412221585987435E-3</v>
      </c>
      <c r="D710" s="27">
        <f>((1+Table267[[#This Row],[Monthly change]])^12)-1</f>
        <v>4.4580435319313771E-2</v>
      </c>
      <c r="E710" s="26">
        <f>(Table267[[#This Row],[M2 Money Stock, Billions of Dollars, Weekly, Seasonally Adjusted]]-B698)/B698</f>
        <v>5.4224950262950822E-2</v>
      </c>
    </row>
    <row r="711" spans="1:5" x14ac:dyDescent="0.2">
      <c r="A711" s="24">
        <v>42979</v>
      </c>
      <c r="B711" s="44">
        <f>VLOOKUP(A711,'Database Rates'!$A$1:$D$1000,4,FALSE)</f>
        <v>13714.4</v>
      </c>
      <c r="C711" s="26">
        <f>(Table267[[#This Row],[M2 Money Stock, Billions of Dollars, Weekly, Seasonally Adjusted]]-B710)/B710</f>
        <v>3.1452521321883643E-3</v>
      </c>
      <c r="D711" s="27">
        <f>((1+Table267[[#This Row],[Monthly change]])^12)-1</f>
        <v>3.8402831844118079E-2</v>
      </c>
      <c r="E711" s="26">
        <f>(Table267[[#This Row],[M2 Money Stock, Billions of Dollars, Weekly, Seasonally Adjusted]]-B699)/B699</f>
        <v>5.2735004682438552E-2</v>
      </c>
    </row>
    <row r="712" spans="1:5" x14ac:dyDescent="0.2">
      <c r="A712" s="24">
        <v>43009</v>
      </c>
      <c r="B712" s="44">
        <f>VLOOKUP(A712,'Database Rates'!$A$1:$D$1000,4,FALSE)</f>
        <v>13767.6</v>
      </c>
      <c r="C712" s="26">
        <f>(Table267[[#This Row],[M2 Money Stock, Billions of Dollars, Weekly, Seasonally Adjusted]]-B711)/B711</f>
        <v>3.8791343405472152E-3</v>
      </c>
      <c r="D712" s="27">
        <f>((1+Table267[[#This Row],[Monthly change]])^12)-1</f>
        <v>4.7555713799573684E-2</v>
      </c>
      <c r="E712" s="26">
        <f>(Table267[[#This Row],[M2 Money Stock, Billions of Dollars, Weekly, Seasonally Adjusted]]-B700)/B700</f>
        <v>5.0985900440468072E-2</v>
      </c>
    </row>
    <row r="713" spans="1:5" x14ac:dyDescent="0.2">
      <c r="A713" s="24">
        <v>43040</v>
      </c>
      <c r="B713" s="44">
        <f>VLOOKUP(A713,'Database Rates'!$A$1:$D$1000,4,FALSE)</f>
        <v>13802.4</v>
      </c>
      <c r="C713" s="26">
        <f>(Table267[[#This Row],[M2 Money Stock, Billions of Dollars, Weekly, Seasonally Adjusted]]-B712)/B712</f>
        <v>2.5276736686132132E-3</v>
      </c>
      <c r="D713" s="27">
        <f>((1+Table267[[#This Row],[Monthly change]])^12)-1</f>
        <v>3.0757340089452301E-2</v>
      </c>
      <c r="E713" s="26">
        <f>(Table267[[#This Row],[M2 Money Stock, Billions of Dollars, Weekly, Seasonally Adjusted]]-B701)/B701</f>
        <v>4.7692062455879279E-2</v>
      </c>
    </row>
    <row r="714" spans="1:5" x14ac:dyDescent="0.2">
      <c r="A714" s="24">
        <v>43070</v>
      </c>
      <c r="B714" s="44">
        <f>VLOOKUP(A714,'Database Rates'!$A$1:$D$1000,4,FALSE)</f>
        <v>13854.8</v>
      </c>
      <c r="C714" s="26">
        <f>(Table267[[#This Row],[M2 Money Stock, Billions of Dollars, Weekly, Seasonally Adjusted]]-B713)/B713</f>
        <v>3.7964411986320958E-3</v>
      </c>
      <c r="D714" s="27">
        <f>((1+Table267[[#This Row],[Monthly change]])^12)-1</f>
        <v>4.6520691535176573E-2</v>
      </c>
      <c r="E714" s="26">
        <f>(Table267[[#This Row],[M2 Money Stock, Billions of Dollars, Weekly, Seasonally Adjusted]]-B702)/B702</f>
        <v>4.8478152290717447E-2</v>
      </c>
    </row>
    <row r="715" spans="1:5" x14ac:dyDescent="0.2">
      <c r="A715" s="24">
        <v>43101</v>
      </c>
      <c r="B715" s="44">
        <f>VLOOKUP(A715,'Database Rates'!$A$1:$D$1000,4,FALSE)</f>
        <v>13872</v>
      </c>
      <c r="C715" s="26">
        <f>(Table267[[#This Row],[M2 Money Stock, Billions of Dollars, Weekly, Seasonally Adjusted]]-B714)/B714</f>
        <v>1.2414470075353473E-3</v>
      </c>
      <c r="D715" s="27">
        <f>((1+Table267[[#This Row],[Monthly change]])^12)-1</f>
        <v>1.4999504780346395E-2</v>
      </c>
      <c r="E715" s="26">
        <f>(Table267[[#This Row],[M2 Money Stock, Billions of Dollars, Weekly, Seasonally Adjusted]]-B703)/B703</f>
        <v>4.3894436626607511E-2</v>
      </c>
    </row>
    <row r="716" spans="1:5" x14ac:dyDescent="0.2">
      <c r="A716" s="24">
        <v>43132</v>
      </c>
      <c r="B716" s="44">
        <f>VLOOKUP(A716,'Database Rates'!$A$1:$D$1000,4,FALSE)</f>
        <v>13914.6</v>
      </c>
      <c r="C716" s="26">
        <f>(Table267[[#This Row],[M2 Money Stock, Billions of Dollars, Weekly, Seasonally Adjusted]]-B715)/B715</f>
        <v>3.0709342560553896E-3</v>
      </c>
      <c r="D716" s="27">
        <f>((1+Table267[[#This Row],[Monthly change]])^12)-1</f>
        <v>3.7480048759763074E-2</v>
      </c>
      <c r="E716" s="26">
        <f>(Table267[[#This Row],[M2 Money Stock, Billions of Dollars, Weekly, Seasonally Adjusted]]-B704)/B704</f>
        <v>4.157434576920771E-2</v>
      </c>
    </row>
    <row r="717" spans="1:5" x14ac:dyDescent="0.2">
      <c r="A717" s="24">
        <v>43160</v>
      </c>
      <c r="B717" s="44">
        <f>VLOOKUP(A717,'Database Rates'!$A$1:$D$1000,4,FALSE)</f>
        <v>13971.2</v>
      </c>
      <c r="C717" s="26">
        <f>(Table267[[#This Row],[M2 Money Stock, Billions of Dollars, Weekly, Seasonally Adjusted]]-B716)/B716</f>
        <v>4.0676699294266714E-3</v>
      </c>
      <c r="D717" s="27">
        <f>((1+Table267[[#This Row],[Monthly change]])^12)-1</f>
        <v>4.9919014257472583E-2</v>
      </c>
      <c r="E717" s="26">
        <f>(Table267[[#This Row],[M2 Money Stock, Billions of Dollars, Weekly, Seasonally Adjusted]]-B705)/B705</f>
        <v>4.0406297007878733E-2</v>
      </c>
    </row>
    <row r="718" spans="1:5" x14ac:dyDescent="0.2">
      <c r="A718" s="24">
        <v>43191</v>
      </c>
      <c r="B718" s="44">
        <f>VLOOKUP(A718,'Database Rates'!$A$1:$D$1000,4,FALSE)</f>
        <v>14001.3</v>
      </c>
      <c r="C718" s="26">
        <f>(Table267[[#This Row],[M2 Money Stock, Billions of Dollars, Weekly, Seasonally Adjusted]]-B717)/B717</f>
        <v>2.1544319743471243E-3</v>
      </c>
      <c r="D718" s="27">
        <f>((1+Table267[[#This Row],[Monthly change]])^12)-1</f>
        <v>2.6161738475815266E-2</v>
      </c>
      <c r="E718" s="26">
        <f>(Table267[[#This Row],[M2 Money Stock, Billions of Dollars, Weekly, Seasonally Adjusted]]-B706)/B706</f>
        <v>3.8163807038096992E-2</v>
      </c>
    </row>
    <row r="719" spans="1:5" x14ac:dyDescent="0.2">
      <c r="A719" s="24">
        <v>43221</v>
      </c>
      <c r="B719" s="44">
        <f>VLOOKUP(A719,'Database Rates'!$A$1:$D$1000,4,FALSE)</f>
        <v>14066</v>
      </c>
      <c r="C719" s="26">
        <f>(Table267[[#This Row],[M2 Money Stock, Billions of Dollars, Weekly, Seasonally Adjusted]]-B718)/B718</f>
        <v>4.6209994786198944E-3</v>
      </c>
      <c r="D719" s="27">
        <f>((1+Table267[[#This Row],[Monthly change]])^12)-1</f>
        <v>5.6883269649412815E-2</v>
      </c>
      <c r="E719" s="26">
        <f>(Table267[[#This Row],[M2 Money Stock, Billions of Dollars, Weekly, Seasonally Adjusted]]-B707)/B707</f>
        <v>3.9055055291675647E-2</v>
      </c>
    </row>
    <row r="720" spans="1:5" x14ac:dyDescent="0.2">
      <c r="A720" s="24">
        <v>43252</v>
      </c>
      <c r="B720" s="44">
        <f>VLOOKUP(A720,'Database Rates'!$A$1:$D$1000,4,FALSE)</f>
        <v>14125.8</v>
      </c>
      <c r="C720" s="26">
        <f>(Table267[[#This Row],[M2 Money Stock, Billions of Dollars, Weekly, Seasonally Adjusted]]-B719)/B719</f>
        <v>4.2513863216265659E-3</v>
      </c>
      <c r="D720" s="27">
        <f>((1+Table267[[#This Row],[Monthly change]])^12)-1</f>
        <v>5.2226606494313099E-2</v>
      </c>
      <c r="E720" s="26">
        <f>(Table267[[#This Row],[M2 Money Stock, Billions of Dollars, Weekly, Seasonally Adjusted]]-B708)/B708</f>
        <v>4.1364718718438193E-2</v>
      </c>
    </row>
    <row r="721" spans="1:5" x14ac:dyDescent="0.2">
      <c r="A721" s="24">
        <v>43282</v>
      </c>
      <c r="B721" s="44">
        <f>VLOOKUP(A721,'Database Rates'!$A$1:$D$1000,4,FALSE)</f>
        <v>14155.2</v>
      </c>
      <c r="C721" s="26">
        <f>(Table267[[#This Row],[M2 Money Stock, Billions of Dollars, Weekly, Seasonally Adjusted]]-B720)/B720</f>
        <v>2.0812980503760112E-3</v>
      </c>
      <c r="D721" s="27">
        <f>((1+Table267[[#This Row],[Monthly change]])^12)-1</f>
        <v>2.5263468297302749E-2</v>
      </c>
      <c r="E721" s="26">
        <f>(Table267[[#This Row],[M2 Money Stock, Billions of Dollars, Weekly, Seasonally Adjusted]]-B709)/B709</f>
        <v>3.9157820552350016E-2</v>
      </c>
    </row>
    <row r="722" spans="1:5" x14ac:dyDescent="0.2">
      <c r="A722" s="24">
        <v>43313</v>
      </c>
      <c r="B722" s="44">
        <f>VLOOKUP(A722,'Database Rates'!$A$1:$D$1000,4,FALSE)</f>
        <v>14197.7</v>
      </c>
      <c r="C722" s="26">
        <f>(Table267[[#This Row],[M2 Money Stock, Billions of Dollars, Weekly, Seasonally Adjusted]]-B721)/B721</f>
        <v>3.0024302023284729E-3</v>
      </c>
      <c r="D722" s="27">
        <f>((1+Table267[[#This Row],[Monthly change]])^12)-1</f>
        <v>3.6630120043941616E-2</v>
      </c>
      <c r="E722" s="26">
        <f>(Table267[[#This Row],[M2 Money Stock, Billions of Dollars, Weekly, Seasonally Adjusted]]-B710)/B710</f>
        <v>3.8496423190017198E-2</v>
      </c>
    </row>
    <row r="723" spans="1:5" x14ac:dyDescent="0.2">
      <c r="A723" s="24">
        <v>43344</v>
      </c>
      <c r="B723" s="44">
        <f>VLOOKUP(A723,'Database Rates'!$A$1:$D$1000,4,FALSE)</f>
        <v>14228.4</v>
      </c>
      <c r="C723" s="26">
        <f>(Table267[[#This Row],[M2 Money Stock, Billions of Dollars, Weekly, Seasonally Adjusted]]-B722)/B722</f>
        <v>2.1623220662500904E-3</v>
      </c>
      <c r="D723" s="27">
        <f>((1+Table267[[#This Row],[Monthly change]])^12)-1</f>
        <v>2.6258691928556344E-2</v>
      </c>
      <c r="E723" s="26">
        <f>(Table267[[#This Row],[M2 Money Stock, Billions of Dollars, Weekly, Seasonally Adjusted]]-B711)/B711</f>
        <v>3.747885434288048E-2</v>
      </c>
    </row>
    <row r="724" spans="1:5" x14ac:dyDescent="0.2">
      <c r="A724" s="24">
        <v>43374</v>
      </c>
      <c r="B724" s="44">
        <f>VLOOKUP(A724,'Database Rates'!$A$1:$D$1000,4,FALSE)</f>
        <v>14235.8</v>
      </c>
      <c r="C724" s="26">
        <f>(Table267[[#This Row],[M2 Money Stock, Billions of Dollars, Weekly, Seasonally Adjusted]]-B723)/B723</f>
        <v>5.2008658738857756E-4</v>
      </c>
      <c r="D724" s="27">
        <f>((1+Table267[[#This Row],[Monthly change]])^12)-1</f>
        <v>6.2589223779789815E-3</v>
      </c>
      <c r="E724" s="26">
        <f>(Table267[[#This Row],[M2 Money Stock, Billions of Dollars, Weekly, Seasonally Adjusted]]-B712)/B712</f>
        <v>3.4007379644963455E-2</v>
      </c>
    </row>
    <row r="725" spans="1:5" x14ac:dyDescent="0.2">
      <c r="A725" s="24">
        <v>43405</v>
      </c>
      <c r="B725" s="44">
        <f>VLOOKUP(A725,'Database Rates'!$A$1:$D$1000,4,FALSE)</f>
        <v>14254.9</v>
      </c>
      <c r="C725" s="26">
        <f>(Table267[[#This Row],[M2 Money Stock, Billions of Dollars, Weekly, Seasonally Adjusted]]-B724)/B724</f>
        <v>1.3416878573736892E-3</v>
      </c>
      <c r="D725" s="27">
        <f>((1+Table267[[#This Row],[Monthly change]])^12)-1</f>
        <v>1.6219595577870116E-2</v>
      </c>
      <c r="E725" s="26">
        <f>(Table267[[#This Row],[M2 Money Stock, Billions of Dollars, Weekly, Seasonally Adjusted]]-B713)/B713</f>
        <v>3.2784153480554107E-2</v>
      </c>
    </row>
    <row r="726" spans="1:5" x14ac:dyDescent="0.2">
      <c r="A726" s="24">
        <v>43435</v>
      </c>
      <c r="B726" s="44">
        <f>VLOOKUP(A726,'Database Rates'!$A$1:$D$1000,4,FALSE)</f>
        <v>14373.9</v>
      </c>
      <c r="C726" s="26">
        <f>(Table267[[#This Row],[M2 Money Stock, Billions of Dollars, Weekly, Seasonally Adjusted]]-B725)/B725</f>
        <v>8.3480066503447935E-3</v>
      </c>
      <c r="D726" s="27">
        <f>((1+Table267[[#This Row],[Monthly change]])^12)-1</f>
        <v>0.10490599295842151</v>
      </c>
      <c r="E726" s="26">
        <f>(Table267[[#This Row],[M2 Money Stock, Billions of Dollars, Weekly, Seasonally Adjusted]]-B714)/B714</f>
        <v>3.7467159396021625E-2</v>
      </c>
    </row>
    <row r="727" spans="1:5" x14ac:dyDescent="0.2">
      <c r="A727" s="24">
        <v>43466</v>
      </c>
      <c r="B727" s="44">
        <f>VLOOKUP(A727,'Database Rates'!$A$1:$D$1000,4,FALSE)</f>
        <v>14443.3</v>
      </c>
      <c r="C727" s="26">
        <f>(Table267[[#This Row],[M2 Money Stock, Billions of Dollars, Weekly, Seasonally Adjusted]]-B726)/B726</f>
        <v>4.8281955488767587E-3</v>
      </c>
      <c r="D727" s="27">
        <f>((1+Table267[[#This Row],[Monthly change]])^12)-1</f>
        <v>5.9501936356829654E-2</v>
      </c>
      <c r="E727" s="26">
        <f>(Table267[[#This Row],[M2 Money Stock, Billions of Dollars, Weekly, Seasonally Adjusted]]-B715)/B715</f>
        <v>4.1183679354094525E-2</v>
      </c>
    </row>
    <row r="728" spans="1:5" x14ac:dyDescent="0.2">
      <c r="A728" s="24">
        <v>43497</v>
      </c>
      <c r="B728" s="44">
        <f>VLOOKUP(A728,'Database Rates'!$A$1:$D$1000,4,FALSE)</f>
        <v>14486.2</v>
      </c>
      <c r="C728" s="26">
        <f>(Table267[[#This Row],[M2 Money Stock, Billions of Dollars, Weekly, Seasonally Adjusted]]-B727)/B727</f>
        <v>2.9702353340304126E-3</v>
      </c>
      <c r="D728" s="27">
        <f>((1+Table267[[#This Row],[Monthly change]])^12)-1</f>
        <v>3.6230899329645849E-2</v>
      </c>
      <c r="E728" s="26">
        <f>(Table267[[#This Row],[M2 Money Stock, Billions of Dollars, Weekly, Seasonally Adjusted]]-B716)/B716</f>
        <v>4.1079154269616114E-2</v>
      </c>
    </row>
    <row r="729" spans="1:5" x14ac:dyDescent="0.2">
      <c r="A729" s="24">
        <v>43525</v>
      </c>
      <c r="B729" s="44">
        <f>VLOOKUP(A729,'Database Rates'!$A$1:$D$1000,4,FALSE)</f>
        <v>14533.5</v>
      </c>
      <c r="C729" s="26">
        <f>(Table267[[#This Row],[M2 Money Stock, Billions of Dollars, Weekly, Seasonally Adjusted]]-B728)/B728</f>
        <v>3.2651765128190466E-3</v>
      </c>
      <c r="D729" s="27">
        <f>((1+Table267[[#This Row],[Monthly change]])^12)-1</f>
        <v>3.9893484120189227E-2</v>
      </c>
      <c r="E729" s="26">
        <f>(Table267[[#This Row],[M2 Money Stock, Billions of Dollars, Weekly, Seasonally Adjusted]]-B717)/B717</f>
        <v>4.0247079706825416E-2</v>
      </c>
    </row>
    <row r="730" spans="1:5" x14ac:dyDescent="0.2">
      <c r="A730" s="24">
        <v>43556</v>
      </c>
      <c r="B730" s="44">
        <f>VLOOKUP(A730,'Database Rates'!$A$1:$D$1000,4,FALSE)</f>
        <v>14568.9</v>
      </c>
      <c r="C730" s="26">
        <f>(Table267[[#This Row],[M2 Money Stock, Billions of Dollars, Weekly, Seasonally Adjusted]]-B729)/B729</f>
        <v>2.4357518835792917E-3</v>
      </c>
      <c r="D730" s="27">
        <f>((1+Table267[[#This Row],[Monthly change]])^12)-1</f>
        <v>2.9623789881439322E-2</v>
      </c>
      <c r="E730" s="26">
        <f>(Table267[[#This Row],[M2 Money Stock, Billions of Dollars, Weekly, Seasonally Adjusted]]-B718)/B718</f>
        <v>4.0539092798525876E-2</v>
      </c>
    </row>
    <row r="731" spans="1:5" x14ac:dyDescent="0.2">
      <c r="A731" s="24">
        <v>43586</v>
      </c>
      <c r="B731" s="44">
        <f>VLOOKUP(A731,'Database Rates'!$A$1:$D$1000,4,FALSE)</f>
        <v>14668.4</v>
      </c>
      <c r="C731" s="26">
        <f>(Table267[[#This Row],[M2 Money Stock, Billions of Dollars, Weekly, Seasonally Adjusted]]-B730)/B730</f>
        <v>6.8296165118849053E-3</v>
      </c>
      <c r="D731" s="27">
        <f>((1+Table267[[#This Row],[Monthly change]])^12)-1</f>
        <v>8.5105051445508062E-2</v>
      </c>
      <c r="E731" s="26">
        <f>(Table267[[#This Row],[M2 Money Stock, Billions of Dollars, Weekly, Seasonally Adjusted]]-B719)/B719</f>
        <v>4.2826674249964426E-2</v>
      </c>
    </row>
    <row r="732" spans="1:5" x14ac:dyDescent="0.2">
      <c r="A732" s="24">
        <v>43617</v>
      </c>
      <c r="B732" s="44">
        <f>VLOOKUP(A732,'Database Rates'!$A$1:$D$1000,4,FALSE)</f>
        <v>14787</v>
      </c>
      <c r="C732" s="26">
        <f>(Table267[[#This Row],[M2 Money Stock, Billions of Dollars, Weekly, Seasonally Adjusted]]-B731)/B731</f>
        <v>8.085408088135064E-3</v>
      </c>
      <c r="D732" s="27">
        <f>((1+Table267[[#This Row],[Monthly change]])^12)-1</f>
        <v>0.10145799885550155</v>
      </c>
      <c r="E732" s="26">
        <f>(Table267[[#This Row],[M2 Money Stock, Billions of Dollars, Weekly, Seasonally Adjusted]]-B720)/B720</f>
        <v>4.6807968398250063E-2</v>
      </c>
    </row>
    <row r="733" spans="1:5" x14ac:dyDescent="0.2">
      <c r="A733" s="24">
        <v>43647</v>
      </c>
      <c r="B733" s="44">
        <f>VLOOKUP(A733,'Database Rates'!$A$1:$D$1000,4,FALSE)</f>
        <v>14857.9</v>
      </c>
      <c r="C733" s="26">
        <f>(Table267[[#This Row],[M2 Money Stock, Billions of Dollars, Weekly, Seasonally Adjusted]]-B732)/B732</f>
        <v>4.7947521471562614E-3</v>
      </c>
      <c r="D733" s="27">
        <f>((1+Table267[[#This Row],[Monthly change]])^12)-1</f>
        <v>5.9078856707871719E-2</v>
      </c>
      <c r="E733" s="26">
        <f>(Table267[[#This Row],[M2 Money Stock, Billions of Dollars, Weekly, Seasonally Adjusted]]-B721)/B721</f>
        <v>4.9642534192381516E-2</v>
      </c>
    </row>
    <row r="734" spans="1:5" x14ac:dyDescent="0.2">
      <c r="A734" s="24">
        <v>43678</v>
      </c>
      <c r="B734" s="44">
        <f>VLOOKUP(A734,'Database Rates'!$A$1:$D$1000,4,FALSE)</f>
        <v>14935.2</v>
      </c>
      <c r="C734" s="26">
        <f>(Table267[[#This Row],[M2 Money Stock, Billions of Dollars, Weekly, Seasonally Adjusted]]-B733)/B733</f>
        <v>5.2026194818918618E-3</v>
      </c>
      <c r="D734" s="27">
        <f>((1+Table267[[#This Row],[Monthly change]])^12)-1</f>
        <v>6.4249218471849723E-2</v>
      </c>
      <c r="E734" s="26">
        <f>(Table267[[#This Row],[M2 Money Stock, Billions of Dollars, Weekly, Seasonally Adjusted]]-B722)/B722</f>
        <v>5.1945033350472257E-2</v>
      </c>
    </row>
    <row r="735" spans="1:5" x14ac:dyDescent="0.2">
      <c r="A735" s="24">
        <v>43709</v>
      </c>
      <c r="B735" s="44">
        <f>VLOOKUP(A735,'Database Rates'!$A$1:$D$1000,4,FALSE)</f>
        <v>15026.6</v>
      </c>
      <c r="C735" s="26">
        <f>(Table267[[#This Row],[M2 Money Stock, Billions of Dollars, Weekly, Seasonally Adjusted]]-B734)/B734</f>
        <v>6.1197707429428219E-3</v>
      </c>
      <c r="D735" s="27">
        <f>((1+Table267[[#This Row],[Monthly change]])^12)-1</f>
        <v>7.5960178197858719E-2</v>
      </c>
      <c r="E735" s="26">
        <f>(Table267[[#This Row],[M2 Money Stock, Billions of Dollars, Weekly, Seasonally Adjusted]]-B723)/B723</f>
        <v>5.6099069466700457E-2</v>
      </c>
    </row>
    <row r="736" spans="1:5" x14ac:dyDescent="0.2">
      <c r="A736" s="24">
        <v>43739</v>
      </c>
      <c r="B736" s="44">
        <f>VLOOKUP(A736,'Database Rates'!$A$1:$D$1000,4,FALSE)</f>
        <v>15153.1</v>
      </c>
      <c r="C736" s="26">
        <f>(Table267[[#This Row],[M2 Money Stock, Billions of Dollars, Weekly, Seasonally Adjusted]]-B735)/B735</f>
        <v>8.4184046956730062E-3</v>
      </c>
      <c r="D736" s="27">
        <f>((1+Table267[[#This Row],[Monthly change]])^12)-1</f>
        <v>0.10583201964096767</v>
      </c>
      <c r="E736" s="26">
        <f>(Table267[[#This Row],[M2 Money Stock, Billions of Dollars, Weekly, Seasonally Adjusted]]-B724)/B724</f>
        <v>6.4436139872715348E-2</v>
      </c>
    </row>
    <row r="737" spans="1:5" x14ac:dyDescent="0.2">
      <c r="A737" s="24">
        <v>43770</v>
      </c>
      <c r="B737" s="44">
        <f>VLOOKUP(A737,'Database Rates'!$A$1:$D$1000,4,FALSE)</f>
        <v>15251.3</v>
      </c>
      <c r="C737" s="26">
        <f>(Table267[[#This Row],[M2 Money Stock, Billions of Dollars, Weekly, Seasonally Adjusted]]-B736)/B736</f>
        <v>6.4805221373843572E-3</v>
      </c>
      <c r="D737" s="27">
        <f>((1+Table267[[#This Row],[Monthly change]])^12)-1</f>
        <v>8.0598836851462741E-2</v>
      </c>
      <c r="E737" s="26">
        <f>(Table267[[#This Row],[M2 Money Stock, Billions of Dollars, Weekly, Seasonally Adjusted]]-B725)/B725</f>
        <v>6.9898771650449998E-2</v>
      </c>
    </row>
    <row r="738" spans="1:5" x14ac:dyDescent="0.2">
      <c r="A738" s="24">
        <v>43800</v>
      </c>
      <c r="B738" s="44">
        <f>VLOOKUP(A738,'Database Rates'!$A$1:$D$1000,4,FALSE)</f>
        <v>15325.8</v>
      </c>
      <c r="C738" s="26">
        <f>(Table267[[#This Row],[M2 Money Stock, Billions of Dollars, Weekly, Seasonally Adjusted]]-B737)/B737</f>
        <v>4.8848294899451195E-3</v>
      </c>
      <c r="D738" s="27">
        <f>((1+Table267[[#This Row],[Monthly change]])^12)-1</f>
        <v>6.0218743961005128E-2</v>
      </c>
      <c r="E738" s="26">
        <f>(Table267[[#This Row],[M2 Money Stock, Billions of Dollars, Weekly, Seasonally Adjusted]]-B726)/B726</f>
        <v>6.6224198025588016E-2</v>
      </c>
    </row>
    <row r="739" spans="1:5" x14ac:dyDescent="0.2">
      <c r="A739" s="24">
        <v>43831</v>
      </c>
      <c r="B739" s="44">
        <f>VLOOKUP(A739,'Database Rates'!$A$1:$D$1000,4,FALSE)</f>
        <v>15406.8</v>
      </c>
      <c r="C739" s="26">
        <f>(Table267[[#This Row],[M2 Money Stock, Billions of Dollars, Weekly, Seasonally Adjusted]]-B738)/B738</f>
        <v>5.2852053400148768E-3</v>
      </c>
      <c r="D739" s="27">
        <f>((1+Table267[[#This Row],[Monthly change]])^12)-1</f>
        <v>6.5298937125368051E-2</v>
      </c>
      <c r="E739" s="26">
        <f>(Table267[[#This Row],[M2 Money Stock, Billions of Dollars, Weekly, Seasonally Adjusted]]-B727)/B727</f>
        <v>6.6709131569655133E-2</v>
      </c>
    </row>
    <row r="740" spans="1:5" x14ac:dyDescent="0.2">
      <c r="A740" s="24">
        <v>43862</v>
      </c>
      <c r="B740" s="44">
        <f>VLOOKUP(A740,'Database Rates'!$A$1:$D$1000,4,FALSE)</f>
        <v>15470.4</v>
      </c>
      <c r="C740" s="26">
        <f>(Table267[[#This Row],[M2 Money Stock, Billions of Dollars, Weekly, Seasonally Adjusted]]-B739)/B739</f>
        <v>4.1280473557130859E-3</v>
      </c>
      <c r="D740" s="27">
        <f>((1+Table267[[#This Row],[Monthly change]])^12)-1</f>
        <v>5.0676880040429806E-2</v>
      </c>
      <c r="E740" s="26">
        <f>(Table267[[#This Row],[M2 Money Stock, Billions of Dollars, Weekly, Seasonally Adjusted]]-B728)/B728</f>
        <v>6.7940522704366832E-2</v>
      </c>
    </row>
    <row r="741" spans="1:5" x14ac:dyDescent="0.2">
      <c r="A741" s="24">
        <v>43891</v>
      </c>
      <c r="B741" s="44">
        <f>VLOOKUP(A741,'Database Rates'!$A$1:$D$1000,4,FALSE)</f>
        <v>16011.4</v>
      </c>
      <c r="C741" s="26">
        <f>(Table267[[#This Row],[M2 Money Stock, Billions of Dollars, Weekly, Seasonally Adjusted]]-B740)/B740</f>
        <v>3.4970007239631812E-2</v>
      </c>
      <c r="D741" s="27">
        <f>((1+Table267[[#This Row],[Monthly change]])^12)-1</f>
        <v>0.51054327882491224</v>
      </c>
      <c r="E741" s="26">
        <f>(Table267[[#This Row],[M2 Money Stock, Billions of Dollars, Weekly, Seasonally Adjusted]]-B729)/B729</f>
        <v>0.10168920081191726</v>
      </c>
    </row>
    <row r="742" spans="1:5" x14ac:dyDescent="0.2">
      <c r="A742" s="24">
        <v>43922</v>
      </c>
      <c r="B742" s="44">
        <f>VLOOKUP(A742,'Database Rates'!$A$1:$D$1000,4,FALSE)</f>
        <v>17039.099999999999</v>
      </c>
      <c r="C742" s="26">
        <f>(Table267[[#This Row],[M2 Money Stock, Billions of Dollars, Weekly, Seasonally Adjusted]]-B741)/B741</f>
        <v>6.4185517818554208E-2</v>
      </c>
      <c r="D742" s="27">
        <f>((1+Table267[[#This Row],[Monthly change]])^12)-1</f>
        <v>1.1096389410774896</v>
      </c>
      <c r="E742" s="26">
        <f>(Table267[[#This Row],[M2 Money Stock, Billions of Dollars, Weekly, Seasonally Adjusted]]-B730)/B730</f>
        <v>0.16955295183575966</v>
      </c>
    </row>
    <row r="743" spans="1:5" x14ac:dyDescent="0.2">
      <c r="A743" s="24">
        <v>43952</v>
      </c>
      <c r="B743" s="44">
        <f>VLOOKUP(A743,'Database Rates'!$A$1:$D$1000,4,FALSE)</f>
        <v>17889.2</v>
      </c>
      <c r="C743" s="26">
        <f>(Table267[[#This Row],[M2 Money Stock, Billions of Dollars, Weekly, Seasonally Adjusted]]-B742)/B742</f>
        <v>4.9891132747621782E-2</v>
      </c>
      <c r="D743" s="27">
        <f>((1+Table267[[#This Row],[Monthly change]])^12)-1</f>
        <v>0.79362320040518619</v>
      </c>
      <c r="E743" s="26">
        <f>(Table267[[#This Row],[M2 Money Stock, Billions of Dollars, Weekly, Seasonally Adjusted]]-B731)/B731</f>
        <v>0.21957405033950542</v>
      </c>
    </row>
    <row r="744" spans="1:5" x14ac:dyDescent="0.2">
      <c r="A744" s="24">
        <v>43983</v>
      </c>
      <c r="B744" s="44">
        <f>VLOOKUP(A744,'Database Rates'!$A$1:$D$1000,4,FALSE)</f>
        <v>18175.7</v>
      </c>
      <c r="C744" s="26">
        <f>(Table267[[#This Row],[M2 Money Stock, Billions of Dollars, Weekly, Seasonally Adjusted]]-B743)/B743</f>
        <v>1.6015249424233616E-2</v>
      </c>
      <c r="D744" s="27">
        <f>((1+Table267[[#This Row],[Monthly change]])^12)-1</f>
        <v>0.21004832863739797</v>
      </c>
      <c r="E744" s="26">
        <f>(Table267[[#This Row],[M2 Money Stock, Billions of Dollars, Weekly, Seasonally Adjusted]]-B732)/B732</f>
        <v>0.22916751200378715</v>
      </c>
    </row>
    <row r="745" spans="1:5" x14ac:dyDescent="0.2">
      <c r="A745" s="24">
        <v>44013</v>
      </c>
      <c r="B745" s="44">
        <f>VLOOKUP(A745,'Database Rates'!$A$1:$D$1000,4,FALSE)</f>
        <v>18316.599999999999</v>
      </c>
      <c r="C745" s="26">
        <f>(Table267[[#This Row],[M2 Money Stock, Billions of Dollars, Weekly, Seasonally Adjusted]]-B744)/B744</f>
        <v>7.752108584538577E-3</v>
      </c>
      <c r="D745" s="27">
        <f>((1+Table267[[#This Row],[Monthly change]])^12)-1</f>
        <v>9.7095885595557707E-2</v>
      </c>
      <c r="E745" s="26">
        <f>(Table267[[#This Row],[M2 Money Stock, Billions of Dollars, Weekly, Seasonally Adjusted]]-B733)/B733</f>
        <v>0.23278525229002747</v>
      </c>
    </row>
    <row r="746" spans="1:5" x14ac:dyDescent="0.2">
      <c r="A746" s="24">
        <v>44044</v>
      </c>
      <c r="B746" s="44">
        <f>VLOOKUP(A746,'Database Rates'!$A$1:$D$1000,4,FALSE)</f>
        <v>18378.5</v>
      </c>
      <c r="C746" s="26">
        <f>(Table267[[#This Row],[M2 Money Stock, Billions of Dollars, Weekly, Seasonally Adjusted]]-B745)/B745</f>
        <v>3.3794481508577718E-3</v>
      </c>
      <c r="D746" s="27">
        <f>((1+Table267[[#This Row],[Monthly change]])^12)-1</f>
        <v>4.1315697955073283E-2</v>
      </c>
      <c r="E746" s="26">
        <f>(Table267[[#This Row],[M2 Money Stock, Billions of Dollars, Weekly, Seasonally Adjusted]]-B734)/B734</f>
        <v>0.23054930633670787</v>
      </c>
    </row>
    <row r="747" spans="1:5" x14ac:dyDescent="0.2">
      <c r="A747" s="24">
        <v>44075</v>
      </c>
      <c r="B747" s="44">
        <f>VLOOKUP(A747,'Database Rates'!$A$1:$D$1000,4,FALSE)</f>
        <v>18601.599999999999</v>
      </c>
      <c r="C747" s="26">
        <f>(Table267[[#This Row],[M2 Money Stock, Billions of Dollars, Weekly, Seasonally Adjusted]]-B746)/B746</f>
        <v>1.2139184373044511E-2</v>
      </c>
      <c r="D747" s="27">
        <f>((1+Table267[[#This Row],[Monthly change]])^12)-1</f>
        <v>0.15580046183940444</v>
      </c>
      <c r="E747" s="26">
        <f>(Table267[[#This Row],[M2 Money Stock, Billions of Dollars, Weekly, Seasonally Adjusted]]-B735)/B735</f>
        <v>0.23791143705162832</v>
      </c>
    </row>
    <row r="748" spans="1:5" x14ac:dyDescent="0.2">
      <c r="A748" s="24">
        <v>44105</v>
      </c>
      <c r="B748" s="44">
        <f>VLOOKUP(A748,'Database Rates'!$A$1:$D$1000,4,FALSE)</f>
        <v>18747.900000000001</v>
      </c>
      <c r="C748" s="26">
        <f>(Table267[[#This Row],[M2 Money Stock, Billions of Dollars, Weekly, Seasonally Adjusted]]-B747)/B747</f>
        <v>7.864914846034906E-3</v>
      </c>
      <c r="D748" s="27">
        <f>((1+Table267[[#This Row],[Monthly change]])^12)-1</f>
        <v>9.8570480467833121E-2</v>
      </c>
      <c r="E748" s="26">
        <f>(Table267[[#This Row],[M2 Money Stock, Billions of Dollars, Weekly, Seasonally Adjusted]]-B736)/B736</f>
        <v>0.23723198553431318</v>
      </c>
    </row>
    <row r="749" spans="1:5" x14ac:dyDescent="0.2">
      <c r="A749" s="24">
        <v>44136</v>
      </c>
      <c r="B749" s="44">
        <f>VLOOKUP(A749,'Database Rates'!$A$1:$D$1000,4,FALSE)</f>
        <v>18958.7</v>
      </c>
      <c r="C749" s="26">
        <f>(Table267[[#This Row],[M2 Money Stock, Billions of Dollars, Weekly, Seasonally Adjusted]]-B748)/B748</f>
        <v>1.1243925986377102E-2</v>
      </c>
      <c r="D749" s="27">
        <f>((1+Table267[[#This Row],[Monthly change]])^12)-1</f>
        <v>0.14359201050708692</v>
      </c>
      <c r="E749" s="26">
        <f>(Table267[[#This Row],[M2 Money Stock, Billions of Dollars, Weekly, Seasonally Adjusted]]-B737)/B737</f>
        <v>0.24308747451036972</v>
      </c>
    </row>
    <row r="750" spans="1:5" x14ac:dyDescent="0.2">
      <c r="A750" s="24">
        <v>44166</v>
      </c>
      <c r="B750" s="44">
        <f>VLOOKUP(A750,'Database Rates'!$A$1:$D$1000,4,FALSE)</f>
        <v>19129.5</v>
      </c>
      <c r="C750" s="26">
        <f>(Table267[[#This Row],[M2 Money Stock, Billions of Dollars, Weekly, Seasonally Adjusted]]-B749)/B749</f>
        <v>9.0090565281374397E-3</v>
      </c>
      <c r="D750" s="27">
        <f>((1+Table267[[#This Row],[Monthly change]])^12)-1</f>
        <v>0.11362961584336895</v>
      </c>
      <c r="E750" s="26">
        <f>(Table267[[#This Row],[M2 Money Stock, Billions of Dollars, Weekly, Seasonally Adjusted]]-B738)/B738</f>
        <v>0.24818932780018016</v>
      </c>
    </row>
    <row r="751" spans="1:5" x14ac:dyDescent="0.2">
      <c r="A751" s="24">
        <v>44197</v>
      </c>
      <c r="B751" s="44">
        <f>VLOOKUP(A751,'Database Rates'!$A$1:$D$1000,4,FALSE)</f>
        <v>19393.2</v>
      </c>
      <c r="C751" s="26">
        <f>(Table267[[#This Row],[M2 Money Stock, Billions of Dollars, Weekly, Seasonally Adjusted]]-B750)/B750</f>
        <v>1.3784991766643181E-2</v>
      </c>
      <c r="D751" s="27">
        <f>((1+Table267[[#This Row],[Monthly change]])^12)-1</f>
        <v>0.17855618361186054</v>
      </c>
      <c r="E751" s="26">
        <f>(Table267[[#This Row],[M2 Money Stock, Billions of Dollars, Weekly, Seasonally Adjusted]]-B739)/B739</f>
        <v>0.25874289274865653</v>
      </c>
    </row>
    <row r="752" spans="1:5" x14ac:dyDescent="0.2">
      <c r="A752" s="24">
        <v>44228</v>
      </c>
      <c r="B752" s="44">
        <f>VLOOKUP(A752,'Database Rates'!$A$1:$D$1000,4,FALSE)</f>
        <v>19665.3</v>
      </c>
      <c r="C752" s="26">
        <f>(Table267[[#This Row],[M2 Money Stock, Billions of Dollars, Weekly, Seasonally Adjusted]]-B751)/B751</f>
        <v>1.4030691170100784E-2</v>
      </c>
      <c r="D752" s="27">
        <f>((1+Table267[[#This Row],[Monthly change]])^12)-1</f>
        <v>0.18198835341069985</v>
      </c>
      <c r="E752" s="26">
        <f>(Table267[[#This Row],[M2 Money Stock, Billions of Dollars, Weekly, Seasonally Adjusted]]-B740)/B740</f>
        <v>0.27115653118212846</v>
      </c>
    </row>
    <row r="753" spans="1:5" x14ac:dyDescent="0.2">
      <c r="A753" s="24">
        <v>44256</v>
      </c>
      <c r="B753" s="44">
        <f>VLOOKUP(A753,'Database Rates'!$A$1:$D$1000,4,FALSE)</f>
        <v>19913.2</v>
      </c>
      <c r="C753" s="26">
        <f>(Table267[[#This Row],[M2 Money Stock, Billions of Dollars, Weekly, Seasonally Adjusted]]-B752)/B752</f>
        <v>1.2605960753204958E-2</v>
      </c>
      <c r="D753" s="27">
        <f>((1+Table267[[#This Row],[Monthly change]])^12)-1</f>
        <v>0.16221306873878327</v>
      </c>
      <c r="E753" s="26">
        <f>(Table267[[#This Row],[M2 Money Stock, Billions of Dollars, Weekly, Seasonally Adjusted]]-B741)/B741</f>
        <v>0.24368887167892883</v>
      </c>
    </row>
    <row r="754" spans="1:5" x14ac:dyDescent="0.2">
      <c r="A754" s="24">
        <v>44287</v>
      </c>
      <c r="B754" s="44">
        <f>VLOOKUP(A754,'Database Rates'!$A$1:$D$1000,4,FALSE)</f>
        <v>20138.8</v>
      </c>
      <c r="C754" s="26">
        <f>(Table267[[#This Row],[M2 Money Stock, Billions of Dollars, Weekly, Seasonally Adjusted]]-B753)/B753</f>
        <v>1.1329168591687852E-2</v>
      </c>
      <c r="D754" s="27">
        <f>((1+Table267[[#This Row],[Monthly change]])^12)-1</f>
        <v>0.14474933329750761</v>
      </c>
      <c r="E754" s="26">
        <f>(Table267[[#This Row],[M2 Money Stock, Billions of Dollars, Weekly, Seasonally Adjusted]]-B742)/B742</f>
        <v>0.18191688528149966</v>
      </c>
    </row>
    <row r="755" spans="1:5" x14ac:dyDescent="0.2">
      <c r="A755" s="24">
        <v>44317</v>
      </c>
      <c r="B755" s="44">
        <f>VLOOKUP(A755,'Database Rates'!$A$1:$D$1000,4,FALSE)</f>
        <v>20402.8</v>
      </c>
      <c r="C755" s="26">
        <f>(Table267[[#This Row],[M2 Money Stock, Billions of Dollars, Weekly, Seasonally Adjusted]]-B754)/B754</f>
        <v>1.3109023377758357E-2</v>
      </c>
      <c r="D755" s="27">
        <f>((1+Table267[[#This Row],[Monthly change]])^12)-1</f>
        <v>0.16916068116533944</v>
      </c>
      <c r="E755" s="26">
        <f>(Table267[[#This Row],[M2 Money Stock, Billions of Dollars, Weekly, Seasonally Adjusted]]-B743)/B743</f>
        <v>0.14050935760123417</v>
      </c>
    </row>
    <row r="756" spans="1:5" x14ac:dyDescent="0.2">
      <c r="A756" s="24">
        <v>44348</v>
      </c>
      <c r="B756" s="44">
        <f>VLOOKUP(A756,'Database Rates'!$A$1:$D$1000,4,FALSE)</f>
        <v>20429.5</v>
      </c>
      <c r="C756" s="26">
        <f>(Table267[[#This Row],[M2 Money Stock, Billions of Dollars, Weekly, Seasonally Adjusted]]-B755)/B755</f>
        <v>1.3086439116200095E-3</v>
      </c>
      <c r="D756" s="27">
        <f>((1+Table267[[#This Row],[Monthly change]])^12)-1</f>
        <v>1.5817249666471245E-2</v>
      </c>
      <c r="E756" s="26">
        <f>(Table267[[#This Row],[M2 Money Stock, Billions of Dollars, Weekly, Seasonally Adjusted]]-B744)/B744</f>
        <v>0.12400072624438119</v>
      </c>
    </row>
    <row r="757" spans="1:5" x14ac:dyDescent="0.2">
      <c r="A757" s="24">
        <v>44378</v>
      </c>
      <c r="B757" s="44">
        <f>VLOOKUP(A757,'Database Rates'!$A$1:$D$1000,4,FALSE)</f>
        <v>20578.900000000001</v>
      </c>
      <c r="C757" s="26">
        <f>(Table267[[#This Row],[M2 Money Stock, Billions of Dollars, Weekly, Seasonally Adjusted]]-B756)/B756</f>
        <v>7.312954306272863E-3</v>
      </c>
      <c r="D757" s="27">
        <f>((1+Table267[[#This Row],[Monthly change]])^12)-1</f>
        <v>9.1372558115386804E-2</v>
      </c>
      <c r="E757" s="26">
        <f>(Table267[[#This Row],[M2 Money Stock, Billions of Dollars, Weekly, Seasonally Adjusted]]-B745)/B745</f>
        <v>0.1235109135975019</v>
      </c>
    </row>
    <row r="758" spans="1:5" x14ac:dyDescent="0.2">
      <c r="A758" s="24">
        <v>44409</v>
      </c>
      <c r="B758" s="44">
        <f>VLOOKUP(A758,'Database Rates'!$A$1:$D$1000,4,FALSE)</f>
        <v>20832.5</v>
      </c>
      <c r="C758" s="26">
        <f>(Table267[[#This Row],[M2 Money Stock, Billions of Dollars, Weekly, Seasonally Adjusted]]-B757)/B757</f>
        <v>1.2323302022945761E-2</v>
      </c>
      <c r="D758" s="27">
        <f>((1+Table267[[#This Row],[Monthly change]])^12)-1</f>
        <v>0.15832599951976434</v>
      </c>
      <c r="E758" s="26">
        <f>(Table267[[#This Row],[M2 Money Stock, Billions of Dollars, Weekly, Seasonally Adjusted]]-B746)/B746</f>
        <v>0.13352558696302744</v>
      </c>
    </row>
    <row r="759" spans="1:5" x14ac:dyDescent="0.2">
      <c r="A759" s="24">
        <v>44440</v>
      </c>
      <c r="B759" s="44">
        <f>VLOOKUP(A759,'Database Rates'!$A$1:$D$1000,4,FALSE)</f>
        <v>20994.799999999999</v>
      </c>
      <c r="C759" s="26">
        <f>(Table267[[#This Row],[M2 Money Stock, Billions of Dollars, Weekly, Seasonally Adjusted]]-B758)/B758</f>
        <v>7.7907116284651034E-3</v>
      </c>
      <c r="D759" s="27">
        <f>((1+Table267[[#This Row],[Monthly change]])^12)-1</f>
        <v>9.7600297315256102E-2</v>
      </c>
      <c r="E759" s="26">
        <f>(Table267[[#This Row],[M2 Money Stock, Billions of Dollars, Weekly, Seasonally Adjusted]]-B747)/B747</f>
        <v>0.12865559951832106</v>
      </c>
    </row>
    <row r="760" spans="1:5" x14ac:dyDescent="0.2">
      <c r="A760" s="24">
        <v>44470</v>
      </c>
      <c r="B760" s="44">
        <f>VLOOKUP(A760,'Database Rates'!$A$1:$D$1000,4,FALSE)</f>
        <v>21187.5</v>
      </c>
      <c r="C760" s="26">
        <f>(Table267[[#This Row],[M2 Money Stock, Billions of Dollars, Weekly, Seasonally Adjusted]]-B759)/B759</f>
        <v>9.1784632385162393E-3</v>
      </c>
      <c r="D760" s="27">
        <f>((1+Table267[[#This Row],[Monthly change]])^12)-1</f>
        <v>0.11587535151506634</v>
      </c>
      <c r="E760" s="26">
        <f>(Table267[[#This Row],[M2 Money Stock, Billions of Dollars, Weekly, Seasonally Adjusted]]-B748)/B748</f>
        <v>0.13012657417630766</v>
      </c>
    </row>
    <row r="761" spans="1:5" x14ac:dyDescent="0.2">
      <c r="A761" s="24">
        <v>44501</v>
      </c>
      <c r="B761" s="44">
        <f>VLOOKUP(A761,'Database Rates'!$A$1:$D$1000,4,FALSE)</f>
        <v>21436.7</v>
      </c>
      <c r="C761" s="26">
        <f>(Table267[[#This Row],[M2 Money Stock, Billions of Dollars, Weekly, Seasonally Adjusted]]-B760)/B760</f>
        <v>1.1761651917404164E-2</v>
      </c>
      <c r="D761" s="27">
        <f>((1+Table267[[#This Row],[Monthly change]])^12)-1</f>
        <v>0.15063763698528754</v>
      </c>
      <c r="E761" s="26">
        <f>(Table267[[#This Row],[M2 Money Stock, Billions of Dollars, Weekly, Seasonally Adjusted]]-B749)/B749</f>
        <v>0.13070516438363389</v>
      </c>
    </row>
    <row r="762" spans="1:5" x14ac:dyDescent="0.2">
      <c r="A762" s="24">
        <v>44531</v>
      </c>
      <c r="B762" s="44">
        <f>VLOOKUP(A762,'Database Rates'!$A$1:$D$1000,4,FALSE)</f>
        <v>21638.1</v>
      </c>
      <c r="C762" s="26">
        <f>(Table267[[#This Row],[M2 Money Stock, Billions of Dollars, Weekly, Seasonally Adjusted]]-B761)/B761</f>
        <v>9.3951027910078415E-3</v>
      </c>
      <c r="D762" s="27">
        <f>((1+Table267[[#This Row],[Monthly change]])^12)-1</f>
        <v>0.11875327692776838</v>
      </c>
      <c r="E762" s="26">
        <f>(Table267[[#This Row],[M2 Money Stock, Billions of Dollars, Weekly, Seasonally Adjusted]]-B750)/B750</f>
        <v>0.1311377715047439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10"/>
  <sheetViews>
    <sheetView zoomScale="150" zoomScaleNormal="150" workbookViewId="0">
      <pane ySplit="11" topLeftCell="A976" activePane="bottomLeft" state="frozen"/>
      <selection pane="bottomLeft" activeCell="A1011" sqref="A1011:XFD1011"/>
    </sheetView>
  </sheetViews>
  <sheetFormatPr baseColWidth="10" defaultColWidth="9.1640625" defaultRowHeight="15" x14ac:dyDescent="0.2"/>
  <cols>
    <col min="1" max="2" width="20.6640625" style="52" customWidth="1"/>
    <col min="3" max="3" width="13.6640625" style="52" customWidth="1"/>
    <col min="4" max="15" width="9.1640625" style="52" customWidth="1"/>
    <col min="16" max="16384" width="9.1640625" style="52"/>
  </cols>
  <sheetData>
    <row r="1" spans="1:3" x14ac:dyDescent="0.2">
      <c r="A1" s="5" t="s">
        <v>26</v>
      </c>
    </row>
    <row r="2" spans="1:3" x14ac:dyDescent="0.2">
      <c r="A2" s="52" t="s">
        <v>38</v>
      </c>
      <c r="B2" s="52" t="s">
        <v>56</v>
      </c>
    </row>
    <row r="4" spans="1:3" x14ac:dyDescent="0.2">
      <c r="A4" s="52" t="s">
        <v>25</v>
      </c>
    </row>
    <row r="10" spans="1:3" ht="16" customHeight="1" thickBot="1" x14ac:dyDescent="0.25">
      <c r="A10" s="52" t="s">
        <v>57</v>
      </c>
    </row>
    <row r="11" spans="1:3" ht="16" customHeight="1" thickBot="1" x14ac:dyDescent="0.25">
      <c r="A11" s="36" t="s">
        <v>51</v>
      </c>
      <c r="B11" s="37" t="s">
        <v>38</v>
      </c>
      <c r="C11" s="38" t="s">
        <v>58</v>
      </c>
    </row>
    <row r="12" spans="1:3" x14ac:dyDescent="0.2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2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2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2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2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2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2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2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2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2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2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2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2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2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2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2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2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2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2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2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2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2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2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2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2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2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2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2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2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2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2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2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2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2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2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2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2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2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2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2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2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2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2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2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2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2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2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2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2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2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2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2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2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2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2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2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2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2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2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2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2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2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2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2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2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2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2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2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2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2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2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2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2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2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2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2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2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2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2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2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2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2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2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2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2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2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2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2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2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2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2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2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2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2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2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2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2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2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2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2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2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2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2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2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2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2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2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2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2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2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2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2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2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2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2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2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2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2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2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2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2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2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2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2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2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2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2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2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2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2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2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2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2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2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2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2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2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2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2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2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2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2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2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2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2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2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2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2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2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2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2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2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2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2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2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2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2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2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2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2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2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2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2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2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2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2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2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2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2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2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2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2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2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2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2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2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2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2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2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2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2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2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2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2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2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2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2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2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2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2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2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2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2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2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2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2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2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2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2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2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2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2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2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2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2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2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2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2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2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2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2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2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2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2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2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2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2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2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2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2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2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2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2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2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2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2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2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2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2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2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2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2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2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2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2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2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2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2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2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2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2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2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2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2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2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2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2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2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2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2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2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2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2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2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2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2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2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2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2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2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2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2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2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2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2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2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2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2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2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2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2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2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2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2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2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2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2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2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2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2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2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2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2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2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2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2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2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2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2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2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2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2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2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2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2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2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2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2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2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2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2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2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2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2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2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2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2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2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2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2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2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2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2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2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2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2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2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2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2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2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2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2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2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2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2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2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2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2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2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2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2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2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2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2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2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2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2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2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2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2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2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2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2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2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2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2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2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2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2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2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2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2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2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2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2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2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2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2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2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2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2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2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2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2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2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2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2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2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2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2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2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2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2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2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2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2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2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2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2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2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2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2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2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2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2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2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2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2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2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2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2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2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2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2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2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2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2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2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2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2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2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2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2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2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2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2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2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2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2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2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2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2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2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2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2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2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2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2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2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2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2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2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2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2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2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2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2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2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2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2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2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2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2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2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2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2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2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2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2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2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2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2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2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2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2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2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2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2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2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2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2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2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2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2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2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2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2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2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2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2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2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2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2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2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2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2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2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2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2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2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2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2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2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2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2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2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2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2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2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2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2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2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2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2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2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2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2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2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2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2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2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2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2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2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2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2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2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2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2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2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2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2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2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2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2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2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2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2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2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2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2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2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2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2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2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2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2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2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2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2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2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2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2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2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2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2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2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2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2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2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2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2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2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2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2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2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2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2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2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2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2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2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2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2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2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2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2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2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2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2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2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2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2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2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2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2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2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2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2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2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2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2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2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2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2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2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2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2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2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2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2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2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2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2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2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2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2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2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2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2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2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2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2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2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2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2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2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2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2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2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2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2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2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2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2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2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2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2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2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2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2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2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2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2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2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2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2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2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2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2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2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2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2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2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2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2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2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2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2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2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2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2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2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2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2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2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2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2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2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2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2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2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2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2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2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2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2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2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2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2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2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2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2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2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2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2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2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2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2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2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2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2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2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2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2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2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2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2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2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2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2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2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2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2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2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2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2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2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2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2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2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2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2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2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2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2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2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2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2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2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2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2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2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2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2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2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2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2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2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2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2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2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2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2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2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2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2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2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2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2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2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2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2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2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2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2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2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2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2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2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2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2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2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2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2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2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2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2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2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2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2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2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2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2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2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2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2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2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2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2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2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2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2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2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2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2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2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2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2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2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2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2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2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2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2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2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2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2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2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2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2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2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2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2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2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2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2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2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2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2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2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2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2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2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2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2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2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2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2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2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2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2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2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2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2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2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2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2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2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2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2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2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2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2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2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2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2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2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2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2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2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2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2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2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2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2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2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2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2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2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2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2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2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2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2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2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2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2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2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2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2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2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2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2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2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2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2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2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2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2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2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2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2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2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2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2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2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2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2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2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2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2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2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2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2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2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2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2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2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2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2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2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2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2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2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2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2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2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2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2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2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2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2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2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2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2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2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2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2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2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2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2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2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2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2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2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2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2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2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2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2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2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2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2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2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2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2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2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2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2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2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2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2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2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2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2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2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2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2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2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2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2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2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2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2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2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2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2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2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2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2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2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2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2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2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2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2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2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2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2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2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2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2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2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2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2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2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2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2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2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2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2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2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2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2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2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2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2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2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2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2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2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2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2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2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2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2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2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2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2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2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2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2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2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2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2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2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2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2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2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2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2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2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2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2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2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2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2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2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2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2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2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2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2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2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2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2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2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2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2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2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2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2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2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2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2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2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2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2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2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2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2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2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2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2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2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2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2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2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2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2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2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2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2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2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2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2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2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2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10"/>
  <sheetViews>
    <sheetView showGridLines="0" zoomScale="130" zoomScaleNormal="130" workbookViewId="0">
      <pane ySplit="11" topLeftCell="A970" activePane="bottomLeft" state="frozen"/>
      <selection activeCell="G33" sqref="G33"/>
      <selection pane="bottomLeft" activeCell="D1015" sqref="D1015"/>
    </sheetView>
  </sheetViews>
  <sheetFormatPr baseColWidth="10" defaultColWidth="9.1640625" defaultRowHeight="15" x14ac:dyDescent="0.2"/>
  <cols>
    <col min="1" max="2" width="20.6640625" style="39" customWidth="1"/>
    <col min="3" max="3" width="17" style="52" customWidth="1"/>
    <col min="4" max="4" width="9.1640625" style="52" customWidth="1"/>
    <col min="5" max="5" width="17.83203125" style="52" customWidth="1"/>
    <col min="6" max="6" width="12.33203125" style="52" customWidth="1"/>
    <col min="7" max="15" width="9.1640625" style="52" customWidth="1"/>
    <col min="16" max="16" width="36.1640625" style="52" customWidth="1"/>
    <col min="17" max="17" width="9.1640625" style="52" customWidth="1"/>
    <col min="18" max="18" width="29.6640625" style="52" customWidth="1"/>
    <col min="19" max="19" width="37.6640625" style="52" customWidth="1"/>
    <col min="20" max="31" width="9.1640625" style="52" customWidth="1"/>
    <col min="32" max="16384" width="9.1640625" style="52"/>
  </cols>
  <sheetData>
    <row r="1" spans="1:3" x14ac:dyDescent="0.2">
      <c r="A1" s="2" t="s">
        <v>26</v>
      </c>
    </row>
    <row r="2" spans="1:3" x14ac:dyDescent="0.2">
      <c r="A2" t="s">
        <v>38</v>
      </c>
      <c r="B2" t="s">
        <v>56</v>
      </c>
    </row>
    <row r="3" spans="1:3" x14ac:dyDescent="0.2">
      <c r="A3" s="52"/>
      <c r="B3" s="52"/>
    </row>
    <row r="4" spans="1:3" x14ac:dyDescent="0.2">
      <c r="A4" s="52" t="s">
        <v>25</v>
      </c>
      <c r="B4" s="52"/>
    </row>
    <row r="5" spans="1:3" x14ac:dyDescent="0.2">
      <c r="A5" s="52"/>
      <c r="B5" s="52"/>
    </row>
    <row r="6" spans="1:3" x14ac:dyDescent="0.2">
      <c r="A6" s="52"/>
      <c r="B6" s="52"/>
    </row>
    <row r="7" spans="1:3" x14ac:dyDescent="0.2">
      <c r="A7" s="52"/>
      <c r="B7" s="52"/>
    </row>
    <row r="8" spans="1:3" x14ac:dyDescent="0.2">
      <c r="A8" s="52"/>
      <c r="B8" s="52"/>
    </row>
    <row r="9" spans="1:3" x14ac:dyDescent="0.2">
      <c r="A9" s="52"/>
      <c r="B9" s="52"/>
    </row>
    <row r="10" spans="1:3" x14ac:dyDescent="0.2">
      <c r="A10" t="s">
        <v>57</v>
      </c>
    </row>
    <row r="11" spans="1:3" s="51" customFormat="1" ht="32" customHeight="1" x14ac:dyDescent="0.2">
      <c r="A11" s="49" t="s">
        <v>51</v>
      </c>
      <c r="B11" s="49" t="s">
        <v>38</v>
      </c>
      <c r="C11" s="50" t="s">
        <v>59</v>
      </c>
    </row>
    <row r="12" spans="1:3" x14ac:dyDescent="0.2">
      <c r="A12" s="9">
        <f>'Database FED'!$A2</f>
        <v>37608</v>
      </c>
      <c r="B12" s="8">
        <f>VLOOKUP(A12,'Database FED'!$A$1:$D$1100,2,FALSE)</f>
        <v>719542</v>
      </c>
      <c r="C12" s="45">
        <f>(Table4[[#This Row],[WALCL]]/1000)/19222</f>
        <v>3.7433253563625014E-2</v>
      </c>
    </row>
    <row r="13" spans="1:3" x14ac:dyDescent="0.2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2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2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2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2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2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2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2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2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2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2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2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2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2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2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2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2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2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2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2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2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2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2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2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2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2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2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2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2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2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2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2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2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2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2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2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2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2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2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2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2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2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2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2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2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2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2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2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2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2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2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2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2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2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2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2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2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2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2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2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2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2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2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2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2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2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2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2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2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2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2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2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2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2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2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2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2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2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2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2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2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2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2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2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2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2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2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2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2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2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2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2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2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2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2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2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2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2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2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2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2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2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2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2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2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2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2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2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2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2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2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2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2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2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2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2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2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2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2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2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2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2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2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2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2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2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2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2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2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2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2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2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2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2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2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2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2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2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2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2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2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2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2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2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2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2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2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2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2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2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2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2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2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2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2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2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2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2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2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2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2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2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2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2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2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2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2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2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2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2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2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2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2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2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2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2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2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2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2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2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2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2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2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2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2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2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2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2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2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2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2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2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2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2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2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2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2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2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2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2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2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2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2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2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2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2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2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2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2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2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2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2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2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2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2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2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2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2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2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2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2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2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2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2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2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2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2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2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2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2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2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2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2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2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2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2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2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2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2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2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2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2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2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2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2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2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2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2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2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2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2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2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2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2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2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2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2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2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2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2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2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2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2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2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2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2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2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2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2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2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2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2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2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2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2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2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2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2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2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2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2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2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2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2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2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2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2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2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2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2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2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2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2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2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2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2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2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2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2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2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2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2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2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2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2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2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2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2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2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2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2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2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2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2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2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2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2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2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2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2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2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2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2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2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2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2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2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2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2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2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2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2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2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2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2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2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2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2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2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2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2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2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2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2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2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2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2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2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2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2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2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2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2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2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2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2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2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2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2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2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2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2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2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2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2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2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2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2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2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2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2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2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2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2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2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2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2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2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2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2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2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2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2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2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2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2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2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2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2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2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2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2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2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2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2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2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2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2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2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2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2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2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2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2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2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2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2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2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2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2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2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2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2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2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2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2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2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2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2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2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2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2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2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2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2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2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2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2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2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2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2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2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2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2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2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2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2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2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2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2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2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2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2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2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2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2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2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2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2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2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2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2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2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2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2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2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2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2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2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2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2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2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2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2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2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2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2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2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2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2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2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2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2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2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2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2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2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2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2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2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2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2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2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2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2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2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2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2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2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2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2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2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2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2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2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2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2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2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2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2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2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2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2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2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2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2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2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2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2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2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2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2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2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2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2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2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2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2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2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2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2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2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2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2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2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2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2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2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2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2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2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2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2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2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2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2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2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2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2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2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2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2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2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2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2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2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2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2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2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2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2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2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2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2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2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2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2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2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2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2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2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2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2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2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2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2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2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2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2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2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2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2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2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2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2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2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2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2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2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2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2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2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2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2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2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2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2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2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2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2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2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2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2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2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2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2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2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2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2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2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2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2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2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2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2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2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2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2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2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2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2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2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2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2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2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2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2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2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2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2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2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2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2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2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2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2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2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2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2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2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2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2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2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2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2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2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2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2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2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2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2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2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2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2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2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2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2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2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2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2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2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2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2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2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2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2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2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2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2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2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2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2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2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2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2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2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2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2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2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2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2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2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2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2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2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2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2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2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2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2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2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2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2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2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2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2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2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2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2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2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2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2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2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2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2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2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2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2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2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2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2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2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2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2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2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2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2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2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2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2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2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2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2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2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2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2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2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2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2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2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2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2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2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2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2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2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2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2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2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2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2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2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2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2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2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2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2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2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2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2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2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2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2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2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2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2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2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2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2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2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2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2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2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2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2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2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2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2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2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2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2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2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2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2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2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2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2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2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2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2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2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2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2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2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2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2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2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2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2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2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2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2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2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2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2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2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2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2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2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2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2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2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2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2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2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2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2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2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2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2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2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2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2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2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2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2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2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2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2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2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2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2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2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2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2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2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2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2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2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2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2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2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2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2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2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2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2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2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2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2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2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2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2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2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2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2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2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2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2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2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2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2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2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2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2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2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2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2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2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2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2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2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2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2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2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2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2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2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2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2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2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2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2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2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2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2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2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2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2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2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2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2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2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2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2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2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2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2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2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2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2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2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2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2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2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2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2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2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2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2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2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2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2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2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2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2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2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2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2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2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2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2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2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2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2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2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2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2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2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2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2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2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2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2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2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2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2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2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2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2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2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2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2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2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2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2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2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2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2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2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2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2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2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2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2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2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2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2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2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2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2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2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2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2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2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2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2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2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2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2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2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2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2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2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2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2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2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2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2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2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2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2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2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2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2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2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2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2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2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2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2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2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2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2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2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2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2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2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2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2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2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2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2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2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2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2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2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2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2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2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2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2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2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2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2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2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2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2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291"/>
  <sheetViews>
    <sheetView zoomScale="110" zoomScaleNormal="110" workbookViewId="0">
      <pane ySplit="5" topLeftCell="A231" activePane="bottomLeft" state="frozen"/>
      <selection pane="bottomLeft" activeCell="AH254" sqref="AH254"/>
    </sheetView>
  </sheetViews>
  <sheetFormatPr baseColWidth="10" defaultColWidth="9.1640625" defaultRowHeight="15" x14ac:dyDescent="0.2"/>
  <cols>
    <col min="1" max="1" width="20.1640625" style="52" customWidth="1"/>
    <col min="2" max="2" width="14.1640625" style="52" customWidth="1"/>
    <col min="3" max="3" width="9.1640625" style="52" customWidth="1"/>
    <col min="4" max="4" width="10.1640625" style="52" bestFit="1" customWidth="1"/>
    <col min="5" max="14" width="9.1640625" style="52" customWidth="1"/>
    <col min="15" max="16384" width="9.1640625" style="52"/>
  </cols>
  <sheetData>
    <row r="1" spans="1:4" x14ac:dyDescent="0.2">
      <c r="A1" s="13" t="s">
        <v>60</v>
      </c>
      <c r="B1" s="13"/>
    </row>
    <row r="2" spans="1:4" x14ac:dyDescent="0.2">
      <c r="A2" s="13" t="s">
        <v>39</v>
      </c>
      <c r="B2" s="13" t="s">
        <v>61</v>
      </c>
    </row>
    <row r="3" spans="1:4" x14ac:dyDescent="0.2">
      <c r="B3" s="10"/>
    </row>
    <row r="4" spans="1:4" ht="16" customHeight="1" thickBot="1" x14ac:dyDescent="0.25">
      <c r="A4" s="13" t="s">
        <v>62</v>
      </c>
      <c r="B4" s="13"/>
    </row>
    <row r="5" spans="1:4" ht="86" customHeight="1" thickBot="1" x14ac:dyDescent="0.25">
      <c r="A5" s="19" t="s">
        <v>45</v>
      </c>
      <c r="B5" s="31" t="s">
        <v>63</v>
      </c>
      <c r="C5" s="31" t="s">
        <v>64</v>
      </c>
      <c r="D5" s="20" t="s">
        <v>65</v>
      </c>
    </row>
    <row r="6" spans="1:4" x14ac:dyDescent="0.2">
      <c r="A6" s="40">
        <v>35886</v>
      </c>
      <c r="B6" s="18">
        <f>VLOOKUP(A6,'Database BOJ'!$A$1:$C$1100,2,FALSE)</f>
        <v>800652</v>
      </c>
      <c r="C6" s="29">
        <f>VLOOKUP(A6,'Database BOJ'!$A$1:$D$1100,4,FALSE)</f>
        <v>15641.259765625</v>
      </c>
      <c r="D6" s="46">
        <f>IFERROR(VLOOKUP(A6,'Database BOJ'!$A$1:$C$1100,2,FALSE)/VLOOKUP(A6,'Database BOJ'!$A$1:$C$1100,3,FALSE),#N/A)</f>
        <v>0.14970671095373958</v>
      </c>
    </row>
    <row r="7" spans="1:4" x14ac:dyDescent="0.2">
      <c r="A7" s="41">
        <v>35916</v>
      </c>
      <c r="B7" s="18">
        <f>VLOOKUP(A7,'Database BOJ'!$A$1:$C$1100,2,FALSE)</f>
        <v>771888</v>
      </c>
      <c r="C7" s="29">
        <f>VLOOKUP(A7,'Database BOJ'!$A$1:$D$1100,4,FALSE)</f>
        <v>15670.7802734375</v>
      </c>
      <c r="D7" s="46">
        <f>IFERROR(VLOOKUP(A7,'Database BOJ'!$A$1:$C$1100,2,FALSE)/VLOOKUP(A7,'Database BOJ'!$A$1:$C$1100,3,FALSE),#N/A)</f>
        <v>0.14458223999002012</v>
      </c>
    </row>
    <row r="8" spans="1:4" x14ac:dyDescent="0.2">
      <c r="A8" s="41">
        <v>35947</v>
      </c>
      <c r="B8" s="18">
        <f>VLOOKUP(A8,'Database BOJ'!$A$1:$C$1100,2,FALSE)</f>
        <v>753964</v>
      </c>
      <c r="C8" s="29">
        <f>VLOOKUP(A8,'Database BOJ'!$A$1:$D$1100,4,FALSE)</f>
        <v>15830.26953125</v>
      </c>
      <c r="D8" s="46">
        <f>IFERROR(VLOOKUP(A8,'Database BOJ'!$A$1:$C$1100,2,FALSE)/VLOOKUP(A8,'Database BOJ'!$A$1:$C$1100,3,FALSE),#N/A)</f>
        <v>0.14122489790207327</v>
      </c>
    </row>
    <row r="9" spans="1:4" x14ac:dyDescent="0.2">
      <c r="A9" s="41">
        <v>35977</v>
      </c>
      <c r="B9" s="18">
        <f>VLOOKUP(A9,'Database BOJ'!$A$1:$C$1100,2,FALSE)</f>
        <v>724375</v>
      </c>
      <c r="C9" s="29">
        <f>VLOOKUP(A9,'Database BOJ'!$A$1:$D$1100,4,FALSE)</f>
        <v>16378.9697265625</v>
      </c>
      <c r="D9" s="46">
        <f>IFERROR(VLOOKUP(A9,'Database BOJ'!$A$1:$C$1100,2,FALSE)/VLOOKUP(A9,'Database BOJ'!$A$1:$C$1100,3,FALSE),#N/A)</f>
        <v>0.1356825861948506</v>
      </c>
    </row>
    <row r="10" spans="1:4" x14ac:dyDescent="0.2">
      <c r="A10" s="41">
        <v>36008</v>
      </c>
      <c r="B10" s="18">
        <f>VLOOKUP(A10,'Database BOJ'!$A$1:$C$1100,2,FALSE)</f>
        <v>763742</v>
      </c>
      <c r="C10" s="29">
        <f>VLOOKUP(A10,'Database BOJ'!$A$1:$D$1100,4,FALSE)</f>
        <v>14107.8896484375</v>
      </c>
      <c r="D10" s="46">
        <f>IFERROR(VLOOKUP(A10,'Database BOJ'!$A$1:$C$1100,2,FALSE)/VLOOKUP(A10,'Database BOJ'!$A$1:$C$1100,3,FALSE),#N/A)</f>
        <v>0.14162537003782155</v>
      </c>
    </row>
    <row r="11" spans="1:4" x14ac:dyDescent="0.2">
      <c r="A11" s="41">
        <v>36039</v>
      </c>
      <c r="B11" s="18">
        <f>VLOOKUP(A11,'Database BOJ'!$A$1:$C$1100,2,FALSE)</f>
        <v>783667</v>
      </c>
      <c r="C11" s="29">
        <f>VLOOKUP(A11,'Database BOJ'!$A$1:$D$1100,4,FALSE)</f>
        <v>13406.3896484375</v>
      </c>
      <c r="D11" s="46">
        <f>IFERROR(VLOOKUP(A11,'Database BOJ'!$A$1:$C$1100,2,FALSE)/VLOOKUP(A11,'Database BOJ'!$A$1:$C$1100,3,FALSE),#N/A)</f>
        <v>0.14532018516911405</v>
      </c>
    </row>
    <row r="12" spans="1:4" x14ac:dyDescent="0.2">
      <c r="A12" s="41">
        <v>36069</v>
      </c>
      <c r="B12" s="18">
        <f>VLOOKUP(A12,'Database BOJ'!$A$1:$C$1100,2,FALSE)</f>
        <v>775368</v>
      </c>
      <c r="C12" s="29">
        <f>VLOOKUP(A12,'Database BOJ'!$A$1:$D$1100,4,FALSE)</f>
        <v>13564.509765625</v>
      </c>
      <c r="D12" s="46">
        <f>IFERROR(VLOOKUP(A12,'Database BOJ'!$A$1:$C$1100,2,FALSE)/VLOOKUP(A12,'Database BOJ'!$A$1:$C$1100,3,FALSE),#N/A)</f>
        <v>0.14378125062584698</v>
      </c>
    </row>
    <row r="13" spans="1:4" x14ac:dyDescent="0.2">
      <c r="A13" s="41">
        <v>36100</v>
      </c>
      <c r="B13" s="18">
        <f>VLOOKUP(A13,'Database BOJ'!$A$1:$C$1100,2,FALSE)</f>
        <v>883012</v>
      </c>
      <c r="C13" s="29">
        <f>VLOOKUP(A13,'Database BOJ'!$A$1:$D$1100,4,FALSE)</f>
        <v>14883.7001953125</v>
      </c>
      <c r="D13" s="46">
        <f>IFERROR(VLOOKUP(A13,'Database BOJ'!$A$1:$C$1100,2,FALSE)/VLOOKUP(A13,'Database BOJ'!$A$1:$C$1100,3,FALSE),#N/A)</f>
        <v>0.16688031971037681</v>
      </c>
    </row>
    <row r="14" spans="1:4" x14ac:dyDescent="0.2">
      <c r="A14" s="41">
        <v>36130</v>
      </c>
      <c r="B14" s="18">
        <f>VLOOKUP(A14,'Database BOJ'!$A$1:$C$1100,2,FALSE)</f>
        <v>912382</v>
      </c>
      <c r="C14" s="29">
        <f>VLOOKUP(A14,'Database BOJ'!$A$1:$D$1100,4,FALSE)</f>
        <v>13842.169921875</v>
      </c>
      <c r="D14" s="46">
        <f>IFERROR(VLOOKUP(A14,'Database BOJ'!$A$1:$C$1100,2,FALSE)/VLOOKUP(A14,'Database BOJ'!$A$1:$C$1100,3,FALSE),#N/A)</f>
        <v>0.17243095207991851</v>
      </c>
    </row>
    <row r="15" spans="1:4" x14ac:dyDescent="0.2">
      <c r="A15" s="41">
        <v>36161</v>
      </c>
      <c r="B15" s="18">
        <f>VLOOKUP(A15,'Database BOJ'!$A$1:$C$1100,2,FALSE)</f>
        <v>797188</v>
      </c>
      <c r="C15" s="29">
        <f>VLOOKUP(A15,'Database BOJ'!$A$1:$D$1100,4,FALSE)</f>
        <v>14499.25</v>
      </c>
      <c r="D15" s="46">
        <f>IFERROR(VLOOKUP(A15,'Database BOJ'!$A$1:$C$1100,2,FALSE)/VLOOKUP(A15,'Database BOJ'!$A$1:$C$1100,3,FALSE),#N/A)</f>
        <v>0.15066045343582632</v>
      </c>
    </row>
    <row r="16" spans="1:4" x14ac:dyDescent="0.2">
      <c r="A16" s="41">
        <v>36192</v>
      </c>
      <c r="B16" s="18">
        <f>VLOOKUP(A16,'Database BOJ'!$A$1:$C$1100,2,FALSE)</f>
        <v>755897</v>
      </c>
      <c r="C16" s="29">
        <f>VLOOKUP(A16,'Database BOJ'!$A$1:$D$1100,4,FALSE)</f>
        <v>14367.5400390625</v>
      </c>
      <c r="D16" s="46">
        <f>IFERROR(VLOOKUP(A16,'Database BOJ'!$A$1:$C$1100,2,FALSE)/VLOOKUP(A16,'Database BOJ'!$A$1:$C$1100,3,FALSE),#N/A)</f>
        <v>0.1428815267572664</v>
      </c>
    </row>
    <row r="17" spans="1:4" x14ac:dyDescent="0.2">
      <c r="A17" s="41">
        <v>36220</v>
      </c>
      <c r="B17" s="18">
        <f>VLOOKUP(A17,'Database BOJ'!$A$1:$C$1100,2,FALSE)</f>
        <v>797450</v>
      </c>
      <c r="C17" s="29">
        <f>VLOOKUP(A17,'Database BOJ'!$A$1:$D$1100,4,FALSE)</f>
        <v>15836.58984375</v>
      </c>
      <c r="D17" s="46">
        <f>IFERROR(VLOOKUP(A17,'Database BOJ'!$A$1:$C$1100,2,FALSE)/VLOOKUP(A17,'Database BOJ'!$A$1:$C$1100,3,FALSE),#N/A)</f>
        <v>0.1507359779342716</v>
      </c>
    </row>
    <row r="18" spans="1:4" x14ac:dyDescent="0.2">
      <c r="A18" s="41">
        <v>36251</v>
      </c>
      <c r="B18" s="18">
        <f>VLOOKUP(A18,'Database BOJ'!$A$1:$C$1100,2,FALSE)</f>
        <v>791152</v>
      </c>
      <c r="C18" s="29">
        <f>VLOOKUP(A18,'Database BOJ'!$A$1:$D$1100,4,FALSE)</f>
        <v>16701.529296875</v>
      </c>
      <c r="D18" s="46">
        <f>IFERROR(VLOOKUP(A18,'Database BOJ'!$A$1:$C$1100,2,FALSE)/VLOOKUP(A18,'Database BOJ'!$A$1:$C$1100,3,FALSE),#N/A)</f>
        <v>0.14954551434529417</v>
      </c>
    </row>
    <row r="19" spans="1:4" x14ac:dyDescent="0.2">
      <c r="A19" s="41">
        <v>36281</v>
      </c>
      <c r="B19" s="18">
        <f>VLOOKUP(A19,'Database BOJ'!$A$1:$C$1100,2,FALSE)</f>
        <v>744742</v>
      </c>
      <c r="C19" s="29">
        <f>VLOOKUP(A19,'Database BOJ'!$A$1:$D$1100,4,FALSE)</f>
        <v>16111.650390625</v>
      </c>
      <c r="D19" s="46">
        <f>IFERROR(VLOOKUP(A19,'Database BOJ'!$A$1:$C$1100,2,FALSE)/VLOOKUP(A19,'Database BOJ'!$A$1:$C$1100,3,FALSE),#N/A)</f>
        <v>0.14090076809007454</v>
      </c>
    </row>
    <row r="20" spans="1:4" x14ac:dyDescent="0.2">
      <c r="A20" s="41">
        <v>36312</v>
      </c>
      <c r="B20" s="18">
        <f>VLOOKUP(A20,'Database BOJ'!$A$1:$C$1100,2,FALSE)</f>
        <v>734211</v>
      </c>
      <c r="C20" s="29">
        <f>VLOOKUP(A20,'Database BOJ'!$A$1:$D$1100,4,FALSE)</f>
        <v>17529.740234375</v>
      </c>
      <c r="D20" s="46">
        <f>IFERROR(VLOOKUP(A20,'Database BOJ'!$A$1:$C$1100,2,FALSE)/VLOOKUP(A20,'Database BOJ'!$A$1:$C$1100,3,FALSE),#N/A)</f>
        <v>0.13890836536704218</v>
      </c>
    </row>
    <row r="21" spans="1:4" x14ac:dyDescent="0.2">
      <c r="A21" s="41">
        <v>36342</v>
      </c>
      <c r="B21" s="18">
        <f>VLOOKUP(A21,'Database BOJ'!$A$1:$C$1100,2,FALSE)</f>
        <v>686329</v>
      </c>
      <c r="C21" s="29">
        <f>VLOOKUP(A21,'Database BOJ'!$A$1:$D$1100,4,FALSE)</f>
        <v>17861.859375</v>
      </c>
      <c r="D21" s="46">
        <f>IFERROR(VLOOKUP(A21,'Database BOJ'!$A$1:$C$1100,2,FALSE)/VLOOKUP(A21,'Database BOJ'!$A$1:$C$1100,3,FALSE),#N/A)</f>
        <v>0.12984937503523739</v>
      </c>
    </row>
    <row r="22" spans="1:4" x14ac:dyDescent="0.2">
      <c r="A22" s="41">
        <v>36373</v>
      </c>
      <c r="B22" s="18">
        <f>VLOOKUP(A22,'Database BOJ'!$A$1:$C$1100,2,FALSE)</f>
        <v>680224</v>
      </c>
      <c r="C22" s="29">
        <f>VLOOKUP(A22,'Database BOJ'!$A$1:$D$1100,4,FALSE)</f>
        <v>17436.560546875</v>
      </c>
      <c r="D22" s="46">
        <f>IFERROR(VLOOKUP(A22,'Database BOJ'!$A$1:$C$1100,2,FALSE)/VLOOKUP(A22,'Database BOJ'!$A$1:$C$1100,3,FALSE),#N/A)</f>
        <v>0.12886852426306741</v>
      </c>
    </row>
    <row r="23" spans="1:4" x14ac:dyDescent="0.2">
      <c r="A23" s="41">
        <v>36404</v>
      </c>
      <c r="B23" s="18">
        <f>VLOOKUP(A23,'Database BOJ'!$A$1:$C$1100,2,FALSE)</f>
        <v>688207</v>
      </c>
      <c r="C23" s="29">
        <f>VLOOKUP(A23,'Database BOJ'!$A$1:$D$1100,4,FALSE)</f>
        <v>17605.4609375</v>
      </c>
      <c r="D23" s="46">
        <f>IFERROR(VLOOKUP(A23,'Database BOJ'!$A$1:$C$1100,2,FALSE)/VLOOKUP(A23,'Database BOJ'!$A$1:$C$1100,3,FALSE),#N/A)</f>
        <v>0.13038090463951998</v>
      </c>
    </row>
    <row r="24" spans="1:4" x14ac:dyDescent="0.2">
      <c r="A24" s="41">
        <v>36434</v>
      </c>
      <c r="B24" s="18">
        <f>VLOOKUP(A24,'Database BOJ'!$A$1:$C$1100,2,FALSE)</f>
        <v>680064</v>
      </c>
      <c r="C24" s="29">
        <f>VLOOKUP(A24,'Database BOJ'!$A$1:$D$1100,4,FALSE)</f>
        <v>17942.080078125</v>
      </c>
      <c r="D24" s="46">
        <f>IFERROR(VLOOKUP(A24,'Database BOJ'!$A$1:$C$1100,2,FALSE)/VLOOKUP(A24,'Database BOJ'!$A$1:$C$1100,3,FALSE),#N/A)</f>
        <v>0.12883821224249464</v>
      </c>
    </row>
    <row r="25" spans="1:4" x14ac:dyDescent="0.2">
      <c r="A25" s="41">
        <v>36465</v>
      </c>
      <c r="B25" s="18">
        <f>VLOOKUP(A25,'Database BOJ'!$A$1:$C$1100,2,FALSE)</f>
        <v>841508</v>
      </c>
      <c r="C25" s="29">
        <f>VLOOKUP(A25,'Database BOJ'!$A$1:$D$1100,4,FALSE)</f>
        <v>18558.23046875</v>
      </c>
      <c r="D25" s="46">
        <f>IFERROR(VLOOKUP(A25,'Database BOJ'!$A$1:$C$1100,2,FALSE)/VLOOKUP(A25,'Database BOJ'!$A$1:$C$1100,3,FALSE),#N/A)</f>
        <v>0.15725664788450239</v>
      </c>
    </row>
    <row r="26" spans="1:4" x14ac:dyDescent="0.2">
      <c r="A26" s="41">
        <v>36495</v>
      </c>
      <c r="B26" s="18">
        <f>VLOOKUP(A26,'Database BOJ'!$A$1:$C$1100,2,FALSE)</f>
        <v>1113478</v>
      </c>
      <c r="C26" s="29">
        <f>VLOOKUP(A26,'Database BOJ'!$A$1:$D$1100,4,FALSE)</f>
        <v>18934.33984375</v>
      </c>
      <c r="D26" s="46">
        <f>IFERROR(VLOOKUP(A26,'Database BOJ'!$A$1:$C$1100,2,FALSE)/VLOOKUP(A26,'Database BOJ'!$A$1:$C$1100,3,FALSE),#N/A)</f>
        <v>0.20808099004779509</v>
      </c>
    </row>
    <row r="27" spans="1:4" x14ac:dyDescent="0.2">
      <c r="A27" s="41">
        <v>36526</v>
      </c>
      <c r="B27" s="18">
        <f>VLOOKUP(A27,'Database BOJ'!$A$1:$C$1100,2,FALSE)</f>
        <v>905251</v>
      </c>
      <c r="C27" s="29">
        <f>VLOOKUP(A27,'Database BOJ'!$A$1:$D$1100,4,FALSE)</f>
        <v>19539.69921875</v>
      </c>
      <c r="D27" s="46">
        <f>IFERROR(VLOOKUP(A27,'Database BOJ'!$A$1:$C$1100,2,FALSE)/VLOOKUP(A27,'Database BOJ'!$A$1:$C$1100,3,FALSE),#N/A)</f>
        <v>0.16916860891886196</v>
      </c>
    </row>
    <row r="28" spans="1:4" x14ac:dyDescent="0.2">
      <c r="A28" s="41">
        <v>36557</v>
      </c>
      <c r="B28" s="18">
        <f>VLOOKUP(A28,'Database BOJ'!$A$1:$C$1100,2,FALSE)</f>
        <v>941085</v>
      </c>
      <c r="C28" s="29">
        <f>VLOOKUP(A28,'Database BOJ'!$A$1:$D$1100,4,FALSE)</f>
        <v>19959.51953125</v>
      </c>
      <c r="D28" s="46">
        <f>IFERROR(VLOOKUP(A28,'Database BOJ'!$A$1:$C$1100,2,FALSE)/VLOOKUP(A28,'Database BOJ'!$A$1:$C$1100,3,FALSE),#N/A)</f>
        <v>0.17577534018141514</v>
      </c>
    </row>
    <row r="29" spans="1:4" x14ac:dyDescent="0.2">
      <c r="A29" s="41">
        <v>36586</v>
      </c>
      <c r="B29" s="18">
        <f>VLOOKUP(A29,'Database BOJ'!$A$1:$C$1100,2,FALSE)</f>
        <v>1062017</v>
      </c>
      <c r="C29" s="29">
        <f>VLOOKUP(A29,'Database BOJ'!$A$1:$D$1100,4,FALSE)</f>
        <v>20337.3203125</v>
      </c>
      <c r="D29" s="46">
        <f>IFERROR(VLOOKUP(A29,'Database BOJ'!$A$1:$C$1100,2,FALSE)/VLOOKUP(A29,'Database BOJ'!$A$1:$C$1100,3,FALSE),#N/A)</f>
        <v>0.19836295281876343</v>
      </c>
    </row>
    <row r="30" spans="1:4" x14ac:dyDescent="0.2">
      <c r="A30" s="41">
        <v>36617</v>
      </c>
      <c r="B30" s="18">
        <f>VLOOKUP(A30,'Database BOJ'!$A$1:$C$1100,2,FALSE)</f>
        <v>797289</v>
      </c>
      <c r="C30" s="29">
        <f>VLOOKUP(A30,'Database BOJ'!$A$1:$D$1100,4,FALSE)</f>
        <v>17973.69921875</v>
      </c>
      <c r="D30" s="46">
        <f>IFERROR(VLOOKUP(A30,'Database BOJ'!$A$1:$C$1100,2,FALSE)/VLOOKUP(A30,'Database BOJ'!$A$1:$C$1100,3,FALSE),#N/A)</f>
        <v>0.14891720216335433</v>
      </c>
    </row>
    <row r="31" spans="1:4" x14ac:dyDescent="0.2">
      <c r="A31" s="41">
        <v>36647</v>
      </c>
      <c r="B31" s="18">
        <f>VLOOKUP(A31,'Database BOJ'!$A$1:$C$1100,2,FALSE)</f>
        <v>838507</v>
      </c>
      <c r="C31" s="29">
        <f>VLOOKUP(A31,'Database BOJ'!$A$1:$D$1100,4,FALSE)</f>
        <v>16332.4501953125</v>
      </c>
      <c r="D31" s="46">
        <f>IFERROR(VLOOKUP(A31,'Database BOJ'!$A$1:$C$1100,2,FALSE)/VLOOKUP(A31,'Database BOJ'!$A$1:$C$1100,3,FALSE),#N/A)</f>
        <v>0.15690466451124932</v>
      </c>
    </row>
    <row r="32" spans="1:4" x14ac:dyDescent="0.2">
      <c r="A32" s="41">
        <v>36678</v>
      </c>
      <c r="B32" s="18">
        <f>VLOOKUP(A32,'Database BOJ'!$A$1:$C$1100,2,FALSE)</f>
        <v>837194</v>
      </c>
      <c r="C32" s="29">
        <f>VLOOKUP(A32,'Database BOJ'!$A$1:$D$1100,4,FALSE)</f>
        <v>17411.05078125</v>
      </c>
      <c r="D32" s="46">
        <f>IFERROR(VLOOKUP(A32,'Database BOJ'!$A$1:$C$1100,2,FALSE)/VLOOKUP(A32,'Database BOJ'!$A$1:$C$1100,3,FALSE),#N/A)</f>
        <v>0.15665897088614747</v>
      </c>
    </row>
    <row r="33" spans="1:4" x14ac:dyDescent="0.2">
      <c r="A33" s="41">
        <v>36708</v>
      </c>
      <c r="B33" s="18">
        <f>VLOOKUP(A33,'Database BOJ'!$A$1:$C$1100,2,FALSE)</f>
        <v>807840</v>
      </c>
      <c r="C33" s="29">
        <f>VLOOKUP(A33,'Database BOJ'!$A$1:$D$1100,4,FALSE)</f>
        <v>15727.490234375</v>
      </c>
      <c r="D33" s="46">
        <f>IFERROR(VLOOKUP(A33,'Database BOJ'!$A$1:$C$1100,2,FALSE)/VLOOKUP(A33,'Database BOJ'!$A$1:$C$1100,3,FALSE),#N/A)</f>
        <v>0.15116613716852412</v>
      </c>
    </row>
    <row r="34" spans="1:4" x14ac:dyDescent="0.2">
      <c r="A34" s="41">
        <v>36739</v>
      </c>
      <c r="B34" s="18">
        <f>VLOOKUP(A34,'Database BOJ'!$A$1:$C$1100,2,FALSE)</f>
        <v>885391</v>
      </c>
      <c r="C34" s="29">
        <f>VLOOKUP(A34,'Database BOJ'!$A$1:$D$1100,4,FALSE)</f>
        <v>16861.259765625</v>
      </c>
      <c r="D34" s="46">
        <f>IFERROR(VLOOKUP(A34,'Database BOJ'!$A$1:$C$1100,2,FALSE)/VLOOKUP(A34,'Database BOJ'!$A$1:$C$1100,3,FALSE),#N/A)</f>
        <v>0.16462191795594544</v>
      </c>
    </row>
    <row r="35" spans="1:4" x14ac:dyDescent="0.2">
      <c r="A35" s="41">
        <v>36770</v>
      </c>
      <c r="B35" s="18">
        <f>VLOOKUP(A35,'Database BOJ'!$A$1:$C$1100,2,FALSE)</f>
        <v>853390</v>
      </c>
      <c r="C35" s="29">
        <f>VLOOKUP(A35,'Database BOJ'!$A$1:$D$1100,4,FALSE)</f>
        <v>15747.259765625</v>
      </c>
      <c r="D35" s="46">
        <f>IFERROR(VLOOKUP(A35,'Database BOJ'!$A$1:$C$1100,2,FALSE)/VLOOKUP(A35,'Database BOJ'!$A$1:$C$1100,3,FALSE),#N/A)</f>
        <v>0.15867192976258429</v>
      </c>
    </row>
    <row r="36" spans="1:4" x14ac:dyDescent="0.2">
      <c r="A36" s="41">
        <v>36800</v>
      </c>
      <c r="B36" s="18">
        <f>VLOOKUP(A36,'Database BOJ'!$A$1:$C$1100,2,FALSE)</f>
        <v>920988</v>
      </c>
      <c r="C36" s="29">
        <f>VLOOKUP(A36,'Database BOJ'!$A$1:$D$1100,4,FALSE)</f>
        <v>14539.599609375</v>
      </c>
      <c r="D36" s="46">
        <f>IFERROR(VLOOKUP(A36,'Database BOJ'!$A$1:$C$1100,2,FALSE)/VLOOKUP(A36,'Database BOJ'!$A$1:$C$1100,3,FALSE),#N/A)</f>
        <v>0.17124051517850336</v>
      </c>
    </row>
    <row r="37" spans="1:4" x14ac:dyDescent="0.2">
      <c r="A37" s="41">
        <v>36831</v>
      </c>
      <c r="B37" s="18">
        <f>VLOOKUP(A37,'Database BOJ'!$A$1:$C$1100,2,FALSE)</f>
        <v>1054097</v>
      </c>
      <c r="C37" s="29">
        <f>VLOOKUP(A37,'Database BOJ'!$A$1:$D$1100,4,FALSE)</f>
        <v>14648.509765625</v>
      </c>
      <c r="D37" s="46">
        <f>IFERROR(VLOOKUP(A37,'Database BOJ'!$A$1:$C$1100,2,FALSE)/VLOOKUP(A37,'Database BOJ'!$A$1:$C$1100,3,FALSE),#N/A)</f>
        <v>0.19427530368849513</v>
      </c>
    </row>
    <row r="38" spans="1:4" x14ac:dyDescent="0.2">
      <c r="A38" s="41">
        <v>36861</v>
      </c>
      <c r="B38" s="18">
        <f>VLOOKUP(A38,'Database BOJ'!$A$1:$C$1100,2,FALSE)</f>
        <v>1067962</v>
      </c>
      <c r="C38" s="29">
        <f>VLOOKUP(A38,'Database BOJ'!$A$1:$D$1100,4,FALSE)</f>
        <v>13785.6904296875</v>
      </c>
      <c r="D38" s="46">
        <f>IFERROR(VLOOKUP(A38,'Database BOJ'!$A$1:$C$1100,2,FALSE)/VLOOKUP(A38,'Database BOJ'!$A$1:$C$1100,3,FALSE),#N/A)</f>
        <v>0.19683069193610517</v>
      </c>
    </row>
    <row r="39" spans="1:4" x14ac:dyDescent="0.2">
      <c r="A39" s="41">
        <v>36892</v>
      </c>
      <c r="B39" s="18">
        <f>VLOOKUP(A39,'Database BOJ'!$A$1:$C$1100,2,FALSE)</f>
        <v>1078487</v>
      </c>
      <c r="C39" s="29">
        <f>VLOOKUP(A39,'Database BOJ'!$A$1:$D$1100,4,FALSE)</f>
        <v>13843.5498046875</v>
      </c>
      <c r="D39" s="46">
        <f>IFERROR(VLOOKUP(A39,'Database BOJ'!$A$1:$C$1100,2,FALSE)/VLOOKUP(A39,'Database BOJ'!$A$1:$C$1100,3,FALSE),#N/A)</f>
        <v>0.19877050162280516</v>
      </c>
    </row>
    <row r="40" spans="1:4" x14ac:dyDescent="0.2">
      <c r="A40" s="41">
        <v>36923</v>
      </c>
      <c r="B40" s="18">
        <f>VLOOKUP(A40,'Database BOJ'!$A$1:$C$1100,2,FALSE)</f>
        <v>1102160</v>
      </c>
      <c r="C40" s="29">
        <f>VLOOKUP(A40,'Database BOJ'!$A$1:$D$1100,4,FALSE)</f>
        <v>12883.5400390625</v>
      </c>
      <c r="D40" s="46">
        <f>IFERROR(VLOOKUP(A40,'Database BOJ'!$A$1:$C$1100,2,FALSE)/VLOOKUP(A40,'Database BOJ'!$A$1:$C$1100,3,FALSE),#N/A)</f>
        <v>0.20628331614243312</v>
      </c>
    </row>
    <row r="41" spans="1:4" x14ac:dyDescent="0.2">
      <c r="A41" s="41">
        <v>36951</v>
      </c>
      <c r="B41" s="18">
        <f>VLOOKUP(A41,'Database BOJ'!$A$1:$C$1100,2,FALSE)</f>
        <v>1150959</v>
      </c>
      <c r="C41" s="29">
        <f>VLOOKUP(A41,'Database BOJ'!$A$1:$D$1100,4,FALSE)</f>
        <v>12999.7001953125</v>
      </c>
      <c r="D41" s="46">
        <f>IFERROR(VLOOKUP(A41,'Database BOJ'!$A$1:$C$1100,2,FALSE)/VLOOKUP(A41,'Database BOJ'!$A$1:$C$1100,3,FALSE),#N/A)</f>
        <v>0.21541667204759624</v>
      </c>
    </row>
    <row r="42" spans="1:4" x14ac:dyDescent="0.2">
      <c r="A42" s="41">
        <v>36982</v>
      </c>
      <c r="B42" s="18">
        <f>VLOOKUP(A42,'Database BOJ'!$A$1:$C$1100,2,FALSE)</f>
        <v>1123259</v>
      </c>
      <c r="C42" s="29">
        <f>VLOOKUP(A42,'Database BOJ'!$A$1:$D$1100,4,FALSE)</f>
        <v>13934.3203125</v>
      </c>
      <c r="D42" s="46">
        <f>IFERROR(VLOOKUP(A42,'Database BOJ'!$A$1:$C$1100,2,FALSE)/VLOOKUP(A42,'Database BOJ'!$A$1:$C$1100,3,FALSE),#N/A)</f>
        <v>0.21023226337993872</v>
      </c>
    </row>
    <row r="43" spans="1:4" x14ac:dyDescent="0.2">
      <c r="A43" s="41">
        <v>37012</v>
      </c>
      <c r="B43" s="18">
        <f>VLOOKUP(A43,'Database BOJ'!$A$1:$C$1100,2,FALSE)</f>
        <v>1138146</v>
      </c>
      <c r="C43" s="29">
        <f>VLOOKUP(A43,'Database BOJ'!$A$1:$D$1100,4,FALSE)</f>
        <v>13262.1396484375</v>
      </c>
      <c r="D43" s="46">
        <f>IFERROR(VLOOKUP(A43,'Database BOJ'!$A$1:$C$1100,2,FALSE)/VLOOKUP(A43,'Database BOJ'!$A$1:$C$1100,3,FALSE),#N/A)</f>
        <v>0.21598075323208463</v>
      </c>
    </row>
    <row r="44" spans="1:4" x14ac:dyDescent="0.2">
      <c r="A44" s="41">
        <v>37043</v>
      </c>
      <c r="B44" s="18">
        <f>VLOOKUP(A44,'Database BOJ'!$A$1:$C$1100,2,FALSE)</f>
        <v>1169329</v>
      </c>
      <c r="C44" s="29">
        <f>VLOOKUP(A44,'Database BOJ'!$A$1:$D$1100,4,FALSE)</f>
        <v>12969.0498046875</v>
      </c>
      <c r="D44" s="46">
        <f>IFERROR(VLOOKUP(A44,'Database BOJ'!$A$1:$C$1100,2,FALSE)/VLOOKUP(A44,'Database BOJ'!$A$1:$C$1100,3,FALSE),#N/A)</f>
        <v>0.2218982083108145</v>
      </c>
    </row>
    <row r="45" spans="1:4" x14ac:dyDescent="0.2">
      <c r="A45" s="41">
        <v>37073</v>
      </c>
      <c r="B45" s="18">
        <f>VLOOKUP(A45,'Database BOJ'!$A$1:$C$1100,2,FALSE)</f>
        <v>1163779</v>
      </c>
      <c r="C45" s="29">
        <f>VLOOKUP(A45,'Database BOJ'!$A$1:$D$1100,4,FALSE)</f>
        <v>11860.76953125</v>
      </c>
      <c r="D45" s="46">
        <f>IFERROR(VLOOKUP(A45,'Database BOJ'!$A$1:$C$1100,2,FALSE)/VLOOKUP(A45,'Database BOJ'!$A$1:$C$1100,3,FALSE),#N/A)</f>
        <v>0.22084501023215142</v>
      </c>
    </row>
    <row r="46" spans="1:4" x14ac:dyDescent="0.2">
      <c r="A46" s="41">
        <v>37104</v>
      </c>
      <c r="B46" s="18">
        <f>VLOOKUP(A46,'Database BOJ'!$A$1:$C$1100,2,FALSE)</f>
        <v>1133882</v>
      </c>
      <c r="C46" s="29">
        <f>VLOOKUP(A46,'Database BOJ'!$A$1:$D$1100,4,FALSE)</f>
        <v>10713.509765625</v>
      </c>
      <c r="D46" s="46">
        <f>IFERROR(VLOOKUP(A46,'Database BOJ'!$A$1:$C$1100,2,FALSE)/VLOOKUP(A46,'Database BOJ'!$A$1:$C$1100,3,FALSE),#N/A)</f>
        <v>0.21641364883899364</v>
      </c>
    </row>
    <row r="47" spans="1:4" x14ac:dyDescent="0.2">
      <c r="A47" s="41">
        <v>37135</v>
      </c>
      <c r="B47" s="18">
        <f>VLOOKUP(A47,'Database BOJ'!$A$1:$C$1100,2,FALSE)</f>
        <v>1156156</v>
      </c>
      <c r="C47" s="29">
        <f>VLOOKUP(A47,'Database BOJ'!$A$1:$D$1100,4,FALSE)</f>
        <v>9774.6796875</v>
      </c>
      <c r="D47" s="46">
        <f>IFERROR(VLOOKUP(A47,'Database BOJ'!$A$1:$C$1100,2,FALSE)/VLOOKUP(A47,'Database BOJ'!$A$1:$C$1100,3,FALSE),#N/A)</f>
        <v>0.22066488275419799</v>
      </c>
    </row>
    <row r="48" spans="1:4" x14ac:dyDescent="0.2">
      <c r="A48" s="41">
        <v>37165</v>
      </c>
      <c r="B48" s="18">
        <f>VLOOKUP(A48,'Database BOJ'!$A$1:$C$1100,2,FALSE)</f>
        <v>1107271</v>
      </c>
      <c r="C48" s="29">
        <f>VLOOKUP(A48,'Database BOJ'!$A$1:$D$1100,4,FALSE)</f>
        <v>10366.33984375</v>
      </c>
      <c r="D48" s="46">
        <f>IFERROR(VLOOKUP(A48,'Database BOJ'!$A$1:$C$1100,2,FALSE)/VLOOKUP(A48,'Database BOJ'!$A$1:$C$1100,3,FALSE),#N/A)</f>
        <v>0.21133465154540007</v>
      </c>
    </row>
    <row r="49" spans="1:4" x14ac:dyDescent="0.2">
      <c r="A49" s="41">
        <v>37196</v>
      </c>
      <c r="B49" s="18">
        <f>VLOOKUP(A49,'Database BOJ'!$A$1:$C$1100,2,FALSE)</f>
        <v>1133942</v>
      </c>
      <c r="C49" s="29">
        <f>VLOOKUP(A49,'Database BOJ'!$A$1:$D$1100,4,FALSE)</f>
        <v>10697.4404296875</v>
      </c>
      <c r="D49" s="46">
        <f>IFERROR(VLOOKUP(A49,'Database BOJ'!$A$1:$C$1100,2,FALSE)/VLOOKUP(A49,'Database BOJ'!$A$1:$C$1100,3,FALSE),#N/A)</f>
        <v>0.21579317659045708</v>
      </c>
    </row>
    <row r="50" spans="1:4" x14ac:dyDescent="0.2">
      <c r="A50" s="41">
        <v>37226</v>
      </c>
      <c r="B50" s="18">
        <f>VLOOKUP(A50,'Database BOJ'!$A$1:$C$1100,2,FALSE)</f>
        <v>1175079</v>
      </c>
      <c r="C50" s="29">
        <f>VLOOKUP(A50,'Database BOJ'!$A$1:$D$1100,4,FALSE)</f>
        <v>10542.6201171875</v>
      </c>
      <c r="D50" s="46">
        <f>IFERROR(VLOOKUP(A50,'Database BOJ'!$A$1:$C$1100,2,FALSE)/VLOOKUP(A50,'Database BOJ'!$A$1:$C$1100,3,FALSE),#N/A)</f>
        <v>0.22362169330947942</v>
      </c>
    </row>
    <row r="51" spans="1:4" x14ac:dyDescent="0.2">
      <c r="A51" s="41">
        <v>37257</v>
      </c>
      <c r="B51" s="18">
        <f>VLOOKUP(A51,'Database BOJ'!$A$1:$C$1100,2,FALSE)</f>
        <v>1224388</v>
      </c>
      <c r="C51" s="29">
        <f>VLOOKUP(A51,'Database BOJ'!$A$1:$D$1100,4,FALSE)</f>
        <v>9997.7998046875</v>
      </c>
      <c r="D51" s="46">
        <f>IFERROR(VLOOKUP(A51,'Database BOJ'!$A$1:$C$1100,2,FALSE)/VLOOKUP(A51,'Database BOJ'!$A$1:$C$1100,3,FALSE),#N/A)</f>
        <v>0.23300537055619824</v>
      </c>
    </row>
    <row r="52" spans="1:4" x14ac:dyDescent="0.2">
      <c r="A52" s="41">
        <v>37288</v>
      </c>
      <c r="B52" s="18">
        <f>VLOOKUP(A52,'Database BOJ'!$A$1:$C$1100,2,FALSE)</f>
        <v>1313520</v>
      </c>
      <c r="C52" s="29">
        <f>VLOOKUP(A52,'Database BOJ'!$A$1:$D$1100,4,FALSE)</f>
        <v>10587.830078125</v>
      </c>
      <c r="D52" s="46">
        <f>IFERROR(VLOOKUP(A52,'Database BOJ'!$A$1:$C$1100,2,FALSE)/VLOOKUP(A52,'Database BOJ'!$A$1:$C$1100,3,FALSE),#N/A)</f>
        <v>0.25053768937385412</v>
      </c>
    </row>
    <row r="53" spans="1:4" x14ac:dyDescent="0.2">
      <c r="A53" s="41">
        <v>37316</v>
      </c>
      <c r="B53" s="18">
        <f>VLOOKUP(A53,'Database BOJ'!$A$1:$C$1100,2,FALSE)</f>
        <v>1385648</v>
      </c>
      <c r="C53" s="29">
        <f>VLOOKUP(A53,'Database BOJ'!$A$1:$D$1100,4,FALSE)</f>
        <v>11024.9404296875</v>
      </c>
      <c r="D53" s="46">
        <f>IFERROR(VLOOKUP(A53,'Database BOJ'!$A$1:$C$1100,2,FALSE)/VLOOKUP(A53,'Database BOJ'!$A$1:$C$1100,3,FALSE),#N/A)</f>
        <v>0.26429521301959791</v>
      </c>
    </row>
    <row r="54" spans="1:4" x14ac:dyDescent="0.2">
      <c r="A54" s="41">
        <v>37347</v>
      </c>
      <c r="B54" s="18">
        <f>VLOOKUP(A54,'Database BOJ'!$A$1:$C$1100,2,FALSE)</f>
        <v>1328094</v>
      </c>
      <c r="C54" s="29">
        <f>VLOOKUP(A54,'Database BOJ'!$A$1:$D$1100,4,FALSE)</f>
        <v>11492.5400390625</v>
      </c>
      <c r="D54" s="46">
        <f>IFERROR(VLOOKUP(A54,'Database BOJ'!$A$1:$C$1100,2,FALSE)/VLOOKUP(A54,'Database BOJ'!$A$1:$C$1100,3,FALSE),#N/A)</f>
        <v>0.25331749956702559</v>
      </c>
    </row>
    <row r="55" spans="1:4" x14ac:dyDescent="0.2">
      <c r="A55" s="41">
        <v>37377</v>
      </c>
      <c r="B55" s="18">
        <f>VLOOKUP(A55,'Database BOJ'!$A$1:$C$1100,2,FALSE)</f>
        <v>1279453</v>
      </c>
      <c r="C55" s="29">
        <f>VLOOKUP(A55,'Database BOJ'!$A$1:$D$1100,4,FALSE)</f>
        <v>11763.7001953125</v>
      </c>
      <c r="D55" s="46">
        <f>IFERROR(VLOOKUP(A55,'Database BOJ'!$A$1:$C$1100,2,FALSE)/VLOOKUP(A55,'Database BOJ'!$A$1:$C$1100,3,FALSE),#N/A)</f>
        <v>0.24410091630398367</v>
      </c>
    </row>
    <row r="56" spans="1:4" x14ac:dyDescent="0.2">
      <c r="A56" s="41">
        <v>37408</v>
      </c>
      <c r="B56" s="18">
        <f>VLOOKUP(A56,'Database BOJ'!$A$1:$C$1100,2,FALSE)</f>
        <v>1241193</v>
      </c>
      <c r="C56" s="29">
        <f>VLOOKUP(A56,'Database BOJ'!$A$1:$D$1100,4,FALSE)</f>
        <v>10621.83984375</v>
      </c>
      <c r="D56" s="46">
        <f>IFERROR(VLOOKUP(A56,'Database BOJ'!$A$1:$C$1100,2,FALSE)/VLOOKUP(A56,'Database BOJ'!$A$1:$C$1100,3,FALSE),#N/A)</f>
        <v>0.23680146797896476</v>
      </c>
    </row>
    <row r="57" spans="1:4" x14ac:dyDescent="0.2">
      <c r="A57" s="41">
        <v>37438</v>
      </c>
      <c r="B57" s="18">
        <f>VLOOKUP(A57,'Database BOJ'!$A$1:$C$1100,2,FALSE)</f>
        <v>1265421</v>
      </c>
      <c r="C57" s="29">
        <f>VLOOKUP(A57,'Database BOJ'!$A$1:$D$1100,4,FALSE)</f>
        <v>9877.9404296875</v>
      </c>
      <c r="D57" s="46">
        <f>IFERROR(VLOOKUP(A57,'Database BOJ'!$A$1:$C$1100,2,FALSE)/VLOOKUP(A57,'Database BOJ'!$A$1:$C$1100,3,FALSE),#N/A)</f>
        <v>0.24142381596690407</v>
      </c>
    </row>
    <row r="58" spans="1:4" x14ac:dyDescent="0.2">
      <c r="A58" s="41">
        <v>37469</v>
      </c>
      <c r="B58" s="18">
        <f>VLOOKUP(A58,'Database BOJ'!$A$1:$C$1100,2,FALSE)</f>
        <v>1284793</v>
      </c>
      <c r="C58" s="29">
        <f>VLOOKUP(A58,'Database BOJ'!$A$1:$D$1100,4,FALSE)</f>
        <v>9619.2998046875</v>
      </c>
      <c r="D58" s="46">
        <f>IFERROR(VLOOKUP(A58,'Database BOJ'!$A$1:$C$1100,2,FALSE)/VLOOKUP(A58,'Database BOJ'!$A$1:$C$1100,3,FALSE),#N/A)</f>
        <v>0.2449886505262098</v>
      </c>
    </row>
    <row r="59" spans="1:4" x14ac:dyDescent="0.2">
      <c r="A59" s="41">
        <v>37500</v>
      </c>
      <c r="B59" s="18">
        <f>VLOOKUP(A59,'Database BOJ'!$A$1:$C$1100,2,FALSE)</f>
        <v>1244691</v>
      </c>
      <c r="C59" s="29">
        <f>VLOOKUP(A59,'Database BOJ'!$A$1:$D$1100,4,FALSE)</f>
        <v>9383.2900390625</v>
      </c>
      <c r="D59" s="46">
        <f>IFERROR(VLOOKUP(A59,'Database BOJ'!$A$1:$C$1100,2,FALSE)/VLOOKUP(A59,'Database BOJ'!$A$1:$C$1100,3,FALSE),#N/A)</f>
        <v>0.23734186628672371</v>
      </c>
    </row>
    <row r="60" spans="1:4" x14ac:dyDescent="0.2">
      <c r="A60" s="41">
        <v>37530</v>
      </c>
      <c r="B60" s="18">
        <f>VLOOKUP(A60,'Database BOJ'!$A$1:$C$1100,2,FALSE)</f>
        <v>1246432</v>
      </c>
      <c r="C60" s="29">
        <f>VLOOKUP(A60,'Database BOJ'!$A$1:$D$1100,4,FALSE)</f>
        <v>8640.48046875</v>
      </c>
      <c r="D60" s="46">
        <f>IFERROR(VLOOKUP(A60,'Database BOJ'!$A$1:$C$1100,2,FALSE)/VLOOKUP(A60,'Database BOJ'!$A$1:$C$1100,3,FALSE),#N/A)</f>
        <v>0.23767384602242131</v>
      </c>
    </row>
    <row r="61" spans="1:4" x14ac:dyDescent="0.2">
      <c r="A61" s="41">
        <v>37561</v>
      </c>
      <c r="B61" s="18">
        <f>VLOOKUP(A61,'Database BOJ'!$A$1:$C$1100,2,FALSE)</f>
        <v>1250866</v>
      </c>
      <c r="C61" s="29">
        <f>VLOOKUP(A61,'Database BOJ'!$A$1:$D$1100,4,FALSE)</f>
        <v>9215.5595703125</v>
      </c>
      <c r="D61" s="46">
        <f>IFERROR(VLOOKUP(A61,'Database BOJ'!$A$1:$C$1100,2,FALSE)/VLOOKUP(A61,'Database BOJ'!$A$1:$C$1100,3,FALSE),#N/A)</f>
        <v>0.23991436575458752</v>
      </c>
    </row>
    <row r="62" spans="1:4" x14ac:dyDescent="0.2">
      <c r="A62" s="41">
        <v>37591</v>
      </c>
      <c r="B62" s="18">
        <f>VLOOKUP(A62,'Database BOJ'!$A$1:$C$1100,2,FALSE)</f>
        <v>1251263</v>
      </c>
      <c r="C62" s="29">
        <f>VLOOKUP(A62,'Database BOJ'!$A$1:$D$1100,4,FALSE)</f>
        <v>8578.9501953125</v>
      </c>
      <c r="D62" s="46">
        <f>IFERROR(VLOOKUP(A62,'Database BOJ'!$A$1:$C$1100,2,FALSE)/VLOOKUP(A62,'Database BOJ'!$A$1:$C$1100,3,FALSE),#N/A)</f>
        <v>0.23999050980455339</v>
      </c>
    </row>
    <row r="63" spans="1:4" x14ac:dyDescent="0.2">
      <c r="A63" s="41">
        <v>37622</v>
      </c>
      <c r="B63" s="18">
        <f>VLOOKUP(A63,'Database BOJ'!$A$1:$C$1100,2,FALSE)</f>
        <v>1245386</v>
      </c>
      <c r="C63" s="29">
        <f>VLOOKUP(A63,'Database BOJ'!$A$1:$D$1100,4,FALSE)</f>
        <v>8339.9404296875</v>
      </c>
      <c r="D63" s="46">
        <f>IFERROR(VLOOKUP(A63,'Database BOJ'!$A$1:$C$1100,2,FALSE)/VLOOKUP(A63,'Database BOJ'!$A$1:$C$1100,3,FALSE),#N/A)</f>
        <v>0.23886330934699859</v>
      </c>
    </row>
    <row r="64" spans="1:4" x14ac:dyDescent="0.2">
      <c r="A64" s="41">
        <v>37653</v>
      </c>
      <c r="B64" s="18">
        <f>VLOOKUP(A64,'Database BOJ'!$A$1:$C$1100,2,FALSE)</f>
        <v>1325273</v>
      </c>
      <c r="C64" s="29">
        <f>VLOOKUP(A64,'Database BOJ'!$A$1:$D$1100,4,FALSE)</f>
        <v>8363.0400390625</v>
      </c>
      <c r="D64" s="46">
        <f>IFERROR(VLOOKUP(A64,'Database BOJ'!$A$1:$C$1100,2,FALSE)/VLOOKUP(A64,'Database BOJ'!$A$1:$C$1100,3,FALSE),#N/A)</f>
        <v>0.25264266985814127</v>
      </c>
    </row>
    <row r="65" spans="1:4" x14ac:dyDescent="0.2">
      <c r="A65" s="41">
        <v>37681</v>
      </c>
      <c r="B65" s="18">
        <f>VLOOKUP(A65,'Database BOJ'!$A$1:$C$1100,2,FALSE)</f>
        <v>1411674</v>
      </c>
      <c r="C65" s="29">
        <f>VLOOKUP(A65,'Database BOJ'!$A$1:$D$1100,4,FALSE)</f>
        <v>7972.7099609375</v>
      </c>
      <c r="D65" s="46">
        <f>IFERROR(VLOOKUP(A65,'Database BOJ'!$A$1:$C$1100,2,FALSE)/VLOOKUP(A65,'Database BOJ'!$A$1:$C$1100,3,FALSE),#N/A)</f>
        <v>0.26911367569498645</v>
      </c>
    </row>
    <row r="66" spans="1:4" x14ac:dyDescent="0.2">
      <c r="A66" s="41">
        <v>37712</v>
      </c>
      <c r="B66" s="18">
        <f>VLOOKUP(A66,'Database BOJ'!$A$1:$C$1100,2,FALSE)</f>
        <v>1283101</v>
      </c>
      <c r="C66" s="29">
        <f>VLOOKUP(A66,'Database BOJ'!$A$1:$D$1100,4,FALSE)</f>
        <v>7831.419921875</v>
      </c>
      <c r="D66" s="46">
        <f>IFERROR(VLOOKUP(A66,'Database BOJ'!$A$1:$C$1100,2,FALSE)/VLOOKUP(A66,'Database BOJ'!$A$1:$C$1100,3,FALSE),#N/A)</f>
        <v>0.24460323445633536</v>
      </c>
    </row>
    <row r="67" spans="1:4" x14ac:dyDescent="0.2">
      <c r="A67" s="41">
        <v>37742</v>
      </c>
      <c r="B67" s="18">
        <f>VLOOKUP(A67,'Database BOJ'!$A$1:$C$1100,2,FALSE)</f>
        <v>1306815</v>
      </c>
      <c r="C67" s="29">
        <f>VLOOKUP(A67,'Database BOJ'!$A$1:$D$1100,4,FALSE)</f>
        <v>8424.509765625</v>
      </c>
      <c r="D67" s="46">
        <f>IFERROR(VLOOKUP(A67,'Database BOJ'!$A$1:$C$1100,2,FALSE)/VLOOKUP(A67,'Database BOJ'!$A$1:$C$1100,3,FALSE),#N/A)</f>
        <v>0.2492232364626116</v>
      </c>
    </row>
    <row r="68" spans="1:4" x14ac:dyDescent="0.2">
      <c r="A68" s="41">
        <v>37773</v>
      </c>
      <c r="B68" s="18">
        <f>VLOOKUP(A68,'Database BOJ'!$A$1:$C$1100,2,FALSE)</f>
        <v>1252605</v>
      </c>
      <c r="C68" s="29">
        <f>VLOOKUP(A68,'Database BOJ'!$A$1:$D$1100,4,FALSE)</f>
        <v>9083.1103515625</v>
      </c>
      <c r="D68" s="46">
        <f>IFERROR(VLOOKUP(A68,'Database BOJ'!$A$1:$C$1100,2,FALSE)/VLOOKUP(A68,'Database BOJ'!$A$1:$C$1100,3,FALSE),#N/A)</f>
        <v>0.23888482463795535</v>
      </c>
    </row>
    <row r="69" spans="1:4" x14ac:dyDescent="0.2">
      <c r="A69" s="41">
        <v>37803</v>
      </c>
      <c r="B69" s="18">
        <f>VLOOKUP(A69,'Database BOJ'!$A$1:$C$1100,2,FALSE)</f>
        <v>1263771</v>
      </c>
      <c r="C69" s="29">
        <f>VLOOKUP(A69,'Database BOJ'!$A$1:$D$1100,4,FALSE)</f>
        <v>9563.2099609375</v>
      </c>
      <c r="D69" s="46">
        <f>IFERROR(VLOOKUP(A69,'Database BOJ'!$A$1:$C$1100,2,FALSE)/VLOOKUP(A69,'Database BOJ'!$A$1:$C$1100,3,FALSE),#N/A)</f>
        <v>0.24101429717870634</v>
      </c>
    </row>
    <row r="70" spans="1:4" x14ac:dyDescent="0.2">
      <c r="A70" s="41">
        <v>37834</v>
      </c>
      <c r="B70" s="18">
        <f>VLOOKUP(A70,'Database BOJ'!$A$1:$C$1100,2,FALSE)</f>
        <v>1283228</v>
      </c>
      <c r="C70" s="29">
        <f>VLOOKUP(A70,'Database BOJ'!$A$1:$D$1100,4,FALSE)</f>
        <v>10343.5498046875</v>
      </c>
      <c r="D70" s="46">
        <f>IFERROR(VLOOKUP(A70,'Database BOJ'!$A$1:$C$1100,2,FALSE)/VLOOKUP(A70,'Database BOJ'!$A$1:$C$1100,3,FALSE),#N/A)</f>
        <v>0.24378019758455419</v>
      </c>
    </row>
    <row r="71" spans="1:4" x14ac:dyDescent="0.2">
      <c r="A71" s="41">
        <v>37865</v>
      </c>
      <c r="B71" s="18">
        <f>VLOOKUP(A71,'Database BOJ'!$A$1:$C$1100,2,FALSE)</f>
        <v>1339295</v>
      </c>
      <c r="C71" s="29">
        <f>VLOOKUP(A71,'Database BOJ'!$A$1:$D$1100,4,FALSE)</f>
        <v>10219.0498046875</v>
      </c>
      <c r="D71" s="46">
        <f>IFERROR(VLOOKUP(A71,'Database BOJ'!$A$1:$C$1100,2,FALSE)/VLOOKUP(A71,'Database BOJ'!$A$1:$C$1100,3,FALSE),#N/A)</f>
        <v>0.25443148039475877</v>
      </c>
    </row>
    <row r="72" spans="1:4" x14ac:dyDescent="0.2">
      <c r="A72" s="41">
        <v>37895</v>
      </c>
      <c r="B72" s="18">
        <f>VLOOKUP(A72,'Database BOJ'!$A$1:$C$1100,2,FALSE)</f>
        <v>1322521</v>
      </c>
      <c r="C72" s="29">
        <f>VLOOKUP(A72,'Database BOJ'!$A$1:$D$1100,4,FALSE)</f>
        <v>10559.58984375</v>
      </c>
      <c r="D72" s="46">
        <f>IFERROR(VLOOKUP(A72,'Database BOJ'!$A$1:$C$1100,2,FALSE)/VLOOKUP(A72,'Database BOJ'!$A$1:$C$1100,3,FALSE),#N/A)</f>
        <v>0.25124485336177371</v>
      </c>
    </row>
    <row r="73" spans="1:4" x14ac:dyDescent="0.2">
      <c r="A73" s="41">
        <v>37926</v>
      </c>
      <c r="B73" s="18">
        <f>VLOOKUP(A73,'Database BOJ'!$A$1:$C$1100,2,FALSE)</f>
        <v>1347558</v>
      </c>
      <c r="C73" s="29">
        <f>VLOOKUP(A73,'Database BOJ'!$A$1:$D$1100,4,FALSE)</f>
        <v>10100.5703125</v>
      </c>
      <c r="D73" s="46">
        <f>IFERROR(VLOOKUP(A73,'Database BOJ'!$A$1:$C$1100,2,FALSE)/VLOOKUP(A73,'Database BOJ'!$A$1:$C$1100,3,FALSE),#N/A)</f>
        <v>0.25457733008521127</v>
      </c>
    </row>
    <row r="74" spans="1:4" x14ac:dyDescent="0.2">
      <c r="A74" s="41">
        <v>37956</v>
      </c>
      <c r="B74" s="18">
        <f>VLOOKUP(A74,'Database BOJ'!$A$1:$C$1100,2,FALSE)</f>
        <v>1313685</v>
      </c>
      <c r="C74" s="29">
        <f>VLOOKUP(A74,'Database BOJ'!$A$1:$D$1100,4,FALSE)</f>
        <v>10676.6396484375</v>
      </c>
      <c r="D74" s="46">
        <f>IFERROR(VLOOKUP(A74,'Database BOJ'!$A$1:$C$1100,2,FALSE)/VLOOKUP(A74,'Database BOJ'!$A$1:$C$1100,3,FALSE),#N/A)</f>
        <v>0.24817812656152147</v>
      </c>
    </row>
    <row r="75" spans="1:4" x14ac:dyDescent="0.2">
      <c r="A75" s="41">
        <v>37987</v>
      </c>
      <c r="B75" s="18">
        <f>VLOOKUP(A75,'Database BOJ'!$A$1:$C$1100,2,FALSE)</f>
        <v>1354300</v>
      </c>
      <c r="C75" s="29">
        <f>VLOOKUP(A75,'Database BOJ'!$A$1:$D$1100,4,FALSE)</f>
        <v>10783.6103515625</v>
      </c>
      <c r="D75" s="46">
        <f>IFERROR(VLOOKUP(A75,'Database BOJ'!$A$1:$C$1100,2,FALSE)/VLOOKUP(A75,'Database BOJ'!$A$1:$C$1100,3,FALSE),#N/A)</f>
        <v>0.25585101207844235</v>
      </c>
    </row>
    <row r="76" spans="1:4" x14ac:dyDescent="0.2">
      <c r="A76" s="41">
        <v>38018</v>
      </c>
      <c r="B76" s="18">
        <f>VLOOKUP(A76,'Database BOJ'!$A$1:$C$1100,2,FALSE)</f>
        <v>1405509</v>
      </c>
      <c r="C76" s="29">
        <f>VLOOKUP(A76,'Database BOJ'!$A$1:$D$1100,4,FALSE)</f>
        <v>11041.919921875</v>
      </c>
      <c r="D76" s="46">
        <f>IFERROR(VLOOKUP(A76,'Database BOJ'!$A$1:$C$1100,2,FALSE)/VLOOKUP(A76,'Database BOJ'!$A$1:$C$1100,3,FALSE),#N/A)</f>
        <v>0.26635490108830534</v>
      </c>
    </row>
    <row r="77" spans="1:4" x14ac:dyDescent="0.2">
      <c r="A77" s="41">
        <v>38047</v>
      </c>
      <c r="B77" s="18">
        <f>VLOOKUP(A77,'Database BOJ'!$A$1:$C$1100,2,FALSE)</f>
        <v>1493819</v>
      </c>
      <c r="C77" s="29">
        <f>VLOOKUP(A77,'Database BOJ'!$A$1:$D$1100,4,FALSE)</f>
        <v>11715.3896484375</v>
      </c>
      <c r="D77" s="46">
        <f>IFERROR(VLOOKUP(A77,'Database BOJ'!$A$1:$C$1100,2,FALSE)/VLOOKUP(A77,'Database BOJ'!$A$1:$C$1100,3,FALSE),#N/A)</f>
        <v>0.28309033381417775</v>
      </c>
    </row>
    <row r="78" spans="1:4" x14ac:dyDescent="0.2">
      <c r="A78" s="41">
        <v>38078</v>
      </c>
      <c r="B78" s="18">
        <f>VLOOKUP(A78,'Database BOJ'!$A$1:$C$1100,2,FALSE)</f>
        <v>1382514</v>
      </c>
      <c r="C78" s="29">
        <f>VLOOKUP(A78,'Database BOJ'!$A$1:$D$1100,4,FALSE)</f>
        <v>11761.7900390625</v>
      </c>
      <c r="D78" s="46">
        <f>IFERROR(VLOOKUP(A78,'Database BOJ'!$A$1:$C$1100,2,FALSE)/VLOOKUP(A78,'Database BOJ'!$A$1:$C$1100,3,FALSE),#N/A)</f>
        <v>0.26199716951168389</v>
      </c>
    </row>
    <row r="79" spans="1:4" x14ac:dyDescent="0.2">
      <c r="A79" s="41">
        <v>38108</v>
      </c>
      <c r="B79" s="18">
        <f>VLOOKUP(A79,'Database BOJ'!$A$1:$C$1100,2,FALSE)</f>
        <v>1390667</v>
      </c>
      <c r="C79" s="29">
        <f>VLOOKUP(A79,'Database BOJ'!$A$1:$D$1100,4,FALSE)</f>
        <v>11236.3701171875</v>
      </c>
      <c r="D79" s="46">
        <f>IFERROR(VLOOKUP(A79,'Database BOJ'!$A$1:$C$1100,2,FALSE)/VLOOKUP(A79,'Database BOJ'!$A$1:$C$1100,3,FALSE),#N/A)</f>
        <v>0.26214654993984832</v>
      </c>
    </row>
    <row r="80" spans="1:4" x14ac:dyDescent="0.2">
      <c r="A80" s="41">
        <v>38139</v>
      </c>
      <c r="B80" s="18">
        <f>VLOOKUP(A80,'Database BOJ'!$A$1:$C$1100,2,FALSE)</f>
        <v>1347362</v>
      </c>
      <c r="C80" s="29">
        <f>VLOOKUP(A80,'Database BOJ'!$A$1:$D$1100,4,FALSE)</f>
        <v>11858.8701171875</v>
      </c>
      <c r="D80" s="46">
        <f>IFERROR(VLOOKUP(A80,'Database BOJ'!$A$1:$C$1100,2,FALSE)/VLOOKUP(A80,'Database BOJ'!$A$1:$C$1100,3,FALSE),#N/A)</f>
        <v>0.25398337619290162</v>
      </c>
    </row>
    <row r="81" spans="1:4" x14ac:dyDescent="0.2">
      <c r="A81" s="41">
        <v>38169</v>
      </c>
      <c r="B81" s="18">
        <f>VLOOKUP(A81,'Database BOJ'!$A$1:$C$1100,2,FALSE)</f>
        <v>1314783</v>
      </c>
      <c r="C81" s="29">
        <f>VLOOKUP(A81,'Database BOJ'!$A$1:$D$1100,4,FALSE)</f>
        <v>11325.7802734375</v>
      </c>
      <c r="D81" s="46">
        <f>IFERROR(VLOOKUP(A81,'Database BOJ'!$A$1:$C$1100,2,FALSE)/VLOOKUP(A81,'Database BOJ'!$A$1:$C$1100,3,FALSE),#N/A)</f>
        <v>0.24784209833810941</v>
      </c>
    </row>
    <row r="82" spans="1:4" x14ac:dyDescent="0.2">
      <c r="A82" s="41">
        <v>38200</v>
      </c>
      <c r="B82" s="18">
        <f>VLOOKUP(A82,'Database BOJ'!$A$1:$C$1100,2,FALSE)</f>
        <v>1382251</v>
      </c>
      <c r="C82" s="29">
        <f>VLOOKUP(A82,'Database BOJ'!$A$1:$D$1100,4,FALSE)</f>
        <v>11081.7900390625</v>
      </c>
      <c r="D82" s="46">
        <f>IFERROR(VLOOKUP(A82,'Database BOJ'!$A$1:$C$1100,2,FALSE)/VLOOKUP(A82,'Database BOJ'!$A$1:$C$1100,3,FALSE),#N/A)</f>
        <v>0.26086576609458989</v>
      </c>
    </row>
    <row r="83" spans="1:4" x14ac:dyDescent="0.2">
      <c r="A83" s="41">
        <v>38231</v>
      </c>
      <c r="B83" s="18">
        <f>VLOOKUP(A83,'Database BOJ'!$A$1:$C$1100,2,FALSE)</f>
        <v>1394564</v>
      </c>
      <c r="C83" s="29">
        <f>VLOOKUP(A83,'Database BOJ'!$A$1:$D$1100,4,FALSE)</f>
        <v>10823.5703125</v>
      </c>
      <c r="D83" s="46">
        <f>IFERROR(VLOOKUP(A83,'Database BOJ'!$A$1:$C$1100,2,FALSE)/VLOOKUP(A83,'Database BOJ'!$A$1:$C$1100,3,FALSE),#N/A)</f>
        <v>0.26318954099359354</v>
      </c>
    </row>
    <row r="84" spans="1:4" x14ac:dyDescent="0.2">
      <c r="A84" s="41">
        <v>38261</v>
      </c>
      <c r="B84" s="18">
        <f>VLOOKUP(A84,'Database BOJ'!$A$1:$C$1100,2,FALSE)</f>
        <v>1384015</v>
      </c>
      <c r="C84" s="29">
        <f>VLOOKUP(A84,'Database BOJ'!$A$1:$D$1100,4,FALSE)</f>
        <v>10771.419921875</v>
      </c>
      <c r="D84" s="46">
        <f>IFERROR(VLOOKUP(A84,'Database BOJ'!$A$1:$C$1100,2,FALSE)/VLOOKUP(A84,'Database BOJ'!$A$1:$C$1100,3,FALSE),#N/A)</f>
        <v>0.26119867756391846</v>
      </c>
    </row>
    <row r="85" spans="1:4" x14ac:dyDescent="0.2">
      <c r="A85" s="41">
        <v>38292</v>
      </c>
      <c r="B85" s="18">
        <f>VLOOKUP(A85,'Database BOJ'!$A$1:$C$1100,2,FALSE)</f>
        <v>1478802</v>
      </c>
      <c r="C85" s="29">
        <f>VLOOKUP(A85,'Database BOJ'!$A$1:$D$1100,4,FALSE)</f>
        <v>10899.25</v>
      </c>
      <c r="D85" s="46">
        <f>IFERROR(VLOOKUP(A85,'Database BOJ'!$A$1:$C$1100,2,FALSE)/VLOOKUP(A85,'Database BOJ'!$A$1:$C$1100,3,FALSE),#N/A)</f>
        <v>0.27907448096802556</v>
      </c>
    </row>
    <row r="86" spans="1:4" x14ac:dyDescent="0.2">
      <c r="A86" s="41">
        <v>38322</v>
      </c>
      <c r="B86" s="18">
        <f>VLOOKUP(A86,'Database BOJ'!$A$1:$C$1100,2,FALSE)</f>
        <v>1445467</v>
      </c>
      <c r="C86" s="29">
        <f>VLOOKUP(A86,'Database BOJ'!$A$1:$D$1100,4,FALSE)</f>
        <v>11488.759765625</v>
      </c>
      <c r="D86" s="46">
        <f>IFERROR(VLOOKUP(A86,'Database BOJ'!$A$1:$C$1100,2,FALSE)/VLOOKUP(A86,'Database BOJ'!$A$1:$C$1100,3,FALSE),#N/A)</f>
        <v>0.27278361320948241</v>
      </c>
    </row>
    <row r="87" spans="1:4" x14ac:dyDescent="0.2">
      <c r="A87" s="41">
        <v>38353</v>
      </c>
      <c r="B87" s="18">
        <f>VLOOKUP(A87,'Database BOJ'!$A$1:$C$1100,2,FALSE)</f>
        <v>1473561</v>
      </c>
      <c r="C87" s="29">
        <f>VLOOKUP(A87,'Database BOJ'!$A$1:$D$1100,4,FALSE)</f>
        <v>11387.58984375</v>
      </c>
      <c r="D87" s="46">
        <f>IFERROR(VLOOKUP(A87,'Database BOJ'!$A$1:$C$1100,2,FALSE)/VLOOKUP(A87,'Database BOJ'!$A$1:$C$1100,3,FALSE),#N/A)</f>
        <v>0.27808541728353403</v>
      </c>
    </row>
    <row r="88" spans="1:4" x14ac:dyDescent="0.2">
      <c r="A88" s="41">
        <v>38384</v>
      </c>
      <c r="B88" s="18">
        <f>VLOOKUP(A88,'Database BOJ'!$A$1:$C$1100,2,FALSE)</f>
        <v>1514085</v>
      </c>
      <c r="C88" s="29">
        <f>VLOOKUP(A88,'Database BOJ'!$A$1:$D$1100,4,FALSE)</f>
        <v>11740.599609375</v>
      </c>
      <c r="D88" s="46">
        <f>IFERROR(VLOOKUP(A88,'Database BOJ'!$A$1:$C$1100,2,FALSE)/VLOOKUP(A88,'Database BOJ'!$A$1:$C$1100,3,FALSE),#N/A)</f>
        <v>0.28493327685171299</v>
      </c>
    </row>
    <row r="89" spans="1:4" x14ac:dyDescent="0.2">
      <c r="A89" s="41">
        <v>38412</v>
      </c>
      <c r="B89" s="18">
        <f>VLOOKUP(A89,'Database BOJ'!$A$1:$C$1100,2,FALSE)</f>
        <v>1505173</v>
      </c>
      <c r="C89" s="29">
        <f>VLOOKUP(A89,'Database BOJ'!$A$1:$D$1100,4,FALSE)</f>
        <v>11668.9501953125</v>
      </c>
      <c r="D89" s="46">
        <f>IFERROR(VLOOKUP(A89,'Database BOJ'!$A$1:$C$1100,2,FALSE)/VLOOKUP(A89,'Database BOJ'!$A$1:$C$1100,3,FALSE),#N/A)</f>
        <v>0.28325614157641305</v>
      </c>
    </row>
    <row r="90" spans="1:4" x14ac:dyDescent="0.2">
      <c r="A90" s="41">
        <v>38443</v>
      </c>
      <c r="B90" s="18">
        <f>VLOOKUP(A90,'Database BOJ'!$A$1:$C$1100,2,FALSE)</f>
        <v>1473513</v>
      </c>
      <c r="C90" s="29">
        <f>VLOOKUP(A90,'Database BOJ'!$A$1:$D$1100,4,FALSE)</f>
        <v>11008.900390625</v>
      </c>
      <c r="D90" s="46">
        <f>IFERROR(VLOOKUP(A90,'Database BOJ'!$A$1:$C$1100,2,FALSE)/VLOOKUP(A90,'Database BOJ'!$A$1:$C$1100,3,FALSE),#N/A)</f>
        <v>0.27729809592829868</v>
      </c>
    </row>
    <row r="91" spans="1:4" x14ac:dyDescent="0.2">
      <c r="A91" s="41">
        <v>38473</v>
      </c>
      <c r="B91" s="18">
        <f>VLOOKUP(A91,'Database BOJ'!$A$1:$C$1100,2,FALSE)</f>
        <v>1477619</v>
      </c>
      <c r="C91" s="29">
        <f>VLOOKUP(A91,'Database BOJ'!$A$1:$D$1100,4,FALSE)</f>
        <v>11276.58984375</v>
      </c>
      <c r="D91" s="46">
        <f>IFERROR(VLOOKUP(A91,'Database BOJ'!$A$1:$C$1100,2,FALSE)/VLOOKUP(A91,'Database BOJ'!$A$1:$C$1100,3,FALSE),#N/A)</f>
        <v>0.27636946171679416</v>
      </c>
    </row>
    <row r="92" spans="1:4" x14ac:dyDescent="0.2">
      <c r="A92" s="41">
        <v>38504</v>
      </c>
      <c r="B92" s="18">
        <f>VLOOKUP(A92,'Database BOJ'!$A$1:$C$1100,2,FALSE)</f>
        <v>1442122</v>
      </c>
      <c r="C92" s="29">
        <f>VLOOKUP(A92,'Database BOJ'!$A$1:$D$1100,4,FALSE)</f>
        <v>11584.009765625</v>
      </c>
      <c r="D92" s="46">
        <f>IFERROR(VLOOKUP(A92,'Database BOJ'!$A$1:$C$1100,2,FALSE)/VLOOKUP(A92,'Database BOJ'!$A$1:$C$1100,3,FALSE),#N/A)</f>
        <v>0.26973020844341239</v>
      </c>
    </row>
    <row r="93" spans="1:4" x14ac:dyDescent="0.2">
      <c r="A93" s="41">
        <v>38534</v>
      </c>
      <c r="B93" s="18">
        <f>VLOOKUP(A93,'Database BOJ'!$A$1:$C$1100,2,FALSE)</f>
        <v>1476503</v>
      </c>
      <c r="C93" s="29">
        <f>VLOOKUP(A93,'Database BOJ'!$A$1:$D$1100,4,FALSE)</f>
        <v>11899.599609375</v>
      </c>
      <c r="D93" s="46">
        <f>IFERROR(VLOOKUP(A93,'Database BOJ'!$A$1:$C$1100,2,FALSE)/VLOOKUP(A93,'Database BOJ'!$A$1:$C$1100,3,FALSE),#N/A)</f>
        <v>0.27616072839698985</v>
      </c>
    </row>
    <row r="94" spans="1:4" x14ac:dyDescent="0.2">
      <c r="A94" s="41">
        <v>38565</v>
      </c>
      <c r="B94" s="18">
        <f>VLOOKUP(A94,'Database BOJ'!$A$1:$C$1100,2,FALSE)</f>
        <v>1513847</v>
      </c>
      <c r="C94" s="29">
        <f>VLOOKUP(A94,'Database BOJ'!$A$1:$D$1100,4,FALSE)</f>
        <v>12413.599609375</v>
      </c>
      <c r="D94" s="46">
        <f>IFERROR(VLOOKUP(A94,'Database BOJ'!$A$1:$C$1100,2,FALSE)/VLOOKUP(A94,'Database BOJ'!$A$1:$C$1100,3,FALSE),#N/A)</f>
        <v>0.28314580976663734</v>
      </c>
    </row>
    <row r="95" spans="1:4" x14ac:dyDescent="0.2">
      <c r="A95" s="41">
        <v>38596</v>
      </c>
      <c r="B95" s="18">
        <f>VLOOKUP(A95,'Database BOJ'!$A$1:$C$1100,2,FALSE)</f>
        <v>1481357</v>
      </c>
      <c r="C95" s="29">
        <f>VLOOKUP(A95,'Database BOJ'!$A$1:$D$1100,4,FALSE)</f>
        <v>13574.2998046875</v>
      </c>
      <c r="D95" s="46">
        <f>IFERROR(VLOOKUP(A95,'Database BOJ'!$A$1:$C$1100,2,FALSE)/VLOOKUP(A95,'Database BOJ'!$A$1:$C$1100,3,FALSE),#N/A)</f>
        <v>0.27706896887101312</v>
      </c>
    </row>
    <row r="96" spans="1:4" x14ac:dyDescent="0.2">
      <c r="A96" s="41">
        <v>38626</v>
      </c>
      <c r="B96" s="18">
        <f>VLOOKUP(A96,'Database BOJ'!$A$1:$C$1100,2,FALSE)</f>
        <v>1477546</v>
      </c>
      <c r="C96" s="29">
        <f>VLOOKUP(A96,'Database BOJ'!$A$1:$D$1100,4,FALSE)</f>
        <v>13606.5</v>
      </c>
      <c r="D96" s="46">
        <f>IFERROR(VLOOKUP(A96,'Database BOJ'!$A$1:$C$1100,2,FALSE)/VLOOKUP(A96,'Database BOJ'!$A$1:$C$1100,3,FALSE),#N/A)</f>
        <v>0.27635616983582617</v>
      </c>
    </row>
    <row r="97" spans="1:4" x14ac:dyDescent="0.2">
      <c r="A97" s="41">
        <v>38657</v>
      </c>
      <c r="B97" s="18">
        <f>VLOOKUP(A97,'Database BOJ'!$A$1:$C$1100,2,FALSE)</f>
        <v>1519701</v>
      </c>
      <c r="C97" s="29">
        <f>VLOOKUP(A97,'Database BOJ'!$A$1:$D$1100,4,FALSE)</f>
        <v>14872.150390625</v>
      </c>
      <c r="D97" s="46">
        <f>IFERROR(VLOOKUP(A97,'Database BOJ'!$A$1:$C$1100,2,FALSE)/VLOOKUP(A97,'Database BOJ'!$A$1:$C$1100,3,FALSE),#N/A)</f>
        <v>0.28432889855132115</v>
      </c>
    </row>
    <row r="98" spans="1:4" x14ac:dyDescent="0.2">
      <c r="A98" s="41">
        <v>38687</v>
      </c>
      <c r="B98" s="18">
        <f>VLOOKUP(A98,'Database BOJ'!$A$1:$C$1100,2,FALSE)</f>
        <v>1556071</v>
      </c>
      <c r="C98" s="29">
        <f>VLOOKUP(A98,'Database BOJ'!$A$1:$D$1100,4,FALSE)</f>
        <v>16111.4296875</v>
      </c>
      <c r="D98" s="46">
        <f>IFERROR(VLOOKUP(A98,'Database BOJ'!$A$1:$C$1100,2,FALSE)/VLOOKUP(A98,'Database BOJ'!$A$1:$C$1100,3,FALSE),#N/A)</f>
        <v>0.29113355423050513</v>
      </c>
    </row>
    <row r="99" spans="1:4" x14ac:dyDescent="0.2">
      <c r="A99" s="41">
        <v>38718</v>
      </c>
      <c r="B99" s="18">
        <f>VLOOKUP(A99,'Database BOJ'!$A$1:$C$1100,2,FALSE)</f>
        <v>1528656</v>
      </c>
      <c r="C99" s="29">
        <f>VLOOKUP(A99,'Database BOJ'!$A$1:$D$1100,4,FALSE)</f>
        <v>16649.8203125</v>
      </c>
      <c r="D99" s="46">
        <f>IFERROR(VLOOKUP(A99,'Database BOJ'!$A$1:$C$1100,2,FALSE)/VLOOKUP(A99,'Database BOJ'!$A$1:$C$1100,3,FALSE),#N/A)</f>
        <v>0.28600433686881066</v>
      </c>
    </row>
    <row r="100" spans="1:4" x14ac:dyDescent="0.2">
      <c r="A100" s="41">
        <v>38749</v>
      </c>
      <c r="B100" s="18">
        <f>VLOOKUP(A100,'Database BOJ'!$A$1:$C$1100,2,FALSE)</f>
        <v>1523477</v>
      </c>
      <c r="C100" s="29">
        <f>VLOOKUP(A100,'Database BOJ'!$A$1:$D$1100,4,FALSE)</f>
        <v>16205.4296875</v>
      </c>
      <c r="D100" s="46">
        <f>IFERROR(VLOOKUP(A100,'Database BOJ'!$A$1:$C$1100,2,FALSE)/VLOOKUP(A100,'Database BOJ'!$A$1:$C$1100,3,FALSE),#N/A)</f>
        <v>0.28523020681234001</v>
      </c>
    </row>
    <row r="101" spans="1:4" x14ac:dyDescent="0.2">
      <c r="A101" s="41">
        <v>38777</v>
      </c>
      <c r="B101" s="18">
        <f>VLOOKUP(A101,'Database BOJ'!$A$1:$C$1100,2,FALSE)</f>
        <v>1448629</v>
      </c>
      <c r="C101" s="29">
        <f>VLOOKUP(A101,'Database BOJ'!$A$1:$D$1100,4,FALSE)</f>
        <v>17059.66015625</v>
      </c>
      <c r="D101" s="46">
        <f>IFERROR(VLOOKUP(A101,'Database BOJ'!$A$1:$C$1100,2,FALSE)/VLOOKUP(A101,'Database BOJ'!$A$1:$C$1100,3,FALSE),#N/A)</f>
        <v>0.27121692632337302</v>
      </c>
    </row>
    <row r="102" spans="1:4" x14ac:dyDescent="0.2">
      <c r="A102" s="41">
        <v>38808</v>
      </c>
      <c r="B102" s="18">
        <f>VLOOKUP(A102,'Database BOJ'!$A$1:$C$1100,2,FALSE)</f>
        <v>1299799</v>
      </c>
      <c r="C102" s="29">
        <f>VLOOKUP(A102,'Database BOJ'!$A$1:$D$1100,4,FALSE)</f>
        <v>16906.23046875</v>
      </c>
      <c r="D102" s="46">
        <f>IFERROR(VLOOKUP(A102,'Database BOJ'!$A$1:$C$1100,2,FALSE)/VLOOKUP(A102,'Database BOJ'!$A$1:$C$1100,3,FALSE),#N/A)</f>
        <v>0.24335250061830455</v>
      </c>
    </row>
    <row r="103" spans="1:4" x14ac:dyDescent="0.2">
      <c r="A103" s="41">
        <v>38838</v>
      </c>
      <c r="B103" s="18">
        <f>VLOOKUP(A103,'Database BOJ'!$A$1:$C$1100,2,FALSE)</f>
        <v>1227935</v>
      </c>
      <c r="C103" s="29">
        <f>VLOOKUP(A103,'Database BOJ'!$A$1:$D$1100,4,FALSE)</f>
        <v>15467.330078125</v>
      </c>
      <c r="D103" s="46">
        <f>IFERROR(VLOOKUP(A103,'Database BOJ'!$A$1:$C$1100,2,FALSE)/VLOOKUP(A103,'Database BOJ'!$A$1:$C$1100,3,FALSE),#N/A)</f>
        <v>0.23064750012209187</v>
      </c>
    </row>
    <row r="104" spans="1:4" x14ac:dyDescent="0.2">
      <c r="A104" s="41">
        <v>38869</v>
      </c>
      <c r="B104" s="18">
        <f>VLOOKUP(A104,'Database BOJ'!$A$1:$C$1100,2,FALSE)</f>
        <v>1138328</v>
      </c>
      <c r="C104" s="29">
        <f>VLOOKUP(A104,'Database BOJ'!$A$1:$D$1100,4,FALSE)</f>
        <v>15505.1796875</v>
      </c>
      <c r="D104" s="46">
        <f>IFERROR(VLOOKUP(A104,'Database BOJ'!$A$1:$C$1100,2,FALSE)/VLOOKUP(A104,'Database BOJ'!$A$1:$C$1100,3,FALSE),#N/A)</f>
        <v>0.21381629118722131</v>
      </c>
    </row>
    <row r="105" spans="1:4" x14ac:dyDescent="0.2">
      <c r="A105" s="41">
        <v>38899</v>
      </c>
      <c r="B105" s="18">
        <f>VLOOKUP(A105,'Database BOJ'!$A$1:$C$1100,2,FALSE)</f>
        <v>1159675</v>
      </c>
      <c r="C105" s="29">
        <f>VLOOKUP(A105,'Database BOJ'!$A$1:$D$1100,4,FALSE)</f>
        <v>15456.8095703125</v>
      </c>
      <c r="D105" s="46">
        <f>IFERROR(VLOOKUP(A105,'Database BOJ'!$A$1:$C$1100,2,FALSE)/VLOOKUP(A105,'Database BOJ'!$A$1:$C$1100,3,FALSE),#N/A)</f>
        <v>0.21782597588967403</v>
      </c>
    </row>
    <row r="106" spans="1:4" x14ac:dyDescent="0.2">
      <c r="A106" s="41">
        <v>38930</v>
      </c>
      <c r="B106" s="18">
        <f>VLOOKUP(A106,'Database BOJ'!$A$1:$C$1100,2,FALSE)</f>
        <v>1132672</v>
      </c>
      <c r="C106" s="29">
        <f>VLOOKUP(A106,'Database BOJ'!$A$1:$D$1100,4,FALSE)</f>
        <v>16140.759765625</v>
      </c>
      <c r="D106" s="46">
        <f>IFERROR(VLOOKUP(A106,'Database BOJ'!$A$1:$C$1100,2,FALSE)/VLOOKUP(A106,'Database BOJ'!$A$1:$C$1100,3,FALSE),#N/A)</f>
        <v>0.20987622981301896</v>
      </c>
    </row>
    <row r="107" spans="1:4" x14ac:dyDescent="0.2">
      <c r="A107" s="41">
        <v>38961</v>
      </c>
      <c r="B107" s="18">
        <f>VLOOKUP(A107,'Database BOJ'!$A$1:$C$1100,2,FALSE)</f>
        <v>1174523</v>
      </c>
      <c r="C107" s="29">
        <f>VLOOKUP(A107,'Database BOJ'!$A$1:$D$1100,4,FALSE)</f>
        <v>16127.580078125</v>
      </c>
      <c r="D107" s="46">
        <f>IFERROR(VLOOKUP(A107,'Database BOJ'!$A$1:$C$1100,2,FALSE)/VLOOKUP(A107,'Database BOJ'!$A$1:$C$1100,3,FALSE),#N/A)</f>
        <v>0.21763092852006269</v>
      </c>
    </row>
    <row r="108" spans="1:4" x14ac:dyDescent="0.2">
      <c r="A108" s="41">
        <v>38991</v>
      </c>
      <c r="B108" s="18">
        <f>VLOOKUP(A108,'Database BOJ'!$A$1:$C$1100,2,FALSE)</f>
        <v>1151993</v>
      </c>
      <c r="C108" s="29">
        <f>VLOOKUP(A108,'Database BOJ'!$A$1:$D$1100,4,FALSE)</f>
        <v>16399.390625</v>
      </c>
      <c r="D108" s="46">
        <f>IFERROR(VLOOKUP(A108,'Database BOJ'!$A$1:$C$1100,2,FALSE)/VLOOKUP(A108,'Database BOJ'!$A$1:$C$1100,3,FALSE),#N/A)</f>
        <v>0.21345627649574558</v>
      </c>
    </row>
    <row r="109" spans="1:4" x14ac:dyDescent="0.2">
      <c r="A109" s="41">
        <v>39022</v>
      </c>
      <c r="B109" s="18">
        <f>VLOOKUP(A109,'Database BOJ'!$A$1:$C$1100,2,FALSE)</f>
        <v>1185414</v>
      </c>
      <c r="C109" s="29">
        <f>VLOOKUP(A109,'Database BOJ'!$A$1:$D$1100,4,FALSE)</f>
        <v>16274.330078125</v>
      </c>
      <c r="D109" s="46">
        <f>IFERROR(VLOOKUP(A109,'Database BOJ'!$A$1:$C$1100,2,FALSE)/VLOOKUP(A109,'Database BOJ'!$A$1:$C$1100,3,FALSE),#N/A)</f>
        <v>0.21875897913436024</v>
      </c>
    </row>
    <row r="110" spans="1:4" x14ac:dyDescent="0.2">
      <c r="A110" s="41">
        <v>39052</v>
      </c>
      <c r="B110" s="18">
        <f>VLOOKUP(A110,'Database BOJ'!$A$1:$C$1100,2,FALSE)</f>
        <v>1155436</v>
      </c>
      <c r="C110" s="29">
        <f>VLOOKUP(A110,'Database BOJ'!$A$1:$D$1100,4,FALSE)</f>
        <v>17225.830078125</v>
      </c>
      <c r="D110" s="46">
        <f>IFERROR(VLOOKUP(A110,'Database BOJ'!$A$1:$C$1100,2,FALSE)/VLOOKUP(A110,'Database BOJ'!$A$1:$C$1100,3,FALSE),#N/A)</f>
        <v>0.2132267712504565</v>
      </c>
    </row>
    <row r="111" spans="1:4" x14ac:dyDescent="0.2">
      <c r="A111" s="41">
        <v>39083</v>
      </c>
      <c r="B111" s="18">
        <f>VLOOKUP(A111,'Database BOJ'!$A$1:$C$1100,2,FALSE)</f>
        <v>1146223</v>
      </c>
      <c r="C111" s="29">
        <f>VLOOKUP(A111,'Database BOJ'!$A$1:$D$1100,4,FALSE)</f>
        <v>17383.419921875</v>
      </c>
      <c r="D111" s="46">
        <f>IFERROR(VLOOKUP(A111,'Database BOJ'!$A$1:$C$1100,2,FALSE)/VLOOKUP(A111,'Database BOJ'!$A$1:$C$1100,3,FALSE),#N/A)</f>
        <v>0.21152658340488958</v>
      </c>
    </row>
    <row r="112" spans="1:4" x14ac:dyDescent="0.2">
      <c r="A112" s="41">
        <v>39114</v>
      </c>
      <c r="B112" s="18">
        <f>VLOOKUP(A112,'Database BOJ'!$A$1:$C$1100,2,FALSE)</f>
        <v>1176947</v>
      </c>
      <c r="C112" s="29">
        <f>VLOOKUP(A112,'Database BOJ'!$A$1:$D$1100,4,FALSE)</f>
        <v>17604.119140625</v>
      </c>
      <c r="D112" s="46">
        <f>IFERROR(VLOOKUP(A112,'Database BOJ'!$A$1:$C$1100,2,FALSE)/VLOOKUP(A112,'Database BOJ'!$A$1:$C$1100,3,FALSE),#N/A)</f>
        <v>0.21704225396267479</v>
      </c>
    </row>
    <row r="113" spans="1:4" x14ac:dyDescent="0.2">
      <c r="A113" s="41">
        <v>39142</v>
      </c>
      <c r="B113" s="18">
        <f>VLOOKUP(A113,'Database BOJ'!$A$1:$C$1100,2,FALSE)</f>
        <v>1127409</v>
      </c>
      <c r="C113" s="29">
        <f>VLOOKUP(A113,'Database BOJ'!$A$1:$D$1100,4,FALSE)</f>
        <v>17287.650390625</v>
      </c>
      <c r="D113" s="46">
        <f>IFERROR(VLOOKUP(A113,'Database BOJ'!$A$1:$C$1100,2,FALSE)/VLOOKUP(A113,'Database BOJ'!$A$1:$C$1100,3,FALSE),#N/A)</f>
        <v>0.2079068900280176</v>
      </c>
    </row>
    <row r="114" spans="1:4" x14ac:dyDescent="0.2">
      <c r="A114" s="41">
        <v>39173</v>
      </c>
      <c r="B114" s="18">
        <f>VLOOKUP(A114,'Database BOJ'!$A$1:$C$1100,2,FALSE)</f>
        <v>1060053</v>
      </c>
      <c r="C114" s="29">
        <f>VLOOKUP(A114,'Database BOJ'!$A$1:$D$1100,4,FALSE)</f>
        <v>17400.41015625</v>
      </c>
      <c r="D114" s="46">
        <f>IFERROR(VLOOKUP(A114,'Database BOJ'!$A$1:$C$1100,2,FALSE)/VLOOKUP(A114,'Database BOJ'!$A$1:$C$1100,3,FALSE),#N/A)</f>
        <v>0.19548568664510407</v>
      </c>
    </row>
    <row r="115" spans="1:4" x14ac:dyDescent="0.2">
      <c r="A115" s="41">
        <v>39203</v>
      </c>
      <c r="B115" s="18">
        <f>VLOOKUP(A115,'Database BOJ'!$A$1:$C$1100,2,FALSE)</f>
        <v>1075105</v>
      </c>
      <c r="C115" s="29">
        <f>VLOOKUP(A115,'Database BOJ'!$A$1:$D$1100,4,FALSE)</f>
        <v>17875.75</v>
      </c>
      <c r="D115" s="46">
        <f>IFERROR(VLOOKUP(A115,'Database BOJ'!$A$1:$C$1100,2,FALSE)/VLOOKUP(A115,'Database BOJ'!$A$1:$C$1100,3,FALSE),#N/A)</f>
        <v>0.200320481467507</v>
      </c>
    </row>
    <row r="116" spans="1:4" x14ac:dyDescent="0.2">
      <c r="A116" s="41">
        <v>39234</v>
      </c>
      <c r="B116" s="18">
        <f>VLOOKUP(A116,'Database BOJ'!$A$1:$C$1100,2,FALSE)</f>
        <v>1000712</v>
      </c>
      <c r="C116" s="29">
        <f>VLOOKUP(A116,'Database BOJ'!$A$1:$D$1100,4,FALSE)</f>
        <v>18138.359375</v>
      </c>
      <c r="D116" s="46">
        <f>IFERROR(VLOOKUP(A116,'Database BOJ'!$A$1:$C$1100,2,FALSE)/VLOOKUP(A116,'Database BOJ'!$A$1:$C$1100,3,FALSE),#N/A)</f>
        <v>0.1864590990185255</v>
      </c>
    </row>
    <row r="117" spans="1:4" x14ac:dyDescent="0.2">
      <c r="A117" s="41">
        <v>39264</v>
      </c>
      <c r="B117" s="18">
        <f>VLOOKUP(A117,'Database BOJ'!$A$1:$C$1100,2,FALSE)</f>
        <v>1077171</v>
      </c>
      <c r="C117" s="29">
        <f>VLOOKUP(A117,'Database BOJ'!$A$1:$D$1100,4,FALSE)</f>
        <v>17248.890625</v>
      </c>
      <c r="D117" s="46">
        <f>IFERROR(VLOOKUP(A117,'Database BOJ'!$A$1:$C$1100,2,FALSE)/VLOOKUP(A117,'Database BOJ'!$A$1:$C$1100,3,FALSE),#N/A)</f>
        <v>0.20070543188138459</v>
      </c>
    </row>
    <row r="118" spans="1:4" x14ac:dyDescent="0.2">
      <c r="A118" s="41">
        <v>39295</v>
      </c>
      <c r="B118" s="18">
        <f>VLOOKUP(A118,'Database BOJ'!$A$1:$C$1100,2,FALSE)</f>
        <v>1107917</v>
      </c>
      <c r="C118" s="29">
        <f>VLOOKUP(A118,'Database BOJ'!$A$1:$D$1100,4,FALSE)</f>
        <v>16569.08984375</v>
      </c>
      <c r="D118" s="46">
        <f>IFERROR(VLOOKUP(A118,'Database BOJ'!$A$1:$C$1100,2,FALSE)/VLOOKUP(A118,'Database BOJ'!$A$1:$C$1100,3,FALSE),#N/A)</f>
        <v>0.20652985213740857</v>
      </c>
    </row>
    <row r="119" spans="1:4" x14ac:dyDescent="0.2">
      <c r="A119" s="41">
        <v>39326</v>
      </c>
      <c r="B119" s="18">
        <f>VLOOKUP(A119,'Database BOJ'!$A$1:$C$1100,2,FALSE)</f>
        <v>1110324</v>
      </c>
      <c r="C119" s="29">
        <f>VLOOKUP(A119,'Database BOJ'!$A$1:$D$1100,4,FALSE)</f>
        <v>16785.689453125</v>
      </c>
      <c r="D119" s="46">
        <f>IFERROR(VLOOKUP(A119,'Database BOJ'!$A$1:$C$1100,2,FALSE)/VLOOKUP(A119,'Database BOJ'!$A$1:$C$1100,3,FALSE),#N/A)</f>
        <v>0.20697854762100051</v>
      </c>
    </row>
    <row r="120" spans="1:4" x14ac:dyDescent="0.2">
      <c r="A120" s="41">
        <v>39356</v>
      </c>
      <c r="B120" s="18">
        <f>VLOOKUP(A120,'Database BOJ'!$A$1:$C$1100,2,FALSE)</f>
        <v>1073472</v>
      </c>
      <c r="C120" s="29">
        <f>VLOOKUP(A120,'Database BOJ'!$A$1:$D$1100,4,FALSE)</f>
        <v>16737.630859375</v>
      </c>
      <c r="D120" s="46">
        <f>IFERROR(VLOOKUP(A120,'Database BOJ'!$A$1:$C$1100,2,FALSE)/VLOOKUP(A120,'Database BOJ'!$A$1:$C$1100,3,FALSE),#N/A)</f>
        <v>0.20010886504462722</v>
      </c>
    </row>
    <row r="121" spans="1:4" x14ac:dyDescent="0.2">
      <c r="A121" s="41">
        <v>39387</v>
      </c>
      <c r="B121" s="18">
        <f>VLOOKUP(A121,'Database BOJ'!$A$1:$C$1100,2,FALSE)</f>
        <v>1114939</v>
      </c>
      <c r="C121" s="29">
        <f>VLOOKUP(A121,'Database BOJ'!$A$1:$D$1100,4,FALSE)</f>
        <v>15680.669921875</v>
      </c>
      <c r="D121" s="46">
        <f>IFERROR(VLOOKUP(A121,'Database BOJ'!$A$1:$C$1100,2,FALSE)/VLOOKUP(A121,'Database BOJ'!$A$1:$C$1100,3,FALSE),#N/A)</f>
        <v>0.20744679861377024</v>
      </c>
    </row>
    <row r="122" spans="1:4" x14ac:dyDescent="0.2">
      <c r="A122" s="41">
        <v>39417</v>
      </c>
      <c r="B122" s="18">
        <f>VLOOKUP(A122,'Database BOJ'!$A$1:$C$1100,2,FALSE)</f>
        <v>1112844</v>
      </c>
      <c r="C122" s="29">
        <f>VLOOKUP(A122,'Database BOJ'!$A$1:$D$1100,4,FALSE)</f>
        <v>15307.7802734375</v>
      </c>
      <c r="D122" s="46">
        <f>IFERROR(VLOOKUP(A122,'Database BOJ'!$A$1:$C$1100,2,FALSE)/VLOOKUP(A122,'Database BOJ'!$A$1:$C$1100,3,FALSE),#N/A)</f>
        <v>0.20705700056823065</v>
      </c>
    </row>
    <row r="123" spans="1:4" x14ac:dyDescent="0.2">
      <c r="A123" s="41">
        <v>39448</v>
      </c>
      <c r="B123" s="18">
        <f>VLOOKUP(A123,'Database BOJ'!$A$1:$C$1100,2,FALSE)</f>
        <v>1130604</v>
      </c>
      <c r="C123" s="29">
        <f>VLOOKUP(A123,'Database BOJ'!$A$1:$D$1100,4,FALSE)</f>
        <v>13592.4697265625</v>
      </c>
      <c r="D123" s="46">
        <f>IFERROR(VLOOKUP(A123,'Database BOJ'!$A$1:$C$1100,2,FALSE)/VLOOKUP(A123,'Database BOJ'!$A$1:$C$1100,3,FALSE),#N/A)</f>
        <v>0.21036144605213655</v>
      </c>
    </row>
    <row r="124" spans="1:4" x14ac:dyDescent="0.2">
      <c r="A124" s="41">
        <v>39479</v>
      </c>
      <c r="B124" s="18">
        <f>VLOOKUP(A124,'Database BOJ'!$A$1:$C$1100,2,FALSE)</f>
        <v>1142477</v>
      </c>
      <c r="C124" s="29">
        <f>VLOOKUP(A124,'Database BOJ'!$A$1:$D$1100,4,FALSE)</f>
        <v>13603.01953125</v>
      </c>
      <c r="D124" s="46">
        <f>IFERROR(VLOOKUP(A124,'Database BOJ'!$A$1:$C$1100,2,FALSE)/VLOOKUP(A124,'Database BOJ'!$A$1:$C$1100,3,FALSE),#N/A)</f>
        <v>0.21397950138120228</v>
      </c>
    </row>
    <row r="125" spans="1:4" x14ac:dyDescent="0.2">
      <c r="A125" s="41">
        <v>39508</v>
      </c>
      <c r="B125" s="18">
        <f>VLOOKUP(A125,'Database BOJ'!$A$1:$C$1100,2,FALSE)</f>
        <v>1134262</v>
      </c>
      <c r="C125" s="29">
        <f>VLOOKUP(A125,'Database BOJ'!$A$1:$D$1100,4,FALSE)</f>
        <v>12525.5400390625</v>
      </c>
      <c r="D125" s="46">
        <f>IFERROR(VLOOKUP(A125,'Database BOJ'!$A$1:$C$1100,2,FALSE)/VLOOKUP(A125,'Database BOJ'!$A$1:$C$1100,3,FALSE),#N/A)</f>
        <v>0.21244087819329865</v>
      </c>
    </row>
    <row r="126" spans="1:4" x14ac:dyDescent="0.2">
      <c r="A126" s="41">
        <v>39539</v>
      </c>
      <c r="B126" s="18">
        <f>VLOOKUP(A126,'Database BOJ'!$A$1:$C$1100,2,FALSE)</f>
        <v>1072225</v>
      </c>
      <c r="C126" s="29">
        <f>VLOOKUP(A126,'Database BOJ'!$A$1:$D$1100,4,FALSE)</f>
        <v>13849.990234375</v>
      </c>
      <c r="D126" s="46">
        <f>IFERROR(VLOOKUP(A126,'Database BOJ'!$A$1:$C$1100,2,FALSE)/VLOOKUP(A126,'Database BOJ'!$A$1:$C$1100,3,FALSE),#N/A)</f>
        <v>0.2008216978271419</v>
      </c>
    </row>
    <row r="127" spans="1:4" x14ac:dyDescent="0.2">
      <c r="A127" s="41">
        <v>39569</v>
      </c>
      <c r="B127" s="18">
        <f>VLOOKUP(A127,'Database BOJ'!$A$1:$C$1100,2,FALSE)</f>
        <v>1101273</v>
      </c>
      <c r="C127" s="29">
        <f>VLOOKUP(A127,'Database BOJ'!$A$1:$D$1100,4,FALSE)</f>
        <v>14338.5400390625</v>
      </c>
      <c r="D127" s="46">
        <f>IFERROR(VLOOKUP(A127,'Database BOJ'!$A$1:$C$1100,2,FALSE)/VLOOKUP(A127,'Database BOJ'!$A$1:$C$1100,3,FALSE),#N/A)</f>
        <v>0.21039124790687766</v>
      </c>
    </row>
    <row r="128" spans="1:4" x14ac:dyDescent="0.2">
      <c r="A128" s="41">
        <v>39600</v>
      </c>
      <c r="B128" s="18">
        <f>VLOOKUP(A128,'Database BOJ'!$A$1:$C$1100,2,FALSE)</f>
        <v>1014199</v>
      </c>
      <c r="C128" s="29">
        <f>VLOOKUP(A128,'Database BOJ'!$A$1:$D$1100,4,FALSE)</f>
        <v>13481.3798828125</v>
      </c>
      <c r="D128" s="46">
        <f>IFERROR(VLOOKUP(A128,'Database BOJ'!$A$1:$C$1100,2,FALSE)/VLOOKUP(A128,'Database BOJ'!$A$1:$C$1100,3,FALSE),#N/A)</f>
        <v>0.19375631041159405</v>
      </c>
    </row>
    <row r="129" spans="1:4" x14ac:dyDescent="0.2">
      <c r="A129" s="41">
        <v>39630</v>
      </c>
      <c r="B129" s="18">
        <f>VLOOKUP(A129,'Database BOJ'!$A$1:$C$1100,2,FALSE)</f>
        <v>1083652</v>
      </c>
      <c r="C129" s="29">
        <f>VLOOKUP(A129,'Database BOJ'!$A$1:$D$1100,4,FALSE)</f>
        <v>13376.8095703125</v>
      </c>
      <c r="D129" s="46">
        <f>IFERROR(VLOOKUP(A129,'Database BOJ'!$A$1:$C$1100,2,FALSE)/VLOOKUP(A129,'Database BOJ'!$A$1:$C$1100,3,FALSE),#N/A)</f>
        <v>0.20702486720076113</v>
      </c>
    </row>
    <row r="130" spans="1:4" x14ac:dyDescent="0.2">
      <c r="A130" s="41">
        <v>39661</v>
      </c>
      <c r="B130" s="18">
        <f>VLOOKUP(A130,'Database BOJ'!$A$1:$C$1100,2,FALSE)</f>
        <v>1098870</v>
      </c>
      <c r="C130" s="29">
        <f>VLOOKUP(A130,'Database BOJ'!$A$1:$D$1100,4,FALSE)</f>
        <v>13072.8701171875</v>
      </c>
      <c r="D130" s="46">
        <f>IFERROR(VLOOKUP(A130,'Database BOJ'!$A$1:$C$1100,2,FALSE)/VLOOKUP(A130,'Database BOJ'!$A$1:$C$1100,3,FALSE),#N/A)</f>
        <v>0.21272567511610796</v>
      </c>
    </row>
    <row r="131" spans="1:4" x14ac:dyDescent="0.2">
      <c r="A131" s="41">
        <v>39692</v>
      </c>
      <c r="B131" s="18">
        <f>VLOOKUP(A131,'Database BOJ'!$A$1:$C$1100,2,FALSE)</f>
        <v>1125287</v>
      </c>
      <c r="C131" s="29">
        <f>VLOOKUP(A131,'Database BOJ'!$A$1:$D$1100,4,FALSE)</f>
        <v>11259.8603515625</v>
      </c>
      <c r="D131" s="46">
        <f>IFERROR(VLOOKUP(A131,'Database BOJ'!$A$1:$C$1100,2,FALSE)/VLOOKUP(A131,'Database BOJ'!$A$1:$C$1100,3,FALSE),#N/A)</f>
        <v>0.21783963232628042</v>
      </c>
    </row>
    <row r="132" spans="1:4" x14ac:dyDescent="0.2">
      <c r="A132" s="41">
        <v>39722</v>
      </c>
      <c r="B132" s="18">
        <f>VLOOKUP(A132,'Database BOJ'!$A$1:$C$1100,2,FALSE)</f>
        <v>1168028</v>
      </c>
      <c r="C132" s="29">
        <f>VLOOKUP(A132,'Database BOJ'!$A$1:$D$1100,4,FALSE)</f>
        <v>8576.98046875</v>
      </c>
      <c r="D132" s="46">
        <f>IFERROR(VLOOKUP(A132,'Database BOJ'!$A$1:$C$1100,2,FALSE)/VLOOKUP(A132,'Database BOJ'!$A$1:$C$1100,3,FALSE),#N/A)</f>
        <v>0.22611368483489161</v>
      </c>
    </row>
    <row r="133" spans="1:4" x14ac:dyDescent="0.2">
      <c r="A133" s="41">
        <v>39753</v>
      </c>
      <c r="B133" s="18">
        <f>VLOOKUP(A133,'Database BOJ'!$A$1:$C$1100,2,FALSE)</f>
        <v>1215262</v>
      </c>
      <c r="C133" s="29">
        <f>VLOOKUP(A133,'Database BOJ'!$A$1:$D$1100,4,FALSE)</f>
        <v>8512.26953125</v>
      </c>
      <c r="D133" s="46">
        <f>IFERROR(VLOOKUP(A133,'Database BOJ'!$A$1:$C$1100,2,FALSE)/VLOOKUP(A133,'Database BOJ'!$A$1:$C$1100,3,FALSE),#N/A)</f>
        <v>0.24689336952842766</v>
      </c>
    </row>
    <row r="134" spans="1:4" x14ac:dyDescent="0.2">
      <c r="A134" s="41">
        <v>39783</v>
      </c>
      <c r="B134" s="18">
        <f>VLOOKUP(A134,'Database BOJ'!$A$1:$C$1100,2,FALSE)</f>
        <v>1227708</v>
      </c>
      <c r="C134" s="29">
        <f>VLOOKUP(A134,'Database BOJ'!$A$1:$D$1100,4,FALSE)</f>
        <v>8859.5595703125</v>
      </c>
      <c r="D134" s="46">
        <f>IFERROR(VLOOKUP(A134,'Database BOJ'!$A$1:$C$1100,2,FALSE)/VLOOKUP(A134,'Database BOJ'!$A$1:$C$1100,3,FALSE),#N/A)</f>
        <v>0.24942190648354581</v>
      </c>
    </row>
    <row r="135" spans="1:4" x14ac:dyDescent="0.2">
      <c r="A135" s="41">
        <v>39814</v>
      </c>
      <c r="B135" s="18">
        <f>VLOOKUP(A135,'Database BOJ'!$A$1:$C$1100,2,FALSE)</f>
        <v>1195135</v>
      </c>
      <c r="C135" s="29">
        <f>VLOOKUP(A135,'Database BOJ'!$A$1:$D$1100,4,FALSE)</f>
        <v>7994.0498046875</v>
      </c>
      <c r="D135" s="46">
        <f>IFERROR(VLOOKUP(A135,'Database BOJ'!$A$1:$C$1100,2,FALSE)/VLOOKUP(A135,'Database BOJ'!$A$1:$C$1100,3,FALSE),#N/A)</f>
        <v>0.24280435592601216</v>
      </c>
    </row>
    <row r="136" spans="1:4" x14ac:dyDescent="0.2">
      <c r="A136" s="41">
        <v>39845</v>
      </c>
      <c r="B136" s="18">
        <f>VLOOKUP(A136,'Database BOJ'!$A$1:$C$1100,2,FALSE)</f>
        <v>1221730</v>
      </c>
      <c r="C136" s="29">
        <f>VLOOKUP(A136,'Database BOJ'!$A$1:$D$1100,4,FALSE)</f>
        <v>7568.419921875</v>
      </c>
      <c r="D136" s="46">
        <f>IFERROR(VLOOKUP(A136,'Database BOJ'!$A$1:$C$1100,2,FALSE)/VLOOKUP(A136,'Database BOJ'!$A$1:$C$1100,3,FALSE),#N/A)</f>
        <v>0.24529470178863774</v>
      </c>
    </row>
    <row r="137" spans="1:4" x14ac:dyDescent="0.2">
      <c r="A137" s="41">
        <v>39873</v>
      </c>
      <c r="B137" s="18">
        <f>VLOOKUP(A137,'Database BOJ'!$A$1:$C$1100,2,FALSE)</f>
        <v>1238886</v>
      </c>
      <c r="C137" s="29">
        <f>VLOOKUP(A137,'Database BOJ'!$A$1:$D$1100,4,FALSE)</f>
        <v>8109.52978515625</v>
      </c>
      <c r="D137" s="46">
        <f>IFERROR(VLOOKUP(A137,'Database BOJ'!$A$1:$C$1100,2,FALSE)/VLOOKUP(A137,'Database BOJ'!$A$1:$C$1100,3,FALSE),#N/A)</f>
        <v>0.24873922382205418</v>
      </c>
    </row>
    <row r="138" spans="1:4" x14ac:dyDescent="0.2">
      <c r="A138" s="41">
        <v>39904</v>
      </c>
      <c r="B138" s="18">
        <f>VLOOKUP(A138,'Database BOJ'!$A$1:$C$1100,2,FALSE)</f>
        <v>1147983</v>
      </c>
      <c r="C138" s="29">
        <f>VLOOKUP(A138,'Database BOJ'!$A$1:$D$1100,4,FALSE)</f>
        <v>8828.259765625</v>
      </c>
      <c r="D138" s="46">
        <f>IFERROR(VLOOKUP(A138,'Database BOJ'!$A$1:$C$1100,2,FALSE)/VLOOKUP(A138,'Database BOJ'!$A$1:$C$1100,3,FALSE),#N/A)</f>
        <v>0.23048803552620115</v>
      </c>
    </row>
    <row r="139" spans="1:4" x14ac:dyDescent="0.2">
      <c r="A139" s="41">
        <v>39934</v>
      </c>
      <c r="B139" s="18">
        <f>VLOOKUP(A139,'Database BOJ'!$A$1:$C$1100,2,FALSE)</f>
        <v>1187973</v>
      </c>
      <c r="C139" s="29">
        <f>VLOOKUP(A139,'Database BOJ'!$A$1:$D$1100,4,FALSE)</f>
        <v>9522.5</v>
      </c>
      <c r="D139" s="46">
        <f>IFERROR(VLOOKUP(A139,'Database BOJ'!$A$1:$C$1100,2,FALSE)/VLOOKUP(A139,'Database BOJ'!$A$1:$C$1100,3,FALSE),#N/A)</f>
        <v>0.24061162921877421</v>
      </c>
    </row>
    <row r="140" spans="1:4" x14ac:dyDescent="0.2">
      <c r="A140" s="41">
        <v>39965</v>
      </c>
      <c r="B140" s="18">
        <f>VLOOKUP(A140,'Database BOJ'!$A$1:$C$1100,2,FALSE)</f>
        <v>1098429</v>
      </c>
      <c r="C140" s="29">
        <f>VLOOKUP(A140,'Database BOJ'!$A$1:$D$1100,4,FALSE)</f>
        <v>9958.4404296875</v>
      </c>
      <c r="D140" s="46">
        <f>IFERROR(VLOOKUP(A140,'Database BOJ'!$A$1:$C$1100,2,FALSE)/VLOOKUP(A140,'Database BOJ'!$A$1:$C$1100,3,FALSE),#N/A)</f>
        <v>0.22247541928238179</v>
      </c>
    </row>
    <row r="141" spans="1:4" x14ac:dyDescent="0.2">
      <c r="A141" s="41">
        <v>39995</v>
      </c>
      <c r="B141" s="18">
        <f>VLOOKUP(A141,'Database BOJ'!$A$1:$C$1100,2,FALSE)</f>
        <v>1147349</v>
      </c>
      <c r="C141" s="29">
        <f>VLOOKUP(A141,'Database BOJ'!$A$1:$D$1100,4,FALSE)</f>
        <v>10356.830078125</v>
      </c>
      <c r="D141" s="46">
        <f>IFERROR(VLOOKUP(A141,'Database BOJ'!$A$1:$C$1100,2,FALSE)/VLOOKUP(A141,'Database BOJ'!$A$1:$C$1100,3,FALSE),#N/A)</f>
        <v>0.23238365869639407</v>
      </c>
    </row>
    <row r="142" spans="1:4" x14ac:dyDescent="0.2">
      <c r="A142" s="41">
        <v>40026</v>
      </c>
      <c r="B142" s="18">
        <f>VLOOKUP(A142,'Database BOJ'!$A$1:$C$1100,2,FALSE)</f>
        <v>1171842</v>
      </c>
      <c r="C142" s="29">
        <f>VLOOKUP(A142,'Database BOJ'!$A$1:$D$1100,4,FALSE)</f>
        <v>10492.5302734375</v>
      </c>
      <c r="D142" s="46">
        <f>IFERROR(VLOOKUP(A142,'Database BOJ'!$A$1:$C$1100,2,FALSE)/VLOOKUP(A142,'Database BOJ'!$A$1:$C$1100,3,FALSE),#N/A)</f>
        <v>0.23616828573927617</v>
      </c>
    </row>
    <row r="143" spans="1:4" x14ac:dyDescent="0.2">
      <c r="A143" s="41">
        <v>40057</v>
      </c>
      <c r="B143" s="18">
        <f>VLOOKUP(A143,'Database BOJ'!$A$1:$C$1100,2,FALSE)</f>
        <v>1163248</v>
      </c>
      <c r="C143" s="29">
        <f>VLOOKUP(A143,'Database BOJ'!$A$1:$D$1100,4,FALSE)</f>
        <v>10133.23046875</v>
      </c>
      <c r="D143" s="46">
        <f>IFERROR(VLOOKUP(A143,'Database BOJ'!$A$1:$C$1100,2,FALSE)/VLOOKUP(A143,'Database BOJ'!$A$1:$C$1100,3,FALSE),#N/A)</f>
        <v>0.23443628582150283</v>
      </c>
    </row>
    <row r="144" spans="1:4" x14ac:dyDescent="0.2">
      <c r="A144" s="41">
        <v>40087</v>
      </c>
      <c r="B144" s="18">
        <f>VLOOKUP(A144,'Database BOJ'!$A$1:$C$1100,2,FALSE)</f>
        <v>1114000</v>
      </c>
      <c r="C144" s="29">
        <f>VLOOKUP(A144,'Database BOJ'!$A$1:$D$1100,4,FALSE)</f>
        <v>10034.740234375</v>
      </c>
      <c r="D144" s="46">
        <f>IFERROR(VLOOKUP(A144,'Database BOJ'!$A$1:$C$1100,2,FALSE)/VLOOKUP(A144,'Database BOJ'!$A$1:$C$1100,3,FALSE),#N/A)</f>
        <v>0.22451104356521925</v>
      </c>
    </row>
    <row r="145" spans="1:4" x14ac:dyDescent="0.2">
      <c r="A145" s="41">
        <v>40118</v>
      </c>
      <c r="B145" s="18">
        <f>VLOOKUP(A145,'Database BOJ'!$A$1:$C$1100,2,FALSE)</f>
        <v>1172964</v>
      </c>
      <c r="C145" s="29">
        <f>VLOOKUP(A145,'Database BOJ'!$A$1:$D$1100,4,FALSE)</f>
        <v>9345.5498046875</v>
      </c>
      <c r="D145" s="46">
        <f>IFERROR(VLOOKUP(A145,'Database BOJ'!$A$1:$C$1100,2,FALSE)/VLOOKUP(A145,'Database BOJ'!$A$1:$C$1100,3,FALSE),#N/A)</f>
        <v>0.23389425142868309</v>
      </c>
    </row>
    <row r="146" spans="1:4" x14ac:dyDescent="0.2">
      <c r="A146" s="41">
        <v>40148</v>
      </c>
      <c r="B146" s="18">
        <f>VLOOKUP(A146,'Database BOJ'!$A$1:$C$1100,2,FALSE)</f>
        <v>1225336</v>
      </c>
      <c r="C146" s="29">
        <f>VLOOKUP(A146,'Database BOJ'!$A$1:$D$1100,4,FALSE)</f>
        <v>10546.4404296875</v>
      </c>
      <c r="D146" s="46">
        <f>IFERROR(VLOOKUP(A146,'Database BOJ'!$A$1:$C$1100,2,FALSE)/VLOOKUP(A146,'Database BOJ'!$A$1:$C$1100,3,FALSE),#N/A)</f>
        <v>0.24433746173677695</v>
      </c>
    </row>
    <row r="147" spans="1:4" x14ac:dyDescent="0.2">
      <c r="A147" s="41">
        <v>40179</v>
      </c>
      <c r="B147" s="18">
        <f>VLOOKUP(A147,'Database BOJ'!$A$1:$C$1100,2,FALSE)</f>
        <v>1224342</v>
      </c>
      <c r="C147" s="29">
        <f>VLOOKUP(A147,'Database BOJ'!$A$1:$D$1100,4,FALSE)</f>
        <v>10198.0400390625</v>
      </c>
      <c r="D147" s="46">
        <f>IFERROR(VLOOKUP(A147,'Database BOJ'!$A$1:$C$1100,2,FALSE)/VLOOKUP(A147,'Database BOJ'!$A$1:$C$1100,3,FALSE),#N/A)</f>
        <v>0.24413925370488498</v>
      </c>
    </row>
    <row r="148" spans="1:4" x14ac:dyDescent="0.2">
      <c r="A148" s="41">
        <v>40210</v>
      </c>
      <c r="B148" s="18">
        <f>VLOOKUP(A148,'Database BOJ'!$A$1:$C$1100,2,FALSE)</f>
        <v>1267675</v>
      </c>
      <c r="C148" s="29">
        <f>VLOOKUP(A148,'Database BOJ'!$A$1:$D$1100,4,FALSE)</f>
        <v>10126.0302734375</v>
      </c>
      <c r="D148" s="46">
        <f>IFERROR(VLOOKUP(A148,'Database BOJ'!$A$1:$C$1100,2,FALSE)/VLOOKUP(A148,'Database BOJ'!$A$1:$C$1100,3,FALSE),#N/A)</f>
        <v>0.2509354095314183</v>
      </c>
    </row>
    <row r="149" spans="1:4" x14ac:dyDescent="0.2">
      <c r="A149" s="41">
        <v>40238</v>
      </c>
      <c r="B149" s="18">
        <f>VLOOKUP(A149,'Database BOJ'!$A$1:$C$1100,2,FALSE)</f>
        <v>1218241</v>
      </c>
      <c r="C149" s="29">
        <f>VLOOKUP(A149,'Database BOJ'!$A$1:$D$1100,4,FALSE)</f>
        <v>11089.9404296875</v>
      </c>
      <c r="D149" s="46">
        <f>IFERROR(VLOOKUP(A149,'Database BOJ'!$A$1:$C$1100,2,FALSE)/VLOOKUP(A149,'Database BOJ'!$A$1:$C$1100,3,FALSE),#N/A)</f>
        <v>0.24114998263984427</v>
      </c>
    </row>
    <row r="150" spans="1:4" x14ac:dyDescent="0.2">
      <c r="A150" s="41">
        <v>40269</v>
      </c>
      <c r="B150" s="18">
        <f>VLOOKUP(A150,'Database BOJ'!$A$1:$C$1100,2,FALSE)</f>
        <v>1142013</v>
      </c>
      <c r="C150" s="29">
        <f>VLOOKUP(A150,'Database BOJ'!$A$1:$D$1100,4,FALSE)</f>
        <v>11057.400390625</v>
      </c>
      <c r="D150" s="46">
        <f>IFERROR(VLOOKUP(A150,'Database BOJ'!$A$1:$C$1100,2,FALSE)/VLOOKUP(A150,'Database BOJ'!$A$1:$C$1100,3,FALSE),#N/A)</f>
        <v>0.22606070155615882</v>
      </c>
    </row>
    <row r="151" spans="1:4" x14ac:dyDescent="0.2">
      <c r="A151" s="41">
        <v>40299</v>
      </c>
      <c r="B151" s="18">
        <f>VLOOKUP(A151,'Database BOJ'!$A$1:$C$1100,2,FALSE)</f>
        <v>1209586</v>
      </c>
      <c r="C151" s="29">
        <f>VLOOKUP(A151,'Database BOJ'!$A$1:$D$1100,4,FALSE)</f>
        <v>9768.7001953125</v>
      </c>
      <c r="D151" s="46">
        <f>IFERROR(VLOOKUP(A151,'Database BOJ'!$A$1:$C$1100,2,FALSE)/VLOOKUP(A151,'Database BOJ'!$A$1:$C$1100,3,FALSE),#N/A)</f>
        <v>0.23670277978304732</v>
      </c>
    </row>
    <row r="152" spans="1:4" x14ac:dyDescent="0.2">
      <c r="A152" s="41">
        <v>40330</v>
      </c>
      <c r="B152" s="18">
        <f>VLOOKUP(A152,'Database BOJ'!$A$1:$C$1100,2,FALSE)</f>
        <v>1132336</v>
      </c>
      <c r="C152" s="29">
        <f>VLOOKUP(A152,'Database BOJ'!$A$1:$D$1100,4,FALSE)</f>
        <v>9382.6396484375</v>
      </c>
      <c r="D152" s="46">
        <f>IFERROR(VLOOKUP(A152,'Database BOJ'!$A$1:$C$1100,2,FALSE)/VLOOKUP(A152,'Database BOJ'!$A$1:$C$1100,3,FALSE),#N/A)</f>
        <v>0.22158579782538546</v>
      </c>
    </row>
    <row r="153" spans="1:4" x14ac:dyDescent="0.2">
      <c r="A153" s="41">
        <v>40360</v>
      </c>
      <c r="B153" s="18">
        <f>VLOOKUP(A153,'Database BOJ'!$A$1:$C$1100,2,FALSE)</f>
        <v>1173742</v>
      </c>
      <c r="C153" s="29">
        <f>VLOOKUP(A153,'Database BOJ'!$A$1:$D$1100,4,FALSE)</f>
        <v>9537.2998046875</v>
      </c>
      <c r="D153" s="46">
        <f>IFERROR(VLOOKUP(A153,'Database BOJ'!$A$1:$C$1100,2,FALSE)/VLOOKUP(A153,'Database BOJ'!$A$1:$C$1100,3,FALSE),#N/A)</f>
        <v>0.22968850015469222</v>
      </c>
    </row>
    <row r="154" spans="1:4" x14ac:dyDescent="0.2">
      <c r="A154" s="41">
        <v>40391</v>
      </c>
      <c r="B154" s="18">
        <f>VLOOKUP(A154,'Database BOJ'!$A$1:$C$1100,2,FALSE)</f>
        <v>1230414</v>
      </c>
      <c r="C154" s="29">
        <f>VLOOKUP(A154,'Database BOJ'!$A$1:$D$1100,4,FALSE)</f>
        <v>8824.0595703125</v>
      </c>
      <c r="D154" s="46">
        <f>IFERROR(VLOOKUP(A154,'Database BOJ'!$A$1:$C$1100,2,FALSE)/VLOOKUP(A154,'Database BOJ'!$A$1:$C$1100,3,FALSE),#N/A)</f>
        <v>0.24361478731269257</v>
      </c>
    </row>
    <row r="155" spans="1:4" x14ac:dyDescent="0.2">
      <c r="A155" s="41">
        <v>40422</v>
      </c>
      <c r="B155" s="18">
        <f>VLOOKUP(A155,'Database BOJ'!$A$1:$C$1100,2,FALSE)</f>
        <v>1203317</v>
      </c>
      <c r="C155" s="29">
        <f>VLOOKUP(A155,'Database BOJ'!$A$1:$D$1100,4,FALSE)</f>
        <v>9369.349609375</v>
      </c>
      <c r="D155" s="46">
        <f>IFERROR(VLOOKUP(A155,'Database BOJ'!$A$1:$C$1100,2,FALSE)/VLOOKUP(A155,'Database BOJ'!$A$1:$C$1100,3,FALSE),#N/A)</f>
        <v>0.23824973953868153</v>
      </c>
    </row>
    <row r="156" spans="1:4" x14ac:dyDescent="0.2">
      <c r="A156" s="41">
        <v>40452</v>
      </c>
      <c r="B156" s="18">
        <f>VLOOKUP(A156,'Database BOJ'!$A$1:$C$1100,2,FALSE)</f>
        <v>1214171</v>
      </c>
      <c r="C156" s="29">
        <f>VLOOKUP(A156,'Database BOJ'!$A$1:$D$1100,4,FALSE)</f>
        <v>9202.4501953125</v>
      </c>
      <c r="D156" s="46">
        <f>IFERROR(VLOOKUP(A156,'Database BOJ'!$A$1:$C$1100,2,FALSE)/VLOOKUP(A156,'Database BOJ'!$A$1:$C$1100,3,FALSE),#N/A)</f>
        <v>0.24039876815952943</v>
      </c>
    </row>
    <row r="157" spans="1:4" x14ac:dyDescent="0.2">
      <c r="A157" s="41">
        <v>40483</v>
      </c>
      <c r="B157" s="18">
        <f>VLOOKUP(A157,'Database BOJ'!$A$1:$C$1100,2,FALSE)</f>
        <v>1270457</v>
      </c>
      <c r="C157" s="29">
        <f>VLOOKUP(A157,'Database BOJ'!$A$1:$D$1100,4,FALSE)</f>
        <v>9937.0400390625</v>
      </c>
      <c r="D157" s="46">
        <f>IFERROR(VLOOKUP(A157,'Database BOJ'!$A$1:$C$1100,2,FALSE)/VLOOKUP(A157,'Database BOJ'!$A$1:$C$1100,3,FALSE),#N/A)</f>
        <v>0.25477920193353981</v>
      </c>
    </row>
    <row r="158" spans="1:4" x14ac:dyDescent="0.2">
      <c r="A158" s="41">
        <v>40513</v>
      </c>
      <c r="B158" s="18">
        <f>VLOOKUP(A158,'Database BOJ'!$A$1:$C$1100,2,FALSE)</f>
        <v>1287104</v>
      </c>
      <c r="C158" s="29">
        <f>VLOOKUP(A158,'Database BOJ'!$A$1:$D$1100,4,FALSE)</f>
        <v>10228.919921875</v>
      </c>
      <c r="D158" s="46">
        <f>IFERROR(VLOOKUP(A158,'Database BOJ'!$A$1:$C$1100,2,FALSE)/VLOOKUP(A158,'Database BOJ'!$A$1:$C$1100,3,FALSE),#N/A)</f>
        <v>0.25811761431159558</v>
      </c>
    </row>
    <row r="159" spans="1:4" x14ac:dyDescent="0.2">
      <c r="A159" s="41">
        <v>40544</v>
      </c>
      <c r="B159" s="18">
        <f>VLOOKUP(A159,'Database BOJ'!$A$1:$C$1100,2,FALSE)</f>
        <v>1279996</v>
      </c>
      <c r="C159" s="29">
        <f>VLOOKUP(A159,'Database BOJ'!$A$1:$D$1100,4,FALSE)</f>
        <v>10237.919921875</v>
      </c>
      <c r="D159" s="46">
        <f>IFERROR(VLOOKUP(A159,'Database BOJ'!$A$1:$C$1100,2,FALSE)/VLOOKUP(A159,'Database BOJ'!$A$1:$C$1100,3,FALSE),#N/A)</f>
        <v>0.25669216617179741</v>
      </c>
    </row>
    <row r="160" spans="1:4" x14ac:dyDescent="0.2">
      <c r="A160" s="41">
        <v>40575</v>
      </c>
      <c r="B160" s="18">
        <f>VLOOKUP(A160,'Database BOJ'!$A$1:$C$1100,2,FALSE)</f>
        <v>1301181</v>
      </c>
      <c r="C160" s="29">
        <f>VLOOKUP(A160,'Database BOJ'!$A$1:$D$1100,4,FALSE)</f>
        <v>10624.08984375</v>
      </c>
      <c r="D160" s="46">
        <f>IFERROR(VLOOKUP(A160,'Database BOJ'!$A$1:$C$1100,2,FALSE)/VLOOKUP(A160,'Database BOJ'!$A$1:$C$1100,3,FALSE),#N/A)</f>
        <v>0.2650748228004346</v>
      </c>
    </row>
    <row r="161" spans="1:4" x14ac:dyDescent="0.2">
      <c r="A161" s="41">
        <v>40603</v>
      </c>
      <c r="B161" s="18">
        <f>VLOOKUP(A161,'Database BOJ'!$A$1:$C$1100,2,FALSE)</f>
        <v>1423631</v>
      </c>
      <c r="C161" s="29">
        <f>VLOOKUP(A161,'Database BOJ'!$A$1:$D$1100,4,FALSE)</f>
        <v>9755.099609375</v>
      </c>
      <c r="D161" s="46">
        <f>IFERROR(VLOOKUP(A161,'Database BOJ'!$A$1:$C$1100,2,FALSE)/VLOOKUP(A161,'Database BOJ'!$A$1:$C$1100,3,FALSE),#N/A)</f>
        <v>0.29002017018247689</v>
      </c>
    </row>
    <row r="162" spans="1:4" x14ac:dyDescent="0.2">
      <c r="A162" s="41">
        <v>40634</v>
      </c>
      <c r="B162" s="18">
        <f>VLOOKUP(A162,'Database BOJ'!$A$1:$C$1100,2,FALSE)</f>
        <v>1346213</v>
      </c>
      <c r="C162" s="29">
        <f>VLOOKUP(A162,'Database BOJ'!$A$1:$D$1100,4,FALSE)</f>
        <v>9849.740234375</v>
      </c>
      <c r="D162" s="46">
        <f>IFERROR(VLOOKUP(A162,'Database BOJ'!$A$1:$C$1100,2,FALSE)/VLOOKUP(A162,'Database BOJ'!$A$1:$C$1100,3,FALSE),#N/A)</f>
        <v>0.27424868056530294</v>
      </c>
    </row>
    <row r="163" spans="1:4" x14ac:dyDescent="0.2">
      <c r="A163" s="41">
        <v>40664</v>
      </c>
      <c r="B163" s="18">
        <f>VLOOKUP(A163,'Database BOJ'!$A$1:$C$1100,2,FALSE)</f>
        <v>1351200</v>
      </c>
      <c r="C163" s="29">
        <f>VLOOKUP(A163,'Database BOJ'!$A$1:$D$1100,4,FALSE)</f>
        <v>9693.73046875</v>
      </c>
      <c r="D163" s="46">
        <f>IFERROR(VLOOKUP(A163,'Database BOJ'!$A$1:$C$1100,2,FALSE)/VLOOKUP(A163,'Database BOJ'!$A$1:$C$1100,3,FALSE),#N/A)</f>
        <v>0.26964263370928043</v>
      </c>
    </row>
    <row r="164" spans="1:4" x14ac:dyDescent="0.2">
      <c r="A164" s="41">
        <v>40695</v>
      </c>
      <c r="B164" s="18">
        <f>VLOOKUP(A164,'Database BOJ'!$A$1:$C$1100,2,FALSE)</f>
        <v>1295844</v>
      </c>
      <c r="C164" s="29">
        <f>VLOOKUP(A164,'Database BOJ'!$A$1:$D$1100,4,FALSE)</f>
        <v>9816.08984375</v>
      </c>
      <c r="D164" s="46">
        <f>IFERROR(VLOOKUP(A164,'Database BOJ'!$A$1:$C$1100,2,FALSE)/VLOOKUP(A164,'Database BOJ'!$A$1:$C$1100,3,FALSE),#N/A)</f>
        <v>0.25859590662845533</v>
      </c>
    </row>
    <row r="165" spans="1:4" x14ac:dyDescent="0.2">
      <c r="A165" s="41">
        <v>40725</v>
      </c>
      <c r="B165" s="18">
        <f>VLOOKUP(A165,'Database BOJ'!$A$1:$C$1100,2,FALSE)</f>
        <v>1344737</v>
      </c>
      <c r="C165" s="29">
        <f>VLOOKUP(A165,'Database BOJ'!$A$1:$D$1100,4,FALSE)</f>
        <v>9833.0302734375</v>
      </c>
      <c r="D165" s="46">
        <f>IFERROR(VLOOKUP(A165,'Database BOJ'!$A$1:$C$1100,2,FALSE)/VLOOKUP(A165,'Database BOJ'!$A$1:$C$1100,3,FALSE),#N/A)</f>
        <v>0.26835289100526694</v>
      </c>
    </row>
    <row r="166" spans="1:4" x14ac:dyDescent="0.2">
      <c r="A166" s="41">
        <v>40756</v>
      </c>
      <c r="B166" s="18">
        <f>VLOOKUP(A166,'Database BOJ'!$A$1:$C$1100,2,FALSE)</f>
        <v>1414829</v>
      </c>
      <c r="C166" s="29">
        <f>VLOOKUP(A166,'Database BOJ'!$A$1:$D$1100,4,FALSE)</f>
        <v>8955.2001953125</v>
      </c>
      <c r="D166" s="46">
        <f>IFERROR(VLOOKUP(A166,'Database BOJ'!$A$1:$C$1100,2,FALSE)/VLOOKUP(A166,'Database BOJ'!$A$1:$C$1100,3,FALSE),#N/A)</f>
        <v>0.28292449302401851</v>
      </c>
    </row>
    <row r="167" spans="1:4" x14ac:dyDescent="0.2">
      <c r="A167" s="41">
        <v>40787</v>
      </c>
      <c r="B167" s="18">
        <f>VLOOKUP(A167,'Database BOJ'!$A$1:$C$1100,2,FALSE)</f>
        <v>1376890</v>
      </c>
      <c r="C167" s="29">
        <f>VLOOKUP(A167,'Database BOJ'!$A$1:$D$1100,4,FALSE)</f>
        <v>8700.2900390625</v>
      </c>
      <c r="D167" s="46">
        <f>IFERROR(VLOOKUP(A167,'Database BOJ'!$A$1:$C$1100,2,FALSE)/VLOOKUP(A167,'Database BOJ'!$A$1:$C$1100,3,FALSE),#N/A)</f>
        <v>0.27533780068110059</v>
      </c>
    </row>
    <row r="168" spans="1:4" x14ac:dyDescent="0.2">
      <c r="A168" s="41">
        <v>40817</v>
      </c>
      <c r="B168" s="18">
        <f>VLOOKUP(A168,'Database BOJ'!$A$1:$C$1100,2,FALSE)</f>
        <v>1329858</v>
      </c>
      <c r="C168" s="29">
        <f>VLOOKUP(A168,'Database BOJ'!$A$1:$D$1100,4,FALSE)</f>
        <v>8988.3896484375</v>
      </c>
      <c r="D168" s="46">
        <f>IFERROR(VLOOKUP(A168,'Database BOJ'!$A$1:$C$1100,2,FALSE)/VLOOKUP(A168,'Database BOJ'!$A$1:$C$1100,3,FALSE),#N/A)</f>
        <v>0.265932773815023</v>
      </c>
    </row>
    <row r="169" spans="1:4" x14ac:dyDescent="0.2">
      <c r="A169" s="41">
        <v>40848</v>
      </c>
      <c r="B169" s="18">
        <f>VLOOKUP(A169,'Database BOJ'!$A$1:$C$1100,2,FALSE)</f>
        <v>1432056</v>
      </c>
      <c r="C169" s="29">
        <f>VLOOKUP(A169,'Database BOJ'!$A$1:$D$1100,4,FALSE)</f>
        <v>8434.6103515625</v>
      </c>
      <c r="D169" s="46">
        <f>IFERROR(VLOOKUP(A169,'Database BOJ'!$A$1:$C$1100,2,FALSE)/VLOOKUP(A169,'Database BOJ'!$A$1:$C$1100,3,FALSE),#N/A)</f>
        <v>0.28223385668717316</v>
      </c>
    </row>
    <row r="170" spans="1:4" x14ac:dyDescent="0.2">
      <c r="A170" s="41">
        <v>40878</v>
      </c>
      <c r="B170" s="18">
        <f>VLOOKUP(A170,'Database BOJ'!$A$1:$C$1100,2,FALSE)</f>
        <v>1430219</v>
      </c>
      <c r="C170" s="29">
        <f>VLOOKUP(A170,'Database BOJ'!$A$1:$D$1100,4,FALSE)</f>
        <v>8455.349609375</v>
      </c>
      <c r="D170" s="46">
        <f>IFERROR(VLOOKUP(A170,'Database BOJ'!$A$1:$C$1100,2,FALSE)/VLOOKUP(A170,'Database BOJ'!$A$1:$C$1100,3,FALSE),#N/A)</f>
        <v>0.28187181526230265</v>
      </c>
    </row>
    <row r="171" spans="1:4" x14ac:dyDescent="0.2">
      <c r="A171" s="41">
        <v>40909</v>
      </c>
      <c r="B171" s="18">
        <f>VLOOKUP(A171,'Database BOJ'!$A$1:$C$1100,2,FALSE)</f>
        <v>1369064</v>
      </c>
      <c r="C171" s="29">
        <f>VLOOKUP(A171,'Database BOJ'!$A$1:$D$1100,4,FALSE)</f>
        <v>8802.509765625</v>
      </c>
      <c r="D171" s="46">
        <f>IFERROR(VLOOKUP(A171,'Database BOJ'!$A$1:$C$1100,2,FALSE)/VLOOKUP(A171,'Database BOJ'!$A$1:$C$1100,3,FALSE),#N/A)</f>
        <v>0.26981920593298586</v>
      </c>
    </row>
    <row r="172" spans="1:4" x14ac:dyDescent="0.2">
      <c r="A172" s="41">
        <v>40940</v>
      </c>
      <c r="B172" s="18">
        <f>VLOOKUP(A172,'Database BOJ'!$A$1:$C$1100,2,FALSE)</f>
        <v>1442443</v>
      </c>
      <c r="C172" s="29">
        <f>VLOOKUP(A172,'Database BOJ'!$A$1:$D$1100,4,FALSE)</f>
        <v>9723.240234375</v>
      </c>
      <c r="D172" s="46">
        <f>IFERROR(VLOOKUP(A172,'Database BOJ'!$A$1:$C$1100,2,FALSE)/VLOOKUP(A172,'Database BOJ'!$A$1:$C$1100,3,FALSE),#N/A)</f>
        <v>0.28829469298949528</v>
      </c>
    </row>
    <row r="173" spans="1:4" x14ac:dyDescent="0.2">
      <c r="A173" s="41">
        <v>40969</v>
      </c>
      <c r="B173" s="18">
        <f>VLOOKUP(A173,'Database BOJ'!$A$1:$C$1100,2,FALSE)</f>
        <v>1394569</v>
      </c>
      <c r="C173" s="29">
        <f>VLOOKUP(A173,'Database BOJ'!$A$1:$D$1100,4,FALSE)</f>
        <v>10083.5595703125</v>
      </c>
      <c r="D173" s="46">
        <f>IFERROR(VLOOKUP(A173,'Database BOJ'!$A$1:$C$1100,2,FALSE)/VLOOKUP(A173,'Database BOJ'!$A$1:$C$1100,3,FALSE),#N/A)</f>
        <v>0.27872632867133568</v>
      </c>
    </row>
    <row r="174" spans="1:4" x14ac:dyDescent="0.2">
      <c r="A174" s="41">
        <v>41000</v>
      </c>
      <c r="B174" s="18">
        <f>VLOOKUP(A174,'Database BOJ'!$A$1:$C$1100,2,FALSE)</f>
        <v>1412065</v>
      </c>
      <c r="C174" s="29">
        <f>VLOOKUP(A174,'Database BOJ'!$A$1:$D$1100,4,FALSE)</f>
        <v>9520.8896484375</v>
      </c>
      <c r="D174" s="46">
        <f>IFERROR(VLOOKUP(A174,'Database BOJ'!$A$1:$C$1100,2,FALSE)/VLOOKUP(A174,'Database BOJ'!$A$1:$C$1100,3,FALSE),#N/A)</f>
        <v>0.28222317669135738</v>
      </c>
    </row>
    <row r="175" spans="1:4" x14ac:dyDescent="0.2">
      <c r="A175" s="41">
        <v>41030</v>
      </c>
      <c r="B175" s="18">
        <f>VLOOKUP(A175,'Database BOJ'!$A$1:$C$1100,2,FALSE)</f>
        <v>1428007</v>
      </c>
      <c r="C175" s="29">
        <f>VLOOKUP(A175,'Database BOJ'!$A$1:$D$1100,4,FALSE)</f>
        <v>8542.73046875</v>
      </c>
      <c r="D175" s="46">
        <f>IFERROR(VLOOKUP(A175,'Database BOJ'!$A$1:$C$1100,2,FALSE)/VLOOKUP(A175,'Database BOJ'!$A$1:$C$1100,3,FALSE),#N/A)</f>
        <v>0.28698968389688279</v>
      </c>
    </row>
    <row r="176" spans="1:4" x14ac:dyDescent="0.2">
      <c r="A176" s="41">
        <v>41061</v>
      </c>
      <c r="B176" s="18">
        <f>VLOOKUP(A176,'Database BOJ'!$A$1:$C$1100,2,FALSE)</f>
        <v>1436265</v>
      </c>
      <c r="C176" s="29">
        <f>VLOOKUP(A176,'Database BOJ'!$A$1:$D$1100,4,FALSE)</f>
        <v>9006.7802734375</v>
      </c>
      <c r="D176" s="46">
        <f>IFERROR(VLOOKUP(A176,'Database BOJ'!$A$1:$C$1100,2,FALSE)/VLOOKUP(A176,'Database BOJ'!$A$1:$C$1100,3,FALSE),#N/A)</f>
        <v>0.28864931218275286</v>
      </c>
    </row>
    <row r="177" spans="1:4" x14ac:dyDescent="0.2">
      <c r="A177" s="41">
        <v>41091</v>
      </c>
      <c r="B177" s="18">
        <f>VLOOKUP(A177,'Database BOJ'!$A$1:$C$1100,2,FALSE)</f>
        <v>1454954</v>
      </c>
      <c r="C177" s="29">
        <f>VLOOKUP(A177,'Database BOJ'!$A$1:$D$1100,4,FALSE)</f>
        <v>8695.0595703125</v>
      </c>
      <c r="D177" s="46">
        <f>IFERROR(VLOOKUP(A177,'Database BOJ'!$A$1:$C$1100,2,FALSE)/VLOOKUP(A177,'Database BOJ'!$A$1:$C$1100,3,FALSE),#N/A)</f>
        <v>0.29240528130779836</v>
      </c>
    </row>
    <row r="178" spans="1:4" x14ac:dyDescent="0.2">
      <c r="A178" s="41">
        <v>41122</v>
      </c>
      <c r="B178" s="18">
        <f>VLOOKUP(A178,'Database BOJ'!$A$1:$C$1100,2,FALSE)</f>
        <v>1499672</v>
      </c>
      <c r="C178" s="29">
        <f>VLOOKUP(A178,'Database BOJ'!$A$1:$D$1100,4,FALSE)</f>
        <v>8839.91015625</v>
      </c>
      <c r="D178" s="46">
        <f>IFERROR(VLOOKUP(A178,'Database BOJ'!$A$1:$C$1100,2,FALSE)/VLOOKUP(A178,'Database BOJ'!$A$1:$C$1100,3,FALSE),#N/A)</f>
        <v>0.30168331853420649</v>
      </c>
    </row>
    <row r="179" spans="1:4" x14ac:dyDescent="0.2">
      <c r="A179" s="41">
        <v>41153</v>
      </c>
      <c r="B179" s="18">
        <f>VLOOKUP(A179,'Database BOJ'!$A$1:$C$1100,2,FALSE)</f>
        <v>1499208</v>
      </c>
      <c r="C179" s="29">
        <f>VLOOKUP(A179,'Database BOJ'!$A$1:$D$1100,4,FALSE)</f>
        <v>8870.16015625</v>
      </c>
      <c r="D179" s="46">
        <f>IFERROR(VLOOKUP(A179,'Database BOJ'!$A$1:$C$1100,2,FALSE)/VLOOKUP(A179,'Database BOJ'!$A$1:$C$1100,3,FALSE),#N/A)</f>
        <v>0.30158997741708232</v>
      </c>
    </row>
    <row r="180" spans="1:4" x14ac:dyDescent="0.2">
      <c r="A180" s="41">
        <v>41183</v>
      </c>
      <c r="B180" s="18">
        <f>VLOOKUP(A180,'Database BOJ'!$A$1:$C$1100,2,FALSE)</f>
        <v>1537316</v>
      </c>
      <c r="C180" s="29">
        <f>VLOOKUP(A180,'Database BOJ'!$A$1:$D$1100,4,FALSE)</f>
        <v>8928.2900390625</v>
      </c>
      <c r="D180" s="46">
        <f>IFERROR(VLOOKUP(A180,'Database BOJ'!$A$1:$C$1100,2,FALSE)/VLOOKUP(A180,'Database BOJ'!$A$1:$C$1100,3,FALSE),#N/A)</f>
        <v>0.30925601899330801</v>
      </c>
    </row>
    <row r="181" spans="1:4" x14ac:dyDescent="0.2">
      <c r="A181" s="41">
        <v>41214</v>
      </c>
      <c r="B181" s="18">
        <f>VLOOKUP(A181,'Database BOJ'!$A$1:$C$1100,2,FALSE)</f>
        <v>1563579</v>
      </c>
      <c r="C181" s="29">
        <f>VLOOKUP(A181,'Database BOJ'!$A$1:$D$1100,4,FALSE)</f>
        <v>9446.009765625</v>
      </c>
      <c r="D181" s="46">
        <f>IFERROR(VLOOKUP(A181,'Database BOJ'!$A$1:$C$1100,2,FALSE)/VLOOKUP(A181,'Database BOJ'!$A$1:$C$1100,3,FALSE),#N/A)</f>
        <v>0.31084791487948915</v>
      </c>
    </row>
    <row r="182" spans="1:4" x14ac:dyDescent="0.2">
      <c r="A182" s="41">
        <v>41244</v>
      </c>
      <c r="B182" s="18">
        <f>VLOOKUP(A182,'Database BOJ'!$A$1:$C$1100,2,FALSE)</f>
        <v>1583627</v>
      </c>
      <c r="C182" s="29">
        <f>VLOOKUP(A182,'Database BOJ'!$A$1:$D$1100,4,FALSE)</f>
        <v>10395.1796875</v>
      </c>
      <c r="D182" s="46">
        <f>IFERROR(VLOOKUP(A182,'Database BOJ'!$A$1:$C$1100,2,FALSE)/VLOOKUP(A182,'Database BOJ'!$A$1:$C$1100,3,FALSE),#N/A)</f>
        <v>0.3148335651072704</v>
      </c>
    </row>
    <row r="183" spans="1:4" x14ac:dyDescent="0.2">
      <c r="A183" s="41">
        <v>41275</v>
      </c>
      <c r="B183" s="18">
        <f>VLOOKUP(A183,'Database BOJ'!$A$1:$C$1100,2,FALSE)</f>
        <v>1597903</v>
      </c>
      <c r="C183" s="29">
        <f>VLOOKUP(A183,'Database BOJ'!$A$1:$D$1100,4,FALSE)</f>
        <v>11138.66015625</v>
      </c>
      <c r="D183" s="46">
        <f>IFERROR(VLOOKUP(A183,'Database BOJ'!$A$1:$C$1100,2,FALSE)/VLOOKUP(A183,'Database BOJ'!$A$1:$C$1100,3,FALSE),#N/A)</f>
        <v>0.31767171069046102</v>
      </c>
    </row>
    <row r="184" spans="1:4" x14ac:dyDescent="0.2">
      <c r="A184" s="41">
        <v>41306</v>
      </c>
      <c r="B184" s="18">
        <f>VLOOKUP(A184,'Database BOJ'!$A$1:$C$1100,2,FALSE)</f>
        <v>1635325</v>
      </c>
      <c r="C184" s="29">
        <f>VLOOKUP(A184,'Database BOJ'!$A$1:$D$1100,4,FALSE)</f>
        <v>11559.3603515625</v>
      </c>
      <c r="D184" s="46">
        <f>IFERROR(VLOOKUP(A184,'Database BOJ'!$A$1:$C$1100,2,FALSE)/VLOOKUP(A184,'Database BOJ'!$A$1:$C$1100,3,FALSE),#N/A)</f>
        <v>0.32214037564937292</v>
      </c>
    </row>
    <row r="185" spans="1:4" x14ac:dyDescent="0.2">
      <c r="A185" s="41">
        <v>41334</v>
      </c>
      <c r="B185" s="18">
        <f>VLOOKUP(A185,'Database BOJ'!$A$1:$C$1100,2,FALSE)</f>
        <v>1648127</v>
      </c>
      <c r="C185" s="29">
        <f>VLOOKUP(A185,'Database BOJ'!$A$1:$D$1100,4,FALSE)</f>
        <v>12397.91015625</v>
      </c>
      <c r="D185" s="46">
        <f>IFERROR(VLOOKUP(A185,'Database BOJ'!$A$1:$C$1100,2,FALSE)/VLOOKUP(A185,'Database BOJ'!$A$1:$C$1100,3,FALSE),#N/A)</f>
        <v>0.32466222365454817</v>
      </c>
    </row>
    <row r="186" spans="1:4" x14ac:dyDescent="0.2">
      <c r="A186" s="41">
        <v>41365</v>
      </c>
      <c r="B186" s="18">
        <f>VLOOKUP(A186,'Database BOJ'!$A$1:$C$1100,2,FALSE)</f>
        <v>1746913</v>
      </c>
      <c r="C186" s="29">
        <f>VLOOKUP(A186,'Database BOJ'!$A$1:$D$1100,4,FALSE)</f>
        <v>13860.8603515625</v>
      </c>
      <c r="D186" s="46">
        <f>IFERROR(VLOOKUP(A186,'Database BOJ'!$A$1:$C$1100,2,FALSE)/VLOOKUP(A186,'Database BOJ'!$A$1:$C$1100,3,FALSE),#N/A)</f>
        <v>0.34412193909270206</v>
      </c>
    </row>
    <row r="187" spans="1:4" x14ac:dyDescent="0.2">
      <c r="A187" s="41">
        <v>41395</v>
      </c>
      <c r="B187" s="18">
        <f>VLOOKUP(A187,'Database BOJ'!$A$1:$C$1100,2,FALSE)</f>
        <v>1842861</v>
      </c>
      <c r="C187" s="29">
        <f>VLOOKUP(A187,'Database BOJ'!$A$1:$D$1100,4,FALSE)</f>
        <v>13774.5400390625</v>
      </c>
      <c r="D187" s="46">
        <f>IFERROR(VLOOKUP(A187,'Database BOJ'!$A$1:$C$1100,2,FALSE)/VLOOKUP(A187,'Database BOJ'!$A$1:$C$1100,3,FALSE),#N/A)</f>
        <v>0.35930976904953349</v>
      </c>
    </row>
    <row r="188" spans="1:4" x14ac:dyDescent="0.2">
      <c r="A188" s="41">
        <v>41426</v>
      </c>
      <c r="B188" s="18">
        <f>VLOOKUP(A188,'Database BOJ'!$A$1:$C$1100,2,FALSE)</f>
        <v>1870684</v>
      </c>
      <c r="C188" s="29">
        <f>VLOOKUP(A188,'Database BOJ'!$A$1:$D$1100,4,FALSE)</f>
        <v>13677.3203125</v>
      </c>
      <c r="D188" s="46">
        <f>IFERROR(VLOOKUP(A188,'Database BOJ'!$A$1:$C$1100,2,FALSE)/VLOOKUP(A188,'Database BOJ'!$A$1:$C$1100,3,FALSE),#N/A)</f>
        <v>0.36473452745739238</v>
      </c>
    </row>
    <row r="189" spans="1:4" x14ac:dyDescent="0.2">
      <c r="A189" s="41">
        <v>41456</v>
      </c>
      <c r="B189" s="18">
        <f>VLOOKUP(A189,'Database BOJ'!$A$1:$C$1100,2,FALSE)</f>
        <v>1967581</v>
      </c>
      <c r="C189" s="29">
        <f>VLOOKUP(A189,'Database BOJ'!$A$1:$D$1100,4,FALSE)</f>
        <v>13668.3203125</v>
      </c>
      <c r="D189" s="46">
        <f>IFERROR(VLOOKUP(A189,'Database BOJ'!$A$1:$C$1100,2,FALSE)/VLOOKUP(A189,'Database BOJ'!$A$1:$C$1100,3,FALSE),#N/A)</f>
        <v>0.3836269120114052</v>
      </c>
    </row>
    <row r="190" spans="1:4" x14ac:dyDescent="0.2">
      <c r="A190" s="41">
        <v>41487</v>
      </c>
      <c r="B190" s="18">
        <f>VLOOKUP(A190,'Database BOJ'!$A$1:$C$1100,2,FALSE)</f>
        <v>2056918</v>
      </c>
      <c r="C190" s="29">
        <f>VLOOKUP(A190,'Database BOJ'!$A$1:$D$1100,4,FALSE)</f>
        <v>13388.8603515625</v>
      </c>
      <c r="D190" s="46">
        <f>IFERROR(VLOOKUP(A190,'Database BOJ'!$A$1:$C$1100,2,FALSE)/VLOOKUP(A190,'Database BOJ'!$A$1:$C$1100,3,FALSE),#N/A)</f>
        <v>0.40147237127583912</v>
      </c>
    </row>
    <row r="191" spans="1:4" x14ac:dyDescent="0.2">
      <c r="A191" s="41">
        <v>41518</v>
      </c>
      <c r="B191" s="18">
        <f>VLOOKUP(A191,'Database BOJ'!$A$1:$C$1100,2,FALSE)</f>
        <v>2088625</v>
      </c>
      <c r="C191" s="29">
        <f>VLOOKUP(A191,'Database BOJ'!$A$1:$D$1100,4,FALSE)</f>
        <v>14455.7998046875</v>
      </c>
      <c r="D191" s="46">
        <f>IFERROR(VLOOKUP(A191,'Database BOJ'!$A$1:$C$1100,2,FALSE)/VLOOKUP(A191,'Database BOJ'!$A$1:$C$1100,3,FALSE),#N/A)</f>
        <v>0.40766099156893926</v>
      </c>
    </row>
    <row r="192" spans="1:4" x14ac:dyDescent="0.2">
      <c r="A192" s="41">
        <v>41548</v>
      </c>
      <c r="B192" s="18">
        <f>VLOOKUP(A192,'Database BOJ'!$A$1:$C$1100,2,FALSE)</f>
        <v>2155142</v>
      </c>
      <c r="C192" s="29">
        <f>VLOOKUP(A192,'Database BOJ'!$A$1:$D$1100,4,FALSE)</f>
        <v>14327.9404296875</v>
      </c>
      <c r="D192" s="46">
        <f>IFERROR(VLOOKUP(A192,'Database BOJ'!$A$1:$C$1100,2,FALSE)/VLOOKUP(A192,'Database BOJ'!$A$1:$C$1100,3,FALSE),#N/A)</f>
        <v>0.42064388039589057</v>
      </c>
    </row>
    <row r="193" spans="1:4" x14ac:dyDescent="0.2">
      <c r="A193" s="41">
        <v>41579</v>
      </c>
      <c r="B193" s="18">
        <f>VLOOKUP(A193,'Database BOJ'!$A$1:$C$1100,2,FALSE)</f>
        <v>2240888</v>
      </c>
      <c r="C193" s="29">
        <f>VLOOKUP(A193,'Database BOJ'!$A$1:$D$1100,4,FALSE)</f>
        <v>15661.8701171875</v>
      </c>
      <c r="D193" s="46">
        <f>IFERROR(VLOOKUP(A193,'Database BOJ'!$A$1:$C$1100,2,FALSE)/VLOOKUP(A193,'Database BOJ'!$A$1:$C$1100,3,FALSE),#N/A)</f>
        <v>0.43366827382885331</v>
      </c>
    </row>
    <row r="194" spans="1:4" x14ac:dyDescent="0.2">
      <c r="A194" s="41">
        <v>41609</v>
      </c>
      <c r="B194" s="18">
        <f>VLOOKUP(A194,'Database BOJ'!$A$1:$C$1100,2,FALSE)</f>
        <v>2241897</v>
      </c>
      <c r="C194" s="29">
        <f>VLOOKUP(A194,'Database BOJ'!$A$1:$D$1100,4,FALSE)</f>
        <v>16291.3095703125</v>
      </c>
      <c r="D194" s="46">
        <f>IFERROR(VLOOKUP(A194,'Database BOJ'!$A$1:$C$1100,2,FALSE)/VLOOKUP(A194,'Database BOJ'!$A$1:$C$1100,3,FALSE),#N/A)</f>
        <v>0.43386354074459976</v>
      </c>
    </row>
    <row r="195" spans="1:4" x14ac:dyDescent="0.2">
      <c r="A195" s="41">
        <v>41640</v>
      </c>
      <c r="B195" s="18">
        <f>VLOOKUP(A195,'Database BOJ'!$A$1:$C$1100,2,FALSE)</f>
        <v>2321780</v>
      </c>
      <c r="C195" s="29">
        <f>VLOOKUP(A195,'Database BOJ'!$A$1:$D$1100,4,FALSE)</f>
        <v>14914.5302734375</v>
      </c>
      <c r="D195" s="46">
        <f>IFERROR(VLOOKUP(A195,'Database BOJ'!$A$1:$C$1100,2,FALSE)/VLOOKUP(A195,'Database BOJ'!$A$1:$C$1100,3,FALSE),#N/A)</f>
        <v>0.44932291342108799</v>
      </c>
    </row>
    <row r="196" spans="1:4" x14ac:dyDescent="0.2">
      <c r="A196" s="41">
        <v>41671</v>
      </c>
      <c r="B196" s="18">
        <f>VLOOKUP(A196,'Database BOJ'!$A$1:$C$1100,2,FALSE)</f>
        <v>2404502</v>
      </c>
      <c r="C196" s="29">
        <f>VLOOKUP(A196,'Database BOJ'!$A$1:$D$1100,4,FALSE)</f>
        <v>14841.0703125</v>
      </c>
      <c r="D196" s="46">
        <f>IFERROR(VLOOKUP(A196,'Database BOJ'!$A$1:$C$1100,2,FALSE)/VLOOKUP(A196,'Database BOJ'!$A$1:$C$1100,3,FALSE),#N/A)</f>
        <v>0.46421466797433064</v>
      </c>
    </row>
    <row r="197" spans="1:4" x14ac:dyDescent="0.2">
      <c r="A197" s="41">
        <v>41699</v>
      </c>
      <c r="B197" s="18">
        <f>VLOOKUP(A197,'Database BOJ'!$A$1:$C$1100,2,FALSE)</f>
        <v>2415798</v>
      </c>
      <c r="C197" s="29">
        <f>VLOOKUP(A197,'Database BOJ'!$A$1:$D$1100,4,FALSE)</f>
        <v>14827.830078125</v>
      </c>
      <c r="D197" s="46">
        <f>IFERROR(VLOOKUP(A197,'Database BOJ'!$A$1:$C$1100,2,FALSE)/VLOOKUP(A197,'Database BOJ'!$A$1:$C$1100,3,FALSE),#N/A)</f>
        <v>0.46639548083680199</v>
      </c>
    </row>
    <row r="198" spans="1:4" x14ac:dyDescent="0.2">
      <c r="A198" s="41">
        <v>41730</v>
      </c>
      <c r="B198" s="18">
        <f>VLOOKUP(A198,'Database BOJ'!$A$1:$C$1100,2,FALSE)</f>
        <v>2461764</v>
      </c>
      <c r="C198" s="29">
        <f>VLOOKUP(A198,'Database BOJ'!$A$1:$D$1100,4,FALSE)</f>
        <v>14304.1103515625</v>
      </c>
      <c r="D198" s="46">
        <f>IFERROR(VLOOKUP(A198,'Database BOJ'!$A$1:$C$1100,2,FALSE)/VLOOKUP(A198,'Database BOJ'!$A$1:$C$1100,3,FALSE),#N/A)</f>
        <v>0.47526970569837751</v>
      </c>
    </row>
    <row r="199" spans="1:4" x14ac:dyDescent="0.2">
      <c r="A199" s="41">
        <v>41760</v>
      </c>
      <c r="B199" s="18">
        <f>VLOOKUP(A199,'Database BOJ'!$A$1:$C$1100,2,FALSE)</f>
        <v>2539730</v>
      </c>
      <c r="C199" s="29">
        <f>VLOOKUP(A199,'Database BOJ'!$A$1:$D$1100,4,FALSE)</f>
        <v>14632.3798828125</v>
      </c>
      <c r="D199" s="46">
        <f>IFERROR(VLOOKUP(A199,'Database BOJ'!$A$1:$C$1100,2,FALSE)/VLOOKUP(A199,'Database BOJ'!$A$1:$C$1100,3,FALSE),#N/A)</f>
        <v>0.49003899504313381</v>
      </c>
    </row>
    <row r="200" spans="1:4" x14ac:dyDescent="0.2">
      <c r="A200" s="41">
        <v>41791</v>
      </c>
      <c r="B200" s="18">
        <f>VLOOKUP(A200,'Database BOJ'!$A$1:$C$1100,2,FALSE)</f>
        <v>2577613</v>
      </c>
      <c r="C200" s="29">
        <f>VLOOKUP(A200,'Database BOJ'!$A$1:$D$1100,4,FALSE)</f>
        <v>15162.099609375</v>
      </c>
      <c r="D200" s="46">
        <f>IFERROR(VLOOKUP(A200,'Database BOJ'!$A$1:$C$1100,2,FALSE)/VLOOKUP(A200,'Database BOJ'!$A$1:$C$1100,3,FALSE),#N/A)</f>
        <v>0.49734849142630017</v>
      </c>
    </row>
    <row r="201" spans="1:4" x14ac:dyDescent="0.2">
      <c r="A201" s="41">
        <v>41821</v>
      </c>
      <c r="B201" s="18">
        <f>VLOOKUP(A201,'Database BOJ'!$A$1:$C$1100,2,FALSE)</f>
        <v>2689676</v>
      </c>
      <c r="C201" s="29">
        <f>VLOOKUP(A201,'Database BOJ'!$A$1:$D$1100,4,FALSE)</f>
        <v>15620.76953125</v>
      </c>
      <c r="D201" s="46">
        <f>IFERROR(VLOOKUP(A201,'Database BOJ'!$A$1:$C$1100,2,FALSE)/VLOOKUP(A201,'Database BOJ'!$A$1:$C$1100,3,FALSE),#N/A)</f>
        <v>0.51897096306758428</v>
      </c>
    </row>
    <row r="202" spans="1:4" x14ac:dyDescent="0.2">
      <c r="A202" s="41">
        <v>41852</v>
      </c>
      <c r="B202" s="18">
        <f>VLOOKUP(A202,'Database BOJ'!$A$1:$C$1100,2,FALSE)</f>
        <v>2758955</v>
      </c>
      <c r="C202" s="29">
        <f>VLOOKUP(A202,'Database BOJ'!$A$1:$D$1100,4,FALSE)</f>
        <v>15424.58984375</v>
      </c>
      <c r="D202" s="46">
        <f>IFERROR(VLOOKUP(A202,'Database BOJ'!$A$1:$C$1100,2,FALSE)/VLOOKUP(A202,'Database BOJ'!$A$1:$C$1100,3,FALSE),#N/A)</f>
        <v>0.52854252834808124</v>
      </c>
    </row>
    <row r="203" spans="1:4" x14ac:dyDescent="0.2">
      <c r="A203" s="41">
        <v>41883</v>
      </c>
      <c r="B203" s="18">
        <f>VLOOKUP(A203,'Database BOJ'!$A$1:$C$1100,2,FALSE)</f>
        <v>2770994</v>
      </c>
      <c r="C203" s="29">
        <f>VLOOKUP(A203,'Database BOJ'!$A$1:$D$1100,4,FALSE)</f>
        <v>16173.51953125</v>
      </c>
      <c r="D203" s="46">
        <f>IFERROR(VLOOKUP(A203,'Database BOJ'!$A$1:$C$1100,2,FALSE)/VLOOKUP(A203,'Database BOJ'!$A$1:$C$1100,3,FALSE),#N/A)</f>
        <v>0.53084888111526396</v>
      </c>
    </row>
    <row r="204" spans="1:4" x14ac:dyDescent="0.2">
      <c r="A204" s="41">
        <v>41913</v>
      </c>
      <c r="B204" s="18">
        <f>VLOOKUP(A204,'Database BOJ'!$A$1:$C$1100,2,FALSE)</f>
        <v>2868380</v>
      </c>
      <c r="C204" s="29">
        <f>VLOOKUP(A204,'Database BOJ'!$A$1:$D$1100,4,FALSE)</f>
        <v>16413.759765625</v>
      </c>
      <c r="D204" s="46">
        <f>IFERROR(VLOOKUP(A204,'Database BOJ'!$A$1:$C$1100,2,FALSE)/VLOOKUP(A204,'Database BOJ'!$A$1:$C$1100,3,FALSE),#N/A)</f>
        <v>0.54950545313826049</v>
      </c>
    </row>
    <row r="205" spans="1:4" x14ac:dyDescent="0.2">
      <c r="A205" s="41">
        <v>41944</v>
      </c>
      <c r="B205" s="18">
        <f>VLOOKUP(A205,'Database BOJ'!$A$1:$C$1100,2,FALSE)</f>
        <v>2973747</v>
      </c>
      <c r="C205" s="29">
        <f>VLOOKUP(A205,'Database BOJ'!$A$1:$D$1100,4,FALSE)</f>
        <v>17459.849609375</v>
      </c>
      <c r="D205" s="46">
        <f>IFERROR(VLOOKUP(A205,'Database BOJ'!$A$1:$C$1100,2,FALSE)/VLOOKUP(A205,'Database BOJ'!$A$1:$C$1100,3,FALSE),#N/A)</f>
        <v>0.5561340123956996</v>
      </c>
    </row>
    <row r="206" spans="1:4" x14ac:dyDescent="0.2">
      <c r="A206" s="41">
        <v>41974</v>
      </c>
      <c r="B206" s="18">
        <f>VLOOKUP(A206,'Database BOJ'!$A$1:$C$1100,2,FALSE)</f>
        <v>3002117</v>
      </c>
      <c r="C206" s="29">
        <f>VLOOKUP(A206,'Database BOJ'!$A$1:$D$1100,4,FALSE)</f>
        <v>17450.76953125</v>
      </c>
      <c r="D206" s="46">
        <f>IFERROR(VLOOKUP(A206,'Database BOJ'!$A$1:$C$1100,2,FALSE)/VLOOKUP(A206,'Database BOJ'!$A$1:$C$1100,3,FALSE),#N/A)</f>
        <v>0.56143961570750323</v>
      </c>
    </row>
    <row r="207" spans="1:4" x14ac:dyDescent="0.2">
      <c r="A207" s="41">
        <v>42005</v>
      </c>
      <c r="B207" s="18">
        <f>VLOOKUP(A207,'Database BOJ'!$A$1:$C$1100,2,FALSE)</f>
        <v>3111731</v>
      </c>
      <c r="C207" s="29">
        <f>VLOOKUP(A207,'Database BOJ'!$A$1:$D$1100,4,FALSE)</f>
        <v>17674.390625</v>
      </c>
      <c r="D207" s="46">
        <f>IFERROR(VLOOKUP(A207,'Database BOJ'!$A$1:$C$1100,2,FALSE)/VLOOKUP(A207,'Database BOJ'!$A$1:$C$1100,3,FALSE),#N/A)</f>
        <v>0.58193903063242525</v>
      </c>
    </row>
    <row r="208" spans="1:4" x14ac:dyDescent="0.2">
      <c r="A208" s="41">
        <v>42036</v>
      </c>
      <c r="B208" s="18">
        <f>VLOOKUP(A208,'Database BOJ'!$A$1:$C$1100,2,FALSE)</f>
        <v>3204418</v>
      </c>
      <c r="C208" s="29">
        <f>VLOOKUP(A208,'Database BOJ'!$A$1:$D$1100,4,FALSE)</f>
        <v>18797.939453125</v>
      </c>
      <c r="D208" s="46">
        <f>IFERROR(VLOOKUP(A208,'Database BOJ'!$A$1:$C$1100,2,FALSE)/VLOOKUP(A208,'Database BOJ'!$A$1:$C$1100,3,FALSE),#N/A)</f>
        <v>0.59521611941108044</v>
      </c>
    </row>
    <row r="209" spans="1:4" x14ac:dyDescent="0.2">
      <c r="A209" s="41">
        <v>42064</v>
      </c>
      <c r="B209" s="18">
        <f>VLOOKUP(A209,'Database BOJ'!$A$1:$C$1100,2,FALSE)</f>
        <v>3235937</v>
      </c>
      <c r="C209" s="29">
        <f>VLOOKUP(A209,'Database BOJ'!$A$1:$D$1100,4,FALSE)</f>
        <v>19206.990234375</v>
      </c>
      <c r="D209" s="46">
        <f>IFERROR(VLOOKUP(A209,'Database BOJ'!$A$1:$C$1100,2,FALSE)/VLOOKUP(A209,'Database BOJ'!$A$1:$C$1100,3,FALSE),#N/A)</f>
        <v>0.60107072916165527</v>
      </c>
    </row>
    <row r="210" spans="1:4" x14ac:dyDescent="0.2">
      <c r="A210" s="41">
        <v>42095</v>
      </c>
      <c r="B210" s="18">
        <f>VLOOKUP(A210,'Database BOJ'!$A$1:$C$1100,2,FALSE)</f>
        <v>3328186</v>
      </c>
      <c r="C210" s="29">
        <f>VLOOKUP(A210,'Database BOJ'!$A$1:$D$1100,4,FALSE)</f>
        <v>19520.009765625</v>
      </c>
      <c r="D210" s="46">
        <f>IFERROR(VLOOKUP(A210,'Database BOJ'!$A$1:$C$1100,2,FALSE)/VLOOKUP(A210,'Database BOJ'!$A$1:$C$1100,3,FALSE),#N/A)</f>
        <v>0.6182058506718805</v>
      </c>
    </row>
    <row r="211" spans="1:4" x14ac:dyDescent="0.2">
      <c r="A211" s="41">
        <v>42125</v>
      </c>
      <c r="B211" s="18">
        <f>VLOOKUP(A211,'Database BOJ'!$A$1:$C$1100,2,FALSE)</f>
        <v>3431402</v>
      </c>
      <c r="C211" s="29">
        <f>VLOOKUP(A211,'Database BOJ'!$A$1:$D$1100,4,FALSE)</f>
        <v>20563.150390625</v>
      </c>
      <c r="D211" s="46">
        <f>IFERROR(VLOOKUP(A211,'Database BOJ'!$A$1:$C$1100,2,FALSE)/VLOOKUP(A211,'Database BOJ'!$A$1:$C$1100,3,FALSE),#N/A)</f>
        <v>0.63558688025267873</v>
      </c>
    </row>
    <row r="212" spans="1:4" x14ac:dyDescent="0.2">
      <c r="A212" s="41">
        <v>42156</v>
      </c>
      <c r="B212" s="18">
        <f>VLOOKUP(A212,'Database BOJ'!$A$1:$C$1100,2,FALSE)</f>
        <v>3454395</v>
      </c>
      <c r="C212" s="29">
        <f>VLOOKUP(A212,'Database BOJ'!$A$1:$D$1100,4,FALSE)</f>
        <v>20235.73046875</v>
      </c>
      <c r="D212" s="46">
        <f>IFERROR(VLOOKUP(A212,'Database BOJ'!$A$1:$C$1100,2,FALSE)/VLOOKUP(A212,'Database BOJ'!$A$1:$C$1100,3,FALSE),#N/A)</f>
        <v>0.63984579516199269</v>
      </c>
    </row>
    <row r="213" spans="1:4" x14ac:dyDescent="0.2">
      <c r="A213" s="41">
        <v>42186</v>
      </c>
      <c r="B213" s="18">
        <f>VLOOKUP(A213,'Database BOJ'!$A$1:$C$1100,2,FALSE)</f>
        <v>3542941</v>
      </c>
      <c r="C213" s="29">
        <f>VLOOKUP(A213,'Database BOJ'!$A$1:$D$1100,4,FALSE)</f>
        <v>20585.240234375</v>
      </c>
      <c r="D213" s="46">
        <f>IFERROR(VLOOKUP(A213,'Database BOJ'!$A$1:$C$1100,2,FALSE)/VLOOKUP(A213,'Database BOJ'!$A$1:$C$1100,3,FALSE),#N/A)</f>
        <v>0.65624686851301761</v>
      </c>
    </row>
    <row r="214" spans="1:4" x14ac:dyDescent="0.2">
      <c r="A214" s="41">
        <v>42217</v>
      </c>
      <c r="B214" s="18">
        <f>VLOOKUP(A214,'Database BOJ'!$A$1:$C$1100,2,FALSE)</f>
        <v>3614591</v>
      </c>
      <c r="C214" s="29">
        <f>VLOOKUP(A214,'Database BOJ'!$A$1:$D$1100,4,FALSE)</f>
        <v>18890.48046875</v>
      </c>
      <c r="D214" s="46">
        <f>IFERROR(VLOOKUP(A214,'Database BOJ'!$A$1:$C$1100,2,FALSE)/VLOOKUP(A214,'Database BOJ'!$A$1:$C$1100,3,FALSE),#N/A)</f>
        <v>0.67029172022807704</v>
      </c>
    </row>
    <row r="215" spans="1:4" x14ac:dyDescent="0.2">
      <c r="A215" s="41">
        <v>42248</v>
      </c>
      <c r="B215" s="18">
        <f>VLOOKUP(A215,'Database BOJ'!$A$1:$C$1100,2,FALSE)</f>
        <v>3661278</v>
      </c>
      <c r="C215" s="29">
        <f>VLOOKUP(A215,'Database BOJ'!$A$1:$D$1100,4,FALSE)</f>
        <v>17388.150390625</v>
      </c>
      <c r="D215" s="46">
        <f>IFERROR(VLOOKUP(A215,'Database BOJ'!$A$1:$C$1100,2,FALSE)/VLOOKUP(A215,'Database BOJ'!$A$1:$C$1100,3,FALSE),#N/A)</f>
        <v>0.67894938289095874</v>
      </c>
    </row>
    <row r="216" spans="1:4" x14ac:dyDescent="0.2">
      <c r="A216" s="41">
        <v>42278</v>
      </c>
      <c r="B216" s="18">
        <f>VLOOKUP(A216,'Database BOJ'!$A$1:$C$1100,2,FALSE)</f>
        <v>3735537</v>
      </c>
      <c r="C216" s="29">
        <f>VLOOKUP(A216,'Database BOJ'!$A$1:$D$1100,4,FALSE)</f>
        <v>19083.099609375</v>
      </c>
      <c r="D216" s="46">
        <f>IFERROR(VLOOKUP(A216,'Database BOJ'!$A$1:$C$1100,2,FALSE)/VLOOKUP(A216,'Database BOJ'!$A$1:$C$1100,3,FALSE),#N/A)</f>
        <v>0.69272001222424062</v>
      </c>
    </row>
    <row r="217" spans="1:4" x14ac:dyDescent="0.2">
      <c r="A217" s="41">
        <v>42309</v>
      </c>
      <c r="B217" s="18">
        <f>VLOOKUP(A217,'Database BOJ'!$A$1:$C$1100,2,FALSE)</f>
        <v>3812542</v>
      </c>
      <c r="C217" s="29">
        <f>VLOOKUP(A217,'Database BOJ'!$A$1:$D$1100,4,FALSE)</f>
        <v>19747.470703125</v>
      </c>
      <c r="D217" s="46">
        <f>IFERROR(VLOOKUP(A217,'Database BOJ'!$A$1:$C$1100,2,FALSE)/VLOOKUP(A217,'Database BOJ'!$A$1:$C$1100,3,FALSE),#N/A)</f>
        <v>0.69943836406058346</v>
      </c>
    </row>
    <row r="218" spans="1:4" x14ac:dyDescent="0.2">
      <c r="A218" s="41">
        <v>42339</v>
      </c>
      <c r="B218" s="18">
        <f>VLOOKUP(A218,'Database BOJ'!$A$1:$C$1100,2,FALSE)</f>
        <v>3831076</v>
      </c>
      <c r="C218" s="29">
        <f>VLOOKUP(A218,'Database BOJ'!$A$1:$D$1100,4,FALSE)</f>
        <v>19033.7109375</v>
      </c>
      <c r="D218" s="46">
        <f>IFERROR(VLOOKUP(A218,'Database BOJ'!$A$1:$C$1100,2,FALSE)/VLOOKUP(A218,'Database BOJ'!$A$1:$C$1100,3,FALSE),#N/A)</f>
        <v>0.70283856021304525</v>
      </c>
    </row>
    <row r="219" spans="1:4" x14ac:dyDescent="0.2">
      <c r="A219" s="41">
        <v>42370</v>
      </c>
      <c r="B219" s="18">
        <f>VLOOKUP(A219,'Database BOJ'!$A$1:$C$1100,2,FALSE)</f>
        <v>3964498</v>
      </c>
      <c r="C219" s="29">
        <f>VLOOKUP(A219,'Database BOJ'!$A$1:$D$1100,4,FALSE)</f>
        <v>17518.30078125</v>
      </c>
      <c r="D219" s="46">
        <f>IFERROR(VLOOKUP(A219,'Database BOJ'!$A$1:$C$1100,2,FALSE)/VLOOKUP(A219,'Database BOJ'!$A$1:$C$1100,3,FALSE),#N/A)</f>
        <v>0.72731578968610833</v>
      </c>
    </row>
    <row r="220" spans="1:4" x14ac:dyDescent="0.2">
      <c r="A220" s="41">
        <v>42401</v>
      </c>
      <c r="B220" s="18">
        <f>VLOOKUP(A220,'Database BOJ'!$A$1:$C$1100,2,FALSE)</f>
        <v>4037909</v>
      </c>
      <c r="C220" s="29">
        <f>VLOOKUP(A220,'Database BOJ'!$A$1:$D$1100,4,FALSE)</f>
        <v>16026.759765625</v>
      </c>
      <c r="D220" s="46">
        <f>IFERROR(VLOOKUP(A220,'Database BOJ'!$A$1:$C$1100,2,FALSE)/VLOOKUP(A220,'Database BOJ'!$A$1:$C$1100,3,FALSE),#N/A)</f>
        <v>0.74272497550865302</v>
      </c>
    </row>
    <row r="221" spans="1:4" x14ac:dyDescent="0.2">
      <c r="A221" s="41">
        <v>42430</v>
      </c>
      <c r="B221" s="18">
        <f>VLOOKUP(A221,'Database BOJ'!$A$1:$C$1100,2,FALSE)</f>
        <v>4056481</v>
      </c>
      <c r="C221" s="29">
        <f>VLOOKUP(A221,'Database BOJ'!$A$1:$D$1100,4,FALSE)</f>
        <v>16758.669921875</v>
      </c>
      <c r="D221" s="46">
        <f>IFERROR(VLOOKUP(A221,'Database BOJ'!$A$1:$C$1100,2,FALSE)/VLOOKUP(A221,'Database BOJ'!$A$1:$C$1100,3,FALSE),#N/A)</f>
        <v>0.74614107236599836</v>
      </c>
    </row>
    <row r="222" spans="1:4" x14ac:dyDescent="0.2">
      <c r="A222" s="41">
        <v>42461</v>
      </c>
      <c r="B222" s="18">
        <f>VLOOKUP(A222,'Database BOJ'!$A$1:$C$1100,2,FALSE)</f>
        <v>4144163</v>
      </c>
      <c r="C222" s="29">
        <f>VLOOKUP(A222,'Database BOJ'!$A$1:$D$1100,4,FALSE)</f>
        <v>16666.05078125</v>
      </c>
      <c r="D222" s="46">
        <f>IFERROR(VLOOKUP(A222,'Database BOJ'!$A$1:$C$1100,2,FALSE)/VLOOKUP(A222,'Database BOJ'!$A$1:$C$1100,3,FALSE),#N/A)</f>
        <v>0.76226912559913207</v>
      </c>
    </row>
    <row r="223" spans="1:4" x14ac:dyDescent="0.2">
      <c r="A223" s="41">
        <v>42491</v>
      </c>
      <c r="B223" s="18">
        <f>VLOOKUP(A223,'Database BOJ'!$A$1:$C$1100,2,FALSE)</f>
        <v>4256697</v>
      </c>
      <c r="C223" s="29">
        <f>VLOOKUP(A223,'Database BOJ'!$A$1:$D$1100,4,FALSE)</f>
        <v>17234.98046875</v>
      </c>
      <c r="D223" s="46">
        <f>IFERROR(VLOOKUP(A223,'Database BOJ'!$A$1:$C$1100,2,FALSE)/VLOOKUP(A223,'Database BOJ'!$A$1:$C$1100,3,FALSE),#N/A)</f>
        <v>0.78313175653300171</v>
      </c>
    </row>
    <row r="224" spans="1:4" x14ac:dyDescent="0.2">
      <c r="A224" s="41">
        <v>42522</v>
      </c>
      <c r="B224" s="18">
        <f>VLOOKUP(A224,'Database BOJ'!$A$1:$C$1100,2,FALSE)</f>
        <v>4327586</v>
      </c>
      <c r="C224" s="29">
        <f>VLOOKUP(A224,'Database BOJ'!$A$1:$D$1100,4,FALSE)</f>
        <v>15575.919921875</v>
      </c>
      <c r="D224" s="46">
        <f>IFERROR(VLOOKUP(A224,'Database BOJ'!$A$1:$C$1100,2,FALSE)/VLOOKUP(A224,'Database BOJ'!$A$1:$C$1100,3,FALSE),#N/A)</f>
        <v>0.79617365899607762</v>
      </c>
    </row>
    <row r="225" spans="1:4" x14ac:dyDescent="0.2">
      <c r="A225" s="41">
        <v>42552</v>
      </c>
      <c r="B225" s="18">
        <f>VLOOKUP(A225,'Database BOJ'!$A$1:$C$1100,2,FALSE)</f>
        <v>4430848</v>
      </c>
      <c r="C225" s="29">
        <f>VLOOKUP(A225,'Database BOJ'!$A$1:$D$1100,4,FALSE)</f>
        <v>16569.26953125</v>
      </c>
      <c r="D225" s="46">
        <f>IFERROR(VLOOKUP(A225,'Database BOJ'!$A$1:$C$1100,2,FALSE)/VLOOKUP(A225,'Database BOJ'!$A$1:$C$1100,3,FALSE),#N/A)</f>
        <v>0.81517142920220476</v>
      </c>
    </row>
    <row r="226" spans="1:4" x14ac:dyDescent="0.2">
      <c r="A226" s="41">
        <v>42583</v>
      </c>
      <c r="B226" s="18">
        <f>VLOOKUP(A226,'Database BOJ'!$A$1:$C$1100,2,FALSE)</f>
        <v>4529802</v>
      </c>
      <c r="C226" s="29">
        <f>VLOOKUP(A226,'Database BOJ'!$A$1:$D$1100,4,FALSE)</f>
        <v>16887.400390625</v>
      </c>
      <c r="D226" s="46">
        <f>IFERROR(VLOOKUP(A226,'Database BOJ'!$A$1:$C$1100,2,FALSE)/VLOOKUP(A226,'Database BOJ'!$A$1:$C$1100,3,FALSE),#N/A)</f>
        <v>0.8318977114099666</v>
      </c>
    </row>
    <row r="227" spans="1:4" x14ac:dyDescent="0.2">
      <c r="A227" s="41">
        <v>42614</v>
      </c>
      <c r="B227" s="18">
        <f>VLOOKUP(A227,'Database BOJ'!$A$1:$C$1100,2,FALSE)</f>
        <v>4568058</v>
      </c>
      <c r="C227" s="29">
        <f>VLOOKUP(A227,'Database BOJ'!$A$1:$D$1100,4,FALSE)</f>
        <v>16449.83984375</v>
      </c>
      <c r="D227" s="46">
        <f>IFERROR(VLOOKUP(A227,'Database BOJ'!$A$1:$C$1100,2,FALSE)/VLOOKUP(A227,'Database BOJ'!$A$1:$C$1100,3,FALSE),#N/A)</f>
        <v>0.83892342221315397</v>
      </c>
    </row>
    <row r="228" spans="1:4" x14ac:dyDescent="0.2">
      <c r="A228" s="41">
        <v>42644</v>
      </c>
      <c r="B228" s="18">
        <f>VLOOKUP(A228,'Database BOJ'!$A$1:$C$1100,2,FALSE)</f>
        <v>4633922</v>
      </c>
      <c r="C228" s="29">
        <f>VLOOKUP(A228,'Database BOJ'!$A$1:$D$1100,4,FALSE)</f>
        <v>17425.01953125</v>
      </c>
      <c r="D228" s="46">
        <f>IFERROR(VLOOKUP(A228,'Database BOJ'!$A$1:$C$1100,2,FALSE)/VLOOKUP(A228,'Database BOJ'!$A$1:$C$1100,3,FALSE),#N/A)</f>
        <v>0.85101933962064913</v>
      </c>
    </row>
    <row r="229" spans="1:4" x14ac:dyDescent="0.2">
      <c r="A229" s="41">
        <v>42675</v>
      </c>
      <c r="B229" s="18">
        <f>VLOOKUP(A229,'Database BOJ'!$A$1:$C$1100,2,FALSE)</f>
        <v>4711310</v>
      </c>
      <c r="C229" s="29">
        <f>VLOOKUP(A229,'Database BOJ'!$A$1:$D$1100,4,FALSE)</f>
        <v>18308.48046875</v>
      </c>
      <c r="D229" s="46">
        <f>IFERROR(VLOOKUP(A229,'Database BOJ'!$A$1:$C$1100,2,FALSE)/VLOOKUP(A229,'Database BOJ'!$A$1:$C$1100,3,FALSE),#N/A)</f>
        <v>0.86078366171655751</v>
      </c>
    </row>
    <row r="230" spans="1:4" x14ac:dyDescent="0.2">
      <c r="A230" s="41">
        <v>42705</v>
      </c>
      <c r="B230" s="18">
        <f>VLOOKUP(A230,'Database BOJ'!$A$1:$C$1100,2,FALSE)</f>
        <v>4764980</v>
      </c>
      <c r="C230" s="29">
        <f>VLOOKUP(A230,'Database BOJ'!$A$1:$D$1100,4,FALSE)</f>
        <v>19114.369140625</v>
      </c>
      <c r="D230" s="46">
        <f>IFERROR(VLOOKUP(A230,'Database BOJ'!$A$1:$C$1100,2,FALSE)/VLOOKUP(A230,'Database BOJ'!$A$1:$C$1100,3,FALSE),#N/A)</f>
        <v>0.8705894819925164</v>
      </c>
    </row>
    <row r="231" spans="1:4" x14ac:dyDescent="0.2">
      <c r="A231" s="41">
        <v>42736</v>
      </c>
      <c r="B231" s="18">
        <f>VLOOKUP(A231,'Database BOJ'!$A$1:$C$1100,2,FALSE)</f>
        <v>4819817</v>
      </c>
      <c r="C231" s="29">
        <f>VLOOKUP(A231,'Database BOJ'!$A$1:$D$1100,4,FALSE)</f>
        <v>19041.33984375</v>
      </c>
      <c r="D231" s="46">
        <f>IFERROR(VLOOKUP(A231,'Database BOJ'!$A$1:$C$1100,2,FALSE)/VLOOKUP(A231,'Database BOJ'!$A$1:$C$1100,3,FALSE),#N/A)</f>
        <v>0.88060851993685685</v>
      </c>
    </row>
    <row r="232" spans="1:4" x14ac:dyDescent="0.2">
      <c r="A232" s="41">
        <v>42767</v>
      </c>
      <c r="B232" s="18">
        <f>VLOOKUP(A232,'Database BOJ'!$A$1:$C$1100,2,FALSE)</f>
        <v>4879011</v>
      </c>
      <c r="C232" s="29">
        <f>VLOOKUP(A232,'Database BOJ'!$A$1:$D$1100,4,FALSE)</f>
        <v>19118.990234375</v>
      </c>
      <c r="D232" s="46">
        <f>IFERROR(VLOOKUP(A232,'Database BOJ'!$A$1:$C$1100,2,FALSE)/VLOOKUP(A232,'Database BOJ'!$A$1:$C$1100,3,FALSE),#N/A)</f>
        <v>0.88534668348682455</v>
      </c>
    </row>
    <row r="233" spans="1:4" x14ac:dyDescent="0.2">
      <c r="A233" s="41">
        <v>42795</v>
      </c>
      <c r="B233" s="18">
        <f>VLOOKUP(A233,'Database BOJ'!$A$1:$C$1100,2,FALSE)</f>
        <v>4900893</v>
      </c>
      <c r="C233" s="29">
        <f>VLOOKUP(A233,'Database BOJ'!$A$1:$D$1100,4,FALSE)</f>
        <v>18909.259765625</v>
      </c>
      <c r="D233" s="46">
        <f>IFERROR(VLOOKUP(A233,'Database BOJ'!$A$1:$C$1100,2,FALSE)/VLOOKUP(A233,'Database BOJ'!$A$1:$C$1100,3,FALSE),#N/A)</f>
        <v>0.88931739724993319</v>
      </c>
    </row>
    <row r="234" spans="1:4" x14ac:dyDescent="0.2">
      <c r="A234" s="41">
        <v>42826</v>
      </c>
      <c r="B234" s="18">
        <f>VLOOKUP(A234,'Database BOJ'!$A$1:$C$1100,2,FALSE)</f>
        <v>4977463</v>
      </c>
      <c r="C234" s="29">
        <f>VLOOKUP(A234,'Database BOJ'!$A$1:$D$1100,4,FALSE)</f>
        <v>19196.740234375</v>
      </c>
      <c r="D234" s="46">
        <f>IFERROR(VLOOKUP(A234,'Database BOJ'!$A$1:$C$1100,2,FALSE)/VLOOKUP(A234,'Database BOJ'!$A$1:$C$1100,3,FALSE),#N/A)</f>
        <v>0.90321181059611877</v>
      </c>
    </row>
    <row r="235" spans="1:4" x14ac:dyDescent="0.2">
      <c r="A235" s="41">
        <v>42856</v>
      </c>
      <c r="B235" s="18">
        <f>VLOOKUP(A235,'Database BOJ'!$A$1:$C$1100,2,FALSE)</f>
        <v>5008008</v>
      </c>
      <c r="C235" s="29">
        <f>VLOOKUP(A235,'Database BOJ'!$A$1:$D$1100,4,FALSE)</f>
        <v>19650.5703125</v>
      </c>
      <c r="D235" s="46">
        <f>IFERROR(VLOOKUP(A235,'Database BOJ'!$A$1:$C$1100,2,FALSE)/VLOOKUP(A235,'Database BOJ'!$A$1:$C$1100,3,FALSE),#N/A)</f>
        <v>0.89899773042928333</v>
      </c>
    </row>
    <row r="236" spans="1:4" x14ac:dyDescent="0.2">
      <c r="A236" s="41">
        <v>42887</v>
      </c>
      <c r="B236" s="18">
        <f>VLOOKUP(A236,'Database BOJ'!$A$1:$C$1100,2,FALSE)</f>
        <v>5021084</v>
      </c>
      <c r="C236" s="29">
        <f>VLOOKUP(A236,'Database BOJ'!$A$1:$D$1100,4,FALSE)</f>
        <v>20033.4296875</v>
      </c>
      <c r="D236" s="46">
        <f>IFERROR(VLOOKUP(A236,'Database BOJ'!$A$1:$C$1100,2,FALSE)/VLOOKUP(A236,'Database BOJ'!$A$1:$C$1100,3,FALSE),#N/A)</f>
        <v>0.90134502985913512</v>
      </c>
    </row>
    <row r="237" spans="1:4" x14ac:dyDescent="0.2">
      <c r="A237" s="41">
        <v>42917</v>
      </c>
      <c r="B237" s="18">
        <f>VLOOKUP(A237,'Database BOJ'!$A$1:$C$1100,2,FALSE)</f>
        <v>5055602</v>
      </c>
      <c r="C237" s="29">
        <f>VLOOKUP(A237,'Database BOJ'!$A$1:$D$1100,4,FALSE)</f>
        <v>19925.1796875</v>
      </c>
      <c r="D237" s="46">
        <f>IFERROR(VLOOKUP(A237,'Database BOJ'!$A$1:$C$1100,2,FALSE)/VLOOKUP(A237,'Database BOJ'!$A$1:$C$1100,3,FALSE),#N/A)</f>
        <v>0.90754142644215929</v>
      </c>
    </row>
    <row r="238" spans="1:4" x14ac:dyDescent="0.2">
      <c r="A238" s="41">
        <v>42948</v>
      </c>
      <c r="B238" s="18">
        <f>VLOOKUP(A238,'Database BOJ'!$A$1:$C$1100,2,FALSE)</f>
        <v>5115845</v>
      </c>
      <c r="C238" s="29">
        <f>VLOOKUP(A238,'Database BOJ'!$A$1:$D$1100,4,FALSE)</f>
        <v>19646.240234375</v>
      </c>
      <c r="D238" s="46">
        <f>IFERROR(VLOOKUP(A238,'Database BOJ'!$A$1:$C$1100,2,FALSE)/VLOOKUP(A238,'Database BOJ'!$A$1:$C$1100,3,FALSE),#N/A)</f>
        <v>0.91885605062410824</v>
      </c>
    </row>
    <row r="239" spans="1:4" x14ac:dyDescent="0.2">
      <c r="A239" s="41">
        <v>42979</v>
      </c>
      <c r="B239" s="18">
        <f>VLOOKUP(A239,'Database BOJ'!$A$1:$C$1100,2,FALSE)</f>
        <v>5134438</v>
      </c>
      <c r="C239" s="29">
        <f>VLOOKUP(A239,'Database BOJ'!$A$1:$D$1100,4,FALSE)</f>
        <v>20356.279296875</v>
      </c>
      <c r="D239" s="46">
        <f>IFERROR(VLOOKUP(A239,'Database BOJ'!$A$1:$C$1100,2,FALSE)/VLOOKUP(A239,'Database BOJ'!$A$1:$C$1100,3,FALSE),#N/A)</f>
        <v>0.92219553619281758</v>
      </c>
    </row>
    <row r="240" spans="1:4" x14ac:dyDescent="0.2">
      <c r="A240" s="41">
        <v>43009</v>
      </c>
      <c r="B240" s="18">
        <f>VLOOKUP(A240,'Database BOJ'!$A$1:$C$1100,2,FALSE)</f>
        <v>5180461</v>
      </c>
      <c r="C240" s="29">
        <f>VLOOKUP(A240,'Database BOJ'!$A$1:$D$1100,4,FALSE)</f>
        <v>22011.609375</v>
      </c>
      <c r="D240" s="46">
        <f>IFERROR(VLOOKUP(A240,'Database BOJ'!$A$1:$C$1100,2,FALSE)/VLOOKUP(A240,'Database BOJ'!$A$1:$C$1100,3,FALSE),#N/A)</f>
        <v>0.93046171939771793</v>
      </c>
    </row>
    <row r="241" spans="1:4" x14ac:dyDescent="0.2">
      <c r="A241" s="41">
        <v>43040</v>
      </c>
      <c r="B241" s="18">
        <f>VLOOKUP(A241,'Database BOJ'!$A$1:$C$1100,2,FALSE)</f>
        <v>5218600</v>
      </c>
      <c r="C241" s="29">
        <f>VLOOKUP(A241,'Database BOJ'!$A$1:$D$1100,4,FALSE)</f>
        <v>22724.9609375</v>
      </c>
      <c r="D241" s="46">
        <f>IFERROR(VLOOKUP(A241,'Database BOJ'!$A$1:$C$1100,2,FALSE)/VLOOKUP(A241,'Database BOJ'!$A$1:$C$1100,3,FALSE),#N/A)</f>
        <v>0.93530505038918765</v>
      </c>
    </row>
    <row r="242" spans="1:4" x14ac:dyDescent="0.2">
      <c r="A242" s="41">
        <v>43070</v>
      </c>
      <c r="B242" s="18">
        <f>VLOOKUP(A242,'Database BOJ'!$A$1:$C$1100,2,FALSE)</f>
        <v>5214161</v>
      </c>
      <c r="C242" s="29">
        <f>VLOOKUP(A242,'Database BOJ'!$A$1:$D$1100,4,FALSE)</f>
        <v>22764.939453125</v>
      </c>
      <c r="D242" s="46">
        <f>IFERROR(VLOOKUP(A242,'Database BOJ'!$A$1:$C$1100,2,FALSE)/VLOOKUP(A242,'Database BOJ'!$A$1:$C$1100,3,FALSE),#N/A)</f>
        <v>0.93450946936771118</v>
      </c>
    </row>
    <row r="243" spans="1:4" x14ac:dyDescent="0.2">
      <c r="A243" s="41">
        <v>43101</v>
      </c>
      <c r="B243" s="18">
        <f>VLOOKUP(A243,'Database BOJ'!$A$1:$C$1100,2,FALSE)</f>
        <v>5267036</v>
      </c>
      <c r="C243" s="29">
        <f>VLOOKUP(A243,'Database BOJ'!$A$1:$D$1100,4,FALSE)</f>
        <v>23098.2890625</v>
      </c>
      <c r="D243" s="46">
        <f>IFERROR(VLOOKUP(A243,'Database BOJ'!$A$1:$C$1100,2,FALSE)/VLOOKUP(A243,'Database BOJ'!$A$1:$C$1100,3,FALSE),#N/A)</f>
        <v>0.94398600609007499</v>
      </c>
    </row>
    <row r="244" spans="1:4" x14ac:dyDescent="0.2">
      <c r="A244" s="41">
        <v>43132</v>
      </c>
      <c r="B244" s="18">
        <f>VLOOKUP(A244,'Database BOJ'!$A$1:$C$1100,2,FALSE)</f>
        <v>5331792</v>
      </c>
      <c r="C244" s="29">
        <f>VLOOKUP(A244,'Database BOJ'!$A$1:$D$1100,4,FALSE)</f>
        <v>22068.240234375</v>
      </c>
      <c r="D244" s="46">
        <f>IFERROR(VLOOKUP(A244,'Database BOJ'!$A$1:$C$1100,2,FALSE)/VLOOKUP(A244,'Database BOJ'!$A$1:$C$1100,3,FALSE),#N/A)</f>
        <v>0.95316082928227153</v>
      </c>
    </row>
    <row r="245" spans="1:4" x14ac:dyDescent="0.2">
      <c r="A245" s="41">
        <v>43160</v>
      </c>
      <c r="B245" s="18">
        <f>VLOOKUP(A245,'Database BOJ'!$A$1:$C$1100,2,FALSE)</f>
        <v>5282856</v>
      </c>
      <c r="C245" s="29">
        <f>VLOOKUP(A245,'Database BOJ'!$A$1:$D$1100,4,FALSE)</f>
        <v>21454.30078125</v>
      </c>
      <c r="D245" s="46">
        <f>IFERROR(VLOOKUP(A245,'Database BOJ'!$A$1:$C$1100,2,FALSE)/VLOOKUP(A245,'Database BOJ'!$A$1:$C$1100,3,FALSE),#N/A)</f>
        <v>0.94441257384737143</v>
      </c>
    </row>
    <row r="246" spans="1:4" x14ac:dyDescent="0.2">
      <c r="A246" s="41">
        <v>43191</v>
      </c>
      <c r="B246" s="18">
        <f>VLOOKUP(A246,'Database BOJ'!$A$1:$C$1100,2,FALSE)</f>
        <v>5350510</v>
      </c>
      <c r="C246" s="29">
        <f>VLOOKUP(A246,'Database BOJ'!$A$1:$D$1100,4,FALSE)</f>
        <v>22467.869140625</v>
      </c>
      <c r="D246" s="46">
        <f>IFERROR(VLOOKUP(A246,'Database BOJ'!$A$1:$C$1100,2,FALSE)/VLOOKUP(A246,'Database BOJ'!$A$1:$C$1100,3,FALSE),#N/A)</f>
        <v>0.95650703341073451</v>
      </c>
    </row>
    <row r="247" spans="1:4" x14ac:dyDescent="0.2">
      <c r="A247" s="41">
        <v>43221</v>
      </c>
      <c r="B247" s="18">
        <f>VLOOKUP(A247,'Database BOJ'!$A$1:$C$1100,2,FALSE)</f>
        <v>5408036</v>
      </c>
      <c r="C247" s="29">
        <f>VLOOKUP(A247,'Database BOJ'!$A$1:$D$1100,4,FALSE)</f>
        <v>22201.8203125</v>
      </c>
      <c r="D247" s="46">
        <f>IFERROR(VLOOKUP(A247,'Database BOJ'!$A$1:$C$1100,2,FALSE)/VLOOKUP(A247,'Database BOJ'!$A$1:$C$1100,3,FALSE),#N/A)</f>
        <v>0.97510575896368301</v>
      </c>
    </row>
    <row r="248" spans="1:4" x14ac:dyDescent="0.2">
      <c r="A248" s="41">
        <v>43252</v>
      </c>
      <c r="B248" s="18">
        <f>VLOOKUP(A248,'Database BOJ'!$A$1:$C$1100,2,FALSE)</f>
        <v>5370168</v>
      </c>
      <c r="C248" s="29">
        <f>VLOOKUP(A248,'Database BOJ'!$A$1:$D$1100,4,FALSE)</f>
        <v>22304.509765625</v>
      </c>
      <c r="D248" s="46">
        <f>IFERROR(VLOOKUP(A248,'Database BOJ'!$A$1:$C$1100,2,FALSE)/VLOOKUP(A248,'Database BOJ'!$A$1:$C$1100,3,FALSE),#N/A)</f>
        <v>0.96827790040644768</v>
      </c>
    </row>
    <row r="249" spans="1:4" x14ac:dyDescent="0.2">
      <c r="A249" s="41">
        <v>43282</v>
      </c>
      <c r="B249" s="18">
        <f>VLOOKUP(A249,'Database BOJ'!$A$1:$C$1100,2,FALSE)</f>
        <v>5463108</v>
      </c>
      <c r="C249" s="29">
        <f>VLOOKUP(A249,'Database BOJ'!$A$1:$D$1100,4,FALSE)</f>
        <v>22553.720703125</v>
      </c>
      <c r="D249" s="46">
        <f>IFERROR(VLOOKUP(A249,'Database BOJ'!$A$1:$C$1100,2,FALSE)/VLOOKUP(A249,'Database BOJ'!$A$1:$C$1100,3,FALSE),#N/A)</f>
        <v>0.98503561600561984</v>
      </c>
    </row>
    <row r="250" spans="1:4" x14ac:dyDescent="0.2">
      <c r="A250" s="41">
        <v>43313</v>
      </c>
      <c r="B250" s="18">
        <f>VLOOKUP(A250,'Database BOJ'!$A$1:$C$1100,2,FALSE)</f>
        <v>5509363</v>
      </c>
      <c r="C250" s="29">
        <f>VLOOKUP(A250,'Database BOJ'!$A$1:$D$1100,4,FALSE)</f>
        <v>22865.150390625</v>
      </c>
      <c r="D250" s="46">
        <f>IFERROR(VLOOKUP(A250,'Database BOJ'!$A$1:$C$1100,2,FALSE)/VLOOKUP(A250,'Database BOJ'!$A$1:$C$1100,3,FALSE),#N/A)</f>
        <v>0.99632925056346133</v>
      </c>
    </row>
    <row r="251" spans="1:4" x14ac:dyDescent="0.2">
      <c r="A251" s="41">
        <v>43344</v>
      </c>
      <c r="B251" s="18">
        <f>VLOOKUP(A251,'Database BOJ'!$A$1:$C$1100,2,FALSE)</f>
        <v>5456615</v>
      </c>
      <c r="C251" s="29">
        <f>VLOOKUP(A251,'Database BOJ'!$A$1:$D$1100,4,FALSE)</f>
        <v>24120.0390625</v>
      </c>
      <c r="D251" s="46">
        <f>IFERROR(VLOOKUP(A251,'Database BOJ'!$A$1:$C$1100,2,FALSE)/VLOOKUP(A251,'Database BOJ'!$A$1:$C$1100,3,FALSE),#N/A)</f>
        <v>0.98679014861851388</v>
      </c>
    </row>
    <row r="252" spans="1:4" x14ac:dyDescent="0.2">
      <c r="A252" s="41">
        <v>43374</v>
      </c>
      <c r="B252" s="18">
        <f>VLOOKUP(A252,'Database BOJ'!$A$1:$C$1100,2,FALSE)</f>
        <v>5518054</v>
      </c>
      <c r="C252" s="29">
        <f>VLOOKUP(A252,'Database BOJ'!$A$1:$D$1100,4,FALSE)</f>
        <v>21920.4609375</v>
      </c>
      <c r="D252" s="46">
        <f>IFERROR(VLOOKUP(A252,'Database BOJ'!$A$1:$C$1100,2,FALSE)/VLOOKUP(A252,'Database BOJ'!$A$1:$C$1100,3,FALSE),#N/A)</f>
        <v>0.99790095631540521</v>
      </c>
    </row>
    <row r="253" spans="1:4" x14ac:dyDescent="0.2">
      <c r="A253" s="41">
        <v>43405</v>
      </c>
      <c r="B253" s="18">
        <f>VLOOKUP(A253,'Database BOJ'!$A$1:$C$1100,2,FALSE)</f>
        <v>5555010</v>
      </c>
      <c r="C253" s="29">
        <f>VLOOKUP(A253,'Database BOJ'!$A$1:$D$1100,4,FALSE)</f>
        <v>22351.060546875</v>
      </c>
      <c r="D253" s="46">
        <f>IFERROR(VLOOKUP(A253,'Database BOJ'!$A$1:$C$1100,2,FALSE)/VLOOKUP(A253,'Database BOJ'!$A$1:$C$1100,3,FALSE),#N/A)</f>
        <v>0.99469241676874709</v>
      </c>
    </row>
    <row r="254" spans="1:4" x14ac:dyDescent="0.2">
      <c r="A254" s="41">
        <v>43435</v>
      </c>
      <c r="B254" s="18">
        <f>VLOOKUP(A254,'Database BOJ'!$A$1:$C$1100,2,FALSE)</f>
        <v>5520843</v>
      </c>
      <c r="C254" s="29">
        <f>VLOOKUP(A254,'Database BOJ'!$A$1:$D$1100,4,FALSE)</f>
        <v>20014.76953125</v>
      </c>
      <c r="D254" s="46">
        <f>IFERROR(VLOOKUP(A254,'Database BOJ'!$A$1:$C$1100,2,FALSE)/VLOOKUP(A254,'Database BOJ'!$A$1:$C$1100,3,FALSE),#N/A)</f>
        <v>0.98857439793462476</v>
      </c>
    </row>
    <row r="255" spans="1:4" x14ac:dyDescent="0.2">
      <c r="A255" s="41">
        <v>43466</v>
      </c>
      <c r="B255" s="18">
        <f>VLOOKUP(A255,'Database BOJ'!$A$1:$C$1100,2,FALSE)</f>
        <v>5569180</v>
      </c>
      <c r="C255" s="29">
        <f>VLOOKUP(A255,'Database BOJ'!$A$1:$D$1100,4,FALSE)</f>
        <v>20773.490234375</v>
      </c>
      <c r="D255" s="46">
        <f>IFERROR(VLOOKUP(A255,'Database BOJ'!$A$1:$C$1100,2,FALSE)/VLOOKUP(A255,'Database BOJ'!$A$1:$C$1100,3,FALSE),#N/A)</f>
        <v>0.99722972841096069</v>
      </c>
    </row>
    <row r="256" spans="1:4" x14ac:dyDescent="0.2">
      <c r="A256" s="41">
        <v>43497</v>
      </c>
      <c r="B256" s="18">
        <f>VLOOKUP(A256,'Database BOJ'!$A$1:$C$1100,2,FALSE)</f>
        <v>5619262</v>
      </c>
      <c r="C256" s="29">
        <f>VLOOKUP(A256,'Database BOJ'!$A$1:$D$1100,4,FALSE)</f>
        <v>21385.16015625</v>
      </c>
      <c r="D256" s="46">
        <f>IFERROR(VLOOKUP(A256,'Database BOJ'!$A$1:$C$1100,2,FALSE)/VLOOKUP(A256,'Database BOJ'!$A$1:$C$1100,3,FALSE),#N/A)</f>
        <v>0.99980197050908526</v>
      </c>
    </row>
    <row r="257" spans="1:4" x14ac:dyDescent="0.2">
      <c r="A257" s="41">
        <v>43525</v>
      </c>
      <c r="B257" s="18">
        <f>VLOOKUP(A257,'Database BOJ'!$A$1:$C$1100,2,FALSE)</f>
        <v>5570243</v>
      </c>
      <c r="C257" s="29">
        <f>VLOOKUP(A257,'Database BOJ'!$A$1:$D$1100,4,FALSE)</f>
        <v>21205.810546875</v>
      </c>
      <c r="D257" s="46">
        <f>IFERROR(VLOOKUP(A257,'Database BOJ'!$A$1:$C$1100,2,FALSE)/VLOOKUP(A257,'Database BOJ'!$A$1:$C$1100,3,FALSE),#N/A)</f>
        <v>0.99108031047750378</v>
      </c>
    </row>
    <row r="258" spans="1:4" x14ac:dyDescent="0.2">
      <c r="A258" s="41">
        <v>43556</v>
      </c>
      <c r="B258" s="18">
        <f>VLOOKUP(A258,'Database BOJ'!$A$1:$C$1100,2,FALSE)</f>
        <v>5620357</v>
      </c>
      <c r="C258" s="29">
        <f>VLOOKUP(A258,'Database BOJ'!$A$1:$D$1100,4,FALSE)</f>
        <v>22258.73046875</v>
      </c>
      <c r="D258" s="46">
        <f>IFERROR(VLOOKUP(A258,'Database BOJ'!$A$1:$C$1100,2,FALSE)/VLOOKUP(A258,'Database BOJ'!$A$1:$C$1100,3,FALSE),#N/A)</f>
        <v>0.99999679736672376</v>
      </c>
    </row>
    <row r="259" spans="1:4" x14ac:dyDescent="0.2">
      <c r="A259" s="41">
        <v>43586</v>
      </c>
      <c r="B259" s="18">
        <f>VLOOKUP(A259,'Database BOJ'!$A$1:$C$1100,2,FALSE)</f>
        <v>5671565</v>
      </c>
      <c r="C259" s="29">
        <f>VLOOKUP(A259,'Database BOJ'!$A$1:$D$1100,4,FALSE)</f>
        <v>20601.189453125</v>
      </c>
      <c r="D259" s="46">
        <f>IFERROR(VLOOKUP(A259,'Database BOJ'!$A$1:$C$1100,2,FALSE)/VLOOKUP(A259,'Database BOJ'!$A$1:$C$1100,3,FALSE),#N/A)</f>
        <v>1.009629779954321</v>
      </c>
    </row>
    <row r="260" spans="1:4" x14ac:dyDescent="0.2">
      <c r="A260" s="41">
        <v>43617</v>
      </c>
      <c r="B260" s="18">
        <f>VLOOKUP(A260,'Database BOJ'!$A$1:$C$1100,2,FALSE)</f>
        <v>5648665</v>
      </c>
      <c r="C260" s="29">
        <f>VLOOKUP(A260,'Database BOJ'!$A$1:$D$1100,4,FALSE)</f>
        <v>21275.919921875</v>
      </c>
      <c r="D260" s="46">
        <f>IFERROR(VLOOKUP(A260,'Database BOJ'!$A$1:$C$1100,2,FALSE)/VLOOKUP(A260,'Database BOJ'!$A$1:$C$1100,3,FALSE),#N/A)</f>
        <v>1.0055532116771428</v>
      </c>
    </row>
    <row r="261" spans="1:4" x14ac:dyDescent="0.2">
      <c r="A261" s="41">
        <v>43647</v>
      </c>
      <c r="B261" s="18">
        <f>VLOOKUP(A261,'Database BOJ'!$A$1:$C$1100,2,FALSE)</f>
        <v>5683142</v>
      </c>
      <c r="C261" s="29">
        <f>VLOOKUP(A261,'Database BOJ'!$A$1:$D$1100,4,FALSE)</f>
        <v>21521.529296875</v>
      </c>
      <c r="D261" s="46">
        <f>IFERROR(VLOOKUP(A261,'Database BOJ'!$A$1:$C$1100,2,FALSE)/VLOOKUP(A261,'Database BOJ'!$A$1:$C$1100,3,FALSE),#N/A)</f>
        <v>1.0116906721353207</v>
      </c>
    </row>
    <row r="262" spans="1:4" x14ac:dyDescent="0.2">
      <c r="A262" s="41">
        <v>43678</v>
      </c>
      <c r="B262" s="18">
        <f>VLOOKUP(A262,'Database BOJ'!$A$1:$C$1100,2,FALSE)</f>
        <v>5727192</v>
      </c>
      <c r="C262" s="29">
        <f>VLOOKUP(A262,'Database BOJ'!$A$1:$D$1100,4,FALSE)</f>
        <v>20704.369140625</v>
      </c>
      <c r="D262" s="46">
        <f>IFERROR(VLOOKUP(A262,'Database BOJ'!$A$1:$C$1100,2,FALSE)/VLOOKUP(A262,'Database BOJ'!$A$1:$C$1100,3,FALSE),#N/A)</f>
        <v>1.0389364056907933</v>
      </c>
    </row>
    <row r="263" spans="1:4" x14ac:dyDescent="0.2">
      <c r="A263" s="41">
        <v>43709</v>
      </c>
      <c r="B263" s="18">
        <f>VLOOKUP(A263,'Database BOJ'!$A$1:$C$1100,2,FALSE)</f>
        <v>5698026</v>
      </c>
      <c r="C263" s="29">
        <f>VLOOKUP(A263,'Database BOJ'!$A$1:$D$1100,4,FALSE)</f>
        <v>21755.83984375</v>
      </c>
      <c r="D263" s="46">
        <f>IFERROR(VLOOKUP(A263,'Database BOJ'!$A$1:$C$1100,2,FALSE)/VLOOKUP(A263,'Database BOJ'!$A$1:$C$1100,3,FALSE),#N/A)</f>
        <v>1.0336455722058364</v>
      </c>
    </row>
    <row r="264" spans="1:4" x14ac:dyDescent="0.2">
      <c r="A264" s="41">
        <v>43739</v>
      </c>
      <c r="B264" s="18">
        <f>VLOOKUP(A264,'Database BOJ'!$A$1:$C$1100,2,FALSE)</f>
        <v>5756702</v>
      </c>
      <c r="C264" s="29">
        <f>VLOOKUP(A264,'Database BOJ'!$A$1:$D$1100,4,FALSE)</f>
        <v>22927.0390625</v>
      </c>
      <c r="D264" s="46">
        <f>IFERROR(VLOOKUP(A264,'Database BOJ'!$A$1:$C$1100,2,FALSE)/VLOOKUP(A264,'Database BOJ'!$A$1:$C$1100,3,FALSE),#N/A)</f>
        <v>1.0442896422038936</v>
      </c>
    </row>
    <row r="265" spans="1:4" x14ac:dyDescent="0.2">
      <c r="A265" s="41">
        <v>43770</v>
      </c>
      <c r="B265" s="18">
        <f>VLOOKUP(A265,'Database BOJ'!$A$1:$C$1100,2,FALSE)</f>
        <v>5785322</v>
      </c>
      <c r="C265" s="29">
        <f>VLOOKUP(A265,'Database BOJ'!$A$1:$D$1100,4,FALSE)</f>
        <v>23293.91015625</v>
      </c>
      <c r="D265" s="46">
        <f>IFERROR(VLOOKUP(A265,'Database BOJ'!$A$1:$C$1100,2,FALSE)/VLOOKUP(A265,'Database BOJ'!$A$1:$C$1100,3,FALSE),#N/A)</f>
        <v>1.0443911015248706</v>
      </c>
    </row>
    <row r="266" spans="1:4" x14ac:dyDescent="0.2">
      <c r="A266" s="41">
        <v>43800</v>
      </c>
      <c r="B266" s="18">
        <f>VLOOKUP(A266,'Database BOJ'!$A$1:$C$1100,2,FALSE)</f>
        <v>5730531</v>
      </c>
      <c r="C266" s="29">
        <f>VLOOKUP(A266,'Database BOJ'!$A$1:$D$1100,4,FALSE)</f>
        <v>23656.619140625</v>
      </c>
      <c r="D266" s="46">
        <f>IFERROR(VLOOKUP(A266,'Database BOJ'!$A$1:$C$1100,2,FALSE)/VLOOKUP(A266,'Database BOJ'!$A$1:$C$1100,3,FALSE),#N/A)</f>
        <v>1.034499995577155</v>
      </c>
    </row>
    <row r="267" spans="1:4" x14ac:dyDescent="0.2">
      <c r="A267" s="41">
        <v>43831</v>
      </c>
      <c r="B267" s="18">
        <f>VLOOKUP(A267,'Database BOJ'!$A$1:$C$1100,2,FALSE)</f>
        <v>5783352</v>
      </c>
      <c r="C267" s="29">
        <f>VLOOKUP(A267,'Database BOJ'!$A$1:$D$1100,4,FALSE)</f>
        <v>23205.1796875</v>
      </c>
      <c r="D267" s="46">
        <f>IFERROR(VLOOKUP(A267,'Database BOJ'!$A$1:$C$1100,2,FALSE)/VLOOKUP(A267,'Database BOJ'!$A$1:$C$1100,3,FALSE),#N/A)</f>
        <v>1.0440354686888755</v>
      </c>
    </row>
    <row r="268" spans="1:4" x14ac:dyDescent="0.2">
      <c r="A268" s="42">
        <v>43862</v>
      </c>
      <c r="B268" s="18">
        <f>VLOOKUP(A268,'Database BOJ'!$A$1:$C$1100,2,FALSE)</f>
        <v>5849208</v>
      </c>
      <c r="C268" s="29">
        <f>VLOOKUP(A268,'Database BOJ'!$A$1:$D$1100,4,FALSE)</f>
        <v>21142.9609375</v>
      </c>
      <c r="D268" s="46">
        <f>IFERROR(VLOOKUP(A268,'Database BOJ'!$A$1:$C$1100,2,FALSE)/VLOOKUP(A268,'Database BOJ'!$A$1:$C$1100,3,FALSE),#N/A)</f>
        <v>1.1425513050581637</v>
      </c>
    </row>
    <row r="269" spans="1:4" x14ac:dyDescent="0.2">
      <c r="A269" s="41">
        <v>43891</v>
      </c>
      <c r="B269" s="18">
        <f>VLOOKUP(A269,'Database BOJ'!$A$1:$C$1100,2,FALSE)</f>
        <v>6044846</v>
      </c>
      <c r="C269" s="29">
        <f>VLOOKUP(A269,'Database BOJ'!$A$1:$D$1100,4,FALSE)</f>
        <v>18917.009765625</v>
      </c>
      <c r="D269" s="46">
        <f>IFERROR(VLOOKUP(A269,'Database BOJ'!$A$1:$C$1100,2,FALSE)/VLOOKUP(A269,'Database BOJ'!$A$1:$C$1100,3,FALSE),#N/A)</f>
        <v>1.1807661287093263</v>
      </c>
    </row>
    <row r="270" spans="1:4" x14ac:dyDescent="0.2">
      <c r="A270" s="42">
        <v>43922</v>
      </c>
      <c r="B270" s="18">
        <f>VLOOKUP(A270,'Database BOJ'!$A$1:$C$1100,2,FALSE)</f>
        <v>6190306</v>
      </c>
      <c r="C270" s="29">
        <f>VLOOKUP(A270,'Database BOJ'!$A$1:$D$1100,4,FALSE)</f>
        <v>20193.689453125</v>
      </c>
      <c r="D270" s="46">
        <f>IFERROR(VLOOKUP(A270,'Database BOJ'!$A$1:$C$1100,2,FALSE)/VLOOKUP(A270,'Database BOJ'!$A$1:$C$1100,3,FALSE),#N/A)</f>
        <v>1.2091794648111986</v>
      </c>
    </row>
    <row r="271" spans="1:4" x14ac:dyDescent="0.2">
      <c r="A271" s="41">
        <v>43952</v>
      </c>
      <c r="B271" s="18">
        <f>VLOOKUP(A271,'Database BOJ'!$A$1:$C$1100,2,FALSE)</f>
        <v>6385922</v>
      </c>
      <c r="C271" s="29">
        <f>VLOOKUP(A271,'Database BOJ'!$A$1:$D$1100,4,FALSE)</f>
        <v>21877.890625</v>
      </c>
      <c r="D271" s="46">
        <f>IFERROR(VLOOKUP(A271,'Database BOJ'!$A$1:$C$1100,2,FALSE)/VLOOKUP(A271,'Database BOJ'!$A$1:$C$1100,3,FALSE),#N/A)</f>
        <v>1.1865171654119147</v>
      </c>
    </row>
    <row r="272" spans="1:4" x14ac:dyDescent="0.2">
      <c r="A272" s="42">
        <v>43983</v>
      </c>
      <c r="B272" s="18">
        <f>VLOOKUP(A272,'Database BOJ'!$A$1:$C$1100,2,FALSE)</f>
        <v>6489462</v>
      </c>
      <c r="C272" s="29">
        <f>VLOOKUP(A272,'Database BOJ'!$A$1:$D$1100,4,FALSE)</f>
        <v>22288.140625</v>
      </c>
      <c r="D272" s="46">
        <f>IFERROR(VLOOKUP(A272,'Database BOJ'!$A$1:$C$1100,2,FALSE)/VLOOKUP(A272,'Database BOJ'!$A$1:$C$1100,3,FALSE),#N/A)</f>
        <v>1.2057551058857805</v>
      </c>
    </row>
    <row r="273" spans="1:4" x14ac:dyDescent="0.2">
      <c r="A273" s="41">
        <v>44013</v>
      </c>
      <c r="B273" s="18">
        <f>VLOOKUP(A273,'Database BOJ'!$A$1:$C$1100,2,FALSE)</f>
        <v>6658852</v>
      </c>
      <c r="C273" s="29">
        <f>VLOOKUP(A273,'Database BOJ'!$A$1:$D$1100,4,FALSE)</f>
        <v>21710</v>
      </c>
      <c r="D273" s="46">
        <f>IFERROR(VLOOKUP(A273,'Database BOJ'!$A$1:$C$1100,2,FALSE)/VLOOKUP(A273,'Database BOJ'!$A$1:$C$1100,3,FALSE),#N/A)</f>
        <v>1.2372281089461254</v>
      </c>
    </row>
    <row r="274" spans="1:4" x14ac:dyDescent="0.2">
      <c r="A274" s="42">
        <v>44044</v>
      </c>
      <c r="B274" s="18">
        <f>VLOOKUP(A274,'Database BOJ'!$A$1:$C$1100,2,FALSE)</f>
        <v>6828990</v>
      </c>
      <c r="C274" s="29">
        <f>VLOOKUP(A274,'Database BOJ'!$A$1:$D$1100,4,FALSE)</f>
        <v>23139.759765625</v>
      </c>
      <c r="D274" s="46">
        <f>IFERROR(VLOOKUP(A274,'Database BOJ'!$A$1:$C$1100,2,FALSE)/VLOOKUP(A274,'Database BOJ'!$A$1:$C$1100,3,FALSE),#N/A)</f>
        <v>1.246997997203974</v>
      </c>
    </row>
    <row r="275" spans="1:4" x14ac:dyDescent="0.2">
      <c r="A275" s="41">
        <v>44075</v>
      </c>
      <c r="B275" s="18">
        <f>VLOOKUP(A275,'Database BOJ'!$A$1:$C$1100,2,FALSE)</f>
        <v>6900269</v>
      </c>
      <c r="C275" s="29">
        <f>VLOOKUP(A275,'Database BOJ'!$A$1:$D$1100,4,FALSE)</f>
        <v>23185.119140625</v>
      </c>
      <c r="D275" s="46">
        <f>IFERROR(VLOOKUP(A275,'Database BOJ'!$A$1:$C$1100,2,FALSE)/VLOOKUP(A275,'Database BOJ'!$A$1:$C$1100,3,FALSE),#N/A)</f>
        <v>1.2600137975262329</v>
      </c>
    </row>
    <row r="276" spans="1:4" x14ac:dyDescent="0.2">
      <c r="A276" s="42">
        <v>44105</v>
      </c>
      <c r="B276" s="18">
        <f>VLOOKUP(A276,'Database BOJ'!$A$1:$C$1100,2,FALSE)</f>
        <v>6982309</v>
      </c>
      <c r="C276" s="29">
        <f>VLOOKUP(A276,'Database BOJ'!$A$1:$D$1100,4,FALSE)</f>
        <v>22977.130859375</v>
      </c>
      <c r="D276" s="46">
        <f>IFERROR(VLOOKUP(A276,'Database BOJ'!$A$1:$C$1100,2,FALSE)/VLOOKUP(A276,'Database BOJ'!$A$1:$C$1100,3,FALSE),#N/A)</f>
        <v>1.2749945949341386</v>
      </c>
    </row>
    <row r="277" spans="1:4" x14ac:dyDescent="0.2">
      <c r="A277" s="41">
        <v>44136</v>
      </c>
      <c r="B277" s="18">
        <f>VLOOKUP(A277,'Database BOJ'!$A$1:$C$1100,2,FALSE)</f>
        <v>7053047</v>
      </c>
      <c r="C277" s="29">
        <f>VLOOKUP(A277,'Database BOJ'!$A$1:$D$1100,4,FALSE)</f>
        <v>26433.619140625</v>
      </c>
      <c r="D277" s="46">
        <f>IFERROR(VLOOKUP(A277,'Database BOJ'!$A$1:$C$1100,2,FALSE)/VLOOKUP(A277,'Database BOJ'!$A$1:$C$1100,3,FALSE),#N/A)</f>
        <v>1.297638306660448</v>
      </c>
    </row>
    <row r="278" spans="1:4" x14ac:dyDescent="0.2">
      <c r="A278" s="42">
        <v>44166</v>
      </c>
      <c r="B278" s="18">
        <f>VLOOKUP(A278,'Database BOJ'!$A$1:$C$1100,2,FALSE)</f>
        <v>7025822</v>
      </c>
      <c r="C278" s="29">
        <f>VLOOKUP(A278,'Database BOJ'!$A$1:$D$1100,4,FALSE)</f>
        <v>27444.169921875</v>
      </c>
      <c r="D278" s="46">
        <f>IFERROR(VLOOKUP(A278,'Database BOJ'!$A$1:$C$1100,2,FALSE)/VLOOKUP(A278,'Database BOJ'!$A$1:$C$1100,3,FALSE),#N/A)</f>
        <v>1.292629378902157</v>
      </c>
    </row>
    <row r="279" spans="1:4" x14ac:dyDescent="0.2">
      <c r="A279" s="41">
        <v>44197</v>
      </c>
      <c r="B279" s="18">
        <f>VLOOKUP(A279,'Database BOJ'!$A$1:$C$1100,2,FALSE)</f>
        <v>7094935</v>
      </c>
      <c r="C279" s="29">
        <f>VLOOKUP(A279,'Database BOJ'!$A$1:$D$1100,4,FALSE)</f>
        <v>27663.390625</v>
      </c>
      <c r="D279" s="46">
        <f>IFERROR(VLOOKUP(A279,'Database BOJ'!$A$1:$C$1100,2,FALSE)/VLOOKUP(A279,'Database BOJ'!$A$1:$C$1100,3,FALSE),#N/A)</f>
        <v>1.3053449720760326</v>
      </c>
    </row>
    <row r="280" spans="1:4" x14ac:dyDescent="0.2">
      <c r="A280" s="41">
        <v>44228</v>
      </c>
      <c r="B280" s="18">
        <f>VLOOKUP(A280,'Database BOJ'!$A$1:$C$1100,2,FALSE)</f>
        <v>7126021</v>
      </c>
      <c r="C280" s="29">
        <f>VLOOKUP(A280,'Database BOJ'!$A$1:$D$1100,4,FALSE)</f>
        <v>28966.009765625</v>
      </c>
      <c r="D280" s="46">
        <f>IFERROR(VLOOKUP(A280,'Database BOJ'!$A$1:$C$1100,2,FALSE)/VLOOKUP(A280,'Database BOJ'!$A$1:$C$1100,3,FALSE),#N/A)</f>
        <v>1.3103961960005635</v>
      </c>
    </row>
    <row r="281" spans="1:4" x14ac:dyDescent="0.2">
      <c r="A281" s="42">
        <v>44256</v>
      </c>
      <c r="B281" s="18">
        <f>VLOOKUP(A281,'Database BOJ'!$A$1:$C$1100,2,FALSE)</f>
        <v>7145566</v>
      </c>
      <c r="C281" s="29">
        <f>VLOOKUP(A281,'Database BOJ'!$A$1:$D$1100,4,FALSE)</f>
        <v>29178.80078125</v>
      </c>
      <c r="D281" s="46">
        <f>IFERROR(VLOOKUP(A281,'Database BOJ'!$A$1:$C$1100,2,FALSE)/VLOOKUP(A281,'Database BOJ'!$A$1:$C$1100,3,FALSE),#N/A)</f>
        <v>1.3139903046413928</v>
      </c>
    </row>
    <row r="282" spans="1:4" x14ac:dyDescent="0.2">
      <c r="A282" s="41">
        <v>44287</v>
      </c>
      <c r="B282" s="18">
        <f>VLOOKUP(A282,'Database BOJ'!$A$1:$C$1100,2,FALSE)</f>
        <v>7202316</v>
      </c>
      <c r="C282" s="29">
        <f>VLOOKUP(A282,'Database BOJ'!$A$1:$D$1100,4,FALSE)</f>
        <v>28812.630859375</v>
      </c>
      <c r="D282" s="46">
        <f>IFERROR(VLOOKUP(A282,'Database BOJ'!$A$1:$C$1100,2,FALSE)/VLOOKUP(A282,'Database BOJ'!$A$1:$C$1100,3,FALSE),#N/A)</f>
        <v>1.3244259999786689</v>
      </c>
    </row>
    <row r="283" spans="1:4" x14ac:dyDescent="0.2">
      <c r="A283" s="42">
        <v>44317</v>
      </c>
      <c r="B283" s="18">
        <f>VLOOKUP(A283,'Database BOJ'!$A$1:$C$1100,2,FALSE)</f>
        <v>7246409</v>
      </c>
      <c r="C283" s="29">
        <f>VLOOKUP(A283,'Database BOJ'!$A$1:$D$1100,4,FALSE)</f>
        <v>28860.080078125</v>
      </c>
      <c r="D283" s="46">
        <f>IFERROR(VLOOKUP(A283,'Database BOJ'!$A$1:$C$1100,2,FALSE)/VLOOKUP(A283,'Database BOJ'!$A$1:$C$1100,3,FALSE),#N/A)</f>
        <v>1.3465382392674174</v>
      </c>
    </row>
    <row r="284" spans="1:4" x14ac:dyDescent="0.2">
      <c r="A284" s="41">
        <v>44348</v>
      </c>
      <c r="B284" s="18">
        <f>VLOOKUP(A284,'Database BOJ'!$A$1:$C$1100,2,FALSE)</f>
        <v>7169006</v>
      </c>
      <c r="C284" s="29">
        <f>VLOOKUP(A284,'Database BOJ'!$A$1:$D$1100,4,FALSE)</f>
        <v>28791.529296875</v>
      </c>
      <c r="D284" s="46">
        <f>IFERROR(VLOOKUP(A284,'Database BOJ'!$A$1:$C$1100,2,FALSE)/VLOOKUP(A284,'Database BOJ'!$A$1:$C$1100,3,FALSE),#N/A)</f>
        <v>1.3321551014492214</v>
      </c>
    </row>
    <row r="285" spans="1:4" x14ac:dyDescent="0.2">
      <c r="A285" s="42">
        <v>44378</v>
      </c>
      <c r="B285" s="18">
        <f>VLOOKUP(A285,'Database BOJ'!$A$1:$C$1100,2,FALSE)</f>
        <v>7229429</v>
      </c>
      <c r="C285" s="29">
        <f>VLOOKUP(A285,'Database BOJ'!$A$1:$D$1100,4,FALSE)</f>
        <v>27283.58984375</v>
      </c>
      <c r="D285" s="46">
        <f>IFERROR(VLOOKUP(A285,'Database BOJ'!$A$1:$C$1100,2,FALSE)/VLOOKUP(A285,'Database BOJ'!$A$1:$C$1100,3,FALSE),#N/A)</f>
        <v>1.3433829910192492</v>
      </c>
    </row>
    <row r="286" spans="1:4" x14ac:dyDescent="0.2">
      <c r="A286" s="42">
        <v>44409</v>
      </c>
      <c r="B286" s="18">
        <f>VLOOKUP(A286,'Database BOJ'!$A$1:$C$1100,2,FALSE)</f>
        <v>7267102</v>
      </c>
      <c r="C286" s="29">
        <f>VLOOKUP(A286,'Database BOJ'!$A$1:$D$1100,4,FALSE)</f>
        <v>28089.5390625</v>
      </c>
      <c r="D286" s="46" t="e">
        <f>IFERROR(VLOOKUP(A286,'Database BOJ'!$A$1:$C$1100,2,FALSE)/VLOOKUP(A286,'Database BOJ'!$A$1:$C$1100,3,FALSE),#N/A)</f>
        <v>#N/A</v>
      </c>
    </row>
    <row r="287" spans="1:4" x14ac:dyDescent="0.2">
      <c r="A287" s="42">
        <v>44440</v>
      </c>
      <c r="B287" s="18">
        <f>VLOOKUP(A287,'Database BOJ'!$A$1:$C$1100,2,FALSE)</f>
        <v>7240579</v>
      </c>
      <c r="C287" s="29">
        <f>VLOOKUP(A287,'Database BOJ'!$A$1:$D$1100,4,FALSE)</f>
        <v>29452.66015625</v>
      </c>
      <c r="D287" s="46" t="e">
        <f>IFERROR(VLOOKUP(A287,'Database BOJ'!$A$1:$C$1100,2,FALSE)/VLOOKUP(A287,'Database BOJ'!$A$1:$C$1100,3,FALSE),#N/A)</f>
        <v>#N/A</v>
      </c>
    </row>
    <row r="288" spans="1:4" x14ac:dyDescent="0.2">
      <c r="A288" s="41">
        <v>44470</v>
      </c>
      <c r="B288" s="18">
        <f>VLOOKUP(A288,'Database BOJ'!$A$1:$C$1100,2,FALSE)</f>
        <v>7251886</v>
      </c>
      <c r="C288" s="29">
        <f>VLOOKUP(A288,'Database BOJ'!$A$1:$D$1100,4,FALSE)</f>
        <v>28892.689453125</v>
      </c>
      <c r="D288" s="46" t="e">
        <f>IFERROR(VLOOKUP(A288,'Database BOJ'!$A$1:$C$1100,2,FALSE)/VLOOKUP(A288,'Database BOJ'!$A$1:$C$1100,3,FALSE),#N/A)</f>
        <v>#N/A</v>
      </c>
    </row>
    <row r="289" spans="1:4" x14ac:dyDescent="0.2">
      <c r="A289" s="41">
        <v>44501</v>
      </c>
      <c r="B289" s="18">
        <f>VLOOKUP(A289,'Database BOJ'!$A$1:$C$1100,2,FALSE)</f>
        <v>7282186</v>
      </c>
      <c r="C289" s="29">
        <f>VLOOKUP(A289,'Database BOJ'!$A$1:$D$1100,4,FALSE)</f>
        <v>27821.759765625</v>
      </c>
      <c r="D289" s="46" t="e">
        <f>IFERROR(VLOOKUP(A289,'Database BOJ'!$A$1:$C$1100,2,FALSE)/VLOOKUP(A289,'Database BOJ'!$A$1:$C$1100,3,FALSE),#N/A)</f>
        <v>#N/A</v>
      </c>
    </row>
    <row r="290" spans="1:4" x14ac:dyDescent="0.2">
      <c r="A290" s="41">
        <v>44531</v>
      </c>
      <c r="B290" s="18">
        <f>VLOOKUP(A290,'Database BOJ'!$A$1:$C$1100,2,FALSE)</f>
        <v>7237659</v>
      </c>
      <c r="C290" s="29">
        <f>VLOOKUP(A290,'Database BOJ'!$A$1:$D$1100,4,FALSE)</f>
        <v>28791.7109375</v>
      </c>
      <c r="D290" s="46" t="e">
        <f>IFERROR(VLOOKUP(A290,'Database BOJ'!$A$1:$C$1100,2,FALSE)/VLOOKUP(A290,'Database BOJ'!$A$1:$C$1100,3,FALSE),#N/A)</f>
        <v>#N/A</v>
      </c>
    </row>
    <row r="291" spans="1:4" x14ac:dyDescent="0.2">
      <c r="A291" s="41">
        <v>44562</v>
      </c>
      <c r="B291" s="18">
        <f>VLOOKUP(A291,'Database BOJ'!$A$1:$C$1100,2,FALSE)</f>
        <v>7251444</v>
      </c>
      <c r="C291" s="29">
        <f>VLOOKUP(A291,'Database BOJ'!$A$1:$D$1100,4,FALSE)</f>
        <v>27131.33984375</v>
      </c>
      <c r="D291" s="46" t="e">
        <f>IFERROR(VLOOKUP(A291,'Database BOJ'!$A$1:$C$1100,2,FALSE)/VLOOKUP(A291,'Database BOJ'!$A$1:$C$1100,3,FALSE),#N/A)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64"/>
  <sheetViews>
    <sheetView zoomScale="200" zoomScaleNormal="200" workbookViewId="0">
      <pane ySplit="6" topLeftCell="A341" activePane="bottomLeft" state="frozen"/>
      <selection activeCell="J40" sqref="J40"/>
      <selection pane="bottomLeft" activeCell="E369" sqref="E369"/>
    </sheetView>
  </sheetViews>
  <sheetFormatPr baseColWidth="10" defaultColWidth="9.1640625" defaultRowHeight="15" x14ac:dyDescent="0.2"/>
  <cols>
    <col min="1" max="1" width="20.1640625" style="52" customWidth="1"/>
    <col min="2" max="2" width="22.83203125" style="52" customWidth="1"/>
    <col min="3" max="14" width="9.1640625" style="52" customWidth="1"/>
    <col min="15" max="16384" width="9.1640625" style="52"/>
  </cols>
  <sheetData>
    <row r="1" spans="1:2" x14ac:dyDescent="0.2">
      <c r="A1" s="13"/>
      <c r="B1" s="13"/>
    </row>
    <row r="3" spans="1:2" x14ac:dyDescent="0.2">
      <c r="A3" s="13" t="s">
        <v>42</v>
      </c>
      <c r="B3" s="13" t="s">
        <v>66</v>
      </c>
    </row>
    <row r="5" spans="1:2" x14ac:dyDescent="0.2">
      <c r="A5" s="13" t="s">
        <v>62</v>
      </c>
      <c r="B5" s="13"/>
    </row>
    <row r="6" spans="1:2" ht="57" customHeight="1" x14ac:dyDescent="0.2">
      <c r="A6" s="16" t="s">
        <v>45</v>
      </c>
      <c r="B6" s="17" t="s">
        <v>67</v>
      </c>
    </row>
    <row r="7" spans="1:2" x14ac:dyDescent="0.2">
      <c r="A7" s="47">
        <v>36130</v>
      </c>
      <c r="B7" s="14">
        <v>697160</v>
      </c>
    </row>
    <row r="8" spans="1:2" x14ac:dyDescent="0.2">
      <c r="A8" s="47">
        <v>36161</v>
      </c>
      <c r="B8" s="14">
        <f>VLOOKUP(A8,'Database ECB'!$A$1:$D$2000,2,FALSE)</f>
        <v>697160</v>
      </c>
    </row>
    <row r="9" spans="1:2" x14ac:dyDescent="0.2">
      <c r="A9" s="47">
        <v>36192</v>
      </c>
      <c r="B9" s="14">
        <v>692641</v>
      </c>
    </row>
    <row r="10" spans="1:2" x14ac:dyDescent="0.2">
      <c r="A10" s="47">
        <v>36220</v>
      </c>
      <c r="B10" s="14">
        <v>699396</v>
      </c>
    </row>
    <row r="11" spans="1:2" x14ac:dyDescent="0.2">
      <c r="A11" s="47">
        <v>36251</v>
      </c>
      <c r="B11" s="14">
        <v>698296</v>
      </c>
    </row>
    <row r="12" spans="1:2" x14ac:dyDescent="0.2">
      <c r="A12" s="47">
        <v>36281</v>
      </c>
      <c r="B12" s="14">
        <v>705060</v>
      </c>
    </row>
    <row r="13" spans="1:2" x14ac:dyDescent="0.2">
      <c r="A13" s="47">
        <v>36312</v>
      </c>
      <c r="B13" s="14">
        <v>695644</v>
      </c>
    </row>
    <row r="14" spans="1:2" x14ac:dyDescent="0.2">
      <c r="A14" s="47">
        <v>36342</v>
      </c>
      <c r="B14" s="14">
        <v>739725</v>
      </c>
    </row>
    <row r="15" spans="1:2" x14ac:dyDescent="0.2">
      <c r="A15" s="47">
        <v>36373</v>
      </c>
      <c r="B15" s="14">
        <v>733966</v>
      </c>
    </row>
    <row r="16" spans="1:2" x14ac:dyDescent="0.2">
      <c r="A16" s="47">
        <v>36404</v>
      </c>
      <c r="B16" s="14">
        <v>728600</v>
      </c>
    </row>
    <row r="17" spans="1:2" x14ac:dyDescent="0.2">
      <c r="A17" s="47">
        <v>36434</v>
      </c>
      <c r="B17" s="14">
        <v>742624</v>
      </c>
    </row>
    <row r="18" spans="1:2" x14ac:dyDescent="0.2">
      <c r="A18" s="47">
        <v>36465</v>
      </c>
      <c r="B18" s="14">
        <v>743495</v>
      </c>
    </row>
    <row r="19" spans="1:2" x14ac:dyDescent="0.2">
      <c r="A19" s="47">
        <v>36495</v>
      </c>
      <c r="B19" s="14">
        <v>806304</v>
      </c>
    </row>
    <row r="20" spans="1:2" x14ac:dyDescent="0.2">
      <c r="A20" s="47">
        <v>36526</v>
      </c>
      <c r="B20" s="14">
        <v>772749</v>
      </c>
    </row>
    <row r="21" spans="1:2" x14ac:dyDescent="0.2">
      <c r="A21" s="47">
        <v>36557</v>
      </c>
      <c r="B21" s="14">
        <v>752207</v>
      </c>
    </row>
    <row r="22" spans="1:2" x14ac:dyDescent="0.2">
      <c r="A22" s="47">
        <v>36586</v>
      </c>
      <c r="B22" s="14">
        <v>774421</v>
      </c>
    </row>
    <row r="23" spans="1:2" x14ac:dyDescent="0.2">
      <c r="A23" s="47">
        <v>36617</v>
      </c>
      <c r="B23" s="14">
        <v>782962</v>
      </c>
    </row>
    <row r="24" spans="1:2" x14ac:dyDescent="0.2">
      <c r="A24" s="47">
        <v>36647</v>
      </c>
      <c r="B24" s="14">
        <v>779222</v>
      </c>
    </row>
    <row r="25" spans="1:2" x14ac:dyDescent="0.2">
      <c r="A25" s="47">
        <v>36678</v>
      </c>
      <c r="B25" s="14">
        <v>812468</v>
      </c>
    </row>
    <row r="26" spans="1:2" x14ac:dyDescent="0.2">
      <c r="A26" s="47">
        <v>36708</v>
      </c>
      <c r="B26" s="14">
        <v>800725</v>
      </c>
    </row>
    <row r="27" spans="1:2" x14ac:dyDescent="0.2">
      <c r="A27" s="47">
        <v>36739</v>
      </c>
      <c r="B27" s="14">
        <v>796968</v>
      </c>
    </row>
    <row r="28" spans="1:2" x14ac:dyDescent="0.2">
      <c r="A28" s="47">
        <v>36770</v>
      </c>
      <c r="B28" s="14">
        <v>826310</v>
      </c>
    </row>
    <row r="29" spans="1:2" x14ac:dyDescent="0.2">
      <c r="A29" s="47">
        <v>36800</v>
      </c>
      <c r="B29" s="14">
        <v>822086</v>
      </c>
    </row>
    <row r="30" spans="1:2" x14ac:dyDescent="0.2">
      <c r="A30" s="47">
        <v>36831</v>
      </c>
      <c r="B30" s="14">
        <v>833103</v>
      </c>
    </row>
    <row r="31" spans="1:2" x14ac:dyDescent="0.2">
      <c r="A31" s="47">
        <v>36861</v>
      </c>
      <c r="B31" s="14">
        <v>836078</v>
      </c>
    </row>
    <row r="32" spans="1:2" x14ac:dyDescent="0.2">
      <c r="A32" s="47">
        <v>36892</v>
      </c>
      <c r="B32" s="14">
        <v>853462</v>
      </c>
    </row>
    <row r="33" spans="1:2" x14ac:dyDescent="0.2">
      <c r="A33" s="47">
        <v>36923</v>
      </c>
      <c r="B33" s="14">
        <v>871589</v>
      </c>
    </row>
    <row r="34" spans="1:2" x14ac:dyDescent="0.2">
      <c r="A34" s="47">
        <v>36951</v>
      </c>
      <c r="B34" s="14">
        <v>847959</v>
      </c>
    </row>
    <row r="35" spans="1:2" x14ac:dyDescent="0.2">
      <c r="A35" s="47">
        <v>36982</v>
      </c>
      <c r="B35" s="14">
        <v>839272</v>
      </c>
    </row>
    <row r="36" spans="1:2" x14ac:dyDescent="0.2">
      <c r="A36" s="47">
        <v>37012</v>
      </c>
      <c r="B36" s="14">
        <v>825427</v>
      </c>
    </row>
    <row r="37" spans="1:2" x14ac:dyDescent="0.2">
      <c r="A37" s="47">
        <v>37043</v>
      </c>
      <c r="B37" s="14">
        <v>862767</v>
      </c>
    </row>
    <row r="38" spans="1:2" x14ac:dyDescent="0.2">
      <c r="A38" s="47">
        <v>37073</v>
      </c>
      <c r="B38" s="14">
        <v>862061</v>
      </c>
    </row>
    <row r="39" spans="1:2" x14ac:dyDescent="0.2">
      <c r="A39" s="47">
        <v>37104</v>
      </c>
      <c r="B39" s="14">
        <v>833389</v>
      </c>
    </row>
    <row r="40" spans="1:2" x14ac:dyDescent="0.2">
      <c r="A40" s="47">
        <v>37135</v>
      </c>
      <c r="B40" s="14">
        <v>817364</v>
      </c>
    </row>
    <row r="41" spans="1:2" x14ac:dyDescent="0.2">
      <c r="A41" s="47">
        <v>37165</v>
      </c>
      <c r="B41" s="14">
        <v>809996</v>
      </c>
    </row>
    <row r="42" spans="1:2" x14ac:dyDescent="0.2">
      <c r="A42" s="47">
        <v>37196</v>
      </c>
      <c r="B42" s="14">
        <v>810690</v>
      </c>
    </row>
    <row r="43" spans="1:2" x14ac:dyDescent="0.2">
      <c r="A43" s="47">
        <v>37226</v>
      </c>
      <c r="B43" s="14">
        <v>813762</v>
      </c>
    </row>
    <row r="44" spans="1:2" x14ac:dyDescent="0.2">
      <c r="A44" s="47">
        <v>37257</v>
      </c>
      <c r="B44" s="14">
        <v>839687</v>
      </c>
    </row>
    <row r="45" spans="1:2" x14ac:dyDescent="0.2">
      <c r="A45" s="47">
        <v>37288</v>
      </c>
      <c r="B45" s="14">
        <v>777402</v>
      </c>
    </row>
    <row r="46" spans="1:2" x14ac:dyDescent="0.2">
      <c r="A46" s="47">
        <v>37316</v>
      </c>
      <c r="B46" s="14">
        <v>814901</v>
      </c>
    </row>
    <row r="47" spans="1:2" x14ac:dyDescent="0.2">
      <c r="A47" s="47">
        <v>37347</v>
      </c>
      <c r="B47" s="14">
        <v>788835</v>
      </c>
    </row>
    <row r="48" spans="1:2" x14ac:dyDescent="0.2">
      <c r="A48" s="47">
        <v>37377</v>
      </c>
      <c r="B48" s="14">
        <v>793333</v>
      </c>
    </row>
    <row r="49" spans="1:2" x14ac:dyDescent="0.2">
      <c r="A49" s="47">
        <v>37408</v>
      </c>
      <c r="B49" s="14">
        <v>780845</v>
      </c>
    </row>
    <row r="50" spans="1:2" x14ac:dyDescent="0.2">
      <c r="A50" s="47">
        <v>37438</v>
      </c>
      <c r="B50" s="14">
        <v>783540</v>
      </c>
    </row>
    <row r="51" spans="1:2" x14ac:dyDescent="0.2">
      <c r="A51" s="47">
        <v>37469</v>
      </c>
      <c r="B51" s="14">
        <v>770838</v>
      </c>
    </row>
    <row r="52" spans="1:2" x14ac:dyDescent="0.2">
      <c r="A52" s="47">
        <v>37500</v>
      </c>
      <c r="B52" s="14">
        <v>772822</v>
      </c>
    </row>
    <row r="53" spans="1:2" x14ac:dyDescent="0.2">
      <c r="A53" s="47">
        <v>37530</v>
      </c>
      <c r="B53" s="14">
        <v>798028</v>
      </c>
    </row>
    <row r="54" spans="1:2" x14ac:dyDescent="0.2">
      <c r="A54" s="47">
        <v>37561</v>
      </c>
      <c r="B54" s="14">
        <v>796464</v>
      </c>
    </row>
    <row r="55" spans="1:2" x14ac:dyDescent="0.2">
      <c r="A55" s="47">
        <v>37591</v>
      </c>
      <c r="B55" s="14">
        <v>795161</v>
      </c>
    </row>
    <row r="56" spans="1:2" x14ac:dyDescent="0.2">
      <c r="A56" s="47">
        <v>37622</v>
      </c>
      <c r="B56" s="14">
        <v>786730</v>
      </c>
    </row>
    <row r="57" spans="1:2" x14ac:dyDescent="0.2">
      <c r="A57" s="47">
        <v>37653</v>
      </c>
      <c r="B57" s="14">
        <v>790649</v>
      </c>
    </row>
    <row r="58" spans="1:2" x14ac:dyDescent="0.2">
      <c r="A58" s="47">
        <v>37681</v>
      </c>
      <c r="B58" s="14">
        <v>798674</v>
      </c>
    </row>
    <row r="59" spans="1:2" x14ac:dyDescent="0.2">
      <c r="A59" s="47">
        <v>37712</v>
      </c>
      <c r="B59" s="14">
        <v>800643</v>
      </c>
    </row>
    <row r="60" spans="1:2" x14ac:dyDescent="0.2">
      <c r="A60" s="47">
        <v>37742</v>
      </c>
      <c r="B60" s="14">
        <v>801435</v>
      </c>
    </row>
    <row r="61" spans="1:2" x14ac:dyDescent="0.2">
      <c r="A61" s="47">
        <v>37773</v>
      </c>
      <c r="B61" s="14">
        <v>813568</v>
      </c>
    </row>
    <row r="62" spans="1:2" x14ac:dyDescent="0.2">
      <c r="A62" s="47">
        <v>37803</v>
      </c>
      <c r="B62" s="14">
        <v>828475</v>
      </c>
    </row>
    <row r="63" spans="1:2" x14ac:dyDescent="0.2">
      <c r="A63" s="47">
        <v>37834</v>
      </c>
      <c r="B63" s="14">
        <v>814810</v>
      </c>
    </row>
    <row r="64" spans="1:2" x14ac:dyDescent="0.2">
      <c r="A64" s="47">
        <v>37865</v>
      </c>
      <c r="B64" s="14">
        <v>829239</v>
      </c>
    </row>
    <row r="65" spans="1:2" x14ac:dyDescent="0.2">
      <c r="A65" s="47">
        <v>37895</v>
      </c>
      <c r="B65" s="14">
        <v>818606</v>
      </c>
    </row>
    <row r="66" spans="1:2" x14ac:dyDescent="0.2">
      <c r="A66" s="47">
        <v>37926</v>
      </c>
      <c r="B66" s="14">
        <v>833339</v>
      </c>
    </row>
    <row r="67" spans="1:2" x14ac:dyDescent="0.2">
      <c r="A67" s="47">
        <v>37956</v>
      </c>
      <c r="B67" s="14">
        <v>834796</v>
      </c>
    </row>
    <row r="68" spans="1:2" x14ac:dyDescent="0.2">
      <c r="A68" s="47">
        <v>37987</v>
      </c>
      <c r="B68" s="14">
        <v>824392</v>
      </c>
    </row>
    <row r="69" spans="1:2" x14ac:dyDescent="0.2">
      <c r="A69" s="47">
        <v>38018</v>
      </c>
      <c r="B69" s="14">
        <v>824024</v>
      </c>
    </row>
    <row r="70" spans="1:2" x14ac:dyDescent="0.2">
      <c r="A70" s="47">
        <v>38047</v>
      </c>
      <c r="B70" s="14">
        <v>830349</v>
      </c>
    </row>
    <row r="71" spans="1:2" x14ac:dyDescent="0.2">
      <c r="A71" s="47">
        <v>38078</v>
      </c>
      <c r="B71" s="14">
        <v>853538</v>
      </c>
    </row>
    <row r="72" spans="1:2" x14ac:dyDescent="0.2">
      <c r="A72" s="47">
        <v>38108</v>
      </c>
      <c r="B72" s="14">
        <v>867250</v>
      </c>
    </row>
    <row r="73" spans="1:2" x14ac:dyDescent="0.2">
      <c r="A73" s="47">
        <v>38139</v>
      </c>
      <c r="B73" s="14">
        <v>895838</v>
      </c>
    </row>
    <row r="74" spans="1:2" x14ac:dyDescent="0.2">
      <c r="A74" s="47">
        <v>38169</v>
      </c>
      <c r="B74" s="14">
        <v>883749</v>
      </c>
    </row>
    <row r="75" spans="1:2" x14ac:dyDescent="0.2">
      <c r="A75" s="47">
        <v>38200</v>
      </c>
      <c r="B75" s="14">
        <v>881876</v>
      </c>
    </row>
    <row r="76" spans="1:2" x14ac:dyDescent="0.2">
      <c r="A76" s="47">
        <v>38231</v>
      </c>
      <c r="B76" s="14">
        <v>885811</v>
      </c>
    </row>
    <row r="77" spans="1:2" x14ac:dyDescent="0.2">
      <c r="A77" s="47">
        <v>38261</v>
      </c>
      <c r="B77" s="14">
        <v>893778</v>
      </c>
    </row>
    <row r="78" spans="1:2" x14ac:dyDescent="0.2">
      <c r="A78" s="47">
        <v>38292</v>
      </c>
      <c r="B78" s="14">
        <v>899065</v>
      </c>
    </row>
    <row r="79" spans="1:2" x14ac:dyDescent="0.2">
      <c r="A79" s="47">
        <v>38322</v>
      </c>
      <c r="B79" s="14">
        <v>884324</v>
      </c>
    </row>
    <row r="80" spans="1:2" x14ac:dyDescent="0.2">
      <c r="A80" s="47">
        <v>38353</v>
      </c>
      <c r="B80" s="14">
        <v>894782</v>
      </c>
    </row>
    <row r="81" spans="1:2" x14ac:dyDescent="0.2">
      <c r="A81" s="47">
        <v>38384</v>
      </c>
      <c r="B81" s="14">
        <v>913849</v>
      </c>
    </row>
    <row r="82" spans="1:2" x14ac:dyDescent="0.2">
      <c r="A82" s="47">
        <v>38412</v>
      </c>
      <c r="B82" s="14">
        <v>926434</v>
      </c>
    </row>
    <row r="83" spans="1:2" x14ac:dyDescent="0.2">
      <c r="A83" s="47">
        <v>38443</v>
      </c>
      <c r="B83" s="14">
        <v>934479</v>
      </c>
    </row>
    <row r="84" spans="1:2" x14ac:dyDescent="0.2">
      <c r="A84" s="47">
        <v>38473</v>
      </c>
      <c r="B84" s="14">
        <v>927781</v>
      </c>
    </row>
    <row r="85" spans="1:2" x14ac:dyDescent="0.2">
      <c r="A85" s="47">
        <v>38504</v>
      </c>
      <c r="B85" s="14">
        <v>967868</v>
      </c>
    </row>
    <row r="86" spans="1:2" x14ac:dyDescent="0.2">
      <c r="A86" s="47">
        <v>38534</v>
      </c>
      <c r="B86" s="14">
        <v>996796</v>
      </c>
    </row>
    <row r="87" spans="1:2" x14ac:dyDescent="0.2">
      <c r="A87" s="47">
        <v>38565</v>
      </c>
      <c r="B87" s="14">
        <v>992270</v>
      </c>
    </row>
    <row r="88" spans="1:2" x14ac:dyDescent="0.2">
      <c r="A88" s="47">
        <v>38596</v>
      </c>
      <c r="B88" s="14">
        <v>996044</v>
      </c>
    </row>
    <row r="89" spans="1:2" x14ac:dyDescent="0.2">
      <c r="A89" s="47">
        <v>38626</v>
      </c>
      <c r="B89" s="14">
        <v>1003504</v>
      </c>
    </row>
    <row r="90" spans="1:2" x14ac:dyDescent="0.2">
      <c r="A90" s="47">
        <v>38657</v>
      </c>
      <c r="B90" s="14">
        <v>1017239</v>
      </c>
    </row>
    <row r="91" spans="1:2" x14ac:dyDescent="0.2">
      <c r="A91" s="47">
        <v>38687</v>
      </c>
      <c r="B91" s="14">
        <v>1038616</v>
      </c>
    </row>
    <row r="92" spans="1:2" x14ac:dyDescent="0.2">
      <c r="A92" s="47">
        <v>38718</v>
      </c>
      <c r="B92" s="14">
        <v>1055186</v>
      </c>
    </row>
    <row r="93" spans="1:2" x14ac:dyDescent="0.2">
      <c r="A93" s="47">
        <v>38749</v>
      </c>
      <c r="B93" s="14">
        <v>1062732</v>
      </c>
    </row>
    <row r="94" spans="1:2" x14ac:dyDescent="0.2">
      <c r="A94" s="47">
        <v>38777</v>
      </c>
      <c r="B94" s="14">
        <v>1067477</v>
      </c>
    </row>
    <row r="95" spans="1:2" x14ac:dyDescent="0.2">
      <c r="A95" s="47">
        <v>38808</v>
      </c>
      <c r="B95" s="14">
        <v>1080389</v>
      </c>
    </row>
    <row r="96" spans="1:2" x14ac:dyDescent="0.2">
      <c r="A96" s="47">
        <v>38838</v>
      </c>
      <c r="B96" s="14">
        <v>1084094</v>
      </c>
    </row>
    <row r="97" spans="1:2" x14ac:dyDescent="0.2">
      <c r="A97" s="47">
        <v>38869</v>
      </c>
      <c r="B97" s="14">
        <v>1112770</v>
      </c>
    </row>
    <row r="98" spans="1:2" x14ac:dyDescent="0.2">
      <c r="A98" s="47">
        <v>38899</v>
      </c>
      <c r="B98" s="14">
        <v>1128285</v>
      </c>
    </row>
    <row r="99" spans="1:2" x14ac:dyDescent="0.2">
      <c r="A99" s="47">
        <v>38930</v>
      </c>
      <c r="B99" s="14">
        <v>1113025</v>
      </c>
    </row>
    <row r="100" spans="1:2" x14ac:dyDescent="0.2">
      <c r="A100" s="47">
        <v>38961</v>
      </c>
      <c r="B100" s="14">
        <v>1118315</v>
      </c>
    </row>
    <row r="101" spans="1:2" x14ac:dyDescent="0.2">
      <c r="A101" s="47">
        <v>38991</v>
      </c>
      <c r="B101" s="14">
        <v>1118736</v>
      </c>
    </row>
    <row r="102" spans="1:2" x14ac:dyDescent="0.2">
      <c r="A102" s="47">
        <v>39022</v>
      </c>
      <c r="B102" s="14">
        <v>1133314</v>
      </c>
    </row>
    <row r="103" spans="1:2" x14ac:dyDescent="0.2">
      <c r="A103" s="47">
        <v>39052</v>
      </c>
      <c r="B103" s="14">
        <v>1150030</v>
      </c>
    </row>
    <row r="104" spans="1:2" x14ac:dyDescent="0.2">
      <c r="A104" s="47">
        <v>39083</v>
      </c>
      <c r="B104" s="14">
        <v>1148148</v>
      </c>
    </row>
    <row r="105" spans="1:2" x14ac:dyDescent="0.2">
      <c r="A105" s="47">
        <v>39114</v>
      </c>
      <c r="B105" s="14">
        <v>1150396</v>
      </c>
    </row>
    <row r="106" spans="1:2" x14ac:dyDescent="0.2">
      <c r="A106" s="47">
        <v>39142</v>
      </c>
      <c r="B106" s="14">
        <v>1162604</v>
      </c>
    </row>
    <row r="107" spans="1:2" x14ac:dyDescent="0.2">
      <c r="A107" s="47">
        <v>39173</v>
      </c>
      <c r="B107" s="14">
        <v>1176308</v>
      </c>
    </row>
    <row r="108" spans="1:2" x14ac:dyDescent="0.2">
      <c r="A108" s="47">
        <v>39203</v>
      </c>
      <c r="B108" s="14">
        <v>1187052</v>
      </c>
    </row>
    <row r="109" spans="1:2" x14ac:dyDescent="0.2">
      <c r="A109" s="47">
        <v>39234</v>
      </c>
      <c r="B109" s="14">
        <v>1208453</v>
      </c>
    </row>
    <row r="110" spans="1:2" x14ac:dyDescent="0.2">
      <c r="A110" s="47">
        <v>39264</v>
      </c>
      <c r="B110" s="14">
        <v>1212584</v>
      </c>
    </row>
    <row r="111" spans="1:2" x14ac:dyDescent="0.2">
      <c r="A111" s="47">
        <v>39295</v>
      </c>
      <c r="B111" s="14">
        <v>1157534</v>
      </c>
    </row>
    <row r="112" spans="1:2" x14ac:dyDescent="0.2">
      <c r="A112" s="47">
        <v>39326</v>
      </c>
      <c r="B112" s="14">
        <v>1250396</v>
      </c>
    </row>
    <row r="113" spans="1:2" x14ac:dyDescent="0.2">
      <c r="A113" s="47">
        <v>39356</v>
      </c>
      <c r="B113" s="14">
        <v>1263504</v>
      </c>
    </row>
    <row r="114" spans="1:2" x14ac:dyDescent="0.2">
      <c r="A114" s="47">
        <v>39387</v>
      </c>
      <c r="B114" s="14">
        <v>1297266</v>
      </c>
    </row>
    <row r="115" spans="1:2" x14ac:dyDescent="0.2">
      <c r="A115" s="47">
        <v>39417</v>
      </c>
      <c r="B115" s="14">
        <v>1507981</v>
      </c>
    </row>
    <row r="116" spans="1:2" x14ac:dyDescent="0.2">
      <c r="A116" s="47">
        <v>39448</v>
      </c>
      <c r="B116" s="14">
        <v>1337542</v>
      </c>
    </row>
    <row r="117" spans="1:2" x14ac:dyDescent="0.2">
      <c r="A117" s="47">
        <v>39479</v>
      </c>
      <c r="B117" s="14">
        <v>1336758</v>
      </c>
    </row>
    <row r="118" spans="1:2" x14ac:dyDescent="0.2">
      <c r="A118" s="47">
        <v>39508</v>
      </c>
      <c r="B118" s="14">
        <v>1390804</v>
      </c>
    </row>
    <row r="119" spans="1:2" x14ac:dyDescent="0.2">
      <c r="A119" s="47">
        <v>39539</v>
      </c>
      <c r="B119" s="14">
        <v>1405859</v>
      </c>
    </row>
    <row r="120" spans="1:2" x14ac:dyDescent="0.2">
      <c r="A120" s="47">
        <v>39569</v>
      </c>
      <c r="B120" s="14">
        <v>1423245</v>
      </c>
    </row>
    <row r="121" spans="1:2" x14ac:dyDescent="0.2">
      <c r="A121" s="47">
        <v>39600</v>
      </c>
      <c r="B121" s="14">
        <v>1462710</v>
      </c>
    </row>
    <row r="122" spans="1:2" x14ac:dyDescent="0.2">
      <c r="A122" s="47">
        <v>39630</v>
      </c>
      <c r="B122" s="14">
        <v>1450899</v>
      </c>
    </row>
    <row r="123" spans="1:2" x14ac:dyDescent="0.2">
      <c r="A123" s="47">
        <v>39661</v>
      </c>
      <c r="B123" s="14">
        <v>1449139</v>
      </c>
    </row>
    <row r="124" spans="1:2" x14ac:dyDescent="0.2">
      <c r="A124" s="47">
        <v>39692</v>
      </c>
      <c r="B124" s="14">
        <v>1518548</v>
      </c>
    </row>
    <row r="125" spans="1:2" x14ac:dyDescent="0.2">
      <c r="A125" s="47">
        <v>39722</v>
      </c>
      <c r="B125" s="14">
        <v>2031447</v>
      </c>
    </row>
    <row r="126" spans="1:2" x14ac:dyDescent="0.2">
      <c r="A126" s="47">
        <v>39753</v>
      </c>
      <c r="B126" s="14">
        <v>1979051</v>
      </c>
    </row>
    <row r="127" spans="1:2" x14ac:dyDescent="0.2">
      <c r="A127" s="47">
        <v>39783</v>
      </c>
      <c r="B127" s="14">
        <v>2075107</v>
      </c>
    </row>
    <row r="128" spans="1:2" x14ac:dyDescent="0.2">
      <c r="A128" s="47">
        <v>39814</v>
      </c>
      <c r="B128" s="14">
        <v>1906979</v>
      </c>
    </row>
    <row r="129" spans="1:2" x14ac:dyDescent="0.2">
      <c r="A129" s="47">
        <v>39845</v>
      </c>
      <c r="B129" s="14">
        <v>1820268</v>
      </c>
    </row>
    <row r="130" spans="1:2" x14ac:dyDescent="0.2">
      <c r="A130" s="47">
        <v>39873</v>
      </c>
      <c r="B130" s="14">
        <v>1803083</v>
      </c>
    </row>
    <row r="131" spans="1:2" x14ac:dyDescent="0.2">
      <c r="A131" s="47">
        <v>39904</v>
      </c>
      <c r="B131" s="14">
        <v>1823963</v>
      </c>
    </row>
    <row r="132" spans="1:2" x14ac:dyDescent="0.2">
      <c r="A132" s="47">
        <v>39934</v>
      </c>
      <c r="B132" s="14">
        <v>1799610</v>
      </c>
    </row>
    <row r="133" spans="1:2" x14ac:dyDescent="0.2">
      <c r="A133" s="47">
        <v>39965</v>
      </c>
      <c r="B133" s="14">
        <v>1997319</v>
      </c>
    </row>
    <row r="134" spans="1:2" x14ac:dyDescent="0.2">
      <c r="A134" s="47">
        <v>39995</v>
      </c>
      <c r="B134" s="14">
        <v>1854093</v>
      </c>
    </row>
    <row r="135" spans="1:2" x14ac:dyDescent="0.2">
      <c r="A135" s="47">
        <v>40026</v>
      </c>
      <c r="B135" s="14">
        <v>1821371</v>
      </c>
    </row>
    <row r="136" spans="1:2" x14ac:dyDescent="0.2">
      <c r="A136" s="47">
        <v>40057</v>
      </c>
      <c r="B136" s="14">
        <v>1790242</v>
      </c>
    </row>
    <row r="137" spans="1:2" x14ac:dyDescent="0.2">
      <c r="A137" s="47">
        <v>40087</v>
      </c>
      <c r="B137" s="14">
        <v>1779000</v>
      </c>
    </row>
    <row r="138" spans="1:2" x14ac:dyDescent="0.2">
      <c r="A138" s="47">
        <v>40118</v>
      </c>
      <c r="B138" s="14">
        <v>1759186</v>
      </c>
    </row>
    <row r="139" spans="1:2" x14ac:dyDescent="0.2">
      <c r="A139" s="47">
        <v>40148</v>
      </c>
      <c r="B139" s="14">
        <v>1903024</v>
      </c>
    </row>
    <row r="140" spans="1:2" x14ac:dyDescent="0.2">
      <c r="A140" s="47">
        <v>40179</v>
      </c>
      <c r="B140" s="14">
        <v>1877655</v>
      </c>
    </row>
    <row r="141" spans="1:2" x14ac:dyDescent="0.2">
      <c r="A141" s="47">
        <v>40210</v>
      </c>
      <c r="B141" s="14">
        <v>1889017</v>
      </c>
    </row>
    <row r="142" spans="1:2" x14ac:dyDescent="0.2">
      <c r="A142" s="47">
        <v>40238</v>
      </c>
      <c r="B142" s="14">
        <v>1894898</v>
      </c>
    </row>
    <row r="143" spans="1:2" x14ac:dyDescent="0.2">
      <c r="A143" s="47">
        <v>40269</v>
      </c>
      <c r="B143" s="14">
        <v>1956819</v>
      </c>
    </row>
    <row r="144" spans="1:2" x14ac:dyDescent="0.2">
      <c r="A144" s="47">
        <v>40299</v>
      </c>
      <c r="B144" s="14">
        <v>2088450</v>
      </c>
    </row>
    <row r="145" spans="1:2" x14ac:dyDescent="0.2">
      <c r="A145" s="47">
        <v>40330</v>
      </c>
      <c r="B145" s="14">
        <v>2154245</v>
      </c>
    </row>
    <row r="146" spans="1:2" x14ac:dyDescent="0.2">
      <c r="A146" s="47">
        <v>40360</v>
      </c>
      <c r="B146" s="14">
        <v>2001660</v>
      </c>
    </row>
    <row r="147" spans="1:2" x14ac:dyDescent="0.2">
      <c r="A147" s="47">
        <v>40391</v>
      </c>
      <c r="B147" s="14">
        <v>1957926</v>
      </c>
    </row>
    <row r="148" spans="1:2" x14ac:dyDescent="0.2">
      <c r="A148" s="47">
        <v>40422</v>
      </c>
      <c r="B148" s="14">
        <v>1971356</v>
      </c>
    </row>
    <row r="149" spans="1:2" x14ac:dyDescent="0.2">
      <c r="A149" s="47">
        <v>40452</v>
      </c>
      <c r="B149" s="14">
        <v>1895679</v>
      </c>
    </row>
    <row r="150" spans="1:2" x14ac:dyDescent="0.2">
      <c r="A150" s="47">
        <v>40483</v>
      </c>
      <c r="B150" s="14">
        <v>1915961</v>
      </c>
    </row>
    <row r="151" spans="1:2" x14ac:dyDescent="0.2">
      <c r="A151" s="47">
        <v>40513</v>
      </c>
      <c r="B151" s="14">
        <v>2004432</v>
      </c>
    </row>
    <row r="152" spans="1:2" x14ac:dyDescent="0.2">
      <c r="A152" s="47">
        <v>40544</v>
      </c>
      <c r="B152" s="14">
        <v>1965568</v>
      </c>
    </row>
    <row r="153" spans="1:2" x14ac:dyDescent="0.2">
      <c r="A153" s="47">
        <v>40575</v>
      </c>
      <c r="B153" s="14">
        <v>1952278</v>
      </c>
    </row>
    <row r="154" spans="1:2" x14ac:dyDescent="0.2">
      <c r="A154" s="47">
        <v>40603</v>
      </c>
      <c r="B154" s="14">
        <v>1928055</v>
      </c>
    </row>
    <row r="155" spans="1:2" x14ac:dyDescent="0.2">
      <c r="A155" s="47">
        <v>40634</v>
      </c>
      <c r="B155" s="14">
        <v>1894101</v>
      </c>
    </row>
    <row r="156" spans="1:2" x14ac:dyDescent="0.2">
      <c r="A156" s="47">
        <v>40664</v>
      </c>
      <c r="B156" s="14">
        <v>1900610</v>
      </c>
    </row>
    <row r="157" spans="1:2" x14ac:dyDescent="0.2">
      <c r="A157" s="47">
        <v>40695</v>
      </c>
      <c r="B157" s="14">
        <v>1972174</v>
      </c>
    </row>
    <row r="158" spans="1:2" x14ac:dyDescent="0.2">
      <c r="A158" s="47">
        <v>40725</v>
      </c>
      <c r="B158" s="14">
        <v>2000471</v>
      </c>
    </row>
    <row r="159" spans="1:2" x14ac:dyDescent="0.2">
      <c r="A159" s="47">
        <v>40756</v>
      </c>
      <c r="B159" s="14">
        <v>2071633</v>
      </c>
    </row>
    <row r="160" spans="1:2" x14ac:dyDescent="0.2">
      <c r="A160" s="47">
        <v>40787</v>
      </c>
      <c r="B160" s="14">
        <v>2288571</v>
      </c>
    </row>
    <row r="161" spans="1:2" x14ac:dyDescent="0.2">
      <c r="A161" s="47">
        <v>40817</v>
      </c>
      <c r="B161" s="14">
        <v>2333373</v>
      </c>
    </row>
    <row r="162" spans="1:2" x14ac:dyDescent="0.2">
      <c r="A162" s="47">
        <v>40848</v>
      </c>
      <c r="B162" s="14">
        <v>2419548</v>
      </c>
    </row>
    <row r="163" spans="1:2" x14ac:dyDescent="0.2">
      <c r="A163" s="47">
        <v>40878</v>
      </c>
      <c r="B163" s="14">
        <v>2733270</v>
      </c>
    </row>
    <row r="164" spans="1:2" x14ac:dyDescent="0.2">
      <c r="A164" s="47">
        <v>40909</v>
      </c>
      <c r="B164" s="14">
        <v>2682576</v>
      </c>
    </row>
    <row r="165" spans="1:2" x14ac:dyDescent="0.2">
      <c r="A165" s="47">
        <v>40940</v>
      </c>
      <c r="B165" s="14">
        <v>2692598</v>
      </c>
    </row>
    <row r="166" spans="1:2" x14ac:dyDescent="0.2">
      <c r="A166" s="47">
        <v>40969</v>
      </c>
      <c r="B166" s="14">
        <v>2964427</v>
      </c>
    </row>
    <row r="167" spans="1:2" x14ac:dyDescent="0.2">
      <c r="A167" s="47">
        <v>41000</v>
      </c>
      <c r="B167" s="14">
        <v>2962103</v>
      </c>
    </row>
    <row r="168" spans="1:2" x14ac:dyDescent="0.2">
      <c r="A168" s="47">
        <v>41030</v>
      </c>
      <c r="B168" s="14">
        <v>2980310</v>
      </c>
    </row>
    <row r="169" spans="1:2" x14ac:dyDescent="0.2">
      <c r="A169" s="47">
        <v>41061</v>
      </c>
      <c r="B169" s="14">
        <v>3102227</v>
      </c>
    </row>
    <row r="170" spans="1:2" x14ac:dyDescent="0.2">
      <c r="A170" s="47">
        <v>41091</v>
      </c>
      <c r="B170" s="14">
        <v>3094144</v>
      </c>
    </row>
    <row r="171" spans="1:2" x14ac:dyDescent="0.2">
      <c r="A171" s="47">
        <v>41122</v>
      </c>
      <c r="B171" s="14">
        <v>3084769</v>
      </c>
    </row>
    <row r="172" spans="1:2" x14ac:dyDescent="0.2">
      <c r="A172" s="47">
        <v>41153</v>
      </c>
      <c r="B172" s="14">
        <v>3082432</v>
      </c>
    </row>
    <row r="173" spans="1:2" x14ac:dyDescent="0.2">
      <c r="A173" s="47">
        <v>41183</v>
      </c>
      <c r="B173" s="14">
        <v>3046543</v>
      </c>
    </row>
    <row r="174" spans="1:2" x14ac:dyDescent="0.2">
      <c r="A174" s="47">
        <v>41214</v>
      </c>
      <c r="B174" s="14">
        <v>3033294</v>
      </c>
    </row>
    <row r="175" spans="1:2" x14ac:dyDescent="0.2">
      <c r="A175" s="47">
        <v>41244</v>
      </c>
      <c r="B175" s="14">
        <v>2962613</v>
      </c>
    </row>
    <row r="176" spans="1:2" x14ac:dyDescent="0.2">
      <c r="A176" s="47">
        <v>41275</v>
      </c>
      <c r="B176" s="14">
        <v>2928781</v>
      </c>
    </row>
    <row r="177" spans="1:2" x14ac:dyDescent="0.2">
      <c r="A177" s="47">
        <v>41306</v>
      </c>
      <c r="B177" s="14">
        <v>2748823</v>
      </c>
    </row>
    <row r="178" spans="1:2" x14ac:dyDescent="0.2">
      <c r="A178" s="47">
        <v>41334</v>
      </c>
      <c r="B178" s="14">
        <v>2648126</v>
      </c>
    </row>
    <row r="179" spans="1:2" x14ac:dyDescent="0.2">
      <c r="A179" s="47">
        <v>41365</v>
      </c>
      <c r="B179" s="14">
        <v>2611252</v>
      </c>
    </row>
    <row r="180" spans="1:2" x14ac:dyDescent="0.2">
      <c r="A180" s="47">
        <v>41395</v>
      </c>
      <c r="B180" s="14">
        <v>2549449</v>
      </c>
    </row>
    <row r="181" spans="1:2" x14ac:dyDescent="0.2">
      <c r="A181" s="47">
        <v>41426</v>
      </c>
      <c r="B181" s="14">
        <v>2430423</v>
      </c>
    </row>
    <row r="182" spans="1:2" x14ac:dyDescent="0.2">
      <c r="A182" s="47">
        <v>41456</v>
      </c>
      <c r="B182" s="14">
        <v>2396181</v>
      </c>
    </row>
    <row r="183" spans="1:2" x14ac:dyDescent="0.2">
      <c r="A183" s="47">
        <v>41487</v>
      </c>
      <c r="B183" s="14">
        <v>2360639</v>
      </c>
    </row>
    <row r="184" spans="1:2" x14ac:dyDescent="0.2">
      <c r="A184" s="47">
        <v>41518</v>
      </c>
      <c r="B184" s="14">
        <v>2338044</v>
      </c>
    </row>
    <row r="185" spans="1:2" x14ac:dyDescent="0.2">
      <c r="A185" s="47">
        <v>41548</v>
      </c>
      <c r="B185" s="14">
        <v>2318744</v>
      </c>
    </row>
    <row r="186" spans="1:2" x14ac:dyDescent="0.2">
      <c r="A186" s="47">
        <v>41579</v>
      </c>
      <c r="B186" s="14">
        <v>2290956</v>
      </c>
    </row>
    <row r="187" spans="1:2" x14ac:dyDescent="0.2">
      <c r="A187" s="47">
        <v>41609</v>
      </c>
      <c r="B187" s="14">
        <v>2273267</v>
      </c>
    </row>
    <row r="188" spans="1:2" x14ac:dyDescent="0.2">
      <c r="A188" s="47">
        <v>41640</v>
      </c>
      <c r="B188" s="14">
        <v>2217061</v>
      </c>
    </row>
    <row r="189" spans="1:2" x14ac:dyDescent="0.2">
      <c r="A189" s="47">
        <v>41671</v>
      </c>
      <c r="B189" s="14">
        <v>2181079</v>
      </c>
    </row>
    <row r="190" spans="1:2" x14ac:dyDescent="0.2">
      <c r="A190" s="47">
        <v>41699</v>
      </c>
      <c r="B190" s="14">
        <v>2152103</v>
      </c>
    </row>
    <row r="191" spans="1:2" x14ac:dyDescent="0.2">
      <c r="A191" s="47">
        <v>41730</v>
      </c>
      <c r="B191" s="14">
        <v>2169061</v>
      </c>
    </row>
    <row r="192" spans="1:2" x14ac:dyDescent="0.2">
      <c r="A192" s="47">
        <v>41760</v>
      </c>
      <c r="B192" s="14">
        <v>2197095</v>
      </c>
    </row>
    <row r="193" spans="1:2" x14ac:dyDescent="0.2">
      <c r="A193" s="47">
        <v>41791</v>
      </c>
      <c r="B193" s="14">
        <v>2088099</v>
      </c>
    </row>
    <row r="194" spans="1:2" x14ac:dyDescent="0.2">
      <c r="A194" s="47">
        <v>41821</v>
      </c>
      <c r="B194" s="14">
        <v>2044312</v>
      </c>
    </row>
    <row r="195" spans="1:2" x14ac:dyDescent="0.2">
      <c r="A195" s="47">
        <v>41852</v>
      </c>
      <c r="B195" s="14">
        <v>2038716</v>
      </c>
    </row>
    <row r="196" spans="1:2" x14ac:dyDescent="0.2">
      <c r="A196" s="47">
        <v>41883</v>
      </c>
      <c r="B196" s="14">
        <v>2038235</v>
      </c>
    </row>
    <row r="197" spans="1:2" x14ac:dyDescent="0.2">
      <c r="A197" s="47">
        <v>41913</v>
      </c>
      <c r="B197" s="14">
        <v>2052070</v>
      </c>
    </row>
    <row r="198" spans="1:2" x14ac:dyDescent="0.2">
      <c r="A198" s="47">
        <v>41944</v>
      </c>
      <c r="B198" s="14">
        <v>2053892</v>
      </c>
    </row>
    <row r="199" spans="1:2" x14ac:dyDescent="0.2">
      <c r="A199" s="47">
        <v>41974</v>
      </c>
      <c r="B199" s="14">
        <v>2150247</v>
      </c>
    </row>
    <row r="200" spans="1:2" x14ac:dyDescent="0.2">
      <c r="A200" s="47">
        <v>42005</v>
      </c>
      <c r="B200" s="14">
        <v>2181954</v>
      </c>
    </row>
    <row r="201" spans="1:2" x14ac:dyDescent="0.2">
      <c r="A201" s="47">
        <v>42036</v>
      </c>
      <c r="B201" s="14">
        <v>2155836</v>
      </c>
    </row>
    <row r="202" spans="1:2" x14ac:dyDescent="0.2">
      <c r="A202" s="47">
        <v>42064</v>
      </c>
      <c r="B202" s="14">
        <v>2250801</v>
      </c>
    </row>
    <row r="203" spans="1:2" x14ac:dyDescent="0.2">
      <c r="A203" s="47">
        <v>42095</v>
      </c>
      <c r="B203" s="14">
        <v>2360790</v>
      </c>
    </row>
    <row r="204" spans="1:2" x14ac:dyDescent="0.2">
      <c r="A204" s="47">
        <v>42125</v>
      </c>
      <c r="B204" s="14">
        <v>2416664</v>
      </c>
    </row>
    <row r="205" spans="1:2" x14ac:dyDescent="0.2">
      <c r="A205" s="47">
        <v>42156</v>
      </c>
      <c r="B205" s="14">
        <v>2539544</v>
      </c>
    </row>
    <row r="206" spans="1:2" x14ac:dyDescent="0.2">
      <c r="A206" s="47">
        <v>42186</v>
      </c>
      <c r="B206" s="14">
        <v>2536592</v>
      </c>
    </row>
    <row r="207" spans="1:2" x14ac:dyDescent="0.2">
      <c r="A207" s="47">
        <v>42217</v>
      </c>
      <c r="B207" s="14">
        <v>2558780</v>
      </c>
    </row>
    <row r="208" spans="1:2" x14ac:dyDescent="0.2">
      <c r="A208" s="47">
        <v>42248</v>
      </c>
      <c r="B208" s="14">
        <v>2620631</v>
      </c>
    </row>
    <row r="209" spans="1:2" x14ac:dyDescent="0.2">
      <c r="A209" s="47">
        <v>42278</v>
      </c>
      <c r="B209" s="14">
        <v>2664996</v>
      </c>
    </row>
    <row r="210" spans="1:2" x14ac:dyDescent="0.2">
      <c r="A210" s="47">
        <v>42309</v>
      </c>
      <c r="B210" s="14">
        <v>2706740</v>
      </c>
    </row>
    <row r="211" spans="1:2" x14ac:dyDescent="0.2">
      <c r="A211" s="47">
        <v>42339</v>
      </c>
      <c r="B211" s="14">
        <v>2767815</v>
      </c>
    </row>
    <row r="212" spans="1:2" x14ac:dyDescent="0.2">
      <c r="A212" s="47">
        <v>42370</v>
      </c>
      <c r="B212" s="14">
        <v>2808331</v>
      </c>
    </row>
    <row r="213" spans="1:2" x14ac:dyDescent="0.2">
      <c r="A213" s="47">
        <v>42401</v>
      </c>
      <c r="B213" s="14">
        <v>2850299</v>
      </c>
    </row>
    <row r="214" spans="1:2" x14ac:dyDescent="0.2">
      <c r="A214" s="47">
        <v>42430</v>
      </c>
      <c r="B214" s="14">
        <v>2897696</v>
      </c>
    </row>
    <row r="215" spans="1:2" x14ac:dyDescent="0.2">
      <c r="A215" s="47">
        <v>42461</v>
      </c>
      <c r="B215" s="14">
        <v>3000759</v>
      </c>
    </row>
    <row r="216" spans="1:2" x14ac:dyDescent="0.2">
      <c r="A216" s="47">
        <v>42491</v>
      </c>
      <c r="B216" s="14">
        <v>3067481</v>
      </c>
    </row>
    <row r="217" spans="1:2" x14ac:dyDescent="0.2">
      <c r="A217" s="47">
        <v>42522</v>
      </c>
      <c r="B217" s="14">
        <v>3131095</v>
      </c>
    </row>
    <row r="218" spans="1:2" x14ac:dyDescent="0.2">
      <c r="A218" s="47">
        <v>42552</v>
      </c>
      <c r="B218" s="14">
        <v>3284309</v>
      </c>
    </row>
    <row r="219" spans="1:2" x14ac:dyDescent="0.2">
      <c r="A219" s="47">
        <v>42583</v>
      </c>
      <c r="B219" s="14">
        <v>3330487</v>
      </c>
    </row>
    <row r="220" spans="1:2" x14ac:dyDescent="0.2">
      <c r="A220" s="47">
        <v>42614</v>
      </c>
      <c r="B220" s="14">
        <v>3438145</v>
      </c>
    </row>
    <row r="221" spans="1:2" x14ac:dyDescent="0.2">
      <c r="A221" s="47">
        <v>42644</v>
      </c>
      <c r="B221" s="14">
        <v>3507401</v>
      </c>
    </row>
    <row r="222" spans="1:2" x14ac:dyDescent="0.2">
      <c r="A222" s="47">
        <v>42675</v>
      </c>
      <c r="B222" s="14">
        <v>3566230</v>
      </c>
    </row>
    <row r="223" spans="1:2" x14ac:dyDescent="0.2">
      <c r="A223" s="47">
        <v>42705</v>
      </c>
      <c r="B223" s="14">
        <v>3662901</v>
      </c>
    </row>
    <row r="224" spans="1:2" x14ac:dyDescent="0.2">
      <c r="A224" s="47">
        <v>42736</v>
      </c>
      <c r="B224" s="14">
        <v>3740766</v>
      </c>
    </row>
    <row r="225" spans="1:2" x14ac:dyDescent="0.2">
      <c r="A225" s="47">
        <v>42767</v>
      </c>
      <c r="B225" s="14">
        <v>3808242</v>
      </c>
    </row>
    <row r="226" spans="1:2" x14ac:dyDescent="0.2">
      <c r="A226" s="47">
        <v>42795</v>
      </c>
      <c r="B226" s="14">
        <v>4100730</v>
      </c>
    </row>
    <row r="227" spans="1:2" x14ac:dyDescent="0.2">
      <c r="A227" s="47">
        <v>42826</v>
      </c>
      <c r="B227" s="14">
        <v>4148032</v>
      </c>
    </row>
    <row r="228" spans="1:2" x14ac:dyDescent="0.2">
      <c r="A228" s="47">
        <v>42856</v>
      </c>
      <c r="B228" s="14">
        <v>4195685</v>
      </c>
    </row>
    <row r="229" spans="1:2" x14ac:dyDescent="0.2">
      <c r="A229" s="47">
        <v>42887</v>
      </c>
      <c r="B229" s="14">
        <v>4209510</v>
      </c>
    </row>
    <row r="230" spans="1:2" x14ac:dyDescent="0.2">
      <c r="A230" s="47">
        <v>42917</v>
      </c>
      <c r="B230" s="14">
        <v>4248280</v>
      </c>
    </row>
    <row r="231" spans="1:2" x14ac:dyDescent="0.2">
      <c r="A231" s="47">
        <v>42948</v>
      </c>
      <c r="B231" s="14">
        <v>4278881</v>
      </c>
    </row>
    <row r="232" spans="1:2" x14ac:dyDescent="0.2">
      <c r="A232" s="47">
        <v>42979</v>
      </c>
      <c r="B232" s="14">
        <v>4318624</v>
      </c>
    </row>
    <row r="233" spans="1:2" x14ac:dyDescent="0.2">
      <c r="A233" s="47">
        <v>43009</v>
      </c>
      <c r="B233" s="14">
        <v>4371222</v>
      </c>
    </row>
    <row r="234" spans="1:2" x14ac:dyDescent="0.2">
      <c r="A234" s="47">
        <v>43040</v>
      </c>
      <c r="B234" s="14">
        <v>4440791</v>
      </c>
    </row>
    <row r="235" spans="1:2" x14ac:dyDescent="0.2">
      <c r="A235" s="47">
        <v>43070</v>
      </c>
      <c r="B235" s="14">
        <v>4471689</v>
      </c>
    </row>
    <row r="236" spans="1:2" x14ac:dyDescent="0.2">
      <c r="A236" s="47">
        <v>43101</v>
      </c>
      <c r="B236" s="14">
        <v>4491151</v>
      </c>
    </row>
    <row r="237" spans="1:2" x14ac:dyDescent="0.2">
      <c r="A237" s="47">
        <v>43132</v>
      </c>
      <c r="B237" s="14">
        <v>4519360</v>
      </c>
    </row>
    <row r="238" spans="1:2" x14ac:dyDescent="0.2">
      <c r="A238" s="47">
        <v>43160</v>
      </c>
      <c r="B238" s="14">
        <v>4529579</v>
      </c>
    </row>
    <row r="239" spans="1:2" x14ac:dyDescent="0.2">
      <c r="A239" s="47">
        <v>43191</v>
      </c>
      <c r="B239" s="14">
        <v>4554344</v>
      </c>
    </row>
    <row r="240" spans="1:2" x14ac:dyDescent="0.2">
      <c r="A240" s="47">
        <v>43221</v>
      </c>
      <c r="B240" s="14">
        <v>4567744</v>
      </c>
    </row>
    <row r="241" spans="1:2" x14ac:dyDescent="0.2">
      <c r="A241" s="47">
        <v>43252</v>
      </c>
      <c r="B241" s="14">
        <v>4592518</v>
      </c>
    </row>
    <row r="242" spans="1:2" x14ac:dyDescent="0.2">
      <c r="A242" s="47">
        <v>43282</v>
      </c>
      <c r="B242" s="14">
        <v>4602258</v>
      </c>
    </row>
    <row r="243" spans="1:2" x14ac:dyDescent="0.2">
      <c r="A243" s="47">
        <v>43313</v>
      </c>
      <c r="B243" s="14">
        <v>4621355</v>
      </c>
    </row>
    <row r="244" spans="1:2" x14ac:dyDescent="0.2">
      <c r="A244" s="47">
        <v>43344</v>
      </c>
      <c r="B244" s="14">
        <v>4619792</v>
      </c>
    </row>
    <row r="245" spans="1:2" x14ac:dyDescent="0.2">
      <c r="A245" s="47">
        <v>43374</v>
      </c>
      <c r="B245" s="14">
        <v>4622163</v>
      </c>
    </row>
    <row r="246" spans="1:2" x14ac:dyDescent="0.2">
      <c r="A246" s="47">
        <v>43405</v>
      </c>
      <c r="B246" s="14">
        <v>4660299</v>
      </c>
    </row>
    <row r="247" spans="1:2" x14ac:dyDescent="0.2">
      <c r="A247" s="47">
        <v>43435</v>
      </c>
      <c r="B247" s="14">
        <v>4669003</v>
      </c>
    </row>
    <row r="248" spans="1:2" x14ac:dyDescent="0.2">
      <c r="A248" s="47">
        <v>43466</v>
      </c>
      <c r="B248" s="14">
        <v>4695505</v>
      </c>
    </row>
    <row r="249" spans="1:2" x14ac:dyDescent="0.2">
      <c r="A249" s="47">
        <v>43497</v>
      </c>
      <c r="B249" s="14">
        <v>4686299</v>
      </c>
    </row>
    <row r="250" spans="1:2" x14ac:dyDescent="0.2">
      <c r="A250" s="47">
        <v>43525</v>
      </c>
      <c r="B250" s="14">
        <v>4695785</v>
      </c>
    </row>
    <row r="251" spans="1:2" x14ac:dyDescent="0.2">
      <c r="A251" s="47">
        <v>43556</v>
      </c>
      <c r="B251" s="14">
        <v>4683918</v>
      </c>
    </row>
    <row r="252" spans="1:2" x14ac:dyDescent="0.2">
      <c r="A252" s="47">
        <v>43586</v>
      </c>
      <c r="B252" s="14">
        <v>4685961</v>
      </c>
    </row>
    <row r="253" spans="1:2" x14ac:dyDescent="0.2">
      <c r="A253" s="47">
        <v>43617</v>
      </c>
      <c r="B253" s="14">
        <v>4692614</v>
      </c>
    </row>
    <row r="254" spans="1:2" x14ac:dyDescent="0.2">
      <c r="A254" s="47">
        <v>43647</v>
      </c>
      <c r="B254" s="14">
        <v>4679180</v>
      </c>
    </row>
    <row r="255" spans="1:2" x14ac:dyDescent="0.2">
      <c r="A255" s="47">
        <v>43678</v>
      </c>
      <c r="B255" s="14">
        <v>4683714</v>
      </c>
    </row>
    <row r="256" spans="1:2" x14ac:dyDescent="0.2">
      <c r="A256" s="47">
        <v>43709</v>
      </c>
      <c r="B256" s="14">
        <v>4638104</v>
      </c>
    </row>
    <row r="257" spans="1:2" x14ac:dyDescent="0.2">
      <c r="A257" s="47">
        <v>43739</v>
      </c>
      <c r="B257" s="14">
        <v>4676258</v>
      </c>
    </row>
    <row r="258" spans="1:2" x14ac:dyDescent="0.2">
      <c r="A258" s="47">
        <v>43770</v>
      </c>
      <c r="B258" s="14">
        <v>4698291</v>
      </c>
    </row>
    <row r="259" spans="1:2" x14ac:dyDescent="0.2">
      <c r="A259" s="47">
        <v>43800</v>
      </c>
      <c r="B259" s="14">
        <v>4691998</v>
      </c>
    </row>
    <row r="260" spans="1:2" x14ac:dyDescent="0.2">
      <c r="A260" s="47">
        <v>43831</v>
      </c>
      <c r="B260" s="14">
        <v>4671365</v>
      </c>
    </row>
    <row r="261" spans="1:2" x14ac:dyDescent="0.2">
      <c r="A261" s="41">
        <v>43868</v>
      </c>
      <c r="B261" s="15">
        <f>VLOOKUP(A261,'Database ECB'!$A$1:$D$2000,2,FALSE)</f>
        <v>4668900</v>
      </c>
    </row>
    <row r="262" spans="1:2" x14ac:dyDescent="0.2">
      <c r="A262" s="41">
        <v>43875</v>
      </c>
      <c r="B262" s="15">
        <f>VLOOKUP(A262,'Database ECB'!$A$1:$D$2000,2,FALSE)</f>
        <v>4679726</v>
      </c>
    </row>
    <row r="263" spans="1:2" x14ac:dyDescent="0.2">
      <c r="A263" s="41">
        <v>43882</v>
      </c>
      <c r="B263" s="15">
        <f>VLOOKUP(A263,'Database ECB'!$A$1:$D$2000,2,FALSE)</f>
        <v>4688301</v>
      </c>
    </row>
    <row r="264" spans="1:2" x14ac:dyDescent="0.2">
      <c r="A264" s="41">
        <v>43889</v>
      </c>
      <c r="B264" s="15">
        <f>VLOOKUP(A264,'Database ECB'!$A$1:$D$2000,2,FALSE)</f>
        <v>4691852</v>
      </c>
    </row>
    <row r="265" spans="1:2" x14ac:dyDescent="0.2">
      <c r="A265" s="41">
        <v>43896</v>
      </c>
      <c r="B265" s="15">
        <f>VLOOKUP(A265,'Database ECB'!$A$1:$D$2000,2,FALSE)</f>
        <v>4702214</v>
      </c>
    </row>
    <row r="266" spans="1:2" x14ac:dyDescent="0.2">
      <c r="A266" s="41">
        <v>43903</v>
      </c>
      <c r="B266" s="15">
        <f>VLOOKUP(A266,'Database ECB'!$A$1:$D$2000,2,FALSE)</f>
        <v>4704239</v>
      </c>
    </row>
    <row r="267" spans="1:2" x14ac:dyDescent="0.2">
      <c r="A267" s="47">
        <v>43910</v>
      </c>
      <c r="B267" s="15">
        <f>VLOOKUP(A267,'Database ECB'!$A$1:$D$2000,2,FALSE)</f>
        <v>4927267</v>
      </c>
    </row>
    <row r="268" spans="1:2" x14ac:dyDescent="0.2">
      <c r="A268" s="47">
        <v>43917</v>
      </c>
      <c r="B268" s="15">
        <f>VLOOKUP(A268,'Database ECB'!$A$1:$D$2000,2,FALSE)</f>
        <v>5062687</v>
      </c>
    </row>
    <row r="269" spans="1:2" x14ac:dyDescent="0.2">
      <c r="A269" s="47">
        <v>43924</v>
      </c>
      <c r="B269" s="15">
        <f>VLOOKUP(A269,'Database ECB'!$A$1:$D$2000,2,FALSE)</f>
        <v>5199822</v>
      </c>
    </row>
    <row r="270" spans="1:2" x14ac:dyDescent="0.2">
      <c r="A270" s="47">
        <v>43931</v>
      </c>
      <c r="B270" s="15">
        <f>VLOOKUP(A270,'Database ECB'!$A$1:$D$2000,2,FALSE)</f>
        <v>5257490</v>
      </c>
    </row>
    <row r="271" spans="1:2" x14ac:dyDescent="0.2">
      <c r="A271" s="47">
        <v>43938</v>
      </c>
      <c r="B271" s="15">
        <f>VLOOKUP(A271,'Database ECB'!$A$1:$D$2000,2,FALSE)</f>
        <v>5282926</v>
      </c>
    </row>
    <row r="272" spans="1:2" x14ac:dyDescent="0.2">
      <c r="A272" s="48">
        <v>43945</v>
      </c>
      <c r="B272" s="15">
        <f>VLOOKUP(A272,'Database ECB'!$A$1:$D$2000,2,FALSE)</f>
        <v>5347042</v>
      </c>
    </row>
    <row r="273" spans="1:2" x14ac:dyDescent="0.2">
      <c r="A273" s="47">
        <v>43952</v>
      </c>
      <c r="B273" s="15">
        <f>VLOOKUP(A273,'Database ECB'!$A$1:$D$2000,2,FALSE)</f>
        <v>5395184</v>
      </c>
    </row>
    <row r="274" spans="1:2" x14ac:dyDescent="0.2">
      <c r="A274" s="48">
        <v>43959</v>
      </c>
      <c r="B274" s="15">
        <f>VLOOKUP(A274,'Database ECB'!$A$1:$D$2000,2,FALSE)</f>
        <v>5451001</v>
      </c>
    </row>
    <row r="275" spans="1:2" x14ac:dyDescent="0.2">
      <c r="A275" s="47">
        <v>43966</v>
      </c>
      <c r="B275" s="15">
        <f>VLOOKUP(A275,'Database ECB'!$A$1:$D$2000,2,FALSE)</f>
        <v>5505521</v>
      </c>
    </row>
    <row r="276" spans="1:2" x14ac:dyDescent="0.2">
      <c r="A276" s="48">
        <v>43973</v>
      </c>
      <c r="B276" s="15">
        <f>VLOOKUP(A276,'Database ECB'!$A$1:$D$2000,2,FALSE)</f>
        <v>5555276</v>
      </c>
    </row>
    <row r="277" spans="1:2" x14ac:dyDescent="0.2">
      <c r="A277" s="47">
        <v>43980</v>
      </c>
      <c r="B277" s="15">
        <f>VLOOKUP(A277,'Database ECB'!$A$1:$D$2000,2,FALSE)</f>
        <v>5596070</v>
      </c>
    </row>
    <row r="278" spans="1:2" x14ac:dyDescent="0.2">
      <c r="A278" s="48">
        <v>43987</v>
      </c>
      <c r="B278" s="15">
        <f>VLOOKUP(A278,'Database ECB'!$A$1:$D$2000,2,FALSE)</f>
        <v>5655414</v>
      </c>
    </row>
    <row r="279" spans="1:2" x14ac:dyDescent="0.2">
      <c r="A279" s="47">
        <v>43994</v>
      </c>
      <c r="B279" s="15">
        <f>VLOOKUP(A279,'Database ECB'!$A$1:$D$2000,2,FALSE)</f>
        <v>5630275</v>
      </c>
    </row>
    <row r="280" spans="1:2" x14ac:dyDescent="0.2">
      <c r="A280" s="48">
        <v>44001</v>
      </c>
      <c r="B280" s="15">
        <f>VLOOKUP(A280,'Database ECB'!$A$1:$D$2000,2,FALSE)</f>
        <v>5636378</v>
      </c>
    </row>
    <row r="281" spans="1:2" x14ac:dyDescent="0.2">
      <c r="A281" s="47">
        <v>44008</v>
      </c>
      <c r="B281" s="15">
        <f>VLOOKUP(A281,'Database ECB'!$A$1:$D$2000,2,FALSE)</f>
        <v>6236143</v>
      </c>
    </row>
    <row r="282" spans="1:2" x14ac:dyDescent="0.2">
      <c r="A282" s="48">
        <v>44015</v>
      </c>
      <c r="B282" s="15">
        <f>VLOOKUP(A282,'Database ECB'!$A$1:$D$2000,2,FALSE)</f>
        <v>6288974</v>
      </c>
    </row>
    <row r="283" spans="1:2" x14ac:dyDescent="0.2">
      <c r="A283" s="47">
        <v>44022</v>
      </c>
      <c r="B283" s="15">
        <f>VLOOKUP(A283,'Database ECB'!$A$1:$D$2000,2,FALSE)</f>
        <v>6309160</v>
      </c>
    </row>
    <row r="284" spans="1:2" x14ac:dyDescent="0.2">
      <c r="A284" s="47">
        <v>44029</v>
      </c>
      <c r="B284" s="15">
        <f>VLOOKUP(A284,'Database ECB'!$A$1:$D$2000,2,FALSE)</f>
        <v>6322604</v>
      </c>
    </row>
    <row r="285" spans="1:2" x14ac:dyDescent="0.2">
      <c r="A285" s="48">
        <v>44036</v>
      </c>
      <c r="B285" s="15">
        <f>VLOOKUP(A285,'Database ECB'!$A$1:$D$2000,2,FALSE)</f>
        <v>6351419</v>
      </c>
    </row>
    <row r="286" spans="1:2" x14ac:dyDescent="0.2">
      <c r="A286" s="47">
        <v>44043</v>
      </c>
      <c r="B286" s="15">
        <f>VLOOKUP(A286,'Database ECB'!$A$1:$D$2000,2,FALSE)</f>
        <v>6360822</v>
      </c>
    </row>
    <row r="287" spans="1:2" x14ac:dyDescent="0.2">
      <c r="A287" s="48">
        <v>44050</v>
      </c>
      <c r="B287" s="15">
        <f>VLOOKUP(A287,'Database ECB'!$A$1:$D$2000,2,FALSE)</f>
        <v>6385307</v>
      </c>
    </row>
    <row r="288" spans="1:2" x14ac:dyDescent="0.2">
      <c r="A288" s="47">
        <v>44057</v>
      </c>
      <c r="B288" s="15">
        <f>VLOOKUP(A288,'Database ECB'!$A$1:$D$2000,2,FALSE)</f>
        <v>6404662</v>
      </c>
    </row>
    <row r="289" spans="1:2" x14ac:dyDescent="0.2">
      <c r="A289" s="48">
        <v>44064</v>
      </c>
      <c r="B289" s="15">
        <f>VLOOKUP(A289,'Database ECB'!$A$1:$D$2000,2,FALSE)</f>
        <v>6424042</v>
      </c>
    </row>
    <row r="290" spans="1:2" x14ac:dyDescent="0.2">
      <c r="A290" s="47">
        <v>44071</v>
      </c>
      <c r="B290" s="15">
        <f>VLOOKUP(A290,'Database ECB'!$A$1:$D$2000,2,FALSE)</f>
        <v>6440237</v>
      </c>
    </row>
    <row r="291" spans="1:2" x14ac:dyDescent="0.2">
      <c r="A291" s="48">
        <v>44078</v>
      </c>
      <c r="B291" s="15">
        <f>VLOOKUP(A291,'Database ECB'!$A$1:$D$2000,2,FALSE)</f>
        <v>6458857</v>
      </c>
    </row>
    <row r="292" spans="1:2" x14ac:dyDescent="0.2">
      <c r="A292" s="47">
        <v>44085</v>
      </c>
      <c r="B292" s="15">
        <f>VLOOKUP(A292,'Database ECB'!$A$1:$D$2000,2,FALSE)</f>
        <v>6474612</v>
      </c>
    </row>
    <row r="293" spans="1:2" x14ac:dyDescent="0.2">
      <c r="A293" s="48">
        <v>44092</v>
      </c>
      <c r="B293" s="15">
        <f>VLOOKUP(A293,'Database ECB'!$A$1:$D$2000,2,FALSE)</f>
        <v>6502422</v>
      </c>
    </row>
    <row r="294" spans="1:2" x14ac:dyDescent="0.2">
      <c r="A294" s="47">
        <v>44099</v>
      </c>
      <c r="B294" s="15">
        <f>VLOOKUP(A294,'Database ECB'!$A$1:$D$2000,2,FALSE)</f>
        <v>6534815</v>
      </c>
    </row>
    <row r="295" spans="1:2" x14ac:dyDescent="0.2">
      <c r="A295" s="48">
        <v>44106</v>
      </c>
      <c r="B295" s="15">
        <f>VLOOKUP(A295,'Database ECB'!$A$1:$D$2000,2,FALSE)</f>
        <v>6705112</v>
      </c>
    </row>
    <row r="296" spans="1:2" x14ac:dyDescent="0.2">
      <c r="A296" s="47">
        <v>44113</v>
      </c>
      <c r="B296" s="15">
        <f>VLOOKUP(A296,'Database ECB'!$A$1:$D$2000,2,FALSE)</f>
        <v>6725697</v>
      </c>
    </row>
    <row r="297" spans="1:2" x14ac:dyDescent="0.2">
      <c r="A297" s="48">
        <v>44120</v>
      </c>
      <c r="B297" s="15">
        <f>VLOOKUP(A297,'Database ECB'!$A$1:$D$2000,2,FALSE)</f>
        <v>6743525</v>
      </c>
    </row>
    <row r="298" spans="1:2" x14ac:dyDescent="0.2">
      <c r="A298" s="47">
        <v>44127</v>
      </c>
      <c r="B298" s="15">
        <f>VLOOKUP(A298,'Database ECB'!$A$1:$D$2000,2,FALSE)</f>
        <v>6781825</v>
      </c>
    </row>
    <row r="299" spans="1:2" x14ac:dyDescent="0.2">
      <c r="A299" s="48">
        <v>44134</v>
      </c>
      <c r="B299" s="15">
        <f>VLOOKUP(A299,'Database ECB'!$A$1:$D$2000,2,FALSE)</f>
        <v>6775763</v>
      </c>
    </row>
    <row r="300" spans="1:2" x14ac:dyDescent="0.2">
      <c r="A300" s="47">
        <v>44141</v>
      </c>
      <c r="B300" s="15">
        <f>VLOOKUP(A300,'Database ECB'!$A$1:$D$2000,2,FALSE)</f>
        <v>6796905</v>
      </c>
    </row>
    <row r="301" spans="1:2" x14ac:dyDescent="0.2">
      <c r="A301" s="48">
        <v>44148</v>
      </c>
      <c r="B301" s="15">
        <f>VLOOKUP(A301,'Database ECB'!$A$1:$D$2000,2,FALSE)</f>
        <v>6833483</v>
      </c>
    </row>
    <row r="302" spans="1:2" x14ac:dyDescent="0.2">
      <c r="A302" s="47">
        <v>44155</v>
      </c>
      <c r="B302" s="15">
        <f>VLOOKUP(A302,'Database ECB'!$A$1:$D$2000,2,FALSE)</f>
        <v>6867814</v>
      </c>
    </row>
    <row r="303" spans="1:2" x14ac:dyDescent="0.2">
      <c r="A303" s="48">
        <v>44162</v>
      </c>
      <c r="B303" s="15">
        <f>VLOOKUP(A303,'Database ECB'!$A$1:$D$2000,2,FALSE)</f>
        <v>6883402</v>
      </c>
    </row>
    <row r="304" spans="1:2" x14ac:dyDescent="0.2">
      <c r="A304" s="47">
        <v>44169</v>
      </c>
      <c r="B304" s="15">
        <f>VLOOKUP(A304,'Database ECB'!$A$1:$D$2000,2,FALSE)</f>
        <v>6923120</v>
      </c>
    </row>
    <row r="305" spans="1:2" x14ac:dyDescent="0.2">
      <c r="A305" s="48">
        <v>44176</v>
      </c>
      <c r="B305" s="15">
        <f>VLOOKUP(A305,'Database ECB'!$A$1:$D$2000,2,FALSE)</f>
        <v>6949632</v>
      </c>
    </row>
    <row r="306" spans="1:2" x14ac:dyDescent="0.2">
      <c r="A306" s="47">
        <v>44183</v>
      </c>
      <c r="B306" s="15">
        <f>VLOOKUP(A306,'Database ECB'!$A$1:$D$2000,2,FALSE)</f>
        <v>7008896</v>
      </c>
    </row>
    <row r="307" spans="1:2" x14ac:dyDescent="0.2">
      <c r="A307" s="48">
        <v>44190</v>
      </c>
      <c r="B307" s="15">
        <f>VLOOKUP(A307,'Database ECB'!$A$1:$D$2000,2,FALSE)</f>
        <v>7014661</v>
      </c>
    </row>
    <row r="308" spans="1:2" x14ac:dyDescent="0.2">
      <c r="A308" s="47">
        <v>44197</v>
      </c>
      <c r="B308" s="15">
        <f>VLOOKUP(A308,'Database ECB'!$A$1:$D$2000,2,FALSE)</f>
        <v>6979324</v>
      </c>
    </row>
    <row r="309" spans="1:2" x14ac:dyDescent="0.2">
      <c r="A309" s="48">
        <v>44204</v>
      </c>
      <c r="B309" s="15">
        <f>VLOOKUP(A309,'Database ECB'!$A$1:$D$2000,2,FALSE)</f>
        <v>6984713</v>
      </c>
    </row>
    <row r="310" spans="1:2" x14ac:dyDescent="0.2">
      <c r="A310" s="47">
        <v>44211</v>
      </c>
      <c r="B310" s="15">
        <f>VLOOKUP(A310,'Database ECB'!$A$1:$D$2000,2,FALSE)</f>
        <v>7015645</v>
      </c>
    </row>
    <row r="311" spans="1:2" x14ac:dyDescent="0.2">
      <c r="A311" s="48">
        <v>44218</v>
      </c>
      <c r="B311" s="15">
        <f>VLOOKUP(A311,'Database ECB'!$A$1:$D$2000,2,FALSE)</f>
        <v>7024240</v>
      </c>
    </row>
    <row r="312" spans="1:2" x14ac:dyDescent="0.2">
      <c r="A312" s="47">
        <v>44225</v>
      </c>
      <c r="B312" s="15">
        <f>VLOOKUP(A312,'Database ECB'!$A$1:$D$2000,2,FALSE)</f>
        <v>7033256</v>
      </c>
    </row>
    <row r="313" spans="1:2" x14ac:dyDescent="0.2">
      <c r="A313" s="48">
        <v>44232</v>
      </c>
      <c r="B313" s="15">
        <f>VLOOKUP(A313,'Database ECB'!$A$1:$D$2000,2,FALSE)</f>
        <v>7054472</v>
      </c>
    </row>
    <row r="314" spans="1:2" x14ac:dyDescent="0.2">
      <c r="A314" s="47">
        <v>44239</v>
      </c>
      <c r="B314" s="15">
        <f>VLOOKUP(A314,'Database ECB'!$A$1:$D$2000,2,FALSE)</f>
        <v>7079135</v>
      </c>
    </row>
    <row r="315" spans="1:2" x14ac:dyDescent="0.2">
      <c r="A315" s="48">
        <v>44246</v>
      </c>
      <c r="B315" s="15">
        <f>VLOOKUP(A315,'Database ECB'!$A$1:$D$2000,2,FALSE)</f>
        <v>7101159</v>
      </c>
    </row>
    <row r="316" spans="1:2" x14ac:dyDescent="0.2">
      <c r="A316" s="47">
        <v>44253</v>
      </c>
      <c r="B316" s="15">
        <f>VLOOKUP(A316,'Database ECB'!$A$1:$D$2000,2,FALSE)</f>
        <v>7110487</v>
      </c>
    </row>
    <row r="317" spans="1:2" x14ac:dyDescent="0.2">
      <c r="A317" s="48">
        <v>44260</v>
      </c>
      <c r="B317" s="15">
        <f>VLOOKUP(A317,'Database ECB'!$A$1:$D$2000,2,FALSE)</f>
        <v>7120334</v>
      </c>
    </row>
    <row r="318" spans="1:2" x14ac:dyDescent="0.2">
      <c r="A318" s="47">
        <v>44267</v>
      </c>
      <c r="B318" s="15">
        <f>VLOOKUP(A318,'Database ECB'!$A$1:$D$2000,2,FALSE)</f>
        <v>7137484</v>
      </c>
    </row>
    <row r="319" spans="1:2" x14ac:dyDescent="0.2">
      <c r="A319" s="48">
        <v>44274</v>
      </c>
      <c r="B319" s="15">
        <f>VLOOKUP(A319,'Database ECB'!$A$1:$D$2000,2,FALSE)</f>
        <v>7162230</v>
      </c>
    </row>
    <row r="320" spans="1:2" x14ac:dyDescent="0.2">
      <c r="A320" s="47">
        <v>44281</v>
      </c>
      <c r="B320" s="15">
        <f>VLOOKUP(A320,'Database ECB'!$A$1:$D$2000,2,FALSE)</f>
        <v>7505021</v>
      </c>
    </row>
    <row r="321" spans="1:2" x14ac:dyDescent="0.2">
      <c r="A321" s="48">
        <v>44288</v>
      </c>
      <c r="B321" s="15">
        <f>VLOOKUP(A321,'Database ECB'!$A$1:$D$2000,2,FALSE)</f>
        <v>7494111</v>
      </c>
    </row>
    <row r="322" spans="1:2" x14ac:dyDescent="0.2">
      <c r="A322" s="47">
        <v>44295</v>
      </c>
      <c r="B322" s="15">
        <f>VLOOKUP(A322,'Database ECB'!$A$1:$D$2000,2,FALSE)</f>
        <v>7514267</v>
      </c>
    </row>
    <row r="323" spans="1:2" x14ac:dyDescent="0.2">
      <c r="A323" s="48">
        <v>44302</v>
      </c>
      <c r="B323" s="15">
        <f>VLOOKUP(A323,'Database ECB'!$A$1:$D$2000,2,FALSE)</f>
        <v>7522199</v>
      </c>
    </row>
    <row r="324" spans="1:2" x14ac:dyDescent="0.2">
      <c r="A324" s="47">
        <v>44309</v>
      </c>
      <c r="B324" s="15">
        <f>VLOOKUP(A324,'Database ECB'!$A$1:$D$2000,2,FALSE)</f>
        <v>7558280</v>
      </c>
    </row>
    <row r="325" spans="1:2" x14ac:dyDescent="0.2">
      <c r="A325" s="48">
        <v>44316</v>
      </c>
      <c r="B325" s="15">
        <f>VLOOKUP(A325,'Database ECB'!$A$1:$D$2000,2,FALSE)</f>
        <v>7567945</v>
      </c>
    </row>
    <row r="326" spans="1:2" x14ac:dyDescent="0.2">
      <c r="A326" s="47">
        <v>44323</v>
      </c>
      <c r="B326" s="15">
        <f>VLOOKUP(A326,'Database ECB'!$A$1:$D$2000,2,FALSE)</f>
        <v>7588768</v>
      </c>
    </row>
    <row r="327" spans="1:2" x14ac:dyDescent="0.2">
      <c r="A327" s="48">
        <v>44330</v>
      </c>
      <c r="B327" s="15">
        <f>VLOOKUP(A327,'Database ECB'!$A$1:$D$2000,2,FALSE)</f>
        <v>7615694</v>
      </c>
    </row>
    <row r="328" spans="1:2" x14ac:dyDescent="0.2">
      <c r="A328" s="48">
        <v>44337</v>
      </c>
      <c r="B328" s="15">
        <f>VLOOKUP(A328,'Database ECB'!$A$1:$D$2000,2,FALSE)</f>
        <v>7643170</v>
      </c>
    </row>
    <row r="329" spans="1:2" x14ac:dyDescent="0.2">
      <c r="A329" s="47">
        <v>44344</v>
      </c>
      <c r="B329" s="15">
        <f>VLOOKUP(A329,'Database ECB'!$A$1:$D$2000,2,FALSE)</f>
        <v>7657629</v>
      </c>
    </row>
    <row r="330" spans="1:2" x14ac:dyDescent="0.2">
      <c r="A330" s="48">
        <v>44351</v>
      </c>
      <c r="B330" s="15">
        <f>VLOOKUP(A330,'Database ECB'!$A$1:$D$2000,2,FALSE)</f>
        <v>7680137</v>
      </c>
    </row>
    <row r="331" spans="1:2" x14ac:dyDescent="0.2">
      <c r="A331" s="47">
        <v>44358</v>
      </c>
      <c r="B331" s="15">
        <f>VLOOKUP(A331,'Database ECB'!$A$1:$D$2000,2,FALSE)</f>
        <v>7700937</v>
      </c>
    </row>
    <row r="332" spans="1:2" x14ac:dyDescent="0.2">
      <c r="A332" s="48">
        <v>44365</v>
      </c>
      <c r="B332" s="15">
        <f>VLOOKUP(A332,'Database ECB'!$A$1:$D$2000,2,FALSE)</f>
        <v>7736536</v>
      </c>
    </row>
    <row r="333" spans="1:2" x14ac:dyDescent="0.2">
      <c r="A333" s="47">
        <v>44372</v>
      </c>
      <c r="B333" s="15">
        <f>VLOOKUP(A333,'Database ECB'!$A$1:$D$2000,2,FALSE)</f>
        <v>7877127</v>
      </c>
    </row>
    <row r="334" spans="1:2" x14ac:dyDescent="0.2">
      <c r="A334" s="48">
        <v>44379</v>
      </c>
      <c r="B334" s="15">
        <f>VLOOKUP(A334,'Database ECB'!$A$1:$D$2000,2,FALSE)</f>
        <v>7907807</v>
      </c>
    </row>
    <row r="335" spans="1:2" x14ac:dyDescent="0.2">
      <c r="A335" s="47">
        <v>44386</v>
      </c>
      <c r="B335" s="15">
        <f>VLOOKUP(A335,'Database ECB'!$A$1:$D$2000,2,FALSE)</f>
        <v>7926550</v>
      </c>
    </row>
    <row r="336" spans="1:2" x14ac:dyDescent="0.2">
      <c r="A336" s="48">
        <v>44393</v>
      </c>
      <c r="B336" s="15">
        <f>VLOOKUP(A336,'Database ECB'!$A$1:$D$2000,2,FALSE)</f>
        <v>7950657</v>
      </c>
    </row>
    <row r="337" spans="1:2" x14ac:dyDescent="0.2">
      <c r="A337" s="47">
        <v>44400</v>
      </c>
      <c r="B337" s="15">
        <f>VLOOKUP(A337,'Database ECB'!$A$1:$D$2000,2,FALSE)</f>
        <v>7988045</v>
      </c>
    </row>
    <row r="338" spans="1:2" x14ac:dyDescent="0.2">
      <c r="A338" s="48">
        <v>44407</v>
      </c>
      <c r="B338" s="15">
        <f>VLOOKUP(A338,'Database ECB'!$A$1:$D$2000,2,FALSE)</f>
        <v>7987364</v>
      </c>
    </row>
    <row r="339" spans="1:2" x14ac:dyDescent="0.2">
      <c r="A339" s="47">
        <v>44414</v>
      </c>
      <c r="B339" s="15">
        <f>VLOOKUP(A339,'Database ECB'!$A$1:$D$2000,2,FALSE)</f>
        <v>8009676</v>
      </c>
    </row>
    <row r="340" spans="1:2" x14ac:dyDescent="0.2">
      <c r="A340" s="48">
        <v>44421</v>
      </c>
      <c r="B340" s="15">
        <f>VLOOKUP(A340,'Database ECB'!$A$1:$D$2000,2,FALSE)</f>
        <v>8036014</v>
      </c>
    </row>
    <row r="341" spans="1:2" x14ac:dyDescent="0.2">
      <c r="A341" s="47">
        <v>44428</v>
      </c>
      <c r="B341" s="15">
        <f>VLOOKUP(A341,'Database ECB'!$A$1:$D$2000,2,FALSE)</f>
        <v>8052776</v>
      </c>
    </row>
    <row r="342" spans="1:2" x14ac:dyDescent="0.2">
      <c r="A342" s="48">
        <v>44435</v>
      </c>
      <c r="B342" s="15">
        <f>VLOOKUP(A342,'Database ECB'!$A$1:$D$2000,2,FALSE)</f>
        <v>8191312</v>
      </c>
    </row>
    <row r="343" spans="1:2" x14ac:dyDescent="0.2">
      <c r="A343" s="47">
        <v>44442</v>
      </c>
      <c r="B343" s="15">
        <f>VLOOKUP(A343,'Database ECB'!$A$1:$D$2000,2,FALSE)</f>
        <v>8207534</v>
      </c>
    </row>
    <row r="344" spans="1:2" x14ac:dyDescent="0.2">
      <c r="A344" s="48">
        <v>44449</v>
      </c>
      <c r="B344" s="15">
        <f>VLOOKUP(A344,'Database ECB'!$A$1:$D$2000,2,FALSE)</f>
        <v>8222733</v>
      </c>
    </row>
    <row r="345" spans="1:2" x14ac:dyDescent="0.2">
      <c r="A345" s="47">
        <v>44456</v>
      </c>
      <c r="B345" s="15">
        <f>VLOOKUP(A345,'Database ECB'!$A$1:$D$2000,2,FALSE)</f>
        <v>8244572</v>
      </c>
    </row>
    <row r="346" spans="1:2" x14ac:dyDescent="0.2">
      <c r="A346" s="48">
        <v>44463</v>
      </c>
      <c r="B346" s="15">
        <f>VLOOKUP(A346,'Database ECB'!$A$1:$D$2000,2,FALSE)</f>
        <v>8273207</v>
      </c>
    </row>
    <row r="347" spans="1:2" x14ac:dyDescent="0.2">
      <c r="A347" s="47">
        <v>44470</v>
      </c>
      <c r="B347" s="15">
        <f>VLOOKUP(A347,'Database ECB'!$A$1:$D$2000,2,FALSE)</f>
        <v>8289148</v>
      </c>
    </row>
    <row r="348" spans="1:2" x14ac:dyDescent="0.2">
      <c r="A348" s="48">
        <v>44477</v>
      </c>
      <c r="B348" s="15">
        <f>VLOOKUP(A348,'Database ECB'!$A$1:$D$2000,2,FALSE)</f>
        <v>8314285</v>
      </c>
    </row>
    <row r="349" spans="1:2" x14ac:dyDescent="0.2">
      <c r="A349" s="47">
        <v>44484</v>
      </c>
      <c r="B349" s="15">
        <f>VLOOKUP(A349,'Database ECB'!$A$1:$D$2000,2,FALSE)</f>
        <v>8336713</v>
      </c>
    </row>
    <row r="350" spans="1:2" x14ac:dyDescent="0.2">
      <c r="A350" s="48">
        <v>44491</v>
      </c>
      <c r="B350" s="15">
        <f>VLOOKUP(A350,'Database ECB'!$A$1:$D$2000,2,FALSE)</f>
        <v>8368278</v>
      </c>
    </row>
    <row r="351" spans="1:2" x14ac:dyDescent="0.2">
      <c r="A351" s="47">
        <v>44498</v>
      </c>
      <c r="B351" s="15">
        <f>VLOOKUP(A351,'Database ECB'!$A$1:$D$2000,2,FALSE)</f>
        <v>8366071</v>
      </c>
    </row>
    <row r="352" spans="1:2" x14ac:dyDescent="0.2">
      <c r="A352" s="48">
        <v>44505</v>
      </c>
      <c r="B352" s="15">
        <f>VLOOKUP(A352,'Database ECB'!$A$1:$D$2000,2,FALSE)</f>
        <v>8382672</v>
      </c>
    </row>
    <row r="353" spans="1:2" x14ac:dyDescent="0.2">
      <c r="A353" s="47">
        <v>44512</v>
      </c>
      <c r="B353" s="15">
        <f>VLOOKUP(A353,'Database ECB'!$A$1:$D$2000,2,FALSE)</f>
        <v>8414393</v>
      </c>
    </row>
    <row r="354" spans="1:2" x14ac:dyDescent="0.2">
      <c r="A354" s="48">
        <v>44519</v>
      </c>
      <c r="B354" s="15">
        <f>VLOOKUP(A354,'Database ECB'!$A$1:$D$2000,2,FALSE)</f>
        <v>8442311</v>
      </c>
    </row>
    <row r="355" spans="1:2" x14ac:dyDescent="0.2">
      <c r="A355" s="47">
        <v>44526</v>
      </c>
      <c r="B355" s="15">
        <f>VLOOKUP(A355,'Database ECB'!$A$1:$D$2000,2,FALSE)</f>
        <v>8456991</v>
      </c>
    </row>
    <row r="356" spans="1:2" x14ac:dyDescent="0.2">
      <c r="A356" s="48">
        <v>44533</v>
      </c>
      <c r="B356" s="15">
        <f>VLOOKUP(A356,'Database ECB'!$A$1:$D$2000,2,FALSE)</f>
        <v>8469908</v>
      </c>
    </row>
    <row r="357" spans="1:2" x14ac:dyDescent="0.2">
      <c r="A357" s="47">
        <v>44540</v>
      </c>
      <c r="B357" s="15">
        <f>VLOOKUP(A357,'Database ECB'!$A$1:$D$2000,2,FALSE)</f>
        <v>8496633</v>
      </c>
    </row>
    <row r="358" spans="1:2" x14ac:dyDescent="0.2">
      <c r="A358" s="48">
        <f>'Database ECB'!$A1200</f>
        <v>44547</v>
      </c>
      <c r="B358" s="15">
        <f>VLOOKUP(A358,'Database ECB'!$A$1:$D$2000,2,FALSE)</f>
        <v>8511461</v>
      </c>
    </row>
    <row r="359" spans="1:2" x14ac:dyDescent="0.2">
      <c r="A359" s="48">
        <f>'Database ECB'!$A1201</f>
        <v>44554</v>
      </c>
      <c r="B359" s="15">
        <f>VLOOKUP(A359,'Database ECB'!$A$1:$D$2000,2,FALSE)</f>
        <v>8512308</v>
      </c>
    </row>
    <row r="360" spans="1:2" x14ac:dyDescent="0.2">
      <c r="A360" s="48">
        <f>'Database ECB'!$A1202</f>
        <v>44561</v>
      </c>
      <c r="B360" s="15">
        <f>VLOOKUP(A360,'Database ECB'!$A$1:$D$2000,2,FALSE)</f>
        <v>8566372</v>
      </c>
    </row>
    <row r="361" spans="1:2" x14ac:dyDescent="0.2">
      <c r="A361" s="48">
        <f>'Database ECB'!$A1203</f>
        <v>44568</v>
      </c>
      <c r="B361" s="15">
        <f>VLOOKUP(A361,'Database ECB'!$A$1:$D$2000,2,FALSE)</f>
        <v>8573280</v>
      </c>
    </row>
    <row r="362" spans="1:2" x14ac:dyDescent="0.2">
      <c r="A362" s="48">
        <f>'Database ECB'!$A1204</f>
        <v>44575</v>
      </c>
      <c r="B362" s="15">
        <f>VLOOKUP(A362,'Database ECB'!$A$1:$D$2000,2,FALSE)</f>
        <v>8593991</v>
      </c>
    </row>
    <row r="363" spans="1:2" x14ac:dyDescent="0.2">
      <c r="A363" s="48">
        <f>'Database ECB'!$A1205</f>
        <v>44582</v>
      </c>
      <c r="B363" s="15">
        <f>VLOOKUP(A363,'Database ECB'!$A$1:$D$2000,2,FALSE)</f>
        <v>8600346</v>
      </c>
    </row>
    <row r="364" spans="1:2" x14ac:dyDescent="0.2">
      <c r="A364" s="48">
        <f>'Database ECB'!$A1206</f>
        <v>44589</v>
      </c>
      <c r="B364" s="15">
        <f>VLOOKUP(A364,'Database ECB'!$A$1:$D$2000,2,FALSE)</f>
        <v>8622576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2022-02-07T06:38:52Z</dcterms:modified>
</cp:coreProperties>
</file>