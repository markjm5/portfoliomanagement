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9455" yWindow="-21600" windowWidth="43410" windowHeight="21600" tabRatio="839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Rate'!$A$8:$A$882</f>
              <numCache>
                <formatCode>yyyy\-mm\-dd</formatCode>
                <ptCount val="875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</numCache>
            </numRef>
          </cat>
          <val>
            <numRef>
              <f>'Discount Rate'!$B$8:$B$882</f>
              <numCache>
                <formatCode>0.00</formatCode>
                <ptCount val="875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#N/A</v>
                </pt>
                <pt idx="874">
                  <v>3.25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Rate'!$A$8:$A$828</f>
              <numCache>
                <formatCode>yyyy\-mm\-dd</formatCode>
                <ptCount val="821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</numCache>
            </numRef>
          </cat>
          <val>
            <numRef>
              <f>'Fed Funds Rate'!$B$8:$B$828</f>
              <numCache>
                <formatCode>0.00</formatCode>
                <ptCount val="821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new'!$A$7:$A$773</f>
              <numCache>
                <formatCode>m/d/yyyy</formatCode>
                <ptCount val="76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'M2 new'!$B$7:$B$773</f>
              <numCache>
                <formatCode>0.0</formatCode>
                <ptCount val="76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19372.5</v>
                </pt>
                <pt idx="745">
                  <v>19615.2</v>
                </pt>
                <pt idx="746">
                  <v>19853.8</v>
                </pt>
                <pt idx="747">
                  <v>20110.7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20835.3</v>
                </pt>
                <pt idx="752">
                  <v>20965.8</v>
                </pt>
                <pt idx="753">
                  <v>21143.9</v>
                </pt>
                <pt idx="754">
                  <v>21349.3</v>
                </pt>
                <pt idx="755">
                  <v>21489.9</v>
                </pt>
                <pt idx="756">
                  <v>21649.6</v>
                </pt>
                <pt idx="757">
                  <v>21708.4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21607.6</v>
                </pt>
                <pt idx="762">
                  <v>21636.1</v>
                </pt>
                <pt idx="763">
                  <v>21632.3</v>
                </pt>
                <pt idx="764">
                  <v>21503.5</v>
                </pt>
                <pt idx="765">
                  <v>21415.2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0.1669848254439015</v>
                </pt>
                <pt idx="60">
                  <v>0.1611407125166298</v>
                </pt>
                <pt idx="61">
                  <v>0.156141056852606</v>
                </pt>
                <pt idx="62">
                  <v>0.1668164366050795</v>
                </pt>
                <pt idx="63">
                  <v>0.2000816916281951</v>
                </pt>
                <pt idx="64">
                  <v>0.02460380437511844</v>
                </pt>
                <pt idx="65">
                  <v>0.09492125297879195</v>
                </pt>
                <pt idx="66">
                  <v>0.135850535371268</v>
                </pt>
                <pt idx="67">
                  <v>0.07780493075960515</v>
                </pt>
                <pt idx="68">
                  <v>0.1068375655399509</v>
                </pt>
                <pt idx="69">
                  <v>0.1230071619167792</v>
                </pt>
                <pt idx="70">
                  <v>0.08195464389005624</v>
                </pt>
                <pt idx="71">
                  <v>0.09291348737508431</v>
                </pt>
                <pt idx="72">
                  <v>0.03308311496107152</v>
                </pt>
                <pt idx="73">
                  <v>0.01743992699381192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-0.02281644779628256</v>
                </pt>
                <pt idx="77">
                  <v>0.01594309143410344</v>
                </pt>
                <pt idx="78">
                  <v>-0.002105554012678756</v>
                </pt>
                <pt idx="79">
                  <v>-0.06915477947326021</v>
                </pt>
                <pt idx="80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Change'!$A$12:$A$1055</f>
              <numCache>
                <formatCode>m/d/yyyy</formatCode>
                <ptCount val="1044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</numCache>
            </numRef>
          </cat>
          <val>
            <numRef>
              <f>'Fed Weekly Change'!$C$12:$C$1055</f>
              <numCache>
                <formatCode>0</formatCode>
                <ptCount val="1044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  <pt idx="1042">
                  <v>-1841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  <pt idx="295">
                  <v>27968.990234375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0.1497121416589519</v>
                </pt>
                <pt idx="1">
                  <v>0.1445765530608319</v>
                </pt>
                <pt idx="2">
                  <v>0.1412193430289849</v>
                </pt>
                <pt idx="3">
                  <v>0.1356772493204197</v>
                </pt>
                <pt idx="4">
                  <v>0.1416249498396724</v>
                </pt>
                <pt idx="5">
                  <v>0.1453197540085612</v>
                </pt>
                <pt idx="6">
                  <v>0.1437808240312659</v>
                </pt>
                <pt idx="7">
                  <v>0.1668943871515371</v>
                </pt>
                <pt idx="8">
                  <v>0.1724454874204356</v>
                </pt>
                <pt idx="9">
                  <v>0.1506731535976403</v>
                </pt>
                <pt idx="10">
                  <v>0.1428908450631008</v>
                </pt>
                <pt idx="11">
                  <v>0.15074580848392</v>
                </pt>
                <pt idx="12">
                  <v>0.1495552672564679</v>
                </pt>
                <pt idx="13">
                  <v>0.1408914385515656</v>
                </pt>
                <pt idx="14">
                  <v>0.1388991677525687</v>
                </pt>
                <pt idx="15">
                  <v>0.129840777248574</v>
                </pt>
                <pt idx="16">
                  <v>0.1288657899353345</v>
                </pt>
                <pt idx="17">
                  <v>0.1303781382221544</v>
                </pt>
                <pt idx="18">
                  <v>0.1288354785579211</v>
                </pt>
                <pt idx="19">
                  <v>0.1572364320169571</v>
                </pt>
                <pt idx="20">
                  <v>0.2080542405412395</v>
                </pt>
                <pt idx="21">
                  <v>0.1691468617289228</v>
                </pt>
                <pt idx="22">
                  <v>0.1757888020131884</v>
                </pt>
                <pt idx="23">
                  <v>0.1983781445327896</v>
                </pt>
                <pt idx="24">
                  <v>0.1489286070528092</v>
                </pt>
                <pt idx="25">
                  <v>0.1568944183288573</v>
                </pt>
                <pt idx="26">
                  <v>0.1566487407480312</v>
                </pt>
                <pt idx="27">
                  <v>0.1511562657232249</v>
                </pt>
                <pt idx="28">
                  <v>0.1646183368544861</v>
                </pt>
                <pt idx="29">
                  <v>0.1586684780941413</v>
                </pt>
                <pt idx="30">
                  <v>0.1712367900994469</v>
                </pt>
                <pt idx="31">
                  <v>0.1942896629163365</v>
                </pt>
                <pt idx="32">
                  <v>0.196845240037166</v>
                </pt>
                <pt idx="33">
                  <v>0.1987851930985962</v>
                </pt>
                <pt idx="34">
                  <v>0.2062998419283802</v>
                </pt>
                <pt idx="35">
                  <v>0.2154339295257009</v>
                </pt>
                <pt idx="36">
                  <v>0.2102491055242709</v>
                </pt>
                <pt idx="37">
                  <v>0.215955590957441</v>
                </pt>
                <pt idx="38">
                  <v>0.2218723566384923</v>
                </pt>
                <pt idx="39">
                  <v>0.2208192812599259</v>
                </pt>
                <pt idx="40">
                  <v>0.2164188946867449</v>
                </pt>
                <pt idx="41">
                  <v>0.2206702316514843</v>
                </pt>
                <pt idx="42">
                  <v>0.2113397742787052</v>
                </pt>
                <pt idx="43">
                  <v>0.2158064007189347</v>
                </pt>
                <pt idx="44">
                  <v>0.2236353971811654</v>
                </pt>
                <pt idx="45">
                  <v>0.2330196494736547</v>
                </pt>
                <pt idx="46">
                  <v>0.250559051968418</v>
                </pt>
                <pt idx="47">
                  <v>0.2643177486767879</v>
                </pt>
                <pt idx="48">
                  <v>0.2533390991876364</v>
                </pt>
                <pt idx="49">
                  <v>0.2440770277784932</v>
                </pt>
                <pt idx="50">
                  <v>0.2367782938017037</v>
                </pt>
                <pt idx="51">
                  <v>0.241400189431334</v>
                </pt>
                <pt idx="52">
                  <v>0.2449902388553432</v>
                </pt>
                <pt idx="53">
                  <v>0.2373434050396414</v>
                </pt>
                <pt idx="54">
                  <v>0.2376753869276554</v>
                </pt>
                <pt idx="55">
                  <v>0.2399305642137164</v>
                </pt>
                <pt idx="56">
                  <v>0.2400067134047512</v>
                </pt>
                <pt idx="57">
                  <v>0.2388794368412472</v>
                </pt>
                <pt idx="58">
                  <v>0.2526623216428476</v>
                </pt>
                <pt idx="59">
                  <v>0.2691346086752278</v>
                </pt>
                <pt idx="60">
                  <v>0.2446222608943662</v>
                </pt>
                <pt idx="61">
                  <v>0.2492074101548756</v>
                </pt>
                <pt idx="62">
                  <v>0.2388696548455964</v>
                </pt>
                <pt idx="63">
                  <v>0.240998992159439</v>
                </pt>
                <pt idx="64">
                  <v>0.2437745013484053</v>
                </pt>
                <pt idx="65">
                  <v>0.2544255352777623</v>
                </pt>
                <pt idx="66">
                  <v>0.2512389827043942</v>
                </pt>
                <pt idx="67">
                  <v>0.2545486211331053</v>
                </pt>
                <pt idx="68">
                  <v>0.2481501392542982</v>
                </pt>
                <pt idx="69">
                  <v>0.2558221594918842</v>
                </pt>
                <pt idx="70">
                  <v>0.2663708020808439</v>
                </pt>
                <pt idx="71">
                  <v>0.2831072338872282</v>
                </pt>
                <pt idx="72">
                  <v>0.2620128103541108</v>
                </pt>
                <pt idx="73">
                  <v>0.262137507174693</v>
                </pt>
                <pt idx="74">
                  <v>0.2539746150170449</v>
                </pt>
                <pt idx="75">
                  <v>0.2478335490060988</v>
                </pt>
                <pt idx="76">
                  <v>0.2608508004325336</v>
                </pt>
                <pt idx="77">
                  <v>0.2631744420184148</v>
                </pt>
                <pt idx="78">
                  <v>0.2611836928029953</v>
                </pt>
                <pt idx="79">
                  <v>0.2790875954148771</v>
                </pt>
                <pt idx="80">
                  <v>0.2727964320318448</v>
                </pt>
                <pt idx="81">
                  <v>0.2780984852516711</v>
                </pt>
                <pt idx="82">
                  <v>0.2849451276177629</v>
                </pt>
                <pt idx="83">
                  <v>0.283267922588105</v>
                </pt>
                <pt idx="84">
                  <v>0.2773096291366948</v>
                </pt>
                <pt idx="85">
                  <v>0.2763768020794581</v>
                </pt>
                <pt idx="86">
                  <v>0.2697373724677554</v>
                </pt>
                <pt idx="87">
                  <v>0.2761680632157045</v>
                </pt>
                <pt idx="88">
                  <v>0.283129022816259</v>
                </pt>
                <pt idx="89">
                  <v>0.2770525422001199</v>
                </pt>
                <pt idx="90">
                  <v>0.2763397854248627</v>
                </pt>
                <pt idx="91">
                  <v>0.2843431559543629</v>
                </pt>
                <pt idx="92">
                  <v>0.2911481528465543</v>
                </pt>
                <pt idx="93">
                  <v>0.2860186782851183</v>
                </pt>
                <pt idx="94">
                  <v>0.2852403000919299</v>
                </pt>
                <pt idx="95">
                  <v>0.2712265237229523</v>
                </pt>
                <pt idx="96">
                  <v>0.2433611119952518</v>
                </pt>
                <pt idx="97">
                  <v>0.2306695971521692</v>
                </pt>
                <pt idx="98">
                  <v>0.2138367757145407</v>
                </pt>
                <pt idx="99">
                  <v>0.2178468445621648</v>
                </pt>
                <pt idx="100">
                  <v>0.2098504887152783</v>
                </pt>
                <pt idx="101">
                  <v>0.2176042363167225</v>
                </pt>
                <pt idx="102">
                  <v>0.2134300963090635</v>
                </pt>
                <pt idx="103">
                  <v>0.2187703237703496</v>
                </pt>
                <pt idx="104">
                  <v>0.2132378289913209</v>
                </pt>
                <pt idx="105">
                  <v>0.211537552975603</v>
                </pt>
                <pt idx="106">
                  <v>0.2170375711351004</v>
                </pt>
                <pt idx="107">
                  <v>0.2079024043018526</v>
                </pt>
                <pt idx="108">
                  <v>0.1954814689144682</v>
                </pt>
                <pt idx="109">
                  <v>0.2003600537844318</v>
                </pt>
                <pt idx="110">
                  <v>0.1864959330881414</v>
                </pt>
                <pt idx="111">
                  <v>0.2007450802433531</v>
                </pt>
                <pt idx="112">
                  <v>0.206492975917164</v>
                </pt>
                <pt idx="113">
                  <v>0.2069415912854927</v>
                </pt>
                <pt idx="114">
                  <v>0.2000731353014259</v>
                </pt>
                <pt idx="115">
                  <v>0.2074091726004748</v>
                </pt>
                <pt idx="116">
                  <v>0.2070194452552137</v>
                </pt>
                <pt idx="117">
                  <v>0.2103232913897417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0.210440698046597</v>
                </pt>
                <pt idx="122">
                  <v>0.193801850692935</v>
                </pt>
                <pt idx="123">
                  <v>0.2070735261098664</v>
                </pt>
                <pt idx="124">
                  <v>0.2126936413723557</v>
                </pt>
                <pt idx="125">
                  <v>0.2178068284865125</v>
                </pt>
                <pt idx="126">
                  <v>0.2260796350295029</v>
                </pt>
                <pt idx="127">
                  <v>0.2468996897251735</v>
                </pt>
                <pt idx="128">
                  <v>0.2494282914080366</v>
                </pt>
                <pt idx="129">
                  <v>0.2428105714485397</v>
                </pt>
                <pt idx="130">
                  <v>0.2452978537918539</v>
                </pt>
                <pt idx="131">
                  <v>0.2487424200869052</v>
                </pt>
                <pt idx="132">
                  <v>0.2304909972657902</v>
                </pt>
                <pt idx="133">
                  <v>0.2406657354500784</v>
                </pt>
                <pt idx="134">
                  <v>0.2225254472321292</v>
                </pt>
                <pt idx="135">
                  <v>0.2324359147075835</v>
                </pt>
                <pt idx="136">
                  <v>0.2361201755826477</v>
                </pt>
                <pt idx="137">
                  <v>0.2343885284928887</v>
                </pt>
                <pt idx="138">
                  <v>0.2244653081209493</v>
                </pt>
                <pt idx="139">
                  <v>0.2339050256625419</v>
                </pt>
                <pt idx="140">
                  <v>0.2443487170324378</v>
                </pt>
                <pt idx="141">
                  <v>0.2441504998701817</v>
                </pt>
                <pt idx="142">
                  <v>0.2509369493882042</v>
                </pt>
                <pt idx="143">
                  <v>0.2411514624486838</v>
                </pt>
                <pt idx="144">
                  <v>0.2260620887701274</v>
                </pt>
                <pt idx="145">
                  <v>0.2367441509073536</v>
                </pt>
                <pt idx="146">
                  <v>0.2216245267900167</v>
                </pt>
                <pt idx="147">
                  <v>0.2297286453169093</v>
                </pt>
                <pt idx="148">
                  <v>0.2435742290153707</v>
                </pt>
                <pt idx="149">
                  <v>0.2382100744433084</v>
                </pt>
                <pt idx="150">
                  <v>0.2403587452823372</v>
                </pt>
                <pt idx="151">
                  <v>0.2547925892054935</v>
                </pt>
                <pt idx="152">
                  <v>0.2581311769991015</v>
                </pt>
                <pt idx="153">
                  <v>0.2567056539596971</v>
                </pt>
                <pt idx="154">
                  <v>0.2650825451229559</v>
                </pt>
                <pt idx="155">
                  <v>0.2900286192281772</v>
                </pt>
                <pt idx="156">
                  <v>0.2742566701462824</v>
                </pt>
                <pt idx="157">
                  <v>0.2696762687278513</v>
                </pt>
                <pt idx="158">
                  <v>0.2586281636866294</v>
                </pt>
                <pt idx="159">
                  <v>0.2683863651423065</v>
                </pt>
                <pt idx="160">
                  <v>0.2828836505878693</v>
                </pt>
                <pt idx="161">
                  <v>0.2752980534452795</v>
                </pt>
                <pt idx="162">
                  <v>0.2658943842708077</v>
                </pt>
                <pt idx="163">
                  <v>0.2821788001761578</v>
                </pt>
                <pt idx="164">
                  <v>0.2818168293761866</v>
                </pt>
                <pt idx="165">
                  <v>0.2697665711985923</v>
                </pt>
                <pt idx="166">
                  <v>0.2883168208381446</v>
                </pt>
                <pt idx="167">
                  <v>0.2787477221071685</v>
                </pt>
                <pt idx="168">
                  <v>0.2822448385252067</v>
                </pt>
                <pt idx="169">
                  <v>0.2870073918110038</v>
                </pt>
                <pt idx="170">
                  <v>0.2886671224997016</v>
                </pt>
                <pt idx="171">
                  <v>0.2924233233765571</v>
                </pt>
                <pt idx="172">
                  <v>0.3016543729034207</v>
                </pt>
                <pt idx="173">
                  <v>0.3015610407421033</v>
                </pt>
                <pt idx="174">
                  <v>0.3092263467840936</v>
                </pt>
                <pt idx="175">
                  <v>0.310863674228944</v>
                </pt>
                <pt idx="176">
                  <v>0.314849526520988</v>
                </pt>
                <pt idx="177">
                  <v>0.3176878159923178</v>
                </pt>
                <pt idx="178">
                  <v>0.3221620162743211</v>
                </pt>
                <pt idx="179">
                  <v>0.3246840336912528</v>
                </pt>
                <pt idx="180">
                  <v>0.3441450563868486</v>
                </pt>
                <pt idx="181">
                  <v>0.3593209083023039</v>
                </pt>
                <pt idx="182">
                  <v>0.3647458348874859</v>
                </pt>
                <pt idx="183">
                  <v>0.383638805139593</v>
                </pt>
                <pt idx="184">
                  <v>0.4014353104241313</v>
                </pt>
                <pt idx="185">
                  <v>0.4076233594312467</v>
                </pt>
                <pt idx="186">
                  <v>0.4206050497774258</v>
                </pt>
                <pt idx="187">
                  <v>0.4337065473414066</v>
                </pt>
                <pt idx="188">
                  <v>0.4339018314904884</v>
                </pt>
                <pt idx="189">
                  <v>0.4493625685381559</v>
                </pt>
                <pt idx="190">
                  <v>0.4642642339974749</v>
                </pt>
                <pt idx="191">
                  <v>0.4664452797138999</v>
                </pt>
                <pt idx="192">
                  <v>0.4753204521113144</v>
                </pt>
                <pt idx="193">
                  <v>0.4900269871500879</v>
                </pt>
                <pt idx="194">
                  <v>0.4973363044216903</v>
                </pt>
                <pt idx="195">
                  <v>0.5189582462269217</v>
                </pt>
                <pt idx="196">
                  <v>0.5284845157640939</v>
                </pt>
                <pt idx="197">
                  <v>0.5307906153870614</v>
                </pt>
                <pt idx="198">
                  <v>0.5494451396733226</v>
                </pt>
                <pt idx="199">
                  <v>0.5561103002297376</v>
                </pt>
                <pt idx="200">
                  <v>0.5614156773238608</v>
                </pt>
                <pt idx="201">
                  <v>0.581914218204905</v>
                </pt>
                <pt idx="202">
                  <v>0.5954113227852994</v>
                </pt>
                <pt idx="203">
                  <v>0.6012678525772521</v>
                </pt>
                <pt idx="204">
                  <v>0.6184085936152881</v>
                </pt>
                <pt idx="205">
                  <v>0.6355031869593948</v>
                </pt>
                <pt idx="206">
                  <v>0.6397615410600678</v>
                </pt>
                <pt idx="207">
                  <v>0.6561604547380648</v>
                </pt>
                <pt idx="208">
                  <v>0.670246478350907</v>
                </pt>
                <pt idx="209">
                  <v>0.6789035566579046</v>
                </pt>
                <pt idx="210">
                  <v>0.6926732565315168</v>
                </pt>
                <pt idx="211">
                  <v>0.6991825934886232</v>
                </pt>
                <pt idx="212">
                  <v>0.7025815462575942</v>
                </pt>
                <pt idx="213">
                  <v>0.7270498248990988</v>
                </pt>
                <pt idx="214">
                  <v>0.7430875930099609</v>
                </pt>
                <pt idx="215">
                  <v>0.7465053576939548</v>
                </pt>
                <pt idx="216">
                  <v>0.76264128505891</v>
                </pt>
                <pt idx="217">
                  <v>0.7829875612551576</v>
                </pt>
                <pt idx="218">
                  <v>0.7960270623589046</v>
                </pt>
                <pt idx="219">
                  <v>0.8150213345728606</v>
                </pt>
                <pt idx="220">
                  <v>0.8318943503089438</v>
                </pt>
                <pt idx="221">
                  <v>0.838920032726281</v>
                </pt>
                <pt idx="222">
                  <v>0.8510159012628635</v>
                </pt>
                <pt idx="223">
                  <v>0.8603751105530272</v>
                </pt>
                <pt idx="224">
                  <v>0.8701762767219655</v>
                </pt>
                <pt idx="225">
                  <v>0.8801905593604241</v>
                </pt>
                <pt idx="226">
                  <v>0.8860880852022897</v>
                </pt>
                <pt idx="227">
                  <v>0.8900621240967288</v>
                </pt>
                <pt idx="228">
                  <v>0.9039681728192956</v>
                </pt>
                <pt idx="229">
                  <v>0.8987816933106197</v>
                </pt>
                <pt idx="230">
                  <v>0.9011284286636243</v>
                </pt>
                <pt idx="231">
                  <v>0.907323336197657</v>
                </pt>
                <pt idx="232">
                  <v>0.9187770053822639</v>
                </pt>
                <pt idx="233">
                  <v>0.9221162036693646</v>
                </pt>
                <pt idx="234">
                  <v>0.9303816757700064</v>
                </pt>
                <pt idx="235">
                  <v>0.9347873594308089</v>
                </pt>
                <pt idx="236">
                  <v>0.9339922187630986</v>
                </pt>
                <pt idx="237">
                  <v>0.9434635102263079</v>
                </pt>
                <pt idx="238">
                  <v>0.9539278868939473</v>
                </pt>
                <pt idx="239">
                  <v>0.9451725912873216</v>
                </pt>
                <pt idx="240">
                  <v>0.9572767838852179</v>
                </pt>
                <pt idx="241">
                  <v>0.9735780103892036</v>
                </pt>
                <pt idx="242">
                  <v>0.9667608493907527</v>
                </pt>
                <pt idx="243">
                  <v>0.9834923098110555</v>
                </pt>
                <pt idx="244">
                  <v>0.9951731232450369</v>
                </pt>
                <pt idx="245">
                  <v>0.9856450903481432</v>
                </pt>
                <pt idx="246">
                  <v>0.9967430052103607</v>
                </pt>
                <pt idx="247">
                  <v>0.994507036907871</v>
                </pt>
                <pt idx="248">
                  <v>0.9883901582829845</v>
                </pt>
                <pt idx="249">
                  <v>0.9970438756737751</v>
                </pt>
                <pt idx="250">
                  <v>1.001949243357648</v>
                </pt>
                <pt idx="251">
                  <v>0.9932088518328985</v>
                </pt>
                <pt idx="252">
                  <v>1.00214448864457</v>
                </pt>
                <pt idx="253">
                  <v>1.00993955033943</v>
                </pt>
                <pt idx="254">
                  <v>1.005861731306628</v>
                </pt>
                <pt idx="255">
                  <v>1.012001074834746</v>
                </pt>
                <pt idx="256">
                  <v>1.04050909293068</v>
                </pt>
                <pt idx="257">
                  <v>1.03521025046051</v>
                </pt>
                <pt idx="258">
                  <v>1.045870432891412</v>
                </pt>
                <pt idx="259">
                  <v>1.043619044148672</v>
                </pt>
                <pt idx="260">
                  <v>1.033735250118201</v>
                </pt>
                <pt idx="261">
                  <v>1.043263674211273</v>
                </pt>
                <pt idx="262">
                  <v>1.140979830597147</v>
                </pt>
                <pt idx="263">
                  <v>1.179142093265591</v>
                </pt>
                <pt idx="264">
                  <v>1.207516349431325</v>
                </pt>
                <pt idx="265">
                  <v>1.183582220398453</v>
                </pt>
                <pt idx="266">
                  <v>1.202772574289411</v>
                </pt>
                <pt idx="267">
                  <v>1.234167726361938</v>
                </pt>
                <pt idx="268">
                  <v>1.244600768522508</v>
                </pt>
                <pt idx="269">
                  <v>1.257591547273028</v>
                </pt>
                <pt idx="270">
                  <v>1.272543545599221</v>
                </pt>
                <pt idx="271">
                  <v>1.285895535585687</v>
                </pt>
                <pt idx="272">
                  <v>1.280931935320961</v>
                </pt>
                <pt idx="273">
                  <v>1.293532460760666</v>
                </pt>
                <pt idx="274">
                  <v>1.294279070882548</v>
                </pt>
                <pt idx="275">
                  <v>1.297828974038938</v>
                </pt>
                <pt idx="276">
                  <v>1.308136316281205</v>
                </pt>
                <pt idx="277">
                  <v>1.324107314978507</v>
                </pt>
                <pt idx="278">
                  <v>1.309963774570936</v>
                </pt>
                <pt idx="279">
                  <v>1.321004627535894</v>
                </pt>
                <pt idx="280">
                  <v>1.316677395736721</v>
                </pt>
                <pt idx="281">
                  <v>1.311871871530906</v>
                </pt>
                <pt idx="282">
                  <v>1.313920510907868</v>
                </pt>
                <pt idx="283">
                  <v>1.317066536205292</v>
                </pt>
                <pt idx="284">
                  <v>1.309013319539635</v>
                </pt>
                <pt idx="285">
                  <v>1.311506494281614</v>
                </pt>
                <pt idx="286">
                  <v>1.308778939874356</v>
                </pt>
                <pt idx="287">
                  <v>1.318987180311722</v>
                </pt>
                <pt idx="288">
                  <v>1.32335482100287</v>
                </pt>
                <pt idx="289">
                  <v>1.329104989915644</v>
                </pt>
                <pt idx="290">
                  <v>1.322318622348435</v>
                </pt>
                <pt idx="291">
                  <v>1.309012433282274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Sheet'!$A$7:$A$408</f>
              <numCache>
                <formatCode>yyyy\-mm\-dd</formatCode>
                <ptCount val="402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  <pt idx="401">
                  <v>44897</v>
                </pt>
              </numCache>
            </numRef>
          </cat>
          <val>
            <numRef>
              <f>'ECB Balance Sheet'!$B$7:$B$408</f>
              <numCache>
                <formatCode>0</formatCode>
                <ptCount val="402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  <pt idx="401">
                  <v>8470941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370945</colOff>
      <row>1029</row>
      <rowOff>67733</rowOff>
    </from>
    <to>
      <col>15</col>
      <colOff>587375</colOff>
      <row>1056</row>
      <rowOff>1059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285751</colOff>
      <row>1040</row>
      <rowOff>72224</rowOff>
    </from>
    <to>
      <col>13</col>
      <colOff>140258</colOff>
      <row>1060</row>
      <rowOff>109556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389</row>
      <rowOff>136897</rowOff>
    </from>
    <to>
      <col>13</col>
      <colOff>222250</colOff>
      <row>410</row>
      <rowOff>166688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2" headerRowCount="1" totalsRowShown="0" headerRowDxfId="47" dataDxfId="45" headerRowBorderDxfId="46" tableBorderDxfId="44" totalsRowBorderDxfId="43" headerRowCellStyle="Normal 2" dataCellStyle="Normal 2">
  <autoFilter ref="A7:B882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8" headerRowCount="1" totalsRowShown="0" headerRowDxfId="40" dataDxfId="38" headerRowBorderDxfId="39" tableBorderDxfId="37" totalsRowBorderDxfId="36" headerRowCellStyle="Normal 2" dataCellStyle="Normal 2">
  <autoFilter ref="A7:B828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2" headerRowCount="1" totalsRowShown="0" headerRowDxfId="33" dataDxfId="31" headerRowBorderDxfId="32" dataCellStyle="Normal 2">
  <autoFilter ref="A6:E77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54" headerRowCount="1" totalsRowShown="0" headerRowDxfId="25" dataDxfId="23" headerRowBorderDxfId="24">
  <autoFilter ref="A11:C1054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5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301" headerRowCount="1" totalsRowShown="0" headerRowDxfId="15" dataDxfId="13" headerRowBorderDxfId="14" tableBorderDxfId="12" totalsRowBorderDxfId="11" headerRowCellStyle="Normal 2" dataCellStyle="Normal 2">
  <autoFilter ref="A5:D30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8" headerRowCount="1" totalsRowShown="0" headerRowDxfId="6" dataDxfId="4" headerRowBorderDxfId="5" tableBorderDxfId="3" totalsRowBorderDxfId="2" headerRowCellStyle="Normal 2" dataCellStyle="Normal 2">
  <autoFilter ref="A6:B408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topLeftCell="A15" zoomScale="160" zoomScaleNormal="160" workbookViewId="0">
      <selection activeCell="J27" sqref="J27"/>
    </sheetView>
  </sheetViews>
  <sheetFormatPr baseColWidth="8" defaultColWidth="9.1796875" defaultRowHeight="14.5"/>
  <cols>
    <col width="9.1796875" customWidth="1" style="55" min="1" max="1"/>
    <col width="30.36328125" customWidth="1" style="55" min="2" max="2"/>
    <col width="9.1796875" customWidth="1" style="55" min="3" max="9"/>
    <col width="101.36328125" customWidth="1" style="55" min="10" max="10"/>
    <col width="9.1796875" customWidth="1" style="55" min="11" max="44"/>
    <col width="9.1796875" customWidth="1" style="55" min="45" max="16384"/>
  </cols>
  <sheetData>
    <row r="1">
      <c r="B1" s="54" t="n"/>
    </row>
    <row r="2" ht="16" customHeight="1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8" defaultColWidth="10.90625" defaultRowHeight="14.5"/>
  <cols>
    <col width="15.1796875" customWidth="1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2" t="n">
        <v>37773</v>
      </c>
      <c r="B667" t="n">
        <v>2</v>
      </c>
      <c r="C667" t="n">
        <v>1.22</v>
      </c>
      <c r="D667" t="n">
        <v>5996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2" t="n">
        <v>37926</v>
      </c>
      <c r="B672" t="n">
        <v>2</v>
      </c>
      <c r="C672" t="n">
        <v>1</v>
      </c>
      <c r="D672" t="n">
        <v>6069.1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2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</row>
    <row r="676">
      <c r="A676" s="62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2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2" t="n">
        <v>38108</v>
      </c>
      <c r="B678" t="n">
        <v>2</v>
      </c>
      <c r="C678" t="n">
        <v>1</v>
      </c>
      <c r="D678" t="n">
        <v>6268.1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2" t="n">
        <v>38473</v>
      </c>
      <c r="B690" t="n">
        <v>4</v>
      </c>
      <c r="C690" t="n">
        <v>3</v>
      </c>
      <c r="D690" t="n">
        <v>6473.3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</row>
    <row r="696">
      <c r="A696" s="62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</row>
    <row r="782">
      <c r="A782" s="62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2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2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2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2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2" t="n">
        <v>41426</v>
      </c>
      <c r="B787" t="n">
        <v>0.75</v>
      </c>
      <c r="C787" t="n">
        <v>0.09</v>
      </c>
      <c r="D787" t="n">
        <v>10684.9</v>
      </c>
    </row>
    <row r="788">
      <c r="A788" s="62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2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2" t="n">
        <v>41518</v>
      </c>
      <c r="B790" t="n">
        <v>0.75</v>
      </c>
      <c r="C790" t="n">
        <v>0.08</v>
      </c>
      <c r="D790" t="n">
        <v>10841.3</v>
      </c>
    </row>
    <row r="791">
      <c r="A791" s="62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2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2" t="n">
        <v>41609</v>
      </c>
      <c r="B793" t="n">
        <v>0.75</v>
      </c>
      <c r="C793" t="n">
        <v>0.09</v>
      </c>
      <c r="D793" t="n">
        <v>11028.8</v>
      </c>
    </row>
    <row r="794">
      <c r="A794" s="62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2" t="n">
        <v>41671</v>
      </c>
      <c r="B795" t="n">
        <v>0.75</v>
      </c>
      <c r="C795" t="n">
        <v>0.07000000000000001</v>
      </c>
      <c r="D795" t="n">
        <v>11161</v>
      </c>
    </row>
    <row r="796">
      <c r="A796" s="62" t="n">
        <v>41699</v>
      </c>
      <c r="B796" t="n">
        <v>0.75</v>
      </c>
      <c r="C796" t="n">
        <v>0.08</v>
      </c>
      <c r="D796" t="n">
        <v>11200.2</v>
      </c>
    </row>
    <row r="797">
      <c r="A797" s="62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2" t="n">
        <v>41791</v>
      </c>
      <c r="B799" t="n">
        <v>0.75</v>
      </c>
      <c r="C799" t="n">
        <v>0.1</v>
      </c>
      <c r="D799" t="n">
        <v>11380.7</v>
      </c>
    </row>
    <row r="800">
      <c r="A800" s="62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2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2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2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2" t="n">
        <v>41944</v>
      </c>
      <c r="B804" t="n">
        <v>0.75</v>
      </c>
      <c r="C804" t="n">
        <v>0.09</v>
      </c>
      <c r="D804" t="n">
        <v>11604.7</v>
      </c>
    </row>
    <row r="805">
      <c r="A805" s="62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2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2" t="n">
        <v>42036</v>
      </c>
      <c r="B807" t="n">
        <v>0.75</v>
      </c>
      <c r="C807" t="n">
        <v>0.11</v>
      </c>
      <c r="D807" t="n">
        <v>11863.9</v>
      </c>
    </row>
    <row r="808">
      <c r="A808" s="62" t="n">
        <v>42064</v>
      </c>
      <c r="B808" t="n">
        <v>0.75</v>
      </c>
      <c r="C808" t="n">
        <v>0.11</v>
      </c>
      <c r="D808" t="n">
        <v>11879.6</v>
      </c>
    </row>
    <row r="809">
      <c r="A809" s="62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2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2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2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2" t="n">
        <v>42217</v>
      </c>
      <c r="B813" t="n">
        <v>0.75</v>
      </c>
      <c r="C813" t="n">
        <v>0.14</v>
      </c>
      <c r="D813" t="n">
        <v>12109.5</v>
      </c>
    </row>
    <row r="814">
      <c r="A814" s="62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2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2" t="n">
        <v>42309</v>
      </c>
      <c r="B816" t="n">
        <v>0.75</v>
      </c>
      <c r="C816" t="n">
        <v>0.12</v>
      </c>
      <c r="D816" t="n">
        <v>12286</v>
      </c>
    </row>
    <row r="817">
      <c r="A817" s="62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2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2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2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2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2" t="n">
        <v>42491</v>
      </c>
      <c r="B822" t="n">
        <v>1</v>
      </c>
      <c r="C822" t="n">
        <v>0.37</v>
      </c>
      <c r="D822" t="n">
        <v>12765.6</v>
      </c>
    </row>
    <row r="823">
      <c r="A823" s="62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2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2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2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2" t="n">
        <v>42644</v>
      </c>
      <c r="B827" t="n">
        <v>1</v>
      </c>
      <c r="C827" t="n">
        <v>0.4</v>
      </c>
      <c r="D827" t="n">
        <v>13105.4</v>
      </c>
    </row>
    <row r="828">
      <c r="A828" s="62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2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2" t="n">
        <v>42736</v>
      </c>
      <c r="B830" t="n">
        <v>1.25</v>
      </c>
      <c r="C830" t="n">
        <v>0.65</v>
      </c>
      <c r="D830" t="n">
        <v>13282.7</v>
      </c>
    </row>
    <row r="831">
      <c r="A831" s="62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2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2" t="n">
        <v>42826</v>
      </c>
      <c r="B833" t="n">
        <v>1.5</v>
      </c>
      <c r="C833" t="n">
        <v>0.9</v>
      </c>
      <c r="D833" t="n">
        <v>13482.9</v>
      </c>
    </row>
    <row r="834">
      <c r="A834" s="62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2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2" t="n">
        <v>42917</v>
      </c>
      <c r="B836" t="n">
        <v>1.75</v>
      </c>
      <c r="C836" t="n">
        <v>1.15</v>
      </c>
      <c r="D836" t="n">
        <v>13621</v>
      </c>
    </row>
    <row r="837">
      <c r="A837" s="62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2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2" t="n">
        <v>43009</v>
      </c>
      <c r="B839" t="n">
        <v>1.75</v>
      </c>
      <c r="C839" t="n">
        <v>1.15</v>
      </c>
      <c r="D839" t="n">
        <v>13777.4</v>
      </c>
    </row>
    <row r="840">
      <c r="A840" s="62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2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2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2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2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2" t="n">
        <v>43191</v>
      </c>
      <c r="B845" t="n">
        <v>2.25</v>
      </c>
      <c r="C845" t="n">
        <v>1.69</v>
      </c>
      <c r="D845" t="n">
        <v>13987.7</v>
      </c>
    </row>
    <row r="846">
      <c r="A846" s="62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2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2" t="n">
        <v>43282</v>
      </c>
      <c r="B848" t="n">
        <v>2.5</v>
      </c>
      <c r="C848" t="n">
        <v>1.91</v>
      </c>
      <c r="D848" t="n">
        <v>14137</v>
      </c>
    </row>
    <row r="849">
      <c r="A849" s="62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2" t="n">
        <v>43344</v>
      </c>
      <c r="B850" t="n">
        <v>2.75</v>
      </c>
      <c r="C850" t="n">
        <v>1.95</v>
      </c>
      <c r="D850" t="n">
        <v>14214.6</v>
      </c>
    </row>
    <row r="851">
      <c r="A851" s="62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2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2" t="n">
        <v>43435</v>
      </c>
      <c r="B853" t="n">
        <v>3</v>
      </c>
      <c r="C853" t="n">
        <v>2.27</v>
      </c>
      <c r="D853" t="n">
        <v>14358.8</v>
      </c>
    </row>
    <row r="854">
      <c r="A854" s="62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2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2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2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2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2" t="n">
        <v>43617</v>
      </c>
      <c r="B859" t="n">
        <v>3</v>
      </c>
      <c r="C859" t="n">
        <v>2.38</v>
      </c>
      <c r="D859" t="n">
        <v>14754.8</v>
      </c>
    </row>
    <row r="860">
      <c r="A860" s="62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2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2" t="n">
        <v>43709</v>
      </c>
      <c r="B862" t="n">
        <v>2.5</v>
      </c>
      <c r="C862" t="n">
        <v>2.04</v>
      </c>
      <c r="D862" t="n">
        <v>15004.8</v>
      </c>
    </row>
    <row r="863">
      <c r="A863" s="62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2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2" t="n">
        <v>43800</v>
      </c>
      <c r="B865" t="n">
        <v>2.25</v>
      </c>
      <c r="C865" t="n">
        <v>1.55</v>
      </c>
      <c r="D865" t="n">
        <v>15319.1</v>
      </c>
    </row>
    <row r="866">
      <c r="A866" s="62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2" t="n">
        <v>43862</v>
      </c>
      <c r="B867" t="n">
        <v>2.25</v>
      </c>
      <c r="C867" t="n">
        <v>1.58</v>
      </c>
      <c r="D867" t="n">
        <v>15458.7</v>
      </c>
    </row>
    <row r="868">
      <c r="A868" s="62" t="n">
        <v>43891</v>
      </c>
      <c r="B868" t="n">
        <v>0.25</v>
      </c>
      <c r="C868" t="n">
        <v>0.65</v>
      </c>
      <c r="D868" t="n">
        <v>15988.6</v>
      </c>
    </row>
    <row r="869">
      <c r="A869" s="62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2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2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2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2" t="n">
        <v>44044</v>
      </c>
      <c r="B873" t="n">
        <v>0.25</v>
      </c>
      <c r="C873" t="n">
        <v>0.1</v>
      </c>
      <c r="D873" t="n">
        <v>18357.4</v>
      </c>
    </row>
    <row r="874">
      <c r="A874" s="62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2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2" t="n">
        <v>44136</v>
      </c>
      <c r="B876" t="n">
        <v>0.25</v>
      </c>
      <c r="C876" t="n">
        <v>0.09</v>
      </c>
      <c r="D876" t="n">
        <v>18969.8</v>
      </c>
    </row>
    <row r="877">
      <c r="A877" s="62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2" t="n">
        <v>44197</v>
      </c>
      <c r="B878" t="n">
        <v>0.25</v>
      </c>
      <c r="C878" t="n">
        <v>0.09</v>
      </c>
      <c r="D878" t="n">
        <v>19372.5</v>
      </c>
      <c r="E878" t="n">
        <v>0.25</v>
      </c>
    </row>
    <row r="879">
      <c r="A879" s="62" t="n">
        <v>44228</v>
      </c>
      <c r="B879" t="n">
        <v>0.25</v>
      </c>
      <c r="C879" t="n">
        <v>0.08</v>
      </c>
      <c r="D879" t="n">
        <v>19615.2</v>
      </c>
      <c r="E879" t="n">
        <v>0.25</v>
      </c>
    </row>
    <row r="880">
      <c r="A880" s="62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2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2" t="n">
        <v>44317</v>
      </c>
      <c r="B882" t="n">
        <v>0.25</v>
      </c>
      <c r="C882" t="n">
        <v>0.06</v>
      </c>
      <c r="D882" t="n">
        <v>20418.7</v>
      </c>
    </row>
    <row r="883">
      <c r="A883" s="62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2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2" t="n">
        <v>44409</v>
      </c>
      <c r="B885" t="n">
        <v>0.25</v>
      </c>
      <c r="C885" t="n">
        <v>0.09</v>
      </c>
      <c r="D885" t="n">
        <v>20835.3</v>
      </c>
    </row>
    <row r="886">
      <c r="A886" s="62" t="n">
        <v>44440</v>
      </c>
      <c r="C886" t="n">
        <v>0.08</v>
      </c>
      <c r="D886" t="n">
        <v>20965.8</v>
      </c>
      <c r="E886" t="n">
        <v>0.25</v>
      </c>
    </row>
    <row r="887">
      <c r="A887" s="62" t="n">
        <v>44470</v>
      </c>
      <c r="C887" t="n">
        <v>0.08</v>
      </c>
      <c r="D887" t="n">
        <v>21143.9</v>
      </c>
      <c r="E887" t="n">
        <v>0.25</v>
      </c>
    </row>
    <row r="888">
      <c r="A888" s="62" t="n">
        <v>44501</v>
      </c>
      <c r="C888" t="n">
        <v>0.08</v>
      </c>
      <c r="D888" t="n">
        <v>21349.3</v>
      </c>
      <c r="E888" t="n">
        <v>0.25</v>
      </c>
    </row>
    <row r="889">
      <c r="A889" s="62" t="n">
        <v>44531</v>
      </c>
      <c r="C889" t="n">
        <v>0.08</v>
      </c>
      <c r="D889" t="n">
        <v>21489.9</v>
      </c>
      <c r="E889" t="n">
        <v>0.25</v>
      </c>
    </row>
    <row r="890">
      <c r="A890" s="62" t="n">
        <v>44562</v>
      </c>
      <c r="C890" t="n">
        <v>0.08</v>
      </c>
      <c r="D890" t="n">
        <v>21649.6</v>
      </c>
    </row>
    <row r="891">
      <c r="A891" s="62" t="n">
        <v>44593</v>
      </c>
      <c r="C891" t="n">
        <v>0.08</v>
      </c>
      <c r="D891" t="n">
        <v>21708.4</v>
      </c>
      <c r="E891" t="n">
        <v>0.25</v>
      </c>
    </row>
    <row r="892">
      <c r="A892" s="62" t="n">
        <v>44621</v>
      </c>
      <c r="C892" t="n">
        <v>0.2</v>
      </c>
      <c r="D892" t="n">
        <v>21739.7</v>
      </c>
      <c r="E892" t="n">
        <v>0.25</v>
      </c>
    </row>
    <row r="893">
      <c r="A893" s="62" t="n">
        <v>44652</v>
      </c>
      <c r="C893" t="n">
        <v>0.33</v>
      </c>
      <c r="D893" t="n">
        <v>21644.2</v>
      </c>
      <c r="E893" t="n">
        <v>0.5</v>
      </c>
    </row>
    <row r="894">
      <c r="A894" s="62" t="n">
        <v>44682</v>
      </c>
      <c r="C894" t="n">
        <v>0.77</v>
      </c>
      <c r="D894" t="n">
        <v>21649.2</v>
      </c>
    </row>
    <row r="895">
      <c r="A895" s="62" t="n">
        <v>44713</v>
      </c>
      <c r="C895" t="n">
        <v>1.21</v>
      </c>
      <c r="D895" t="n">
        <v>21607.6</v>
      </c>
      <c r="E895" t="n">
        <v>1</v>
      </c>
    </row>
    <row r="896">
      <c r="A896" s="62" t="n">
        <v>44743</v>
      </c>
      <c r="C896" t="n">
        <v>1.68</v>
      </c>
      <c r="D896" t="n">
        <v>21636.1</v>
      </c>
      <c r="E896" t="n">
        <v>1.75</v>
      </c>
    </row>
    <row r="897">
      <c r="A897" s="62" t="n">
        <v>44774</v>
      </c>
      <c r="C897" t="n">
        <v>2.33</v>
      </c>
      <c r="D897" t="n">
        <v>21632.3</v>
      </c>
      <c r="E897" t="n">
        <v>2.5</v>
      </c>
    </row>
    <row r="898">
      <c r="A898" s="62" t="n">
        <v>44805</v>
      </c>
      <c r="C898" t="n">
        <v>2.56</v>
      </c>
      <c r="D898" t="n">
        <v>21503.5</v>
      </c>
      <c r="E898" t="n">
        <v>2.5</v>
      </c>
    </row>
    <row r="899">
      <c r="A899" s="62" t="n">
        <v>44835</v>
      </c>
      <c r="C899" t="n">
        <v>3.08</v>
      </c>
      <c r="D899" t="n">
        <v>21415.2</v>
      </c>
    </row>
    <row r="900">
      <c r="A900" s="62" t="n">
        <v>44866</v>
      </c>
      <c r="C900" t="n">
        <v>3.78</v>
      </c>
      <c r="E900" t="n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46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  <row r="1025">
      <c r="A1025" s="62" t="n">
        <v>44769</v>
      </c>
      <c r="B1025" t="n">
        <v>8890004</v>
      </c>
    </row>
    <row r="1026">
      <c r="A1026" s="62" t="n">
        <v>44776</v>
      </c>
      <c r="B1026" t="n">
        <v>8874620</v>
      </c>
    </row>
    <row r="1027">
      <c r="A1027" s="62" t="n">
        <v>44783</v>
      </c>
      <c r="B1027" t="n">
        <v>8879138</v>
      </c>
    </row>
    <row r="1028">
      <c r="A1028" s="62" t="n">
        <v>44790</v>
      </c>
      <c r="B1028" t="n">
        <v>8849762</v>
      </c>
    </row>
    <row r="1029">
      <c r="A1029" s="62" t="n">
        <v>44797</v>
      </c>
      <c r="B1029" t="n">
        <v>8851436</v>
      </c>
    </row>
    <row r="1030">
      <c r="A1030" s="62" t="n">
        <v>44804</v>
      </c>
      <c r="B1030" t="n">
        <v>8826093</v>
      </c>
    </row>
    <row r="1031">
      <c r="A1031" s="62" t="n">
        <v>44811</v>
      </c>
      <c r="B1031" t="n">
        <v>8822401</v>
      </c>
    </row>
    <row r="1032">
      <c r="A1032" s="62" t="n">
        <v>44818</v>
      </c>
      <c r="B1032" t="n">
        <v>8832759</v>
      </c>
    </row>
    <row r="1033">
      <c r="A1033" s="62" t="n">
        <v>44825</v>
      </c>
      <c r="B1033" t="n">
        <v>8816802</v>
      </c>
    </row>
    <row r="1034">
      <c r="A1034" s="62" t="n">
        <v>44832</v>
      </c>
      <c r="B1034" t="n">
        <v>8795567</v>
      </c>
    </row>
    <row r="1035">
      <c r="A1035" s="62" t="n">
        <v>44839</v>
      </c>
      <c r="B1035" t="n">
        <v>8759053</v>
      </c>
    </row>
    <row r="1036">
      <c r="A1036" s="62" t="n">
        <v>44846</v>
      </c>
      <c r="B1036" t="n">
        <v>8758969</v>
      </c>
    </row>
    <row r="1037">
      <c r="A1037" s="62" t="n">
        <v>44853</v>
      </c>
      <c r="B1037" t="n">
        <v>8743922</v>
      </c>
    </row>
    <row r="1038">
      <c r="A1038" s="62" t="n">
        <v>44860</v>
      </c>
      <c r="B1038" t="n">
        <v>8723090</v>
      </c>
    </row>
    <row r="1039">
      <c r="A1039" s="62" t="n">
        <v>44867</v>
      </c>
      <c r="B1039" t="n">
        <v>8676870</v>
      </c>
    </row>
    <row r="1040">
      <c r="A1040" s="62" t="n">
        <v>44874</v>
      </c>
      <c r="B1040" t="n">
        <v>8678886</v>
      </c>
    </row>
    <row r="1041">
      <c r="A1041" s="62" t="n">
        <v>44881</v>
      </c>
      <c r="B1041" t="n">
        <v>8625620</v>
      </c>
    </row>
    <row r="1042">
      <c r="A1042" s="62" t="n">
        <v>44888</v>
      </c>
      <c r="B1042" t="n">
        <v>8621390</v>
      </c>
    </row>
    <row r="1043">
      <c r="A1043" s="62" t="n">
        <v>44895</v>
      </c>
      <c r="B1043" t="n">
        <v>8584576</v>
      </c>
    </row>
    <row r="1044">
      <c r="A1044" s="62" t="n">
        <v>44902</v>
      </c>
      <c r="B1044" t="n">
        <v>8582735</v>
      </c>
    </row>
    <row r="1045">
      <c r="A1045" s="62" t="n">
        <v>44909</v>
      </c>
      <c r="B1045" t="n">
        <v>8583413</v>
      </c>
    </row>
    <row r="1046">
      <c r="A1046" s="62" t="n">
        <v>44916</v>
      </c>
      <c r="B1046" t="n">
        <v>8564411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8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5101281</v>
      </c>
    </row>
    <row r="3">
      <c r="A3" s="62" t="n">
        <v>34366</v>
      </c>
      <c r="C3" t="n">
        <v>5090140</v>
      </c>
    </row>
    <row r="4">
      <c r="A4" s="62" t="n">
        <v>34394</v>
      </c>
      <c r="C4" t="n">
        <v>5090140</v>
      </c>
    </row>
    <row r="5">
      <c r="A5" s="62" t="n">
        <v>34425</v>
      </c>
      <c r="C5" t="n">
        <v>5090140</v>
      </c>
    </row>
    <row r="6">
      <c r="A6" s="62" t="n">
        <v>34455</v>
      </c>
      <c r="C6" t="n">
        <v>5129708</v>
      </c>
    </row>
    <row r="7">
      <c r="A7" s="62" t="n">
        <v>34486</v>
      </c>
      <c r="C7" t="n">
        <v>5129708</v>
      </c>
    </row>
    <row r="8">
      <c r="A8" s="62" t="n">
        <v>34516</v>
      </c>
      <c r="C8" t="n">
        <v>5129708</v>
      </c>
    </row>
    <row r="9">
      <c r="A9" s="62" t="n">
        <v>34547</v>
      </c>
      <c r="C9" t="n">
        <v>5115707</v>
      </c>
    </row>
    <row r="10">
      <c r="A10" s="62" t="n">
        <v>34578</v>
      </c>
      <c r="C10" t="n">
        <v>5115707</v>
      </c>
    </row>
    <row r="11">
      <c r="A11" s="62" t="n">
        <v>34608</v>
      </c>
      <c r="C11" t="n">
        <v>5115707</v>
      </c>
    </row>
    <row r="12">
      <c r="A12" s="62" t="n">
        <v>34639</v>
      </c>
      <c r="C12" t="n">
        <v>5149415</v>
      </c>
    </row>
    <row r="13">
      <c r="A13" s="62" t="n">
        <v>34669</v>
      </c>
      <c r="C13" t="n">
        <v>5149415</v>
      </c>
    </row>
    <row r="14">
      <c r="A14" s="62" t="n">
        <v>34700</v>
      </c>
      <c r="C14" t="n">
        <v>5149415</v>
      </c>
    </row>
    <row r="15">
      <c r="A15" s="62" t="n">
        <v>34731</v>
      </c>
      <c r="C15" t="n">
        <v>5187567</v>
      </c>
    </row>
    <row r="16">
      <c r="A16" s="62" t="n">
        <v>34759</v>
      </c>
      <c r="C16" t="n">
        <v>5187567</v>
      </c>
    </row>
    <row r="17">
      <c r="A17" s="62" t="n">
        <v>34790</v>
      </c>
      <c r="C17" t="n">
        <v>5187567</v>
      </c>
    </row>
    <row r="18">
      <c r="A18" s="62" t="n">
        <v>34820</v>
      </c>
      <c r="C18" t="n">
        <v>5253620</v>
      </c>
    </row>
    <row r="19">
      <c r="A19" s="62" t="n">
        <v>34851</v>
      </c>
      <c r="C19" t="n">
        <v>5253620</v>
      </c>
    </row>
    <row r="20">
      <c r="A20" s="62" t="n">
        <v>34881</v>
      </c>
      <c r="C20" t="n">
        <v>5253620</v>
      </c>
    </row>
    <row r="21">
      <c r="A21" s="62" t="n">
        <v>34912</v>
      </c>
      <c r="C21" t="n">
        <v>5270097</v>
      </c>
    </row>
    <row r="22">
      <c r="A22" s="62" t="n">
        <v>34943</v>
      </c>
      <c r="C22" t="n">
        <v>5270097</v>
      </c>
    </row>
    <row r="23">
      <c r="A23" s="62" t="n">
        <v>34973</v>
      </c>
      <c r="C23" t="n">
        <v>5270097</v>
      </c>
    </row>
    <row r="24">
      <c r="A24" s="62" t="n">
        <v>35004</v>
      </c>
      <c r="C24" t="n">
        <v>5291046</v>
      </c>
    </row>
    <row r="25">
      <c r="A25" s="62" t="n">
        <v>35034</v>
      </c>
      <c r="C25" t="n">
        <v>5291046</v>
      </c>
    </row>
    <row r="26">
      <c r="A26" s="62" t="n">
        <v>35065</v>
      </c>
      <c r="C26" t="n">
        <v>5291046</v>
      </c>
    </row>
    <row r="27">
      <c r="A27" s="62" t="n">
        <v>35096</v>
      </c>
      <c r="C27" t="n">
        <v>5360210</v>
      </c>
    </row>
    <row r="28">
      <c r="A28" s="62" t="n">
        <v>35125</v>
      </c>
      <c r="C28" t="n">
        <v>5360210</v>
      </c>
    </row>
    <row r="29">
      <c r="A29" s="62" t="n">
        <v>35156</v>
      </c>
      <c r="C29" t="n">
        <v>5360210</v>
      </c>
    </row>
    <row r="30">
      <c r="A30" s="62" t="n">
        <v>35186</v>
      </c>
      <c r="C30" t="n">
        <v>5361042</v>
      </c>
    </row>
    <row r="31">
      <c r="A31" s="62" t="n">
        <v>35217</v>
      </c>
      <c r="C31" t="n">
        <v>5361042</v>
      </c>
    </row>
    <row r="32">
      <c r="A32" s="62" t="n">
        <v>35247</v>
      </c>
      <c r="C32" t="n">
        <v>5361042</v>
      </c>
    </row>
    <row r="33">
      <c r="A33" s="62" t="n">
        <v>35278</v>
      </c>
      <c r="C33" t="n">
        <v>5411244</v>
      </c>
    </row>
    <row r="34">
      <c r="A34" s="62" t="n">
        <v>35309</v>
      </c>
      <c r="C34" t="n">
        <v>5411244</v>
      </c>
    </row>
    <row r="35">
      <c r="A35" s="62" t="n">
        <v>35339</v>
      </c>
      <c r="C35" t="n">
        <v>5411244</v>
      </c>
    </row>
    <row r="36">
      <c r="A36" s="62" t="n">
        <v>35370</v>
      </c>
      <c r="C36" t="n">
        <v>5422016</v>
      </c>
    </row>
    <row r="37">
      <c r="A37" s="62" t="n">
        <v>35400</v>
      </c>
      <c r="C37" t="n">
        <v>5422016</v>
      </c>
    </row>
    <row r="38">
      <c r="A38" s="62" t="n">
        <v>35431</v>
      </c>
      <c r="C38" t="n">
        <v>5422016</v>
      </c>
    </row>
    <row r="39">
      <c r="A39" s="62" t="n">
        <v>35462</v>
      </c>
      <c r="C39" t="n">
        <v>5440526</v>
      </c>
    </row>
    <row r="40">
      <c r="A40" s="62" t="n">
        <v>35490</v>
      </c>
      <c r="C40" t="n">
        <v>5440526</v>
      </c>
    </row>
    <row r="41">
      <c r="A41" s="62" t="n">
        <v>35521</v>
      </c>
      <c r="C41" t="n">
        <v>5440526</v>
      </c>
    </row>
    <row r="42">
      <c r="A42" s="62" t="n">
        <v>35551</v>
      </c>
      <c r="C42" t="n">
        <v>5440143</v>
      </c>
    </row>
    <row r="43">
      <c r="A43" s="62" t="n">
        <v>35582</v>
      </c>
      <c r="C43" t="n">
        <v>5440143</v>
      </c>
    </row>
    <row r="44">
      <c r="A44" s="62" t="n">
        <v>35612</v>
      </c>
      <c r="C44" t="n">
        <v>5440143</v>
      </c>
    </row>
    <row r="45">
      <c r="A45" s="62" t="n">
        <v>35643</v>
      </c>
      <c r="C45" t="n">
        <v>5449457</v>
      </c>
    </row>
    <row r="46">
      <c r="A46" s="62" t="n">
        <v>35674</v>
      </c>
      <c r="C46" t="n">
        <v>5449457</v>
      </c>
    </row>
    <row r="47">
      <c r="A47" s="62" t="n">
        <v>35704</v>
      </c>
      <c r="C47" t="n">
        <v>5449457</v>
      </c>
    </row>
    <row r="48">
      <c r="A48" s="62" t="n">
        <v>35735</v>
      </c>
      <c r="C48" t="n">
        <v>5380227</v>
      </c>
    </row>
    <row r="49">
      <c r="A49" s="62" t="n">
        <v>35765</v>
      </c>
      <c r="C49" t="n">
        <v>5380227</v>
      </c>
    </row>
    <row r="50">
      <c r="A50" s="62" t="n">
        <v>35796</v>
      </c>
      <c r="C50" t="n">
        <v>5380227</v>
      </c>
    </row>
    <row r="51">
      <c r="A51" s="62" t="n">
        <v>35827</v>
      </c>
      <c r="C51" t="n">
        <v>5347943</v>
      </c>
    </row>
    <row r="52">
      <c r="A52" s="62" t="n">
        <v>35855</v>
      </c>
      <c r="C52" t="n">
        <v>5347943</v>
      </c>
    </row>
    <row r="53">
      <c r="A53" s="62" t="n">
        <v>35886</v>
      </c>
      <c r="B53" t="n">
        <v>800652</v>
      </c>
      <c r="C53" t="n">
        <v>5347943</v>
      </c>
      <c r="D53" t="n">
        <v>15641.259765625</v>
      </c>
    </row>
    <row r="54">
      <c r="A54" s="62" t="n">
        <v>35916</v>
      </c>
      <c r="B54" t="n">
        <v>771888</v>
      </c>
      <c r="C54" t="n">
        <v>5338957</v>
      </c>
      <c r="D54" t="n">
        <v>15670.7802734375</v>
      </c>
    </row>
    <row r="55">
      <c r="A55" s="62" t="n">
        <v>35947</v>
      </c>
      <c r="B55" t="n">
        <v>753964</v>
      </c>
      <c r="C55" t="n">
        <v>5338957</v>
      </c>
      <c r="D55" t="n">
        <v>15830.26953125</v>
      </c>
    </row>
    <row r="56">
      <c r="A56" s="62" t="n">
        <v>35977</v>
      </c>
      <c r="B56" t="n">
        <v>724375</v>
      </c>
      <c r="C56" t="n">
        <v>5338957</v>
      </c>
      <c r="D56" t="n">
        <v>16378.9697265625</v>
      </c>
    </row>
    <row r="57">
      <c r="A57" s="62" t="n">
        <v>36008</v>
      </c>
      <c r="B57" t="n">
        <v>763742</v>
      </c>
      <c r="C57" t="n">
        <v>5392708</v>
      </c>
      <c r="D57" t="n">
        <v>14107.8896484375</v>
      </c>
    </row>
    <row r="58">
      <c r="A58" s="62" t="n">
        <v>36039</v>
      </c>
      <c r="B58" t="n">
        <v>783667</v>
      </c>
      <c r="C58" t="n">
        <v>5392708</v>
      </c>
      <c r="D58" t="n">
        <v>13406.3896484375</v>
      </c>
    </row>
    <row r="59">
      <c r="A59" s="62" t="n">
        <v>36069</v>
      </c>
      <c r="B59" t="n">
        <v>775368</v>
      </c>
      <c r="C59" t="n">
        <v>5392708</v>
      </c>
      <c r="D59" t="n">
        <v>13564.509765625</v>
      </c>
    </row>
    <row r="60">
      <c r="A60" s="62" t="n">
        <v>36100</v>
      </c>
      <c r="B60" t="n">
        <v>883012</v>
      </c>
      <c r="C60" t="n">
        <v>5290843</v>
      </c>
      <c r="D60" t="n">
        <v>14883.7001953125</v>
      </c>
    </row>
    <row r="61">
      <c r="A61" s="62" t="n">
        <v>36130</v>
      </c>
      <c r="B61" t="n">
        <v>912382</v>
      </c>
      <c r="C61" t="n">
        <v>5290843</v>
      </c>
      <c r="D61" t="n">
        <v>13842.169921875</v>
      </c>
    </row>
    <row r="62">
      <c r="A62" s="62" t="n">
        <v>36161</v>
      </c>
      <c r="B62" t="n">
        <v>797188</v>
      </c>
      <c r="C62" t="n">
        <v>5290843</v>
      </c>
      <c r="D62" t="n">
        <v>14499.25</v>
      </c>
    </row>
    <row r="63">
      <c r="A63" s="62" t="n">
        <v>36192</v>
      </c>
      <c r="B63" t="n">
        <v>755897</v>
      </c>
      <c r="C63" t="n">
        <v>5290031</v>
      </c>
      <c r="D63" t="n">
        <v>14367.5400390625</v>
      </c>
    </row>
    <row r="64">
      <c r="A64" s="62" t="n">
        <v>36220</v>
      </c>
      <c r="B64" t="n">
        <v>797450</v>
      </c>
      <c r="C64" t="n">
        <v>5290031</v>
      </c>
      <c r="D64" t="n">
        <v>15836.58984375</v>
      </c>
    </row>
    <row r="65">
      <c r="A65" s="62" t="n">
        <v>36251</v>
      </c>
      <c r="B65" t="n">
        <v>791152</v>
      </c>
      <c r="C65" t="n">
        <v>5290031</v>
      </c>
      <c r="D65" t="n">
        <v>16701.529296875</v>
      </c>
    </row>
    <row r="66">
      <c r="A66" s="62" t="n">
        <v>36281</v>
      </c>
      <c r="B66" t="n">
        <v>744742</v>
      </c>
      <c r="C66" t="n">
        <v>5285928</v>
      </c>
      <c r="D66" t="n">
        <v>16111.650390625</v>
      </c>
    </row>
    <row r="67">
      <c r="A67" s="62" t="n">
        <v>36312</v>
      </c>
      <c r="B67" t="n">
        <v>734211</v>
      </c>
      <c r="C67" t="n">
        <v>5285928</v>
      </c>
      <c r="D67" t="n">
        <v>17529.740234375</v>
      </c>
    </row>
    <row r="68">
      <c r="A68" s="62" t="n">
        <v>36342</v>
      </c>
      <c r="B68" t="n">
        <v>686329</v>
      </c>
      <c r="C68" t="n">
        <v>5285928</v>
      </c>
      <c r="D68" t="n">
        <v>17861.859375</v>
      </c>
    </row>
    <row r="69">
      <c r="A69" s="62" t="n">
        <v>36373</v>
      </c>
      <c r="B69" t="n">
        <v>680224</v>
      </c>
      <c r="C69" t="n">
        <v>5278546</v>
      </c>
      <c r="D69" t="n">
        <v>17436.560546875</v>
      </c>
    </row>
    <row r="70">
      <c r="A70" s="62" t="n">
        <v>36404</v>
      </c>
      <c r="B70" t="n">
        <v>688207</v>
      </c>
      <c r="C70" t="n">
        <v>5278546</v>
      </c>
      <c r="D70" t="n">
        <v>17605.4609375</v>
      </c>
    </row>
    <row r="71">
      <c r="A71" s="62" t="n">
        <v>36434</v>
      </c>
      <c r="B71" t="n">
        <v>680064</v>
      </c>
      <c r="C71" t="n">
        <v>5278546</v>
      </c>
      <c r="D71" t="n">
        <v>17942.080078125</v>
      </c>
    </row>
    <row r="72">
      <c r="A72" s="62" t="n">
        <v>36465</v>
      </c>
      <c r="B72" t="n">
        <v>841508</v>
      </c>
      <c r="C72" t="n">
        <v>5351864</v>
      </c>
      <c r="D72" t="n">
        <v>18558.23046875</v>
      </c>
    </row>
    <row r="73">
      <c r="A73" s="62" t="n">
        <v>36495</v>
      </c>
      <c r="B73" t="n">
        <v>1113478</v>
      </c>
      <c r="C73" t="n">
        <v>5351864</v>
      </c>
      <c r="D73" t="n">
        <v>18934.33984375</v>
      </c>
    </row>
    <row r="74">
      <c r="A74" s="62" t="n">
        <v>36526</v>
      </c>
      <c r="B74" t="n">
        <v>905251</v>
      </c>
      <c r="C74" t="n">
        <v>5351864</v>
      </c>
      <c r="D74" t="n">
        <v>19539.69921875</v>
      </c>
    </row>
    <row r="75">
      <c r="A75" s="62" t="n">
        <v>36557</v>
      </c>
      <c r="B75" t="n">
        <v>941085</v>
      </c>
      <c r="C75" t="n">
        <v>5353498</v>
      </c>
      <c r="D75" t="n">
        <v>19959.51953125</v>
      </c>
    </row>
    <row r="76">
      <c r="A76" s="62" t="n">
        <v>36586</v>
      </c>
      <c r="B76" t="n">
        <v>1062017</v>
      </c>
      <c r="C76" t="n">
        <v>5353498</v>
      </c>
      <c r="D76" t="n">
        <v>20337.3203125</v>
      </c>
    </row>
    <row r="77">
      <c r="A77" s="62" t="n">
        <v>36617</v>
      </c>
      <c r="B77" t="n">
        <v>797289</v>
      </c>
      <c r="C77" t="n">
        <v>5353498</v>
      </c>
      <c r="D77" t="n">
        <v>17973.69921875</v>
      </c>
    </row>
    <row r="78">
      <c r="A78" s="62" t="n">
        <v>36647</v>
      </c>
      <c r="B78" t="n">
        <v>838507</v>
      </c>
      <c r="C78" t="n">
        <v>5344403</v>
      </c>
      <c r="D78" t="n">
        <v>16332.4501953125</v>
      </c>
    </row>
    <row r="79">
      <c r="A79" s="62" t="n">
        <v>36678</v>
      </c>
      <c r="B79" t="n">
        <v>837194</v>
      </c>
      <c r="C79" t="n">
        <v>5344403</v>
      </c>
      <c r="D79" t="n">
        <v>17411.05078125</v>
      </c>
    </row>
    <row r="80">
      <c r="A80" s="62" t="n">
        <v>36708</v>
      </c>
      <c r="B80" t="n">
        <v>807840</v>
      </c>
      <c r="C80" t="n">
        <v>5344403</v>
      </c>
      <c r="D80" t="n">
        <v>15727.490234375</v>
      </c>
    </row>
    <row r="81">
      <c r="A81" s="62" t="n">
        <v>36739</v>
      </c>
      <c r="B81" t="n">
        <v>885391</v>
      </c>
      <c r="C81" t="n">
        <v>5378447</v>
      </c>
      <c r="D81" t="n">
        <v>16861.259765625</v>
      </c>
    </row>
    <row r="82">
      <c r="A82" s="62" t="n">
        <v>36770</v>
      </c>
      <c r="B82" t="n">
        <v>853390</v>
      </c>
      <c r="C82" t="n">
        <v>5378447</v>
      </c>
      <c r="D82" t="n">
        <v>15747.259765625</v>
      </c>
    </row>
    <row r="83">
      <c r="A83" s="62" t="n">
        <v>36800</v>
      </c>
      <c r="B83" t="n">
        <v>920988</v>
      </c>
      <c r="C83" t="n">
        <v>5378447</v>
      </c>
      <c r="D83" t="n">
        <v>14539.599609375</v>
      </c>
    </row>
    <row r="84">
      <c r="A84" s="62" t="n">
        <v>36831</v>
      </c>
      <c r="B84" t="n">
        <v>1054097</v>
      </c>
      <c r="C84" t="n">
        <v>5425389</v>
      </c>
      <c r="D84" t="n">
        <v>14648.509765625</v>
      </c>
    </row>
    <row r="85">
      <c r="A85" s="62" t="n">
        <v>36861</v>
      </c>
      <c r="B85" t="n">
        <v>1067962</v>
      </c>
      <c r="C85" t="n">
        <v>5425389</v>
      </c>
      <c r="D85" t="n">
        <v>13785.6904296875</v>
      </c>
    </row>
    <row r="86">
      <c r="A86" s="62" t="n">
        <v>36892</v>
      </c>
      <c r="B86" t="n">
        <v>1078487</v>
      </c>
      <c r="C86" t="n">
        <v>5425389</v>
      </c>
      <c r="D86" t="n">
        <v>13843.5498046875</v>
      </c>
    </row>
    <row r="87">
      <c r="A87" s="62" t="n">
        <v>36923</v>
      </c>
      <c r="B87" t="n">
        <v>1102160</v>
      </c>
      <c r="C87" t="n">
        <v>5342515</v>
      </c>
      <c r="D87" t="n">
        <v>12883.5400390625</v>
      </c>
    </row>
    <row r="88">
      <c r="A88" s="62" t="n">
        <v>36951</v>
      </c>
      <c r="B88" t="n">
        <v>1150959</v>
      </c>
      <c r="C88" t="n">
        <v>5342515</v>
      </c>
      <c r="D88" t="n">
        <v>12999.7001953125</v>
      </c>
    </row>
    <row r="89">
      <c r="A89" s="62" t="n">
        <v>36982</v>
      </c>
      <c r="B89" t="n">
        <v>1123259</v>
      </c>
      <c r="C89" t="n">
        <v>5342515</v>
      </c>
      <c r="D89" t="n">
        <v>13934.3203125</v>
      </c>
    </row>
    <row r="90">
      <c r="A90" s="62" t="n">
        <v>37012</v>
      </c>
      <c r="B90" t="n">
        <v>1138146</v>
      </c>
      <c r="C90" t="n">
        <v>5270278</v>
      </c>
      <c r="D90" t="n">
        <v>13262.1396484375</v>
      </c>
    </row>
    <row r="91">
      <c r="A91" s="62" t="n">
        <v>37043</v>
      </c>
      <c r="B91" t="n">
        <v>1169329</v>
      </c>
      <c r="C91" t="n">
        <v>5270278</v>
      </c>
      <c r="D91" t="n">
        <v>12969.0498046875</v>
      </c>
    </row>
    <row r="92">
      <c r="A92" s="62" t="n">
        <v>37073</v>
      </c>
      <c r="B92" t="n">
        <v>1163779</v>
      </c>
      <c r="C92" t="n">
        <v>5270278</v>
      </c>
      <c r="D92" t="n">
        <v>11860.76953125</v>
      </c>
    </row>
    <row r="93">
      <c r="A93" s="62" t="n">
        <v>37104</v>
      </c>
      <c r="B93" t="n">
        <v>1133882</v>
      </c>
      <c r="C93" t="n">
        <v>5239293</v>
      </c>
      <c r="D93" t="n">
        <v>10713.509765625</v>
      </c>
    </row>
    <row r="94">
      <c r="A94" s="62" t="n">
        <v>37135</v>
      </c>
      <c r="B94" t="n">
        <v>1156156</v>
      </c>
      <c r="C94" t="n">
        <v>5239293</v>
      </c>
      <c r="D94" t="n">
        <v>9774.6796875</v>
      </c>
    </row>
    <row r="95">
      <c r="A95" s="62" t="n">
        <v>37165</v>
      </c>
      <c r="B95" t="n">
        <v>1107271</v>
      </c>
      <c r="C95" t="n">
        <v>5239293</v>
      </c>
      <c r="D95" t="n">
        <v>10366.33984375</v>
      </c>
    </row>
    <row r="96">
      <c r="A96" s="62" t="n">
        <v>37196</v>
      </c>
      <c r="B96" t="n">
        <v>1133942</v>
      </c>
      <c r="C96" t="n">
        <v>5254441</v>
      </c>
      <c r="D96" t="n">
        <v>10697.4404296875</v>
      </c>
    </row>
    <row r="97">
      <c r="A97" s="62" t="n">
        <v>37226</v>
      </c>
      <c r="B97" t="n">
        <v>1175079</v>
      </c>
      <c r="C97" t="n">
        <v>5254441</v>
      </c>
      <c r="D97" t="n">
        <v>10542.6201171875</v>
      </c>
    </row>
    <row r="98">
      <c r="A98" s="62" t="n">
        <v>37257</v>
      </c>
      <c r="B98" t="n">
        <v>1224388</v>
      </c>
      <c r="C98" t="n">
        <v>5254441</v>
      </c>
      <c r="D98" t="n">
        <v>9997.7998046875</v>
      </c>
    </row>
    <row r="99">
      <c r="A99" s="62" t="n">
        <v>37288</v>
      </c>
      <c r="B99" t="n">
        <v>1313520</v>
      </c>
      <c r="C99" t="n">
        <v>5242357</v>
      </c>
      <c r="D99" t="n">
        <v>10587.830078125</v>
      </c>
    </row>
    <row r="100">
      <c r="A100" s="62" t="n">
        <v>37316</v>
      </c>
      <c r="B100" t="n">
        <v>1385648</v>
      </c>
      <c r="C100" t="n">
        <v>5242357</v>
      </c>
      <c r="D100" t="n">
        <v>11024.9404296875</v>
      </c>
    </row>
    <row r="101">
      <c r="A101" s="62" t="n">
        <v>37347</v>
      </c>
      <c r="B101" t="n">
        <v>1328094</v>
      </c>
      <c r="C101" t="n">
        <v>5242357</v>
      </c>
      <c r="D101" t="n">
        <v>11492.5400390625</v>
      </c>
    </row>
    <row r="102">
      <c r="A102" s="62" t="n">
        <v>37377</v>
      </c>
      <c r="B102" t="n">
        <v>1279453</v>
      </c>
      <c r="C102" t="n">
        <v>5242005</v>
      </c>
      <c r="D102" t="n">
        <v>11763.7001953125</v>
      </c>
    </row>
    <row r="103">
      <c r="A103" s="62" t="n">
        <v>37408</v>
      </c>
      <c r="B103" t="n">
        <v>1241193</v>
      </c>
      <c r="C103" t="n">
        <v>5242005</v>
      </c>
      <c r="D103" t="n">
        <v>10621.83984375</v>
      </c>
    </row>
    <row r="104">
      <c r="A104" s="62" t="n">
        <v>37438</v>
      </c>
      <c r="B104" t="n">
        <v>1265421</v>
      </c>
      <c r="C104" t="n">
        <v>5242005</v>
      </c>
      <c r="D104" t="n">
        <v>9877.9404296875</v>
      </c>
    </row>
    <row r="105">
      <c r="A105" s="62" t="n">
        <v>37469</v>
      </c>
      <c r="B105" t="n">
        <v>1284793</v>
      </c>
      <c r="C105" t="n">
        <v>5244262</v>
      </c>
      <c r="D105" t="n">
        <v>9619.2998046875</v>
      </c>
    </row>
    <row r="106">
      <c r="A106" s="62" t="n">
        <v>37500</v>
      </c>
      <c r="B106" t="n">
        <v>1244691</v>
      </c>
      <c r="C106" t="n">
        <v>5244262</v>
      </c>
      <c r="D106" t="n">
        <v>9383.2900390625</v>
      </c>
    </row>
    <row r="107">
      <c r="A107" s="62" t="n">
        <v>37530</v>
      </c>
      <c r="B107" t="n">
        <v>1246432</v>
      </c>
      <c r="C107" t="n">
        <v>5244262</v>
      </c>
      <c r="D107" t="n">
        <v>8640.48046875</v>
      </c>
    </row>
    <row r="108">
      <c r="A108" s="62" t="n">
        <v>37561</v>
      </c>
      <c r="B108" t="n">
        <v>1250866</v>
      </c>
      <c r="C108" t="n">
        <v>5213450</v>
      </c>
      <c r="D108" t="n">
        <v>9215.5595703125</v>
      </c>
    </row>
    <row r="109">
      <c r="A109" s="62" t="n">
        <v>37591</v>
      </c>
      <c r="B109" t="n">
        <v>1251263</v>
      </c>
      <c r="C109" t="n">
        <v>5213450</v>
      </c>
      <c r="D109" t="n">
        <v>8578.9501953125</v>
      </c>
    </row>
    <row r="110">
      <c r="A110" s="62" t="n">
        <v>37622</v>
      </c>
      <c r="B110" t="n">
        <v>1245386</v>
      </c>
      <c r="C110" t="n">
        <v>5213450</v>
      </c>
      <c r="D110" t="n">
        <v>8339.9404296875</v>
      </c>
    </row>
    <row r="111">
      <c r="A111" s="62" t="n">
        <v>37653</v>
      </c>
      <c r="B111" t="n">
        <v>1325273</v>
      </c>
      <c r="C111" t="n">
        <v>5245234</v>
      </c>
      <c r="D111" t="n">
        <v>8363.0400390625</v>
      </c>
    </row>
    <row r="112">
      <c r="A112" s="62" t="n">
        <v>37681</v>
      </c>
      <c r="B112" t="n">
        <v>1411674</v>
      </c>
      <c r="C112" t="n">
        <v>5245234</v>
      </c>
      <c r="D112" t="n">
        <v>7972.7099609375</v>
      </c>
    </row>
    <row r="113">
      <c r="A113" s="62" t="n">
        <v>37712</v>
      </c>
      <c r="B113" t="n">
        <v>1283101</v>
      </c>
      <c r="C113" t="n">
        <v>5245234</v>
      </c>
      <c r="D113" t="n">
        <v>7831.419921875</v>
      </c>
    </row>
    <row r="114">
      <c r="A114" s="62" t="n">
        <v>37742</v>
      </c>
      <c r="B114" t="n">
        <v>1306815</v>
      </c>
      <c r="C114" t="n">
        <v>5243885</v>
      </c>
      <c r="D114" t="n">
        <v>8424.509765625</v>
      </c>
    </row>
    <row r="115">
      <c r="A115" s="62" t="n">
        <v>37773</v>
      </c>
      <c r="B115" t="n">
        <v>1252605</v>
      </c>
      <c r="C115" t="n">
        <v>5243885</v>
      </c>
      <c r="D115" t="n">
        <v>9083.1103515625</v>
      </c>
    </row>
    <row r="116">
      <c r="A116" s="62" t="n">
        <v>37803</v>
      </c>
      <c r="B116" t="n">
        <v>1263771</v>
      </c>
      <c r="C116" t="n">
        <v>5243885</v>
      </c>
      <c r="D116" t="n">
        <v>9563.2099609375</v>
      </c>
    </row>
    <row r="117">
      <c r="A117" s="62" t="n">
        <v>37834</v>
      </c>
      <c r="B117" t="n">
        <v>1283228</v>
      </c>
      <c r="C117" t="n">
        <v>5263996</v>
      </c>
      <c r="D117" t="n">
        <v>10343.5498046875</v>
      </c>
    </row>
    <row r="118">
      <c r="A118" s="62" t="n">
        <v>37865</v>
      </c>
      <c r="B118" t="n">
        <v>1339295</v>
      </c>
      <c r="C118" t="n">
        <v>5263996</v>
      </c>
      <c r="D118" t="n">
        <v>10219.0498046875</v>
      </c>
    </row>
    <row r="119">
      <c r="A119" s="62" t="n">
        <v>37895</v>
      </c>
      <c r="B119" t="n">
        <v>1322521</v>
      </c>
      <c r="C119" t="n">
        <v>5263996</v>
      </c>
      <c r="D119" t="n">
        <v>10559.58984375</v>
      </c>
    </row>
    <row r="120">
      <c r="A120" s="62" t="n">
        <v>37926</v>
      </c>
      <c r="B120" t="n">
        <v>1347558</v>
      </c>
      <c r="C120" t="n">
        <v>5293912</v>
      </c>
      <c r="D120" t="n">
        <v>10100.5703125</v>
      </c>
    </row>
    <row r="121">
      <c r="A121" s="62" t="n">
        <v>37956</v>
      </c>
      <c r="B121" t="n">
        <v>1313685</v>
      </c>
      <c r="C121" t="n">
        <v>5293912</v>
      </c>
      <c r="D121" t="n">
        <v>10676.6396484375</v>
      </c>
    </row>
    <row r="122">
      <c r="A122" s="62" t="n">
        <v>37987</v>
      </c>
      <c r="B122" t="n">
        <v>1354300</v>
      </c>
      <c r="C122" t="n">
        <v>5293912</v>
      </c>
      <c r="D122" t="n">
        <v>10783.6103515625</v>
      </c>
    </row>
    <row r="123">
      <c r="A123" s="62" t="n">
        <v>38018</v>
      </c>
      <c r="B123" t="n">
        <v>1405509</v>
      </c>
      <c r="C123" t="n">
        <v>5276513</v>
      </c>
      <c r="D123" t="n">
        <v>11041.919921875</v>
      </c>
    </row>
    <row r="124">
      <c r="A124" s="62" t="n">
        <v>38047</v>
      </c>
      <c r="B124" t="n">
        <v>1493819</v>
      </c>
      <c r="C124" t="n">
        <v>5276513</v>
      </c>
      <c r="D124" t="n">
        <v>11715.3896484375</v>
      </c>
    </row>
    <row r="125">
      <c r="A125" s="62" t="n">
        <v>38078</v>
      </c>
      <c r="B125" t="n">
        <v>1382514</v>
      </c>
      <c r="C125" t="n">
        <v>5276513</v>
      </c>
      <c r="D125" t="n">
        <v>11761.7900390625</v>
      </c>
    </row>
    <row r="126">
      <c r="A126" s="62" t="n">
        <v>38108</v>
      </c>
      <c r="B126" t="n">
        <v>1390667</v>
      </c>
      <c r="C126" t="n">
        <v>5305105</v>
      </c>
      <c r="D126" t="n">
        <v>11236.3701171875</v>
      </c>
    </row>
    <row r="127">
      <c r="A127" s="62" t="n">
        <v>38139</v>
      </c>
      <c r="B127" t="n">
        <v>1347362</v>
      </c>
      <c r="C127" t="n">
        <v>5305105</v>
      </c>
      <c r="D127" t="n">
        <v>11858.8701171875</v>
      </c>
    </row>
    <row r="128">
      <c r="A128" s="62" t="n">
        <v>38169</v>
      </c>
      <c r="B128" t="n">
        <v>1314783</v>
      </c>
      <c r="C128" t="n">
        <v>5305105</v>
      </c>
      <c r="D128" t="n">
        <v>11325.7802734375</v>
      </c>
    </row>
    <row r="129">
      <c r="A129" s="62" t="n">
        <v>38200</v>
      </c>
      <c r="B129" t="n">
        <v>1382251</v>
      </c>
      <c r="C129" t="n">
        <v>5299010</v>
      </c>
      <c r="D129" t="n">
        <v>11081.7900390625</v>
      </c>
    </row>
    <row r="130">
      <c r="A130" s="62" t="n">
        <v>38231</v>
      </c>
      <c r="B130" t="n">
        <v>1394564</v>
      </c>
      <c r="C130" t="n">
        <v>5299010</v>
      </c>
      <c r="D130" t="n">
        <v>10823.5703125</v>
      </c>
    </row>
    <row r="131">
      <c r="A131" s="62" t="n">
        <v>38261</v>
      </c>
      <c r="B131" t="n">
        <v>1384015</v>
      </c>
      <c r="C131" t="n">
        <v>5299010</v>
      </c>
      <c r="D131" t="n">
        <v>10771.419921875</v>
      </c>
    </row>
    <row r="132">
      <c r="A132" s="62" t="n">
        <v>38292</v>
      </c>
      <c r="B132" t="n">
        <v>1478802</v>
      </c>
      <c r="C132" t="n">
        <v>5298702</v>
      </c>
      <c r="D132" t="n">
        <v>10899.25</v>
      </c>
    </row>
    <row r="133">
      <c r="A133" s="62" t="n">
        <v>38322</v>
      </c>
      <c r="B133" t="n">
        <v>1445467</v>
      </c>
      <c r="C133" t="n">
        <v>5298702</v>
      </c>
      <c r="D133" t="n">
        <v>11488.759765625</v>
      </c>
    </row>
    <row r="134">
      <c r="A134" s="62" t="n">
        <v>38353</v>
      </c>
      <c r="B134" t="n">
        <v>1473561</v>
      </c>
      <c r="C134" t="n">
        <v>5298702</v>
      </c>
      <c r="D134" t="n">
        <v>11387.58984375</v>
      </c>
    </row>
    <row r="135">
      <c r="A135" s="62" t="n">
        <v>38384</v>
      </c>
      <c r="B135" t="n">
        <v>1514085</v>
      </c>
      <c r="C135" t="n">
        <v>5313602</v>
      </c>
      <c r="D135" t="n">
        <v>11740.599609375</v>
      </c>
    </row>
    <row r="136">
      <c r="A136" s="62" t="n">
        <v>38412</v>
      </c>
      <c r="B136" t="n">
        <v>1505173</v>
      </c>
      <c r="C136" t="n">
        <v>5313602</v>
      </c>
      <c r="D136" t="n">
        <v>11668.9501953125</v>
      </c>
    </row>
    <row r="137">
      <c r="A137" s="62" t="n">
        <v>38443</v>
      </c>
      <c r="B137" t="n">
        <v>1473513</v>
      </c>
      <c r="C137" t="n">
        <v>5313602</v>
      </c>
      <c r="D137" t="n">
        <v>11008.900390625</v>
      </c>
    </row>
    <row r="138">
      <c r="A138" s="62" t="n">
        <v>38473</v>
      </c>
      <c r="B138" t="n">
        <v>1477619</v>
      </c>
      <c r="C138" t="n">
        <v>5346393</v>
      </c>
      <c r="D138" t="n">
        <v>11276.58984375</v>
      </c>
    </row>
    <row r="139">
      <c r="A139" s="62" t="n">
        <v>38504</v>
      </c>
      <c r="B139" t="n">
        <v>1442122</v>
      </c>
      <c r="C139" t="n">
        <v>5346393</v>
      </c>
      <c r="D139" t="n">
        <v>11584.009765625</v>
      </c>
    </row>
    <row r="140">
      <c r="A140" s="62" t="n">
        <v>38534</v>
      </c>
      <c r="B140" t="n">
        <v>1476503</v>
      </c>
      <c r="C140" t="n">
        <v>5346393</v>
      </c>
      <c r="D140" t="n">
        <v>11899.599609375</v>
      </c>
    </row>
    <row r="141">
      <c r="A141" s="62" t="n">
        <v>38565</v>
      </c>
      <c r="B141" t="n">
        <v>1513847</v>
      </c>
      <c r="C141" t="n">
        <v>5346845</v>
      </c>
      <c r="D141" t="n">
        <v>12413.599609375</v>
      </c>
    </row>
    <row r="142">
      <c r="A142" s="62" t="n">
        <v>38596</v>
      </c>
      <c r="B142" t="n">
        <v>1481357</v>
      </c>
      <c r="C142" t="n">
        <v>5346845</v>
      </c>
      <c r="D142" t="n">
        <v>13574.2998046875</v>
      </c>
    </row>
    <row r="143">
      <c r="A143" s="62" t="n">
        <v>38626</v>
      </c>
      <c r="B143" t="n">
        <v>1477546</v>
      </c>
      <c r="C143" t="n">
        <v>5346845</v>
      </c>
      <c r="D143" t="n">
        <v>13606.5</v>
      </c>
    </row>
    <row r="144">
      <c r="A144" s="62" t="n">
        <v>38657</v>
      </c>
      <c r="B144" t="n">
        <v>1519701</v>
      </c>
      <c r="C144" t="n">
        <v>5344602</v>
      </c>
      <c r="D144" t="n">
        <v>14872.150390625</v>
      </c>
    </row>
    <row r="145">
      <c r="A145" s="62" t="n">
        <v>38687</v>
      </c>
      <c r="B145" t="n">
        <v>1556071</v>
      </c>
      <c r="C145" t="n">
        <v>5344602</v>
      </c>
      <c r="D145" t="n">
        <v>16111.4296875</v>
      </c>
    </row>
    <row r="146">
      <c r="A146" s="62" t="n">
        <v>38718</v>
      </c>
      <c r="B146" t="n">
        <v>1528656</v>
      </c>
      <c r="C146" t="n">
        <v>5344602</v>
      </c>
      <c r="D146" t="n">
        <v>16649.8203125</v>
      </c>
    </row>
    <row r="147">
      <c r="A147" s="62" t="n">
        <v>38749</v>
      </c>
      <c r="B147" t="n">
        <v>1523477</v>
      </c>
      <c r="C147" t="n">
        <v>5341030</v>
      </c>
      <c r="D147" t="n">
        <v>16205.4296875</v>
      </c>
    </row>
    <row r="148">
      <c r="A148" s="62" t="n">
        <v>38777</v>
      </c>
      <c r="B148" t="n">
        <v>1448629</v>
      </c>
      <c r="C148" t="n">
        <v>5341030</v>
      </c>
      <c r="D148" t="n">
        <v>17059.66015625</v>
      </c>
    </row>
    <row r="149">
      <c r="A149" s="62" t="n">
        <v>38808</v>
      </c>
      <c r="B149" t="n">
        <v>1299799</v>
      </c>
      <c r="C149" t="n">
        <v>5341030</v>
      </c>
      <c r="D149" t="n">
        <v>16906.23046875</v>
      </c>
    </row>
    <row r="150">
      <c r="A150" s="62" t="n">
        <v>38838</v>
      </c>
      <c r="B150" t="n">
        <v>1227935</v>
      </c>
      <c r="C150" t="n">
        <v>5323350</v>
      </c>
      <c r="D150" t="n">
        <v>15467.330078125</v>
      </c>
    </row>
    <row r="151">
      <c r="A151" s="62" t="n">
        <v>38869</v>
      </c>
      <c r="B151" t="n">
        <v>1138328</v>
      </c>
      <c r="C151" t="n">
        <v>5323350</v>
      </c>
      <c r="D151" t="n">
        <v>15505.1796875</v>
      </c>
    </row>
    <row r="152">
      <c r="A152" s="62" t="n">
        <v>38899</v>
      </c>
      <c r="B152" t="n">
        <v>1159675</v>
      </c>
      <c r="C152" t="n">
        <v>5323350</v>
      </c>
      <c r="D152" t="n">
        <v>15456.8095703125</v>
      </c>
    </row>
    <row r="153">
      <c r="A153" s="62" t="n">
        <v>38930</v>
      </c>
      <c r="B153" t="n">
        <v>1132672</v>
      </c>
      <c r="C153" t="n">
        <v>5397519</v>
      </c>
      <c r="D153" t="n">
        <v>16140.759765625</v>
      </c>
    </row>
    <row r="154">
      <c r="A154" s="62" t="n">
        <v>38961</v>
      </c>
      <c r="B154" t="n">
        <v>1174523</v>
      </c>
      <c r="C154" t="n">
        <v>5397519</v>
      </c>
      <c r="D154" t="n">
        <v>16127.580078125</v>
      </c>
    </row>
    <row r="155">
      <c r="A155" s="62" t="n">
        <v>38991</v>
      </c>
      <c r="B155" t="n">
        <v>1151993</v>
      </c>
      <c r="C155" t="n">
        <v>5397519</v>
      </c>
      <c r="D155" t="n">
        <v>16399.390625</v>
      </c>
    </row>
    <row r="156">
      <c r="A156" s="62" t="n">
        <v>39022</v>
      </c>
      <c r="B156" t="n">
        <v>1185414</v>
      </c>
      <c r="C156" t="n">
        <v>5418532</v>
      </c>
      <c r="D156" t="n">
        <v>16274.330078125</v>
      </c>
    </row>
    <row r="157">
      <c r="A157" s="62" t="n">
        <v>39052</v>
      </c>
      <c r="B157" t="n">
        <v>1155436</v>
      </c>
      <c r="C157" t="n">
        <v>5418532</v>
      </c>
      <c r="D157" t="n">
        <v>17225.830078125</v>
      </c>
    </row>
    <row r="158">
      <c r="A158" s="62" t="n">
        <v>39083</v>
      </c>
      <c r="B158" t="n">
        <v>1146223</v>
      </c>
      <c r="C158" t="n">
        <v>5418532</v>
      </c>
      <c r="D158" t="n">
        <v>17383.419921875</v>
      </c>
    </row>
    <row r="159">
      <c r="A159" s="62" t="n">
        <v>39114</v>
      </c>
      <c r="B159" t="n">
        <v>1176947</v>
      </c>
      <c r="C159" t="n">
        <v>5422780</v>
      </c>
      <c r="D159" t="n">
        <v>17604.119140625</v>
      </c>
    </row>
    <row r="160">
      <c r="A160" s="62" t="n">
        <v>39142</v>
      </c>
      <c r="B160" t="n">
        <v>1127409</v>
      </c>
      <c r="C160" t="n">
        <v>5422780</v>
      </c>
      <c r="D160" t="n">
        <v>17287.650390625</v>
      </c>
    </row>
    <row r="161">
      <c r="A161" s="62" t="n">
        <v>39173</v>
      </c>
      <c r="B161" t="n">
        <v>1060053</v>
      </c>
      <c r="C161" t="n">
        <v>5422780</v>
      </c>
      <c r="D161" t="n">
        <v>17400.41015625</v>
      </c>
    </row>
    <row r="162">
      <c r="A162" s="62" t="n">
        <v>39203</v>
      </c>
      <c r="B162" t="n">
        <v>1075105</v>
      </c>
      <c r="C162" t="n">
        <v>5365865</v>
      </c>
      <c r="D162" t="n">
        <v>17875.75</v>
      </c>
    </row>
    <row r="163">
      <c r="A163" s="62" t="n">
        <v>39234</v>
      </c>
      <c r="B163" t="n">
        <v>1000712</v>
      </c>
      <c r="C163" t="n">
        <v>5365865</v>
      </c>
      <c r="D163" t="n">
        <v>18138.359375</v>
      </c>
    </row>
    <row r="164">
      <c r="A164" s="62" t="n">
        <v>39264</v>
      </c>
      <c r="B164" t="n">
        <v>1077171</v>
      </c>
      <c r="C164" t="n">
        <v>5365865</v>
      </c>
      <c r="D164" t="n">
        <v>17248.890625</v>
      </c>
    </row>
    <row r="165">
      <c r="A165" s="62" t="n">
        <v>39295</v>
      </c>
      <c r="B165" t="n">
        <v>1107917</v>
      </c>
      <c r="C165" t="n">
        <v>5365398</v>
      </c>
      <c r="D165" t="n">
        <v>16569.08984375</v>
      </c>
    </row>
    <row r="166">
      <c r="A166" s="62" t="n">
        <v>39326</v>
      </c>
      <c r="B166" t="n">
        <v>1110324</v>
      </c>
      <c r="C166" t="n">
        <v>5365398</v>
      </c>
      <c r="D166" t="n">
        <v>16785.689453125</v>
      </c>
    </row>
    <row r="167">
      <c r="A167" s="62" t="n">
        <v>39356</v>
      </c>
      <c r="B167" t="n">
        <v>1073472</v>
      </c>
      <c r="C167" t="n">
        <v>5365398</v>
      </c>
      <c r="D167" t="n">
        <v>16737.630859375</v>
      </c>
    </row>
    <row r="168">
      <c r="A168" s="62" t="n">
        <v>39387</v>
      </c>
      <c r="B168" t="n">
        <v>1114939</v>
      </c>
      <c r="C168" t="n">
        <v>5375553</v>
      </c>
      <c r="D168" t="n">
        <v>15680.669921875</v>
      </c>
    </row>
    <row r="169">
      <c r="A169" s="62" t="n">
        <v>39417</v>
      </c>
      <c r="B169" t="n">
        <v>1112844</v>
      </c>
      <c r="C169" t="n">
        <v>5375553</v>
      </c>
      <c r="D169" t="n">
        <v>15307.7802734375</v>
      </c>
    </row>
    <row r="170">
      <c r="A170" s="62" t="n">
        <v>39448</v>
      </c>
      <c r="B170" t="n">
        <v>1130604</v>
      </c>
      <c r="C170" t="n">
        <v>5375553</v>
      </c>
      <c r="D170" t="n">
        <v>13592.4697265625</v>
      </c>
    </row>
    <row r="171">
      <c r="A171" s="62" t="n">
        <v>39479</v>
      </c>
      <c r="B171" t="n">
        <v>1142477</v>
      </c>
      <c r="C171" t="n">
        <v>5339335</v>
      </c>
      <c r="D171" t="n">
        <v>13603.01953125</v>
      </c>
    </row>
    <row r="172">
      <c r="A172" s="62" t="n">
        <v>39508</v>
      </c>
      <c r="B172" t="n">
        <v>1134262</v>
      </c>
      <c r="C172" t="n">
        <v>5339335</v>
      </c>
      <c r="D172" t="n">
        <v>12525.5400390625</v>
      </c>
    </row>
    <row r="173">
      <c r="A173" s="62" t="n">
        <v>39539</v>
      </c>
      <c r="B173" t="n">
        <v>1072225</v>
      </c>
      <c r="C173" t="n">
        <v>5339335</v>
      </c>
      <c r="D173" t="n">
        <v>13849.990234375</v>
      </c>
    </row>
    <row r="174">
      <c r="A174" s="62" t="n">
        <v>39569</v>
      </c>
      <c r="B174" t="n">
        <v>1101273</v>
      </c>
      <c r="C174" t="n">
        <v>5233175</v>
      </c>
      <c r="D174" t="n">
        <v>14338.5400390625</v>
      </c>
    </row>
    <row r="175">
      <c r="A175" s="62" t="n">
        <v>39600</v>
      </c>
      <c r="B175" t="n">
        <v>1014199</v>
      </c>
      <c r="C175" t="n">
        <v>5233175</v>
      </c>
      <c r="D175" t="n">
        <v>13481.3798828125</v>
      </c>
    </row>
    <row r="176">
      <c r="A176" s="62" t="n">
        <v>39630</v>
      </c>
      <c r="B176" t="n">
        <v>1083652</v>
      </c>
      <c r="C176" t="n">
        <v>5233175</v>
      </c>
      <c r="D176" t="n">
        <v>13376.8095703125</v>
      </c>
    </row>
    <row r="177">
      <c r="A177" s="62" t="n">
        <v>39661</v>
      </c>
      <c r="B177" t="n">
        <v>1098870</v>
      </c>
      <c r="C177" t="n">
        <v>5166445</v>
      </c>
      <c r="D177" t="n">
        <v>13072.8701171875</v>
      </c>
    </row>
    <row r="178">
      <c r="A178" s="62" t="n">
        <v>39692</v>
      </c>
      <c r="B178" t="n">
        <v>1125287</v>
      </c>
      <c r="C178" t="n">
        <v>5166445</v>
      </c>
      <c r="D178" t="n">
        <v>11259.8603515625</v>
      </c>
    </row>
    <row r="179">
      <c r="A179" s="62" t="n">
        <v>39722</v>
      </c>
      <c r="B179" t="n">
        <v>1168028</v>
      </c>
      <c r="C179" t="n">
        <v>5166445</v>
      </c>
      <c r="D179" t="n">
        <v>8576.98046875</v>
      </c>
    </row>
    <row r="180">
      <c r="A180" s="62" t="n">
        <v>39753</v>
      </c>
      <c r="B180" t="n">
        <v>1215262</v>
      </c>
      <c r="C180" t="n">
        <v>4922088</v>
      </c>
      <c r="D180" t="n">
        <v>8512.26953125</v>
      </c>
    </row>
    <row r="181">
      <c r="A181" s="62" t="n">
        <v>39783</v>
      </c>
      <c r="B181" t="n">
        <v>1227708</v>
      </c>
      <c r="C181" t="n">
        <v>4922088</v>
      </c>
      <c r="D181" t="n">
        <v>8859.5595703125</v>
      </c>
    </row>
    <row r="182">
      <c r="A182" s="62" t="n">
        <v>39814</v>
      </c>
      <c r="B182" t="n">
        <v>1195135</v>
      </c>
      <c r="C182" t="n">
        <v>4922088</v>
      </c>
      <c r="D182" t="n">
        <v>7994.0498046875</v>
      </c>
    </row>
    <row r="183">
      <c r="A183" s="62" t="n">
        <v>39845</v>
      </c>
      <c r="B183" t="n">
        <v>1221730</v>
      </c>
      <c r="C183" t="n">
        <v>4980598</v>
      </c>
      <c r="D183" t="n">
        <v>7568.419921875</v>
      </c>
    </row>
    <row r="184">
      <c r="A184" s="62" t="n">
        <v>39873</v>
      </c>
      <c r="B184" t="n">
        <v>1238886</v>
      </c>
      <c r="C184" t="n">
        <v>4980598</v>
      </c>
      <c r="D184" t="n">
        <v>8109.52978515625</v>
      </c>
    </row>
    <row r="185">
      <c r="A185" s="62" t="n">
        <v>39904</v>
      </c>
      <c r="B185" t="n">
        <v>1147983</v>
      </c>
      <c r="C185" t="n">
        <v>4980598</v>
      </c>
      <c r="D185" t="n">
        <v>8828.259765625</v>
      </c>
    </row>
    <row r="186">
      <c r="A186" s="62" t="n">
        <v>39934</v>
      </c>
      <c r="B186" t="n">
        <v>1187973</v>
      </c>
      <c r="C186" t="n">
        <v>4936195</v>
      </c>
      <c r="D186" t="n">
        <v>9522.5</v>
      </c>
    </row>
    <row r="187">
      <c r="A187" s="62" t="n">
        <v>39965</v>
      </c>
      <c r="B187" t="n">
        <v>1098429</v>
      </c>
      <c r="C187" t="n">
        <v>4936195</v>
      </c>
      <c r="D187" t="n">
        <v>9958.4404296875</v>
      </c>
    </row>
    <row r="188">
      <c r="A188" s="62" t="n">
        <v>39995</v>
      </c>
      <c r="B188" t="n">
        <v>1147349</v>
      </c>
      <c r="C188" t="n">
        <v>4936195</v>
      </c>
      <c r="D188" t="n">
        <v>10356.830078125</v>
      </c>
    </row>
    <row r="189">
      <c r="A189" s="62" t="n">
        <v>40026</v>
      </c>
      <c r="B189" t="n">
        <v>1171842</v>
      </c>
      <c r="C189" t="n">
        <v>4962905</v>
      </c>
      <c r="D189" t="n">
        <v>10492.5302734375</v>
      </c>
    </row>
    <row r="190">
      <c r="A190" s="62" t="n">
        <v>40057</v>
      </c>
      <c r="B190" t="n">
        <v>1163248</v>
      </c>
      <c r="C190" t="n">
        <v>4962905</v>
      </c>
      <c r="D190" t="n">
        <v>10133.23046875</v>
      </c>
    </row>
    <row r="191">
      <c r="A191" s="62" t="n">
        <v>40087</v>
      </c>
      <c r="B191" t="n">
        <v>1114000</v>
      </c>
      <c r="C191" t="n">
        <v>4962905</v>
      </c>
      <c r="D191" t="n">
        <v>10034.740234375</v>
      </c>
    </row>
    <row r="192">
      <c r="A192" s="62" t="n">
        <v>40118</v>
      </c>
      <c r="B192" t="n">
        <v>1172964</v>
      </c>
      <c r="C192" t="n">
        <v>5014702</v>
      </c>
      <c r="D192" t="n">
        <v>9345.5498046875</v>
      </c>
    </row>
    <row r="193">
      <c r="A193" s="62" t="n">
        <v>40148</v>
      </c>
      <c r="B193" t="n">
        <v>1225336</v>
      </c>
      <c r="C193" t="n">
        <v>5014702</v>
      </c>
      <c r="D193" t="n">
        <v>10546.4404296875</v>
      </c>
    </row>
    <row r="194">
      <c r="A194" s="62" t="n">
        <v>40179</v>
      </c>
      <c r="B194" t="n">
        <v>1224342</v>
      </c>
      <c r="C194" t="n">
        <v>5014702</v>
      </c>
      <c r="D194" t="n">
        <v>10198.0400390625</v>
      </c>
    </row>
    <row r="195">
      <c r="A195" s="62" t="n">
        <v>40210</v>
      </c>
      <c r="B195" t="n">
        <v>1267675</v>
      </c>
      <c r="C195" t="n">
        <v>5051767</v>
      </c>
      <c r="D195" t="n">
        <v>10126.0302734375</v>
      </c>
    </row>
    <row r="196">
      <c r="A196" s="62" t="n">
        <v>40238</v>
      </c>
      <c r="B196" t="n">
        <v>1218241</v>
      </c>
      <c r="C196" t="n">
        <v>5051767</v>
      </c>
      <c r="D196" t="n">
        <v>11089.9404296875</v>
      </c>
    </row>
    <row r="197">
      <c r="A197" s="62" t="n">
        <v>40269</v>
      </c>
      <c r="B197" t="n">
        <v>1142013</v>
      </c>
      <c r="C197" t="n">
        <v>5051767</v>
      </c>
      <c r="D197" t="n">
        <v>11057.400390625</v>
      </c>
    </row>
    <row r="198">
      <c r="A198" s="62" t="n">
        <v>40299</v>
      </c>
      <c r="B198" t="n">
        <v>1209586</v>
      </c>
      <c r="C198" t="n">
        <v>5109254</v>
      </c>
      <c r="D198" t="n">
        <v>9768.7001953125</v>
      </c>
    </row>
    <row r="199">
      <c r="A199" s="62" t="n">
        <v>40330</v>
      </c>
      <c r="B199" t="n">
        <v>1132336</v>
      </c>
      <c r="C199" t="n">
        <v>5109254</v>
      </c>
      <c r="D199" t="n">
        <v>9382.6396484375</v>
      </c>
    </row>
    <row r="200">
      <c r="A200" s="62" t="n">
        <v>40360</v>
      </c>
      <c r="B200" t="n">
        <v>1173742</v>
      </c>
      <c r="C200" t="n">
        <v>5109254</v>
      </c>
      <c r="D200" t="n">
        <v>9537.2998046875</v>
      </c>
    </row>
    <row r="201">
      <c r="A201" s="62" t="n">
        <v>40391</v>
      </c>
      <c r="B201" t="n">
        <v>1230414</v>
      </c>
      <c r="C201" t="n">
        <v>5051495</v>
      </c>
      <c r="D201" t="n">
        <v>8824.0595703125</v>
      </c>
    </row>
    <row r="202">
      <c r="A202" s="62" t="n">
        <v>40422</v>
      </c>
      <c r="B202" t="n">
        <v>1203317</v>
      </c>
      <c r="C202" t="n">
        <v>5051495</v>
      </c>
      <c r="D202" t="n">
        <v>9369.349609375</v>
      </c>
    </row>
    <row r="203">
      <c r="A203" s="62" t="n">
        <v>40452</v>
      </c>
      <c r="B203" t="n">
        <v>1214171</v>
      </c>
      <c r="C203" t="n">
        <v>5051495</v>
      </c>
      <c r="D203" t="n">
        <v>9202.4501953125</v>
      </c>
    </row>
    <row r="204">
      <c r="A204" s="62" t="n">
        <v>40483</v>
      </c>
      <c r="B204" t="n">
        <v>1270457</v>
      </c>
      <c r="C204" t="n">
        <v>4986240</v>
      </c>
      <c r="D204" t="n">
        <v>9937.0400390625</v>
      </c>
    </row>
    <row r="205">
      <c r="A205" s="62" t="n">
        <v>40513</v>
      </c>
      <c r="B205" t="n">
        <v>1287104</v>
      </c>
      <c r="C205" t="n">
        <v>4986240</v>
      </c>
      <c r="D205" t="n">
        <v>10228.919921875</v>
      </c>
    </row>
    <row r="206">
      <c r="A206" s="62" t="n">
        <v>40544</v>
      </c>
      <c r="B206" t="n">
        <v>1279996</v>
      </c>
      <c r="C206" t="n">
        <v>4986240</v>
      </c>
      <c r="D206" t="n">
        <v>10237.919921875</v>
      </c>
    </row>
    <row r="207">
      <c r="A207" s="62" t="n">
        <v>40575</v>
      </c>
      <c r="B207" t="n">
        <v>1301181</v>
      </c>
      <c r="C207" t="n">
        <v>4908588</v>
      </c>
      <c r="D207" t="n">
        <v>10624.08984375</v>
      </c>
    </row>
    <row r="208">
      <c r="A208" s="62" t="n">
        <v>40603</v>
      </c>
      <c r="B208" t="n">
        <v>1423631</v>
      </c>
      <c r="C208" t="n">
        <v>4908588</v>
      </c>
      <c r="D208" t="n">
        <v>9755.099609375</v>
      </c>
    </row>
    <row r="209">
      <c r="A209" s="62" t="n">
        <v>40634</v>
      </c>
      <c r="B209" t="n">
        <v>1346213</v>
      </c>
      <c r="C209" t="n">
        <v>4908588</v>
      </c>
      <c r="D209" t="n">
        <v>9849.740234375</v>
      </c>
    </row>
    <row r="210">
      <c r="A210" s="62" t="n">
        <v>40664</v>
      </c>
      <c r="B210" t="n">
        <v>1351200</v>
      </c>
      <c r="C210" t="n">
        <v>5010452</v>
      </c>
      <c r="D210" t="n">
        <v>9693.73046875</v>
      </c>
    </row>
    <row r="211">
      <c r="A211" s="62" t="n">
        <v>40695</v>
      </c>
      <c r="B211" t="n">
        <v>1295844</v>
      </c>
      <c r="C211" t="n">
        <v>5010452</v>
      </c>
      <c r="D211" t="n">
        <v>9816.08984375</v>
      </c>
    </row>
    <row r="212">
      <c r="A212" s="62" t="n">
        <v>40725</v>
      </c>
      <c r="B212" t="n">
        <v>1344737</v>
      </c>
      <c r="C212" t="n">
        <v>5010452</v>
      </c>
      <c r="D212" t="n">
        <v>9833.0302734375</v>
      </c>
    </row>
    <row r="213">
      <c r="A213" s="62" t="n">
        <v>40756</v>
      </c>
      <c r="B213" t="n">
        <v>1414829</v>
      </c>
      <c r="C213" t="n">
        <v>5001452</v>
      </c>
      <c r="D213" t="n">
        <v>8955.2001953125</v>
      </c>
    </row>
    <row r="214">
      <c r="A214" s="62" t="n">
        <v>40787</v>
      </c>
      <c r="B214" t="n">
        <v>1376890</v>
      </c>
      <c r="C214" t="n">
        <v>5001452</v>
      </c>
      <c r="D214" t="n">
        <v>8700.2900390625</v>
      </c>
    </row>
    <row r="215">
      <c r="A215" s="62" t="n">
        <v>40817</v>
      </c>
      <c r="B215" t="n">
        <v>1329858</v>
      </c>
      <c r="C215" t="n">
        <v>5001452</v>
      </c>
      <c r="D215" t="n">
        <v>8988.3896484375</v>
      </c>
    </row>
    <row r="216">
      <c r="A216" s="62" t="n">
        <v>40848</v>
      </c>
      <c r="B216" t="n">
        <v>1432056</v>
      </c>
      <c r="C216" t="n">
        <v>5074995</v>
      </c>
      <c r="D216" t="n">
        <v>8434.6103515625</v>
      </c>
    </row>
    <row r="217">
      <c r="A217" s="62" t="n">
        <v>40878</v>
      </c>
      <c r="B217" t="n">
        <v>1430219</v>
      </c>
      <c r="C217" t="n">
        <v>5074995</v>
      </c>
      <c r="D217" t="n">
        <v>8455.349609375</v>
      </c>
    </row>
    <row r="218">
      <c r="A218" s="62" t="n">
        <v>40909</v>
      </c>
      <c r="B218" t="n">
        <v>1369064</v>
      </c>
      <c r="C218" t="n">
        <v>5074995</v>
      </c>
      <c r="D218" t="n">
        <v>8802.509765625</v>
      </c>
    </row>
    <row r="219">
      <c r="A219" s="62" t="n">
        <v>40940</v>
      </c>
      <c r="B219" t="n">
        <v>1442443</v>
      </c>
      <c r="C219" t="n">
        <v>5002979</v>
      </c>
      <c r="D219" t="n">
        <v>9723.240234375</v>
      </c>
    </row>
    <row r="220">
      <c r="A220" s="62" t="n">
        <v>40969</v>
      </c>
      <c r="B220" t="n">
        <v>1394569</v>
      </c>
      <c r="C220" t="n">
        <v>5002979</v>
      </c>
      <c r="D220" t="n">
        <v>10083.5595703125</v>
      </c>
    </row>
    <row r="221">
      <c r="A221" s="62" t="n">
        <v>41000</v>
      </c>
      <c r="B221" t="n">
        <v>1412065</v>
      </c>
      <c r="C221" t="n">
        <v>5002979</v>
      </c>
      <c r="D221" t="n">
        <v>9520.8896484375</v>
      </c>
    </row>
    <row r="222">
      <c r="A222" s="62" t="n">
        <v>41030</v>
      </c>
      <c r="B222" t="n">
        <v>1428007</v>
      </c>
      <c r="C222" t="n">
        <v>4975506</v>
      </c>
      <c r="D222" t="n">
        <v>8542.73046875</v>
      </c>
    </row>
    <row r="223">
      <c r="A223" s="62" t="n">
        <v>41061</v>
      </c>
      <c r="B223" t="n">
        <v>1436265</v>
      </c>
      <c r="C223" t="n">
        <v>4975506</v>
      </c>
      <c r="D223" t="n">
        <v>9006.7802734375</v>
      </c>
    </row>
    <row r="224">
      <c r="A224" s="62" t="n">
        <v>41091</v>
      </c>
      <c r="B224" t="n">
        <v>1454954</v>
      </c>
      <c r="C224" t="n">
        <v>4975506</v>
      </c>
      <c r="D224" t="n">
        <v>8695.0595703125</v>
      </c>
    </row>
    <row r="225">
      <c r="A225" s="62" t="n">
        <v>41122</v>
      </c>
      <c r="B225" t="n">
        <v>1499672</v>
      </c>
      <c r="C225" t="n">
        <v>4971491</v>
      </c>
      <c r="D225" t="n">
        <v>8839.91015625</v>
      </c>
    </row>
    <row r="226">
      <c r="A226" s="62" t="n">
        <v>41153</v>
      </c>
      <c r="B226" t="n">
        <v>1499208</v>
      </c>
      <c r="C226" t="n">
        <v>4971491</v>
      </c>
      <c r="D226" t="n">
        <v>8870.16015625</v>
      </c>
    </row>
    <row r="227">
      <c r="A227" s="62" t="n">
        <v>41183</v>
      </c>
      <c r="B227" t="n">
        <v>1537316</v>
      </c>
      <c r="C227" t="n">
        <v>4971491</v>
      </c>
      <c r="D227" t="n">
        <v>8928.2900390625</v>
      </c>
    </row>
    <row r="228">
      <c r="A228" s="62" t="n">
        <v>41214</v>
      </c>
      <c r="B228" t="n">
        <v>1563579</v>
      </c>
      <c r="C228" t="n">
        <v>5029790</v>
      </c>
      <c r="D228" t="n">
        <v>9446.009765625</v>
      </c>
    </row>
    <row r="229">
      <c r="A229" s="62" t="n">
        <v>41244</v>
      </c>
      <c r="B229" t="n">
        <v>1583627</v>
      </c>
      <c r="C229" t="n">
        <v>5029790</v>
      </c>
      <c r="D229" t="n">
        <v>10395.1796875</v>
      </c>
    </row>
    <row r="230">
      <c r="A230" s="62" t="n">
        <v>41275</v>
      </c>
      <c r="B230" t="n">
        <v>1597903</v>
      </c>
      <c r="C230" t="n">
        <v>5029790</v>
      </c>
      <c r="D230" t="n">
        <v>11138.66015625</v>
      </c>
    </row>
    <row r="231">
      <c r="A231" s="62" t="n">
        <v>41306</v>
      </c>
      <c r="B231" t="n">
        <v>1635325</v>
      </c>
      <c r="C231" t="n">
        <v>5076095</v>
      </c>
      <c r="D231" t="n">
        <v>11559.3603515625</v>
      </c>
    </row>
    <row r="232">
      <c r="A232" s="62" t="n">
        <v>41334</v>
      </c>
      <c r="B232" t="n">
        <v>1648127</v>
      </c>
      <c r="C232" t="n">
        <v>5076095</v>
      </c>
      <c r="D232" t="n">
        <v>12397.91015625</v>
      </c>
    </row>
    <row r="233">
      <c r="A233" s="62" t="n">
        <v>41365</v>
      </c>
      <c r="B233" t="n">
        <v>1746913</v>
      </c>
      <c r="C233" t="n">
        <v>5076095</v>
      </c>
      <c r="D233" t="n">
        <v>13860.8603515625</v>
      </c>
    </row>
    <row r="234">
      <c r="A234" s="62" t="n">
        <v>41395</v>
      </c>
      <c r="B234" t="n">
        <v>1842861</v>
      </c>
      <c r="C234" t="n">
        <v>5128733</v>
      </c>
      <c r="D234" t="n">
        <v>13774.5400390625</v>
      </c>
    </row>
    <row r="235">
      <c r="A235" s="62" t="n">
        <v>41426</v>
      </c>
      <c r="B235" t="n">
        <v>1870684</v>
      </c>
      <c r="C235" t="n">
        <v>5128733</v>
      </c>
      <c r="D235" t="n">
        <v>13677.3203125</v>
      </c>
    </row>
    <row r="236">
      <c r="A236" s="62" t="n">
        <v>41456</v>
      </c>
      <c r="B236" t="n">
        <v>1967581</v>
      </c>
      <c r="C236" t="n">
        <v>5128733</v>
      </c>
      <c r="D236" t="n">
        <v>13668.3203125</v>
      </c>
    </row>
    <row r="237">
      <c r="A237" s="62" t="n">
        <v>41487</v>
      </c>
      <c r="B237" t="n">
        <v>2056918</v>
      </c>
      <c r="C237" t="n">
        <v>5123909</v>
      </c>
      <c r="D237" t="n">
        <v>13388.8603515625</v>
      </c>
    </row>
    <row r="238">
      <c r="A238" s="62" t="n">
        <v>41518</v>
      </c>
      <c r="B238" t="n">
        <v>2088625</v>
      </c>
      <c r="C238" t="n">
        <v>5123909</v>
      </c>
      <c r="D238" t="n">
        <v>14455.7998046875</v>
      </c>
    </row>
    <row r="239">
      <c r="A239" s="62" t="n">
        <v>41548</v>
      </c>
      <c r="B239" t="n">
        <v>2155142</v>
      </c>
      <c r="C239" t="n">
        <v>5123909</v>
      </c>
      <c r="D239" t="n">
        <v>14327.9404296875</v>
      </c>
    </row>
    <row r="240">
      <c r="A240" s="62" t="n">
        <v>41579</v>
      </c>
      <c r="B240" t="n">
        <v>2240888</v>
      </c>
      <c r="C240" t="n">
        <v>5166830</v>
      </c>
      <c r="D240" t="n">
        <v>15661.8701171875</v>
      </c>
    </row>
    <row r="241">
      <c r="A241" s="62" t="n">
        <v>41609</v>
      </c>
      <c r="B241" t="n">
        <v>2241897</v>
      </c>
      <c r="C241" t="n">
        <v>5166830</v>
      </c>
      <c r="D241" t="n">
        <v>16291.3095703125</v>
      </c>
    </row>
    <row r="242">
      <c r="A242" s="62" t="n">
        <v>41640</v>
      </c>
      <c r="B242" t="n">
        <v>2321780</v>
      </c>
      <c r="C242" t="n">
        <v>5166830</v>
      </c>
      <c r="D242" t="n">
        <v>14914.5302734375</v>
      </c>
    </row>
    <row r="243">
      <c r="A243" s="62" t="n">
        <v>41671</v>
      </c>
      <c r="B243" t="n">
        <v>2404502</v>
      </c>
      <c r="C243" t="n">
        <v>5179167</v>
      </c>
      <c r="D243" t="n">
        <v>14841.0703125</v>
      </c>
    </row>
    <row r="244">
      <c r="A244" s="62" t="n">
        <v>41699</v>
      </c>
      <c r="B244" t="n">
        <v>2415798</v>
      </c>
      <c r="C244" t="n">
        <v>5179167</v>
      </c>
      <c r="D244" t="n">
        <v>14827.830078125</v>
      </c>
    </row>
    <row r="245">
      <c r="A245" s="62" t="n">
        <v>41730</v>
      </c>
      <c r="B245" t="n">
        <v>2461764</v>
      </c>
      <c r="C245" t="n">
        <v>5179167</v>
      </c>
      <c r="D245" t="n">
        <v>14304.1103515625</v>
      </c>
    </row>
    <row r="246">
      <c r="A246" s="62" t="n">
        <v>41760</v>
      </c>
      <c r="B246" t="n">
        <v>2539730</v>
      </c>
      <c r="C246" t="n">
        <v>5182837</v>
      </c>
      <c r="D246" t="n">
        <v>14632.3798828125</v>
      </c>
    </row>
    <row r="247">
      <c r="A247" s="62" t="n">
        <v>41791</v>
      </c>
      <c r="B247" t="n">
        <v>2577613</v>
      </c>
      <c r="C247" t="n">
        <v>5182837</v>
      </c>
      <c r="D247" t="n">
        <v>15162.099609375</v>
      </c>
    </row>
    <row r="248">
      <c r="A248" s="62" t="n">
        <v>41821</v>
      </c>
      <c r="B248" t="n">
        <v>2689676</v>
      </c>
      <c r="C248" t="n">
        <v>5182837</v>
      </c>
      <c r="D248" t="n">
        <v>15620.76953125</v>
      </c>
    </row>
    <row r="249">
      <c r="A249" s="62" t="n">
        <v>41852</v>
      </c>
      <c r="B249" t="n">
        <v>2758955</v>
      </c>
      <c r="C249" t="n">
        <v>5220503</v>
      </c>
      <c r="D249" t="n">
        <v>15424.58984375</v>
      </c>
    </row>
    <row r="250">
      <c r="A250" s="62" t="n">
        <v>41883</v>
      </c>
      <c r="B250" t="n">
        <v>2770994</v>
      </c>
      <c r="C250" t="n">
        <v>5220503</v>
      </c>
      <c r="D250" t="n">
        <v>16173.51953125</v>
      </c>
    </row>
    <row r="251">
      <c r="A251" s="62" t="n">
        <v>41913</v>
      </c>
      <c r="B251" t="n">
        <v>2868380</v>
      </c>
      <c r="C251" t="n">
        <v>5220503</v>
      </c>
      <c r="D251" t="n">
        <v>16413.759765625</v>
      </c>
    </row>
    <row r="252">
      <c r="A252" s="62" t="n">
        <v>41944</v>
      </c>
      <c r="B252" t="n">
        <v>2973747</v>
      </c>
      <c r="C252" t="n">
        <v>5347405</v>
      </c>
      <c r="D252" t="n">
        <v>17459.849609375</v>
      </c>
    </row>
    <row r="253">
      <c r="A253" s="62" t="n">
        <v>41974</v>
      </c>
      <c r="B253" t="n">
        <v>3002117</v>
      </c>
      <c r="C253" t="n">
        <v>5347405</v>
      </c>
      <c r="D253" t="n">
        <v>17450.76953125</v>
      </c>
    </row>
    <row r="254">
      <c r="A254" s="62" t="n">
        <v>42005</v>
      </c>
      <c r="B254" t="n">
        <v>3111731</v>
      </c>
      <c r="C254" t="n">
        <v>5347405</v>
      </c>
      <c r="D254" t="n">
        <v>17674.390625</v>
      </c>
    </row>
    <row r="255">
      <c r="A255" s="62" t="n">
        <v>42036</v>
      </c>
      <c r="B255" t="n">
        <v>3204418</v>
      </c>
      <c r="C255" t="n">
        <v>5381856</v>
      </c>
      <c r="D255" t="n">
        <v>18797.939453125</v>
      </c>
    </row>
    <row r="256">
      <c r="A256" s="62" t="n">
        <v>42064</v>
      </c>
      <c r="B256" t="n">
        <v>3235937</v>
      </c>
      <c r="C256" t="n">
        <v>5381856</v>
      </c>
      <c r="D256" t="n">
        <v>19206.990234375</v>
      </c>
    </row>
    <row r="257">
      <c r="A257" s="62" t="n">
        <v>42095</v>
      </c>
      <c r="B257" t="n">
        <v>3328186</v>
      </c>
      <c r="C257" t="n">
        <v>5381856</v>
      </c>
      <c r="D257" t="n">
        <v>19520.009765625</v>
      </c>
    </row>
    <row r="258">
      <c r="A258" s="62" t="n">
        <v>42125</v>
      </c>
      <c r="B258" t="n">
        <v>3431402</v>
      </c>
      <c r="C258" t="n">
        <v>5399504</v>
      </c>
      <c r="D258" t="n">
        <v>20563.150390625</v>
      </c>
    </row>
    <row r="259">
      <c r="A259" s="62" t="n">
        <v>42156</v>
      </c>
      <c r="B259" t="n">
        <v>3454395</v>
      </c>
      <c r="C259" t="n">
        <v>5399504</v>
      </c>
      <c r="D259" t="n">
        <v>20235.73046875</v>
      </c>
    </row>
    <row r="260">
      <c r="A260" s="62" t="n">
        <v>42186</v>
      </c>
      <c r="B260" t="n">
        <v>3542941</v>
      </c>
      <c r="C260" t="n">
        <v>5399504</v>
      </c>
      <c r="D260" t="n">
        <v>20585.240234375</v>
      </c>
    </row>
    <row r="261">
      <c r="A261" s="62" t="n">
        <v>42217</v>
      </c>
      <c r="B261" t="n">
        <v>3614591</v>
      </c>
      <c r="C261" t="n">
        <v>5392928</v>
      </c>
      <c r="D261" t="n">
        <v>18890.48046875</v>
      </c>
    </row>
    <row r="262">
      <c r="A262" s="62" t="n">
        <v>42248</v>
      </c>
      <c r="B262" t="n">
        <v>3661278</v>
      </c>
      <c r="C262" t="n">
        <v>5392928</v>
      </c>
      <c r="D262" t="n">
        <v>17388.150390625</v>
      </c>
    </row>
    <row r="263">
      <c r="A263" s="62" t="n">
        <v>42278</v>
      </c>
      <c r="B263" t="n">
        <v>3735537</v>
      </c>
      <c r="C263" t="n">
        <v>5392928</v>
      </c>
      <c r="D263" t="n">
        <v>19083.099609375</v>
      </c>
    </row>
    <row r="264">
      <c r="A264" s="62" t="n">
        <v>42309</v>
      </c>
      <c r="B264" t="n">
        <v>3812542</v>
      </c>
      <c r="C264" t="n">
        <v>5452856</v>
      </c>
      <c r="D264" t="n">
        <v>19747.470703125</v>
      </c>
    </row>
    <row r="265">
      <c r="A265" s="62" t="n">
        <v>42339</v>
      </c>
      <c r="B265" t="n">
        <v>3831076</v>
      </c>
      <c r="C265" t="n">
        <v>5452856</v>
      </c>
      <c r="D265" t="n">
        <v>19033.7109375</v>
      </c>
    </row>
    <row r="266">
      <c r="A266" s="62" t="n">
        <v>42370</v>
      </c>
      <c r="B266" t="n">
        <v>3964498</v>
      </c>
      <c r="C266" t="n">
        <v>5452856</v>
      </c>
      <c r="D266" t="n">
        <v>17518.30078125</v>
      </c>
    </row>
    <row r="267">
      <c r="A267" s="62" t="n">
        <v>42401</v>
      </c>
      <c r="B267" t="n">
        <v>4037909</v>
      </c>
      <c r="C267" t="n">
        <v>5433961</v>
      </c>
      <c r="D267" t="n">
        <v>16026.759765625</v>
      </c>
    </row>
    <row r="268">
      <c r="A268" s="62" t="n">
        <v>42430</v>
      </c>
      <c r="B268" t="n">
        <v>4056481</v>
      </c>
      <c r="C268" t="n">
        <v>5433961</v>
      </c>
      <c r="D268" t="n">
        <v>16758.669921875</v>
      </c>
    </row>
    <row r="269">
      <c r="A269" s="62" t="n">
        <v>42461</v>
      </c>
      <c r="B269" t="n">
        <v>4144163</v>
      </c>
      <c r="C269" t="n">
        <v>5433961</v>
      </c>
      <c r="D269" t="n">
        <v>16666.05078125</v>
      </c>
    </row>
    <row r="270">
      <c r="A270" s="62" t="n">
        <v>42491</v>
      </c>
      <c r="B270" t="n">
        <v>4256697</v>
      </c>
      <c r="C270" t="n">
        <v>5436481</v>
      </c>
      <c r="D270" t="n">
        <v>17234.98046875</v>
      </c>
    </row>
    <row r="271">
      <c r="A271" s="62" t="n">
        <v>42522</v>
      </c>
      <c r="B271" t="n">
        <v>4327586</v>
      </c>
      <c r="C271" t="n">
        <v>5436481</v>
      </c>
      <c r="D271" t="n">
        <v>15575.919921875</v>
      </c>
    </row>
    <row r="272">
      <c r="A272" s="62" t="n">
        <v>42552</v>
      </c>
      <c r="B272" t="n">
        <v>4430848</v>
      </c>
      <c r="C272" t="n">
        <v>5436481</v>
      </c>
      <c r="D272" t="n">
        <v>16569.26953125</v>
      </c>
    </row>
    <row r="273">
      <c r="A273" s="62" t="n">
        <v>42583</v>
      </c>
      <c r="B273" t="n">
        <v>4529802</v>
      </c>
      <c r="C273" t="n">
        <v>5445165</v>
      </c>
      <c r="D273" t="n">
        <v>16887.400390625</v>
      </c>
    </row>
    <row r="274">
      <c r="A274" s="62" t="n">
        <v>42614</v>
      </c>
      <c r="B274" t="n">
        <v>4568058</v>
      </c>
      <c r="C274" t="n">
        <v>5445165</v>
      </c>
      <c r="D274" t="n">
        <v>16449.83984375</v>
      </c>
    </row>
    <row r="275">
      <c r="A275" s="62" t="n">
        <v>42644</v>
      </c>
      <c r="B275" t="n">
        <v>4633922</v>
      </c>
      <c r="C275" t="n">
        <v>5445165</v>
      </c>
      <c r="D275" t="n">
        <v>17425.01953125</v>
      </c>
    </row>
    <row r="276">
      <c r="A276" s="62" t="n">
        <v>42675</v>
      </c>
      <c r="B276" t="n">
        <v>4711310</v>
      </c>
      <c r="C276" t="n">
        <v>5475879</v>
      </c>
      <c r="D276" t="n">
        <v>18308.48046875</v>
      </c>
    </row>
    <row r="277">
      <c r="A277" s="62" t="n">
        <v>42705</v>
      </c>
      <c r="B277" t="n">
        <v>4764980</v>
      </c>
      <c r="C277" t="n">
        <v>5475879</v>
      </c>
      <c r="D277" t="n">
        <v>19114.369140625</v>
      </c>
    </row>
    <row r="278">
      <c r="A278" s="62" t="n">
        <v>42736</v>
      </c>
      <c r="B278" t="n">
        <v>4819817</v>
      </c>
      <c r="C278" t="n">
        <v>5475879</v>
      </c>
      <c r="D278" t="n">
        <v>19041.33984375</v>
      </c>
    </row>
    <row r="279">
      <c r="A279" s="62" t="n">
        <v>42767</v>
      </c>
      <c r="B279" t="n">
        <v>4879011</v>
      </c>
      <c r="C279" t="n">
        <v>5506237</v>
      </c>
      <c r="D279" t="n">
        <v>19118.990234375</v>
      </c>
    </row>
    <row r="280">
      <c r="A280" s="62" t="n">
        <v>42795</v>
      </c>
      <c r="B280" t="n">
        <v>4900893</v>
      </c>
      <c r="C280" t="n">
        <v>5506237</v>
      </c>
      <c r="D280" t="n">
        <v>18909.259765625</v>
      </c>
    </row>
    <row r="281">
      <c r="A281" s="62" t="n">
        <v>42826</v>
      </c>
      <c r="B281" t="n">
        <v>4977463</v>
      </c>
      <c r="C281" t="n">
        <v>5506237</v>
      </c>
      <c r="D281" t="n">
        <v>19196.740234375</v>
      </c>
    </row>
    <row r="282">
      <c r="A282" s="62" t="n">
        <v>42856</v>
      </c>
      <c r="B282" t="n">
        <v>5008008</v>
      </c>
      <c r="C282" t="n">
        <v>5571996</v>
      </c>
      <c r="D282" t="n">
        <v>19650.5703125</v>
      </c>
    </row>
    <row r="283">
      <c r="A283" s="62" t="n">
        <v>42887</v>
      </c>
      <c r="B283" t="n">
        <v>5021084</v>
      </c>
      <c r="C283" t="n">
        <v>5571996</v>
      </c>
      <c r="D283" t="n">
        <v>20033.4296875</v>
      </c>
    </row>
    <row r="284">
      <c r="A284" s="62" t="n">
        <v>42917</v>
      </c>
      <c r="B284" t="n">
        <v>5055602</v>
      </c>
      <c r="C284" t="n">
        <v>5571996</v>
      </c>
      <c r="D284" t="n">
        <v>19925.1796875</v>
      </c>
    </row>
    <row r="285">
      <c r="A285" s="62" t="n">
        <v>42948</v>
      </c>
      <c r="B285" t="n">
        <v>5115845</v>
      </c>
      <c r="C285" t="n">
        <v>5568103</v>
      </c>
      <c r="D285" t="n">
        <v>19646.240234375</v>
      </c>
    </row>
    <row r="286">
      <c r="A286" s="62" t="n">
        <v>42979</v>
      </c>
      <c r="B286" t="n">
        <v>5134438</v>
      </c>
      <c r="C286" t="n">
        <v>5568103</v>
      </c>
      <c r="D286" t="n">
        <v>20356.279296875</v>
      </c>
    </row>
    <row r="287">
      <c r="A287" s="62" t="n">
        <v>43009</v>
      </c>
      <c r="B287" t="n">
        <v>5180461</v>
      </c>
      <c r="C287" t="n">
        <v>5568103</v>
      </c>
      <c r="D287" t="n">
        <v>22011.609375</v>
      </c>
    </row>
    <row r="288">
      <c r="A288" s="62" t="n">
        <v>43040</v>
      </c>
      <c r="B288" t="n">
        <v>5218600</v>
      </c>
      <c r="C288" t="n">
        <v>5582660</v>
      </c>
      <c r="D288" t="n">
        <v>22724.9609375</v>
      </c>
    </row>
    <row r="289">
      <c r="A289" s="62" t="n">
        <v>43070</v>
      </c>
      <c r="B289" t="n">
        <v>5214161</v>
      </c>
      <c r="C289" t="n">
        <v>5582660</v>
      </c>
      <c r="D289" t="n">
        <v>22764.939453125</v>
      </c>
    </row>
    <row r="290">
      <c r="A290" s="62" t="n">
        <v>43101</v>
      </c>
      <c r="B290" t="n">
        <v>5267036</v>
      </c>
      <c r="C290" t="n">
        <v>5582660</v>
      </c>
      <c r="D290" t="n">
        <v>23098.2890625</v>
      </c>
    </row>
    <row r="291">
      <c r="A291" s="62" t="n">
        <v>43132</v>
      </c>
      <c r="B291" t="n">
        <v>5331792</v>
      </c>
      <c r="C291" t="n">
        <v>5589303</v>
      </c>
      <c r="D291" t="n">
        <v>22068.240234375</v>
      </c>
    </row>
    <row r="292">
      <c r="A292" s="62" t="n">
        <v>43160</v>
      </c>
      <c r="B292" t="n">
        <v>5282856</v>
      </c>
      <c r="C292" t="n">
        <v>5589303</v>
      </c>
      <c r="D292" t="n">
        <v>21454.30078125</v>
      </c>
    </row>
    <row r="293">
      <c r="A293" s="62" t="n">
        <v>43191</v>
      </c>
      <c r="B293" t="n">
        <v>5350510</v>
      </c>
      <c r="C293" t="n">
        <v>5589303</v>
      </c>
      <c r="D293" t="n">
        <v>22467.869140625</v>
      </c>
    </row>
    <row r="294">
      <c r="A294" s="62" t="n">
        <v>43221</v>
      </c>
      <c r="B294" t="n">
        <v>5408036</v>
      </c>
      <c r="C294" t="n">
        <v>5554805</v>
      </c>
      <c r="D294" t="n">
        <v>22201.8203125</v>
      </c>
    </row>
    <row r="295">
      <c r="A295" s="62" t="n">
        <v>43252</v>
      </c>
      <c r="B295" t="n">
        <v>5370168</v>
      </c>
      <c r="C295" t="n">
        <v>5554805</v>
      </c>
      <c r="D295" t="n">
        <v>22304.509765625</v>
      </c>
    </row>
    <row r="296">
      <c r="A296" s="62" t="n">
        <v>43282</v>
      </c>
      <c r="B296" t="n">
        <v>5463108</v>
      </c>
      <c r="C296" t="n">
        <v>5554805</v>
      </c>
      <c r="D296" t="n">
        <v>22553.720703125</v>
      </c>
    </row>
    <row r="297">
      <c r="A297" s="62" t="n">
        <v>43313</v>
      </c>
      <c r="B297" t="n">
        <v>5509363</v>
      </c>
      <c r="C297" t="n">
        <v>5536085</v>
      </c>
      <c r="D297" t="n">
        <v>22865.150390625</v>
      </c>
    </row>
    <row r="298">
      <c r="A298" s="62" t="n">
        <v>43344</v>
      </c>
      <c r="B298" t="n">
        <v>5456615</v>
      </c>
      <c r="C298" t="n">
        <v>5536085</v>
      </c>
      <c r="D298" t="n">
        <v>24120.0390625</v>
      </c>
    </row>
    <row r="299">
      <c r="A299" s="62" t="n">
        <v>43374</v>
      </c>
      <c r="B299" t="n">
        <v>5518054</v>
      </c>
      <c r="C299" t="n">
        <v>5536085</v>
      </c>
      <c r="D299" t="n">
        <v>21920.4609375</v>
      </c>
    </row>
    <row r="300">
      <c r="A300" s="62" t="n">
        <v>43405</v>
      </c>
      <c r="B300" t="n">
        <v>5555010</v>
      </c>
      <c r="C300" t="n">
        <v>5585692</v>
      </c>
      <c r="D300" t="n">
        <v>22351.060546875</v>
      </c>
    </row>
    <row r="301">
      <c r="A301" s="62" t="n">
        <v>43435</v>
      </c>
      <c r="B301" t="n">
        <v>5520843</v>
      </c>
      <c r="C301" t="n">
        <v>5585692</v>
      </c>
      <c r="D301" t="n">
        <v>20014.76953125</v>
      </c>
    </row>
    <row r="302">
      <c r="A302" s="62" t="n">
        <v>43466</v>
      </c>
      <c r="B302" t="n">
        <v>5569180</v>
      </c>
      <c r="C302" t="n">
        <v>5585692</v>
      </c>
      <c r="D302" t="n">
        <v>20773.490234375</v>
      </c>
    </row>
    <row r="303">
      <c r="A303" s="62" t="n">
        <v>43497</v>
      </c>
      <c r="B303" t="n">
        <v>5619262</v>
      </c>
      <c r="C303" t="n">
        <v>5608330</v>
      </c>
      <c r="D303" t="n">
        <v>21385.16015625</v>
      </c>
    </row>
    <row r="304">
      <c r="A304" s="62" t="n">
        <v>43525</v>
      </c>
      <c r="B304" t="n">
        <v>5570243</v>
      </c>
      <c r="C304" t="n">
        <v>5608330</v>
      </c>
      <c r="D304" t="n">
        <v>21205.810546875</v>
      </c>
    </row>
    <row r="305">
      <c r="A305" s="62" t="n">
        <v>43556</v>
      </c>
      <c r="B305" t="n">
        <v>5620357</v>
      </c>
      <c r="C305" t="n">
        <v>5608330</v>
      </c>
      <c r="D305" t="n">
        <v>22258.73046875</v>
      </c>
    </row>
    <row r="306">
      <c r="A306" s="62" t="n">
        <v>43586</v>
      </c>
      <c r="B306" t="n">
        <v>5671565</v>
      </c>
      <c r="C306" t="n">
        <v>5615747</v>
      </c>
      <c r="D306" t="n">
        <v>20601.189453125</v>
      </c>
    </row>
    <row r="307">
      <c r="A307" s="62" t="n">
        <v>43617</v>
      </c>
      <c r="B307" t="n">
        <v>5648665</v>
      </c>
      <c r="C307" t="n">
        <v>5615747</v>
      </c>
      <c r="D307" t="n">
        <v>21275.919921875</v>
      </c>
    </row>
    <row r="308">
      <c r="A308" s="62" t="n">
        <v>43647</v>
      </c>
      <c r="B308" t="n">
        <v>5683142</v>
      </c>
      <c r="C308" t="n">
        <v>5615747</v>
      </c>
      <c r="D308" t="n">
        <v>21521.529296875</v>
      </c>
    </row>
    <row r="309">
      <c r="A309" s="62" t="n">
        <v>43678</v>
      </c>
      <c r="B309" t="n">
        <v>5727192</v>
      </c>
      <c r="C309" t="n">
        <v>5504221</v>
      </c>
      <c r="D309" t="n">
        <v>20704.369140625</v>
      </c>
    </row>
    <row r="310">
      <c r="A310" s="62" t="n">
        <v>43709</v>
      </c>
      <c r="B310" t="n">
        <v>5698026</v>
      </c>
      <c r="C310" t="n">
        <v>5504221</v>
      </c>
      <c r="D310" t="n">
        <v>21755.83984375</v>
      </c>
    </row>
    <row r="311">
      <c r="A311" s="62" t="n">
        <v>43739</v>
      </c>
      <c r="B311" t="n">
        <v>5756702</v>
      </c>
      <c r="C311" t="n">
        <v>5504221</v>
      </c>
      <c r="D311" t="n">
        <v>22927.0390625</v>
      </c>
    </row>
    <row r="312">
      <c r="A312" s="62" t="n">
        <v>43770</v>
      </c>
      <c r="B312" t="n">
        <v>5785322</v>
      </c>
      <c r="C312" t="n">
        <v>5543519</v>
      </c>
      <c r="D312" t="n">
        <v>23293.91015625</v>
      </c>
    </row>
    <row r="313">
      <c r="A313" s="62" t="n">
        <v>43800</v>
      </c>
      <c r="B313" t="n">
        <v>5730531</v>
      </c>
      <c r="C313" t="n">
        <v>5543519</v>
      </c>
      <c r="D313" t="n">
        <v>23656.619140625</v>
      </c>
    </row>
    <row r="314">
      <c r="A314" s="62" t="n">
        <v>43831</v>
      </c>
      <c r="B314" t="n">
        <v>5783352</v>
      </c>
      <c r="C314" t="n">
        <v>5543519</v>
      </c>
      <c r="D314" t="n">
        <v>23205.1796875</v>
      </c>
    </row>
    <row r="315">
      <c r="A315" s="62" t="n">
        <v>43862</v>
      </c>
      <c r="B315" t="n">
        <v>5849208</v>
      </c>
      <c r="C315" t="n">
        <v>5126478</v>
      </c>
      <c r="D315" t="n">
        <v>21142.9609375</v>
      </c>
    </row>
    <row r="316">
      <c r="A316" s="62" t="n">
        <v>43891</v>
      </c>
      <c r="B316" t="n">
        <v>6044846</v>
      </c>
      <c r="C316" t="n">
        <v>5126478</v>
      </c>
      <c r="D316" t="n">
        <v>18917.009765625</v>
      </c>
    </row>
    <row r="317">
      <c r="A317" s="62" t="n">
        <v>43922</v>
      </c>
      <c r="B317" t="n">
        <v>6190306</v>
      </c>
      <c r="C317" t="n">
        <v>5126478</v>
      </c>
      <c r="D317" t="n">
        <v>20193.689453125</v>
      </c>
    </row>
    <row r="318">
      <c r="A318" s="62" t="n">
        <v>43952</v>
      </c>
      <c r="B318" t="n">
        <v>6385922</v>
      </c>
      <c r="C318" t="n">
        <v>5395419</v>
      </c>
      <c r="D318" t="n">
        <v>21877.890625</v>
      </c>
    </row>
    <row r="319">
      <c r="A319" s="62" t="n">
        <v>43983</v>
      </c>
      <c r="B319" t="n">
        <v>6489462</v>
      </c>
      <c r="C319" t="n">
        <v>5395419</v>
      </c>
      <c r="D319" t="n">
        <v>22288.140625</v>
      </c>
    </row>
    <row r="320">
      <c r="A320" s="62" t="n">
        <v>44013</v>
      </c>
      <c r="B320" t="n">
        <v>6658852</v>
      </c>
      <c r="C320" t="n">
        <v>5395419</v>
      </c>
      <c r="D320" t="n">
        <v>21710</v>
      </c>
    </row>
    <row r="321">
      <c r="A321" s="62" t="n">
        <v>44044</v>
      </c>
      <c r="B321" t="n">
        <v>6828990</v>
      </c>
      <c r="C321" t="n">
        <v>5486892</v>
      </c>
      <c r="D321" t="n">
        <v>23139.759765625</v>
      </c>
    </row>
    <row r="322">
      <c r="A322" s="62" t="n">
        <v>44075</v>
      </c>
      <c r="B322" t="n">
        <v>6900269</v>
      </c>
      <c r="C322" t="n">
        <v>5486892</v>
      </c>
      <c r="D322" t="n">
        <v>23185.119140625</v>
      </c>
    </row>
    <row r="323">
      <c r="A323" s="62" t="n">
        <v>44105</v>
      </c>
      <c r="B323" t="n">
        <v>6982309</v>
      </c>
      <c r="C323" t="n">
        <v>5486892</v>
      </c>
      <c r="D323" t="n">
        <v>22977.130859375</v>
      </c>
    </row>
    <row r="324">
      <c r="A324" s="62" t="n">
        <v>44136</v>
      </c>
      <c r="B324" t="n">
        <v>7053047</v>
      </c>
      <c r="C324" t="n">
        <v>5484930</v>
      </c>
      <c r="D324" t="n">
        <v>26433.619140625</v>
      </c>
    </row>
    <row r="325">
      <c r="A325" s="62" t="n">
        <v>44166</v>
      </c>
      <c r="B325" t="n">
        <v>7025822</v>
      </c>
      <c r="C325" t="n">
        <v>5484930</v>
      </c>
      <c r="D325" t="n">
        <v>27444.169921875</v>
      </c>
    </row>
    <row r="326">
      <c r="A326" s="62" t="n">
        <v>44197</v>
      </c>
      <c r="B326" t="n">
        <v>7094935</v>
      </c>
      <c r="C326" t="n">
        <v>5484930</v>
      </c>
      <c r="D326" t="n">
        <v>27663.390625</v>
      </c>
    </row>
    <row r="327">
      <c r="A327" s="62" t="n">
        <v>44228</v>
      </c>
      <c r="B327" t="n">
        <v>7126021</v>
      </c>
      <c r="C327" t="n">
        <v>5505784</v>
      </c>
      <c r="D327" t="n">
        <v>28966.009765625</v>
      </c>
    </row>
    <row r="328">
      <c r="A328" s="62" t="n">
        <v>44256</v>
      </c>
      <c r="B328" t="n">
        <v>7145566</v>
      </c>
      <c r="C328" t="n">
        <v>5505784</v>
      </c>
      <c r="D328" t="n">
        <v>29178.80078125</v>
      </c>
    </row>
    <row r="329">
      <c r="A329" s="62" t="n">
        <v>44287</v>
      </c>
      <c r="B329" t="n">
        <v>7202316</v>
      </c>
      <c r="C329" t="n">
        <v>5505784</v>
      </c>
      <c r="D329" t="n">
        <v>28812.630859375</v>
      </c>
    </row>
    <row r="330">
      <c r="A330" s="62" t="n">
        <v>44317</v>
      </c>
      <c r="B330" t="n">
        <v>7246409</v>
      </c>
      <c r="C330" t="n">
        <v>5472675</v>
      </c>
      <c r="D330" t="n">
        <v>28860.080078125</v>
      </c>
    </row>
    <row r="331">
      <c r="A331" s="62" t="n">
        <v>44348</v>
      </c>
      <c r="B331" t="n">
        <v>7169006</v>
      </c>
      <c r="C331" t="n">
        <v>5472675</v>
      </c>
      <c r="D331" t="n">
        <v>28791.529296875</v>
      </c>
    </row>
    <row r="332">
      <c r="A332" s="62" t="n">
        <v>44378</v>
      </c>
      <c r="B332" t="n">
        <v>7229429</v>
      </c>
      <c r="C332" t="n">
        <v>5472675</v>
      </c>
      <c r="D332" t="n">
        <v>27283.58984375</v>
      </c>
    </row>
    <row r="333">
      <c r="A333" s="62" t="n">
        <v>44409</v>
      </c>
      <c r="B333" t="n">
        <v>7267102</v>
      </c>
      <c r="C333" t="n">
        <v>5519273</v>
      </c>
      <c r="D333" t="n">
        <v>28089.5390625</v>
      </c>
    </row>
    <row r="334">
      <c r="A334" s="62" t="n">
        <v>44440</v>
      </c>
      <c r="B334" t="n">
        <v>7240579</v>
      </c>
      <c r="C334" t="n">
        <v>5519273</v>
      </c>
      <c r="D334" t="n">
        <v>29452.66015625</v>
      </c>
    </row>
    <row r="335">
      <c r="A335" s="62" t="n">
        <v>44470</v>
      </c>
      <c r="B335" t="n">
        <v>7251886</v>
      </c>
      <c r="C335" t="n">
        <v>5519273</v>
      </c>
      <c r="D335" t="n">
        <v>28892.689453125</v>
      </c>
    </row>
    <row r="336">
      <c r="A336" s="62" t="n">
        <v>44501</v>
      </c>
      <c r="B336" t="n">
        <v>7282186</v>
      </c>
      <c r="C336" t="n">
        <v>5529095</v>
      </c>
      <c r="D336" t="n">
        <v>27821.759765625</v>
      </c>
    </row>
    <row r="337">
      <c r="A337" s="62" t="n">
        <v>44531</v>
      </c>
      <c r="B337" t="n">
        <v>7237659</v>
      </c>
      <c r="C337" t="n">
        <v>5529095</v>
      </c>
      <c r="D337" t="n">
        <v>28791.7109375</v>
      </c>
    </row>
    <row r="338">
      <c r="A338" s="62" t="n">
        <v>44562</v>
      </c>
      <c r="B338" t="n">
        <v>7251444</v>
      </c>
      <c r="C338" t="n">
        <v>5529095</v>
      </c>
      <c r="D338" t="n">
        <v>27001.98046875</v>
      </c>
    </row>
    <row r="339">
      <c r="A339" s="62" t="n">
        <v>44593</v>
      </c>
      <c r="B339" t="n">
        <v>7305553</v>
      </c>
      <c r="C339" t="n">
        <v>5581961</v>
      </c>
      <c r="D339" t="n">
        <v>26526.8203125</v>
      </c>
    </row>
    <row r="340">
      <c r="A340" s="62" t="n">
        <v>44621</v>
      </c>
      <c r="B340" t="n">
        <v>7362535</v>
      </c>
      <c r="C340" t="n">
        <v>5581961</v>
      </c>
      <c r="D340" t="n">
        <v>27821.4296875</v>
      </c>
    </row>
    <row r="341">
      <c r="A341" s="62" t="n">
        <v>44652</v>
      </c>
      <c r="B341" t="n">
        <v>7386915</v>
      </c>
      <c r="C341" t="n">
        <v>5581961</v>
      </c>
      <c r="D341" t="n">
        <v>26847.900390625</v>
      </c>
    </row>
    <row r="342">
      <c r="A342" s="62" t="n">
        <v>44682</v>
      </c>
      <c r="B342" t="n">
        <v>7364911</v>
      </c>
      <c r="C342" t="n">
        <v>5541256</v>
      </c>
      <c r="D342" t="n">
        <v>27279.80078125</v>
      </c>
    </row>
    <row r="343">
      <c r="A343" s="62" t="n">
        <v>44713</v>
      </c>
      <c r="B343" t="n">
        <v>7327306</v>
      </c>
      <c r="C343" t="n">
        <v>5541256</v>
      </c>
      <c r="D343" t="n">
        <v>26393.0390625</v>
      </c>
    </row>
    <row r="344">
      <c r="A344" s="62" t="n">
        <v>44743</v>
      </c>
      <c r="B344" t="n">
        <v>7253573</v>
      </c>
      <c r="C344" t="n">
        <v>5541256</v>
      </c>
      <c r="D344" t="n">
        <v>27801.640625</v>
      </c>
    </row>
    <row r="345">
      <c r="A345" s="62" t="n">
        <v>44774</v>
      </c>
      <c r="B345" t="n">
        <v>7092488</v>
      </c>
      <c r="D345" t="n">
        <v>28091.529296875</v>
      </c>
    </row>
    <row r="346">
      <c r="A346" s="62" t="n">
        <v>44805</v>
      </c>
      <c r="B346" t="n">
        <v>6857902</v>
      </c>
      <c r="D346" t="n">
        <v>25937.2109375</v>
      </c>
    </row>
    <row r="347">
      <c r="A347" s="62" t="n">
        <v>44835</v>
      </c>
      <c r="B347" t="n">
        <v>6959532</v>
      </c>
      <c r="D347" t="n">
        <v>27587.4609375</v>
      </c>
    </row>
    <row r="348">
      <c r="A348" s="62" t="n">
        <v>44866</v>
      </c>
      <c r="B348" t="n">
        <v>6998931</v>
      </c>
      <c r="D348" t="n">
        <v>27968.990234375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52"/>
  <sheetViews>
    <sheetView zoomScale="90" zoomScaleNormal="90" workbookViewId="0">
      <pane ySplit="1" topLeftCell="A1237" activePane="bottomLeft" state="frozen"/>
      <selection activeCell="D400" sqref="D400"/>
      <selection pane="bottomLeft" activeCell="D400" sqref="D40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  <row r="1232">
      <c r="A1232" s="62" t="n">
        <v>44771</v>
      </c>
      <c r="B1232" t="n">
        <v>8764480</v>
      </c>
    </row>
    <row r="1233">
      <c r="A1233" s="62" t="n">
        <v>44778</v>
      </c>
      <c r="B1233" t="n">
        <v>8745981</v>
      </c>
    </row>
    <row r="1234">
      <c r="A1234" s="62" t="n">
        <v>44785</v>
      </c>
      <c r="B1234" t="n">
        <v>8747798</v>
      </c>
    </row>
    <row r="1235">
      <c r="A1235" s="62" t="n">
        <v>44792</v>
      </c>
      <c r="B1235" t="n">
        <v>8750679</v>
      </c>
    </row>
    <row r="1236">
      <c r="A1236" s="62" t="n">
        <v>44799</v>
      </c>
      <c r="B1236" t="n">
        <v>8750036</v>
      </c>
    </row>
    <row r="1237">
      <c r="A1237" s="62" t="n">
        <v>44806</v>
      </c>
      <c r="B1237" t="n">
        <v>8756825</v>
      </c>
    </row>
    <row r="1238">
      <c r="A1238" s="62" t="n">
        <v>44813</v>
      </c>
      <c r="B1238" t="n">
        <v>8759120</v>
      </c>
    </row>
    <row r="1239">
      <c r="A1239" s="62" t="n">
        <v>44820</v>
      </c>
      <c r="B1239" t="n">
        <v>8756881</v>
      </c>
    </row>
    <row r="1240">
      <c r="A1240" s="62" t="n">
        <v>44827</v>
      </c>
      <c r="B1240" t="n">
        <v>8777369</v>
      </c>
    </row>
    <row r="1241">
      <c r="A1241" s="62" t="n">
        <v>44834</v>
      </c>
      <c r="B1241" t="n">
        <v>8810111</v>
      </c>
    </row>
    <row r="1242">
      <c r="A1242" s="62" t="n">
        <v>44841</v>
      </c>
      <c r="B1242" t="n">
        <v>8771976</v>
      </c>
    </row>
    <row r="1243">
      <c r="A1243" s="62" t="n">
        <v>44848</v>
      </c>
      <c r="B1243" t="n">
        <v>8778072</v>
      </c>
    </row>
    <row r="1244">
      <c r="A1244" s="62" t="n">
        <v>44855</v>
      </c>
      <c r="B1244" t="n">
        <v>8774759</v>
      </c>
    </row>
    <row r="1245">
      <c r="A1245" s="62" t="n">
        <v>44862</v>
      </c>
      <c r="B1245" t="n">
        <v>8770670</v>
      </c>
    </row>
    <row r="1246">
      <c r="A1246" s="62" t="n">
        <v>44869</v>
      </c>
      <c r="B1246" t="n">
        <v>8761655</v>
      </c>
    </row>
    <row r="1247">
      <c r="A1247" s="62" t="n">
        <v>44876</v>
      </c>
      <c r="B1247" t="n">
        <v>8764662</v>
      </c>
    </row>
    <row r="1248">
      <c r="A1248" s="62" t="n">
        <v>44883</v>
      </c>
      <c r="B1248" t="n">
        <v>8769062</v>
      </c>
    </row>
    <row r="1249">
      <c r="A1249" s="62" t="n">
        <v>44890</v>
      </c>
      <c r="B1249" t="n">
        <v>8471442</v>
      </c>
    </row>
    <row r="1250">
      <c r="A1250" s="62" t="n">
        <v>44897</v>
      </c>
      <c r="B1250" t="n">
        <v>8470941</v>
      </c>
    </row>
    <row r="1251">
      <c r="A1251" s="62" t="n">
        <v>44904</v>
      </c>
      <c r="B1251" t="n">
        <v>8480172</v>
      </c>
    </row>
    <row r="1252">
      <c r="A1252" s="62" t="n">
        <v>44911</v>
      </c>
      <c r="B1252" t="n">
        <v>8477232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2"/>
  <sheetViews>
    <sheetView zoomScale="50" zoomScaleNormal="50" workbookViewId="0">
      <pane ySplit="7" topLeftCell="A851" activePane="bottomLeft" state="frozen"/>
      <selection activeCell="B1" sqref="B1"/>
      <selection pane="bottomLeft" activeCell="T875" sqref="T875"/>
    </sheetView>
  </sheetViews>
  <sheetFormatPr baseColWidth="8" defaultColWidth="9.1796875" defaultRowHeight="14.5"/>
  <cols>
    <col width="13.81640625" customWidth="1" style="4" min="1" max="2"/>
    <col width="9.1796875" customWidth="1" style="55" min="3" max="36"/>
    <col width="9.1796875" customWidth="1" style="55" min="37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Discount Rate</t>
        </is>
      </c>
    </row>
    <row r="8">
      <c r="A8" s="39" t="n">
        <v>18264</v>
      </c>
      <c r="B8" s="21">
        <f>IF(VLOOKUP(A8,'Database Rates'!$A:$E,5,FALSE)=0,#N/A,VLOOKUP(A8,'Database Rates'!$A:$E,5,FALSE))</f>
        <v/>
      </c>
      <c r="D8" s="55">
        <f>VLOOKUP(A8,'Database Rates'!$A$1:$D$1,2,FALSE)</f>
        <v/>
      </c>
    </row>
    <row r="9">
      <c r="A9" s="40" t="n">
        <v>18295</v>
      </c>
      <c r="B9" s="21">
        <f>IF(VLOOKUP(A9,'Database Rates'!$A:$E,5,FALSE)=0,#N/A,VLOOKUP(A9,'Database Rates'!$A:$E,5,FALSE))</f>
        <v/>
      </c>
    </row>
    <row r="10">
      <c r="A10" s="40" t="n">
        <v>18323</v>
      </c>
      <c r="B10" s="21">
        <f>IF(VLOOKUP(A10,'Database Rates'!$A:$E,5,FALSE)=0,#N/A,VLOOKUP(A10,'Database Rates'!$A:$E,5,FALSE))</f>
        <v/>
      </c>
    </row>
    <row r="11">
      <c r="A11" s="40" t="n">
        <v>18354</v>
      </c>
      <c r="B11" s="21">
        <f>IF(VLOOKUP(A11,'Database Rates'!$A:$E,5,FALSE)=0,#N/A,VLOOKUP(A11,'Database Rates'!$A:$E,5,FALSE))</f>
        <v/>
      </c>
    </row>
    <row r="12">
      <c r="A12" s="40" t="n">
        <v>18384</v>
      </c>
      <c r="B12" s="21">
        <f>IF(VLOOKUP(A12,'Database Rates'!$A:$E,5,FALSE)=0,#N/A,VLOOKUP(A12,'Database Rates'!$A:$E,5,FALSE))</f>
        <v/>
      </c>
    </row>
    <row r="13">
      <c r="A13" s="40" t="n">
        <v>18415</v>
      </c>
      <c r="B13" s="21">
        <f>IF(VLOOKUP(A13,'Database Rates'!$A:$E,5,FALSE)=0,#N/A,VLOOKUP(A13,'Database Rates'!$A:$E,5,FALSE))</f>
        <v/>
      </c>
    </row>
    <row r="14">
      <c r="A14" s="40" t="n">
        <v>18445</v>
      </c>
      <c r="B14" s="21">
        <f>IF(VLOOKUP(A14,'Database Rates'!$A:$E,5,FALSE)=0,#N/A,VLOOKUP(A14,'Database Rates'!$A:$E,5,FALSE))</f>
        <v/>
      </c>
    </row>
    <row r="15">
      <c r="A15" s="40" t="n">
        <v>18476</v>
      </c>
      <c r="B15" s="21">
        <f>IF(VLOOKUP(A15,'Database Rates'!$A:$E,5,FALSE)=0,#N/A,VLOOKUP(A15,'Database Rates'!$A:$E,5,FALSE))</f>
        <v/>
      </c>
    </row>
    <row r="16">
      <c r="A16" s="40" t="n">
        <v>18507</v>
      </c>
      <c r="B16" s="21">
        <f>IF(VLOOKUP(A16,'Database Rates'!$A:$E,5,FALSE)=0,#N/A,VLOOKUP(A16,'Database Rates'!$A:$E,5,FALSE))</f>
        <v/>
      </c>
    </row>
    <row r="17">
      <c r="A17" s="40" t="n">
        <v>18537</v>
      </c>
      <c r="B17" s="21">
        <f>IF(VLOOKUP(A17,'Database Rates'!$A:$E,5,FALSE)=0,#N/A,VLOOKUP(A17,'Database Rates'!$A:$E,5,FALSE))</f>
        <v/>
      </c>
    </row>
    <row r="18">
      <c r="A18" s="40" t="n">
        <v>18568</v>
      </c>
      <c r="B18" s="21">
        <f>IF(VLOOKUP(A18,'Database Rates'!$A:$E,5,FALSE)=0,#N/A,VLOOKUP(A18,'Database Rates'!$A:$E,5,FALSE))</f>
        <v/>
      </c>
    </row>
    <row r="19">
      <c r="A19" s="40" t="n">
        <v>18598</v>
      </c>
      <c r="B19" s="21">
        <f>IF(VLOOKUP(A19,'Database Rates'!$A:$E,5,FALSE)=0,#N/A,VLOOKUP(A19,'Database Rates'!$A:$E,5,FALSE))</f>
        <v/>
      </c>
    </row>
    <row r="20">
      <c r="A20" s="40" t="n">
        <v>18629</v>
      </c>
      <c r="B20" s="21">
        <f>IF(VLOOKUP(A20,'Database Rates'!$A:$E,5,FALSE)=0,#N/A,VLOOKUP(A20,'Database Rates'!$A:$E,5,FALSE))</f>
        <v/>
      </c>
    </row>
    <row r="21">
      <c r="A21" s="40" t="n">
        <v>18660</v>
      </c>
      <c r="B21" s="21">
        <f>IF(VLOOKUP(A21,'Database Rates'!$A:$E,5,FALSE)=0,#N/A,VLOOKUP(A21,'Database Rates'!$A:$E,5,FALSE))</f>
        <v/>
      </c>
    </row>
    <row r="22">
      <c r="A22" s="40" t="n">
        <v>18688</v>
      </c>
      <c r="B22" s="21">
        <f>IF(VLOOKUP(A22,'Database Rates'!$A:$E,5,FALSE)=0,#N/A,VLOOKUP(A22,'Database Rates'!$A:$E,5,FALSE))</f>
        <v/>
      </c>
    </row>
    <row r="23">
      <c r="A23" s="40" t="n">
        <v>18719</v>
      </c>
      <c r="B23" s="21">
        <f>IF(VLOOKUP(A23,'Database Rates'!$A:$E,5,FALSE)=0,#N/A,VLOOKUP(A23,'Database Rates'!$A:$E,5,FALSE))</f>
        <v/>
      </c>
    </row>
    <row r="24">
      <c r="A24" s="40" t="n">
        <v>18749</v>
      </c>
      <c r="B24" s="21">
        <f>IF(VLOOKUP(A24,'Database Rates'!$A:$E,5,FALSE)=0,#N/A,VLOOKUP(A24,'Database Rates'!$A:$E,5,FALSE))</f>
        <v/>
      </c>
    </row>
    <row r="25">
      <c r="A25" s="40" t="n">
        <v>18780</v>
      </c>
      <c r="B25" s="21">
        <f>IF(VLOOKUP(A25,'Database Rates'!$A:$E,5,FALSE)=0,#N/A,VLOOKUP(A25,'Database Rates'!$A:$E,5,FALSE))</f>
        <v/>
      </c>
    </row>
    <row r="26">
      <c r="A26" s="40" t="n">
        <v>18810</v>
      </c>
      <c r="B26" s="21">
        <f>IF(VLOOKUP(A26,'Database Rates'!$A:$E,5,FALSE)=0,#N/A,VLOOKUP(A26,'Database Rates'!$A:$E,5,FALSE))</f>
        <v/>
      </c>
    </row>
    <row r="27">
      <c r="A27" s="40" t="n">
        <v>18841</v>
      </c>
      <c r="B27" s="21">
        <f>IF(VLOOKUP(A27,'Database Rates'!$A:$E,5,FALSE)=0,#N/A,VLOOKUP(A27,'Database Rates'!$A:$E,5,FALSE))</f>
        <v/>
      </c>
    </row>
    <row r="28">
      <c r="A28" s="40" t="n">
        <v>18872</v>
      </c>
      <c r="B28" s="21">
        <f>IF(VLOOKUP(A28,'Database Rates'!$A:$E,5,FALSE)=0,#N/A,VLOOKUP(A28,'Database Rates'!$A:$E,5,FALSE))</f>
        <v/>
      </c>
    </row>
    <row r="29">
      <c r="A29" s="40" t="n">
        <v>18902</v>
      </c>
      <c r="B29" s="21">
        <f>IF(VLOOKUP(A29,'Database Rates'!$A:$E,5,FALSE)=0,#N/A,VLOOKUP(A29,'Database Rates'!$A:$E,5,FALSE))</f>
        <v/>
      </c>
    </row>
    <row r="30">
      <c r="A30" s="40" t="n">
        <v>18933</v>
      </c>
      <c r="B30" s="21">
        <f>IF(VLOOKUP(A30,'Database Rates'!$A:$E,5,FALSE)=0,#N/A,VLOOKUP(A30,'Database Rates'!$A:$E,5,FALSE))</f>
        <v/>
      </c>
    </row>
    <row r="31">
      <c r="A31" s="40" t="n">
        <v>18963</v>
      </c>
      <c r="B31" s="21">
        <f>IF(VLOOKUP(A31,'Database Rates'!$A:$E,5,FALSE)=0,#N/A,VLOOKUP(A31,'Database Rates'!$A:$E,5,FALSE))</f>
        <v/>
      </c>
    </row>
    <row r="32">
      <c r="A32" s="40" t="n">
        <v>18994</v>
      </c>
      <c r="B32" s="21">
        <f>IF(VLOOKUP(A32,'Database Rates'!$A:$E,5,FALSE)=0,#N/A,VLOOKUP(A32,'Database Rates'!$A:$E,5,FALSE))</f>
        <v/>
      </c>
    </row>
    <row r="33">
      <c r="A33" s="40" t="n">
        <v>19025</v>
      </c>
      <c r="B33" s="21">
        <f>IF(VLOOKUP(A33,'Database Rates'!$A:$E,5,FALSE)=0,#N/A,VLOOKUP(A33,'Database Rates'!$A:$E,5,FALSE))</f>
        <v/>
      </c>
    </row>
    <row r="34">
      <c r="A34" s="40" t="n">
        <v>19054</v>
      </c>
      <c r="B34" s="21">
        <f>IF(VLOOKUP(A34,'Database Rates'!$A:$E,5,FALSE)=0,#N/A,VLOOKUP(A34,'Database Rates'!$A:$E,5,FALSE))</f>
        <v/>
      </c>
    </row>
    <row r="35">
      <c r="A35" s="40" t="n">
        <v>19085</v>
      </c>
      <c r="B35" s="21">
        <f>IF(VLOOKUP(A35,'Database Rates'!$A:$E,5,FALSE)=0,#N/A,VLOOKUP(A35,'Database Rates'!$A:$E,5,FALSE))</f>
        <v/>
      </c>
    </row>
    <row r="36">
      <c r="A36" s="40" t="n">
        <v>19115</v>
      </c>
      <c r="B36" s="21">
        <f>IF(VLOOKUP(A36,'Database Rates'!$A:$E,5,FALSE)=0,#N/A,VLOOKUP(A36,'Database Rates'!$A:$E,5,FALSE))</f>
        <v/>
      </c>
    </row>
    <row r="37">
      <c r="A37" s="40" t="n">
        <v>19146</v>
      </c>
      <c r="B37" s="21">
        <f>IF(VLOOKUP(A37,'Database Rates'!$A:$E,5,FALSE)=0,#N/A,VLOOKUP(A37,'Database Rates'!$A:$E,5,FALSE))</f>
        <v/>
      </c>
    </row>
    <row r="38">
      <c r="A38" s="40" t="n">
        <v>19176</v>
      </c>
      <c r="B38" s="21">
        <f>IF(VLOOKUP(A38,'Database Rates'!$A:$E,5,FALSE)=0,#N/A,VLOOKUP(A38,'Database Rates'!$A:$E,5,FALSE))</f>
        <v/>
      </c>
    </row>
    <row r="39">
      <c r="A39" s="40" t="n">
        <v>19207</v>
      </c>
      <c r="B39" s="21">
        <f>IF(VLOOKUP(A39,'Database Rates'!$A:$E,5,FALSE)=0,#N/A,VLOOKUP(A39,'Database Rates'!$A:$E,5,FALSE))</f>
        <v/>
      </c>
    </row>
    <row r="40">
      <c r="A40" s="40" t="n">
        <v>19238</v>
      </c>
      <c r="B40" s="21">
        <f>IF(VLOOKUP(A40,'Database Rates'!$A:$E,5,FALSE)=0,#N/A,VLOOKUP(A40,'Database Rates'!$A:$E,5,FALSE))</f>
        <v/>
      </c>
    </row>
    <row r="41">
      <c r="A41" s="40" t="n">
        <v>19268</v>
      </c>
      <c r="B41" s="21">
        <f>IF(VLOOKUP(A41,'Database Rates'!$A:$E,5,FALSE)=0,#N/A,VLOOKUP(A41,'Database Rates'!$A:$E,5,FALSE))</f>
        <v/>
      </c>
    </row>
    <row r="42">
      <c r="A42" s="40" t="n">
        <v>19299</v>
      </c>
      <c r="B42" s="21">
        <f>IF(VLOOKUP(A42,'Database Rates'!$A:$E,5,FALSE)=0,#N/A,VLOOKUP(A42,'Database Rates'!$A:$E,5,FALSE))</f>
        <v/>
      </c>
    </row>
    <row r="43">
      <c r="A43" s="40" t="n">
        <v>19329</v>
      </c>
      <c r="B43" s="21">
        <f>IF(VLOOKUP(A43,'Database Rates'!$A:$E,5,FALSE)=0,#N/A,VLOOKUP(A43,'Database Rates'!$A:$E,5,FALSE))</f>
        <v/>
      </c>
    </row>
    <row r="44">
      <c r="A44" s="40" t="n">
        <v>19360</v>
      </c>
      <c r="B44" s="21">
        <f>IF(VLOOKUP(A44,'Database Rates'!$A:$E,5,FALSE)=0,#N/A,VLOOKUP(A44,'Database Rates'!$A:$E,5,FALSE))</f>
        <v/>
      </c>
    </row>
    <row r="45">
      <c r="A45" s="40" t="n">
        <v>19391</v>
      </c>
      <c r="B45" s="21">
        <f>IF(VLOOKUP(A45,'Database Rates'!$A:$E,5,FALSE)=0,#N/A,VLOOKUP(A45,'Database Rates'!$A:$E,5,FALSE))</f>
        <v/>
      </c>
    </row>
    <row r="46">
      <c r="A46" s="40" t="n">
        <v>19419</v>
      </c>
      <c r="B46" s="21">
        <f>IF(VLOOKUP(A46,'Database Rates'!$A:$E,5,FALSE)=0,#N/A,VLOOKUP(A46,'Database Rates'!$A:$E,5,FALSE))</f>
        <v/>
      </c>
    </row>
    <row r="47">
      <c r="A47" s="40" t="n">
        <v>19450</v>
      </c>
      <c r="B47" s="21">
        <f>IF(VLOOKUP(A47,'Database Rates'!$A:$E,5,FALSE)=0,#N/A,VLOOKUP(A47,'Database Rates'!$A:$E,5,FALSE))</f>
        <v/>
      </c>
    </row>
    <row r="48">
      <c r="A48" s="40" t="n">
        <v>19480</v>
      </c>
      <c r="B48" s="21">
        <f>IF(VLOOKUP(A48,'Database Rates'!$A:$E,5,FALSE)=0,#N/A,VLOOKUP(A48,'Database Rates'!$A:$E,5,FALSE))</f>
        <v/>
      </c>
    </row>
    <row r="49">
      <c r="A49" s="40" t="n">
        <v>19511</v>
      </c>
      <c r="B49" s="21">
        <f>IF(VLOOKUP(A49,'Database Rates'!$A:$E,5,FALSE)=0,#N/A,VLOOKUP(A49,'Database Rates'!$A:$E,5,FALSE))</f>
        <v/>
      </c>
    </row>
    <row r="50">
      <c r="A50" s="40" t="n">
        <v>19541</v>
      </c>
      <c r="B50" s="21">
        <f>IF(VLOOKUP(A50,'Database Rates'!$A:$E,5,FALSE)=0,#N/A,VLOOKUP(A50,'Database Rates'!$A:$E,5,FALSE))</f>
        <v/>
      </c>
    </row>
    <row r="51">
      <c r="A51" s="40" t="n">
        <v>19572</v>
      </c>
      <c r="B51" s="21">
        <f>IF(VLOOKUP(A51,'Database Rates'!$A:$E,5,FALSE)=0,#N/A,VLOOKUP(A51,'Database Rates'!$A:$E,5,FALSE))</f>
        <v/>
      </c>
    </row>
    <row r="52">
      <c r="A52" s="40" t="n">
        <v>19603</v>
      </c>
      <c r="B52" s="21">
        <f>IF(VLOOKUP(A52,'Database Rates'!$A:$E,5,FALSE)=0,#N/A,VLOOKUP(A52,'Database Rates'!$A:$E,5,FALSE))</f>
        <v/>
      </c>
    </row>
    <row r="53">
      <c r="A53" s="40" t="n">
        <v>19633</v>
      </c>
      <c r="B53" s="21">
        <f>IF(VLOOKUP(A53,'Database Rates'!$A:$E,5,FALSE)=0,#N/A,VLOOKUP(A53,'Database Rates'!$A:$E,5,FALSE))</f>
        <v/>
      </c>
    </row>
    <row r="54">
      <c r="A54" s="40" t="n">
        <v>19664</v>
      </c>
      <c r="B54" s="21">
        <f>IF(VLOOKUP(A54,'Database Rates'!$A:$E,5,FALSE)=0,#N/A,VLOOKUP(A54,'Database Rates'!$A:$E,5,FALSE))</f>
        <v/>
      </c>
    </row>
    <row r="55">
      <c r="A55" s="40" t="n">
        <v>19694</v>
      </c>
      <c r="B55" s="21">
        <f>IF(VLOOKUP(A55,'Database Rates'!$A:$E,5,FALSE)=0,#N/A,VLOOKUP(A55,'Database Rates'!$A:$E,5,FALSE))</f>
        <v/>
      </c>
    </row>
    <row r="56">
      <c r="A56" s="40" t="n">
        <v>19725</v>
      </c>
      <c r="B56" s="21">
        <f>IF(VLOOKUP(A56,'Database Rates'!$A:$E,5,FALSE)=0,#N/A,VLOOKUP(A56,'Database Rates'!$A:$E,5,FALSE))</f>
        <v/>
      </c>
    </row>
    <row r="57">
      <c r="A57" s="40" t="n">
        <v>19756</v>
      </c>
      <c r="B57" s="21">
        <f>IF(VLOOKUP(A57,'Database Rates'!$A:$E,5,FALSE)=0,#N/A,VLOOKUP(A57,'Database Rates'!$A:$E,5,FALSE))</f>
        <v/>
      </c>
    </row>
    <row r="58">
      <c r="A58" s="40" t="n">
        <v>19784</v>
      </c>
      <c r="B58" s="21">
        <f>IF(VLOOKUP(A58,'Database Rates'!$A:$E,5,FALSE)=0,#N/A,VLOOKUP(A58,'Database Rates'!$A:$E,5,FALSE))</f>
        <v/>
      </c>
    </row>
    <row r="59">
      <c r="A59" s="40" t="n">
        <v>19815</v>
      </c>
      <c r="B59" s="21">
        <f>IF(VLOOKUP(A59,'Database Rates'!$A:$E,5,FALSE)=0,#N/A,VLOOKUP(A59,'Database Rates'!$A:$E,5,FALSE))</f>
        <v/>
      </c>
    </row>
    <row r="60">
      <c r="A60" s="40" t="n">
        <v>19845</v>
      </c>
      <c r="B60" s="21">
        <f>IF(VLOOKUP(A60,'Database Rates'!$A:$E,5,FALSE)=0,#N/A,VLOOKUP(A60,'Database Rates'!$A:$E,5,FALSE))</f>
        <v/>
      </c>
    </row>
    <row r="61">
      <c r="A61" s="40" t="n">
        <v>19876</v>
      </c>
      <c r="B61" s="21">
        <f>IF(VLOOKUP(A61,'Database Rates'!$A:$E,5,FALSE)=0,#N/A,VLOOKUP(A61,'Database Rates'!$A:$E,5,FALSE))</f>
        <v/>
      </c>
    </row>
    <row r="62">
      <c r="A62" s="40" t="n">
        <v>19906</v>
      </c>
      <c r="B62" s="21">
        <f>IF(VLOOKUP(A62,'Database Rates'!$A:$E,5,FALSE)=0,#N/A,VLOOKUP(A62,'Database Rates'!$A:$E,5,FALSE))</f>
        <v/>
      </c>
    </row>
    <row r="63">
      <c r="A63" s="40" t="n">
        <v>19937</v>
      </c>
      <c r="B63" s="21">
        <f>IF(VLOOKUP(A63,'Database Rates'!$A:$E,5,FALSE)=0,#N/A,VLOOKUP(A63,'Database Rates'!$A:$E,5,FALSE))</f>
        <v/>
      </c>
    </row>
    <row r="64">
      <c r="A64" s="40" t="n">
        <v>19968</v>
      </c>
      <c r="B64" s="21">
        <f>IF(VLOOKUP(A64,'Database Rates'!$A:$E,5,FALSE)=0,#N/A,VLOOKUP(A64,'Database Rates'!$A:$E,5,FALSE))</f>
        <v/>
      </c>
    </row>
    <row r="65">
      <c r="A65" s="40" t="n">
        <v>19998</v>
      </c>
      <c r="B65" s="21">
        <f>IF(VLOOKUP(A65,'Database Rates'!$A:$E,5,FALSE)=0,#N/A,VLOOKUP(A65,'Database Rates'!$A:$E,5,FALSE))</f>
        <v/>
      </c>
    </row>
    <row r="66">
      <c r="A66" s="40" t="n">
        <v>20029</v>
      </c>
      <c r="B66" s="21">
        <f>IF(VLOOKUP(A66,'Database Rates'!$A:$E,5,FALSE)=0,#N/A,VLOOKUP(A66,'Database Rates'!$A:$E,5,FALSE))</f>
        <v/>
      </c>
    </row>
    <row r="67">
      <c r="A67" s="40" t="n">
        <v>20059</v>
      </c>
      <c r="B67" s="21">
        <f>IF(VLOOKUP(A67,'Database Rates'!$A:$E,5,FALSE)=0,#N/A,VLOOKUP(A67,'Database Rates'!$A:$E,5,FALSE))</f>
        <v/>
      </c>
    </row>
    <row r="68">
      <c r="A68" s="40" t="n">
        <v>20090</v>
      </c>
      <c r="B68" s="21">
        <f>IF(VLOOKUP(A68,'Database Rates'!$A:$E,5,FALSE)=0,#N/A,VLOOKUP(A68,'Database Rates'!$A:$E,5,FALSE))</f>
        <v/>
      </c>
    </row>
    <row r="69">
      <c r="A69" s="40" t="n">
        <v>20121</v>
      </c>
      <c r="B69" s="21">
        <f>IF(VLOOKUP(A69,'Database Rates'!$A:$E,5,FALSE)=0,#N/A,VLOOKUP(A69,'Database Rates'!$A:$E,5,FALSE))</f>
        <v/>
      </c>
    </row>
    <row r="70">
      <c r="A70" s="40" t="n">
        <v>20149</v>
      </c>
      <c r="B70" s="21">
        <f>IF(VLOOKUP(A70,'Database Rates'!$A:$E,5,FALSE)=0,#N/A,VLOOKUP(A70,'Database Rates'!$A:$E,5,FALSE))</f>
        <v/>
      </c>
    </row>
    <row r="71">
      <c r="A71" s="40" t="n">
        <v>20180</v>
      </c>
      <c r="B71" s="21">
        <f>IF(VLOOKUP(A71,'Database Rates'!$A:$E,5,FALSE)=0,#N/A,VLOOKUP(A71,'Database Rates'!$A:$E,5,FALSE))</f>
        <v/>
      </c>
    </row>
    <row r="72">
      <c r="A72" s="40" t="n">
        <v>20210</v>
      </c>
      <c r="B72" s="21">
        <f>IF(VLOOKUP(A72,'Database Rates'!$A:$E,5,FALSE)=0,#N/A,VLOOKUP(A72,'Database Rates'!$A:$E,5,FALSE))</f>
        <v/>
      </c>
    </row>
    <row r="73">
      <c r="A73" s="40" t="n">
        <v>20241</v>
      </c>
      <c r="B73" s="21">
        <f>IF(VLOOKUP(A73,'Database Rates'!$A:$E,5,FALSE)=0,#N/A,VLOOKUP(A73,'Database Rates'!$A:$E,5,FALSE))</f>
        <v/>
      </c>
    </row>
    <row r="74">
      <c r="A74" s="40" t="n">
        <v>20271</v>
      </c>
      <c r="B74" s="21">
        <f>IF(VLOOKUP(A74,'Database Rates'!$A:$E,5,FALSE)=0,#N/A,VLOOKUP(A74,'Database Rates'!$A:$E,5,FALSE))</f>
        <v/>
      </c>
    </row>
    <row r="75">
      <c r="A75" s="40" t="n">
        <v>20302</v>
      </c>
      <c r="B75" s="21">
        <f>IF(VLOOKUP(A75,'Database Rates'!$A:$E,5,FALSE)=0,#N/A,VLOOKUP(A75,'Database Rates'!$A:$E,5,FALSE))</f>
        <v/>
      </c>
    </row>
    <row r="76">
      <c r="A76" s="40" t="n">
        <v>20333</v>
      </c>
      <c r="B76" s="21">
        <f>IF(VLOOKUP(A76,'Database Rates'!$A:$E,5,FALSE)=0,#N/A,VLOOKUP(A76,'Database Rates'!$A:$E,5,FALSE))</f>
        <v/>
      </c>
    </row>
    <row r="77">
      <c r="A77" s="40" t="n">
        <v>20363</v>
      </c>
      <c r="B77" s="21">
        <f>IF(VLOOKUP(A77,'Database Rates'!$A:$E,5,FALSE)=0,#N/A,VLOOKUP(A77,'Database Rates'!$A:$E,5,FALSE))</f>
        <v/>
      </c>
    </row>
    <row r="78">
      <c r="A78" s="40" t="n">
        <v>20394</v>
      </c>
      <c r="B78" s="21">
        <f>IF(VLOOKUP(A78,'Database Rates'!$A:$E,5,FALSE)=0,#N/A,VLOOKUP(A78,'Database Rates'!$A:$E,5,FALSE))</f>
        <v/>
      </c>
    </row>
    <row r="79">
      <c r="A79" s="40" t="n">
        <v>20424</v>
      </c>
      <c r="B79" s="21">
        <f>IF(VLOOKUP(A79,'Database Rates'!$A:$E,5,FALSE)=0,#N/A,VLOOKUP(A79,'Database Rates'!$A:$E,5,FALSE))</f>
        <v/>
      </c>
    </row>
    <row r="80">
      <c r="A80" s="40" t="n">
        <v>20455</v>
      </c>
      <c r="B80" s="21">
        <f>IF(VLOOKUP(A80,'Database Rates'!$A:$E,5,FALSE)=0,#N/A,VLOOKUP(A80,'Database Rates'!$A:$E,5,FALSE))</f>
        <v/>
      </c>
    </row>
    <row r="81">
      <c r="A81" s="40" t="n">
        <v>20486</v>
      </c>
      <c r="B81" s="21">
        <f>IF(VLOOKUP(A81,'Database Rates'!$A:$E,5,FALSE)=0,#N/A,VLOOKUP(A81,'Database Rates'!$A:$E,5,FALSE))</f>
        <v/>
      </c>
    </row>
    <row r="82">
      <c r="A82" s="40" t="n">
        <v>20515</v>
      </c>
      <c r="B82" s="21">
        <f>IF(VLOOKUP(A82,'Database Rates'!$A:$E,5,FALSE)=0,#N/A,VLOOKUP(A82,'Database Rates'!$A:$E,5,FALSE))</f>
        <v/>
      </c>
    </row>
    <row r="83">
      <c r="A83" s="40" t="n">
        <v>20546</v>
      </c>
      <c r="B83" s="21">
        <f>IF(VLOOKUP(A83,'Database Rates'!$A:$E,5,FALSE)=0,#N/A,VLOOKUP(A83,'Database Rates'!$A:$E,5,FALSE))</f>
        <v/>
      </c>
    </row>
    <row r="84">
      <c r="A84" s="40" t="n">
        <v>20576</v>
      </c>
      <c r="B84" s="21">
        <f>IF(VLOOKUP(A84,'Database Rates'!$A:$E,5,FALSE)=0,#N/A,VLOOKUP(A84,'Database Rates'!$A:$E,5,FALSE))</f>
        <v/>
      </c>
    </row>
    <row r="85">
      <c r="A85" s="40" t="n">
        <v>20607</v>
      </c>
      <c r="B85" s="21">
        <f>IF(VLOOKUP(A85,'Database Rates'!$A:$E,5,FALSE)=0,#N/A,VLOOKUP(A85,'Database Rates'!$A:$E,5,FALSE))</f>
        <v/>
      </c>
    </row>
    <row r="86">
      <c r="A86" s="40" t="n">
        <v>20637</v>
      </c>
      <c r="B86" s="21">
        <f>IF(VLOOKUP(A86,'Database Rates'!$A:$E,5,FALSE)=0,#N/A,VLOOKUP(A86,'Database Rates'!$A:$E,5,FALSE))</f>
        <v/>
      </c>
    </row>
    <row r="87">
      <c r="A87" s="40" t="n">
        <v>20668</v>
      </c>
      <c r="B87" s="21">
        <f>IF(VLOOKUP(A87,'Database Rates'!$A:$E,5,FALSE)=0,#N/A,VLOOKUP(A87,'Database Rates'!$A:$E,5,FALSE))</f>
        <v/>
      </c>
    </row>
    <row r="88">
      <c r="A88" s="40" t="n">
        <v>20699</v>
      </c>
      <c r="B88" s="21">
        <f>IF(VLOOKUP(A88,'Database Rates'!$A:$E,5,FALSE)=0,#N/A,VLOOKUP(A88,'Database Rates'!$A:$E,5,FALSE))</f>
        <v/>
      </c>
    </row>
    <row r="89">
      <c r="A89" s="40" t="n">
        <v>20729</v>
      </c>
      <c r="B89" s="21">
        <f>IF(VLOOKUP(A89,'Database Rates'!$A:$E,5,FALSE)=0,#N/A,VLOOKUP(A89,'Database Rates'!$A:$E,5,FALSE))</f>
        <v/>
      </c>
    </row>
    <row r="90">
      <c r="A90" s="40" t="n">
        <v>20760</v>
      </c>
      <c r="B90" s="21">
        <f>IF(VLOOKUP(A90,'Database Rates'!$A:$E,5,FALSE)=0,#N/A,VLOOKUP(A90,'Database Rates'!$A:$E,5,FALSE))</f>
        <v/>
      </c>
    </row>
    <row r="91">
      <c r="A91" s="40" t="n">
        <v>20790</v>
      </c>
      <c r="B91" s="21">
        <f>IF(VLOOKUP(A91,'Database Rates'!$A:$E,5,FALSE)=0,#N/A,VLOOKUP(A91,'Database Rates'!$A:$E,5,FALSE))</f>
        <v/>
      </c>
    </row>
    <row r="92">
      <c r="A92" s="40" t="n">
        <v>20821</v>
      </c>
      <c r="B92" s="21">
        <f>IF(VLOOKUP(A92,'Database Rates'!$A:$E,5,FALSE)=0,#N/A,VLOOKUP(A92,'Database Rates'!$A:$E,5,FALSE))</f>
        <v/>
      </c>
    </row>
    <row r="93">
      <c r="A93" s="40" t="n">
        <v>20852</v>
      </c>
      <c r="B93" s="21">
        <f>IF(VLOOKUP(A93,'Database Rates'!$A:$E,5,FALSE)=0,#N/A,VLOOKUP(A93,'Database Rates'!$A:$E,5,FALSE))</f>
        <v/>
      </c>
    </row>
    <row r="94">
      <c r="A94" s="40" t="n">
        <v>20880</v>
      </c>
      <c r="B94" s="21">
        <f>IF(VLOOKUP(A94,'Database Rates'!$A:$E,5,FALSE)=0,#N/A,VLOOKUP(A94,'Database Rates'!$A:$E,5,FALSE))</f>
        <v/>
      </c>
    </row>
    <row r="95">
      <c r="A95" s="40" t="n">
        <v>20911</v>
      </c>
      <c r="B95" s="21">
        <f>IF(VLOOKUP(A95,'Database Rates'!$A:$E,5,FALSE)=0,#N/A,VLOOKUP(A95,'Database Rates'!$A:$E,5,FALSE))</f>
        <v/>
      </c>
    </row>
    <row r="96">
      <c r="A96" s="40" t="n">
        <v>20941</v>
      </c>
      <c r="B96" s="21">
        <f>IF(VLOOKUP(A96,'Database Rates'!$A:$E,5,FALSE)=0,#N/A,VLOOKUP(A96,'Database Rates'!$A:$E,5,FALSE))</f>
        <v/>
      </c>
    </row>
    <row r="97">
      <c r="A97" s="40" t="n">
        <v>20972</v>
      </c>
      <c r="B97" s="21">
        <f>IF(VLOOKUP(A97,'Database Rates'!$A:$E,5,FALSE)=0,#N/A,VLOOKUP(A97,'Database Rates'!$A:$E,5,FALSE))</f>
        <v/>
      </c>
    </row>
    <row r="98">
      <c r="A98" s="40" t="n">
        <v>21002</v>
      </c>
      <c r="B98" s="21">
        <f>IF(VLOOKUP(A98,'Database Rates'!$A:$E,5,FALSE)=0,#N/A,VLOOKUP(A98,'Database Rates'!$A:$E,5,FALSE))</f>
        <v/>
      </c>
    </row>
    <row r="99">
      <c r="A99" s="40" t="n">
        <v>21033</v>
      </c>
      <c r="B99" s="21">
        <f>IF(VLOOKUP(A99,'Database Rates'!$A:$E,5,FALSE)=0,#N/A,VLOOKUP(A99,'Database Rates'!$A:$E,5,FALSE))</f>
        <v/>
      </c>
    </row>
    <row r="100">
      <c r="A100" s="40" t="n">
        <v>21064</v>
      </c>
      <c r="B100" s="21">
        <f>IF(VLOOKUP(A100,'Database Rates'!$A:$E,5,FALSE)=0,#N/A,VLOOKUP(A100,'Database Rates'!$A:$E,5,FALSE))</f>
        <v/>
      </c>
    </row>
    <row r="101">
      <c r="A101" s="40" t="n">
        <v>21094</v>
      </c>
      <c r="B101" s="21">
        <f>IF(VLOOKUP(A101,'Database Rates'!$A:$E,5,FALSE)=0,#N/A,VLOOKUP(A101,'Database Rates'!$A:$E,5,FALSE))</f>
        <v/>
      </c>
    </row>
    <row r="102">
      <c r="A102" s="40" t="n">
        <v>21125</v>
      </c>
      <c r="B102" s="21">
        <f>IF(VLOOKUP(A102,'Database Rates'!$A:$E,5,FALSE)=0,#N/A,VLOOKUP(A102,'Database Rates'!$A:$E,5,FALSE))</f>
        <v/>
      </c>
    </row>
    <row r="103">
      <c r="A103" s="40" t="n">
        <v>21155</v>
      </c>
      <c r="B103" s="21">
        <f>IF(VLOOKUP(A103,'Database Rates'!$A:$E,5,FALSE)=0,#N/A,VLOOKUP(A103,'Database Rates'!$A:$E,5,FALSE))</f>
        <v/>
      </c>
    </row>
    <row r="104">
      <c r="A104" s="40" t="n">
        <v>21186</v>
      </c>
      <c r="B104" s="21">
        <f>IF(VLOOKUP(A104,'Database Rates'!$A:$E,5,FALSE)=0,#N/A,VLOOKUP(A104,'Database Rates'!$A:$E,5,FALSE))</f>
        <v/>
      </c>
    </row>
    <row r="105">
      <c r="A105" s="40" t="n">
        <v>21217</v>
      </c>
      <c r="B105" s="21">
        <f>IF(VLOOKUP(A105,'Database Rates'!$A:$E,5,FALSE)=0,#N/A,VLOOKUP(A105,'Database Rates'!$A:$E,5,FALSE))</f>
        <v/>
      </c>
    </row>
    <row r="106">
      <c r="A106" s="40" t="n">
        <v>21245</v>
      </c>
      <c r="B106" s="21">
        <f>IF(VLOOKUP(A106,'Database Rates'!$A:$E,5,FALSE)=0,#N/A,VLOOKUP(A106,'Database Rates'!$A:$E,5,FALSE))</f>
        <v/>
      </c>
    </row>
    <row r="107">
      <c r="A107" s="40" t="n">
        <v>21276</v>
      </c>
      <c r="B107" s="21">
        <f>IF(VLOOKUP(A107,'Database Rates'!$A:$E,5,FALSE)=0,#N/A,VLOOKUP(A107,'Database Rates'!$A:$E,5,FALSE))</f>
        <v/>
      </c>
    </row>
    <row r="108">
      <c r="A108" s="40" t="n">
        <v>21306</v>
      </c>
      <c r="B108" s="21">
        <f>IF(VLOOKUP(A108,'Database Rates'!$A:$E,5,FALSE)=0,#N/A,VLOOKUP(A108,'Database Rates'!$A:$E,5,FALSE))</f>
        <v/>
      </c>
    </row>
    <row r="109">
      <c r="A109" s="40" t="n">
        <v>21337</v>
      </c>
      <c r="B109" s="21">
        <f>IF(VLOOKUP(A109,'Database Rates'!$A:$E,5,FALSE)=0,#N/A,VLOOKUP(A109,'Database Rates'!$A:$E,5,FALSE))</f>
        <v/>
      </c>
    </row>
    <row r="110">
      <c r="A110" s="40" t="n">
        <v>21367</v>
      </c>
      <c r="B110" s="21">
        <f>IF(VLOOKUP(A110,'Database Rates'!$A:$E,5,FALSE)=0,#N/A,VLOOKUP(A110,'Database Rates'!$A:$E,5,FALSE))</f>
        <v/>
      </c>
    </row>
    <row r="111">
      <c r="A111" s="40" t="n">
        <v>21398</v>
      </c>
      <c r="B111" s="21">
        <f>IF(VLOOKUP(A111,'Database Rates'!$A:$E,5,FALSE)=0,#N/A,VLOOKUP(A111,'Database Rates'!$A:$E,5,FALSE))</f>
        <v/>
      </c>
    </row>
    <row r="112">
      <c r="A112" s="40" t="n">
        <v>21429</v>
      </c>
      <c r="B112" s="21">
        <f>IF(VLOOKUP(A112,'Database Rates'!$A:$E,5,FALSE)=0,#N/A,VLOOKUP(A112,'Database Rates'!$A:$E,5,FALSE))</f>
        <v/>
      </c>
    </row>
    <row r="113">
      <c r="A113" s="40" t="n">
        <v>21459</v>
      </c>
      <c r="B113" s="21">
        <f>IF(VLOOKUP(A113,'Database Rates'!$A:$E,5,FALSE)=0,#N/A,VLOOKUP(A113,'Database Rates'!$A:$E,5,FALSE))</f>
        <v/>
      </c>
    </row>
    <row r="114">
      <c r="A114" s="40" t="n">
        <v>21490</v>
      </c>
      <c r="B114" s="21">
        <f>IF(VLOOKUP(A114,'Database Rates'!$A:$E,5,FALSE)=0,#N/A,VLOOKUP(A114,'Database Rates'!$A:$E,5,FALSE))</f>
        <v/>
      </c>
    </row>
    <row r="115">
      <c r="A115" s="40" t="n">
        <v>21520</v>
      </c>
      <c r="B115" s="21">
        <f>IF(VLOOKUP(A115,'Database Rates'!$A:$E,5,FALSE)=0,#N/A,VLOOKUP(A115,'Database Rates'!$A:$E,5,FALSE))</f>
        <v/>
      </c>
    </row>
    <row r="116">
      <c r="A116" s="40" t="n">
        <v>21551</v>
      </c>
      <c r="B116" s="21">
        <f>IF(VLOOKUP(A116,'Database Rates'!$A:$E,5,FALSE)=0,#N/A,VLOOKUP(A116,'Database Rates'!$A:$E,5,FALSE))</f>
        <v/>
      </c>
    </row>
    <row r="117">
      <c r="A117" s="40" t="n">
        <v>21582</v>
      </c>
      <c r="B117" s="21">
        <f>IF(VLOOKUP(A117,'Database Rates'!$A:$E,5,FALSE)=0,#N/A,VLOOKUP(A117,'Database Rates'!$A:$E,5,FALSE))</f>
        <v/>
      </c>
    </row>
    <row r="118">
      <c r="A118" s="40" t="n">
        <v>21610</v>
      </c>
      <c r="B118" s="21">
        <f>IF(VLOOKUP(A118,'Database Rates'!$A:$E,5,FALSE)=0,#N/A,VLOOKUP(A118,'Database Rates'!$A:$E,5,FALSE))</f>
        <v/>
      </c>
    </row>
    <row r="119">
      <c r="A119" s="40" t="n">
        <v>21641</v>
      </c>
      <c r="B119" s="21">
        <f>IF(VLOOKUP(A119,'Database Rates'!$A:$E,5,FALSE)=0,#N/A,VLOOKUP(A119,'Database Rates'!$A:$E,5,FALSE))</f>
        <v/>
      </c>
    </row>
    <row r="120">
      <c r="A120" s="40" t="n">
        <v>21671</v>
      </c>
      <c r="B120" s="21">
        <f>IF(VLOOKUP(A120,'Database Rates'!$A:$E,5,FALSE)=0,#N/A,VLOOKUP(A120,'Database Rates'!$A:$E,5,FALSE))</f>
        <v/>
      </c>
    </row>
    <row r="121">
      <c r="A121" s="40" t="n">
        <v>21702</v>
      </c>
      <c r="B121" s="21">
        <f>IF(VLOOKUP(A121,'Database Rates'!$A:$E,5,FALSE)=0,#N/A,VLOOKUP(A121,'Database Rates'!$A:$E,5,FALSE))</f>
        <v/>
      </c>
    </row>
    <row r="122">
      <c r="A122" s="40" t="n">
        <v>21732</v>
      </c>
      <c r="B122" s="21">
        <f>IF(VLOOKUP(A122,'Database Rates'!$A:$E,5,FALSE)=0,#N/A,VLOOKUP(A122,'Database Rates'!$A:$E,5,FALSE))</f>
        <v/>
      </c>
    </row>
    <row r="123">
      <c r="A123" s="40" t="n">
        <v>21763</v>
      </c>
      <c r="B123" s="21">
        <f>IF(VLOOKUP(A123,'Database Rates'!$A:$E,5,FALSE)=0,#N/A,VLOOKUP(A123,'Database Rates'!$A:$E,5,FALSE))</f>
        <v/>
      </c>
    </row>
    <row r="124">
      <c r="A124" s="40" t="n">
        <v>21794</v>
      </c>
      <c r="B124" s="21">
        <f>IF(VLOOKUP(A124,'Database Rates'!$A:$E,5,FALSE)=0,#N/A,VLOOKUP(A124,'Database Rates'!$A:$E,5,FALSE))</f>
        <v/>
      </c>
    </row>
    <row r="125">
      <c r="A125" s="40" t="n">
        <v>21824</v>
      </c>
      <c r="B125" s="21">
        <f>IF(VLOOKUP(A125,'Database Rates'!$A:$E,5,FALSE)=0,#N/A,VLOOKUP(A125,'Database Rates'!$A:$E,5,FALSE))</f>
        <v/>
      </c>
    </row>
    <row r="126">
      <c r="A126" s="40" t="n">
        <v>21855</v>
      </c>
      <c r="B126" s="21">
        <f>IF(VLOOKUP(A126,'Database Rates'!$A:$E,5,FALSE)=0,#N/A,VLOOKUP(A126,'Database Rates'!$A:$E,5,FALSE))</f>
        <v/>
      </c>
    </row>
    <row r="127">
      <c r="A127" s="40" t="n">
        <v>21885</v>
      </c>
      <c r="B127" s="21">
        <f>IF(VLOOKUP(A127,'Database Rates'!$A:$E,5,FALSE)=0,#N/A,VLOOKUP(A127,'Database Rates'!$A:$E,5,FALSE))</f>
        <v/>
      </c>
    </row>
    <row r="128">
      <c r="A128" s="40" t="n">
        <v>21916</v>
      </c>
      <c r="B128" s="21">
        <f>IF(VLOOKUP(A128,'Database Rates'!$A:$E,5,FALSE)=0,#N/A,VLOOKUP(A128,'Database Rates'!$A:$E,5,FALSE))</f>
        <v/>
      </c>
    </row>
    <row r="129">
      <c r="A129" s="40" t="n">
        <v>21947</v>
      </c>
      <c r="B129" s="21">
        <f>IF(VLOOKUP(A129,'Database Rates'!$A:$E,5,FALSE)=0,#N/A,VLOOKUP(A129,'Database Rates'!$A:$E,5,FALSE))</f>
        <v/>
      </c>
    </row>
    <row r="130">
      <c r="A130" s="40" t="n">
        <v>21976</v>
      </c>
      <c r="B130" s="21">
        <f>IF(VLOOKUP(A130,'Database Rates'!$A:$E,5,FALSE)=0,#N/A,VLOOKUP(A130,'Database Rates'!$A:$E,5,FALSE))</f>
        <v/>
      </c>
    </row>
    <row r="131">
      <c r="A131" s="40" t="n">
        <v>22007</v>
      </c>
      <c r="B131" s="21">
        <f>IF(VLOOKUP(A131,'Database Rates'!$A:$E,5,FALSE)=0,#N/A,VLOOKUP(A131,'Database Rates'!$A:$E,5,FALSE))</f>
        <v/>
      </c>
    </row>
    <row r="132">
      <c r="A132" s="40" t="n">
        <v>22037</v>
      </c>
      <c r="B132" s="21">
        <f>IF(VLOOKUP(A132,'Database Rates'!$A:$E,5,FALSE)=0,#N/A,VLOOKUP(A132,'Database Rates'!$A:$E,5,FALSE))</f>
        <v/>
      </c>
    </row>
    <row r="133">
      <c r="A133" s="40" t="n">
        <v>22068</v>
      </c>
      <c r="B133" s="21">
        <f>IF(VLOOKUP(A133,'Database Rates'!$A:$E,5,FALSE)=0,#N/A,VLOOKUP(A133,'Database Rates'!$A:$E,5,FALSE))</f>
        <v/>
      </c>
    </row>
    <row r="134">
      <c r="A134" s="40" t="n">
        <v>22098</v>
      </c>
      <c r="B134" s="21">
        <f>IF(VLOOKUP(A134,'Database Rates'!$A:$E,5,FALSE)=0,#N/A,VLOOKUP(A134,'Database Rates'!$A:$E,5,FALSE))</f>
        <v/>
      </c>
    </row>
    <row r="135">
      <c r="A135" s="40" t="n">
        <v>22129</v>
      </c>
      <c r="B135" s="21">
        <f>IF(VLOOKUP(A135,'Database Rates'!$A:$E,5,FALSE)=0,#N/A,VLOOKUP(A135,'Database Rates'!$A:$E,5,FALSE))</f>
        <v/>
      </c>
    </row>
    <row r="136">
      <c r="A136" s="40" t="n">
        <v>22160</v>
      </c>
      <c r="B136" s="21">
        <f>IF(VLOOKUP(A136,'Database Rates'!$A:$E,5,FALSE)=0,#N/A,VLOOKUP(A136,'Database Rates'!$A:$E,5,FALSE))</f>
        <v/>
      </c>
    </row>
    <row r="137">
      <c r="A137" s="40" t="n">
        <v>22190</v>
      </c>
      <c r="B137" s="21">
        <f>IF(VLOOKUP(A137,'Database Rates'!$A:$E,5,FALSE)=0,#N/A,VLOOKUP(A137,'Database Rates'!$A:$E,5,FALSE))</f>
        <v/>
      </c>
    </row>
    <row r="138">
      <c r="A138" s="40" t="n">
        <v>22221</v>
      </c>
      <c r="B138" s="21">
        <f>IF(VLOOKUP(A138,'Database Rates'!$A:$E,5,FALSE)=0,#N/A,VLOOKUP(A138,'Database Rates'!$A:$E,5,FALSE))</f>
        <v/>
      </c>
    </row>
    <row r="139">
      <c r="A139" s="40" t="n">
        <v>22251</v>
      </c>
      <c r="B139" s="21">
        <f>IF(VLOOKUP(A139,'Database Rates'!$A:$E,5,FALSE)=0,#N/A,VLOOKUP(A139,'Database Rates'!$A:$E,5,FALSE))</f>
        <v/>
      </c>
    </row>
    <row r="140">
      <c r="A140" s="40" t="n">
        <v>22282</v>
      </c>
      <c r="B140" s="21">
        <f>IF(VLOOKUP(A140,'Database Rates'!$A:$E,5,FALSE)=0,#N/A,VLOOKUP(A140,'Database Rates'!$A:$E,5,FALSE))</f>
        <v/>
      </c>
    </row>
    <row r="141">
      <c r="A141" s="40" t="n">
        <v>22313</v>
      </c>
      <c r="B141" s="21">
        <f>IF(VLOOKUP(A141,'Database Rates'!$A:$E,5,FALSE)=0,#N/A,VLOOKUP(A141,'Database Rates'!$A:$E,5,FALSE))</f>
        <v/>
      </c>
    </row>
    <row r="142">
      <c r="A142" s="40" t="n">
        <v>22341</v>
      </c>
      <c r="B142" s="21">
        <f>IF(VLOOKUP(A142,'Database Rates'!$A:$E,5,FALSE)=0,#N/A,VLOOKUP(A142,'Database Rates'!$A:$E,5,FALSE))</f>
        <v/>
      </c>
    </row>
    <row r="143">
      <c r="A143" s="40" t="n">
        <v>22372</v>
      </c>
      <c r="B143" s="21">
        <f>IF(VLOOKUP(A143,'Database Rates'!$A:$E,5,FALSE)=0,#N/A,VLOOKUP(A143,'Database Rates'!$A:$E,5,FALSE))</f>
        <v/>
      </c>
    </row>
    <row r="144">
      <c r="A144" s="40" t="n">
        <v>22402</v>
      </c>
      <c r="B144" s="21">
        <f>IF(VLOOKUP(A144,'Database Rates'!$A:$E,5,FALSE)=0,#N/A,VLOOKUP(A144,'Database Rates'!$A:$E,5,FALSE))</f>
        <v/>
      </c>
    </row>
    <row r="145">
      <c r="A145" s="40" t="n">
        <v>22433</v>
      </c>
      <c r="B145" s="21">
        <f>IF(VLOOKUP(A145,'Database Rates'!$A:$E,5,FALSE)=0,#N/A,VLOOKUP(A145,'Database Rates'!$A:$E,5,FALSE))</f>
        <v/>
      </c>
    </row>
    <row r="146">
      <c r="A146" s="40" t="n">
        <v>22463</v>
      </c>
      <c r="B146" s="21">
        <f>IF(VLOOKUP(A146,'Database Rates'!$A:$E,5,FALSE)=0,#N/A,VLOOKUP(A146,'Database Rates'!$A:$E,5,FALSE))</f>
        <v/>
      </c>
    </row>
    <row r="147">
      <c r="A147" s="40" t="n">
        <v>22494</v>
      </c>
      <c r="B147" s="21">
        <f>IF(VLOOKUP(A147,'Database Rates'!$A:$E,5,FALSE)=0,#N/A,VLOOKUP(A147,'Database Rates'!$A:$E,5,FALSE))</f>
        <v/>
      </c>
    </row>
    <row r="148">
      <c r="A148" s="40" t="n">
        <v>22525</v>
      </c>
      <c r="B148" s="21">
        <f>IF(VLOOKUP(A148,'Database Rates'!$A:$E,5,FALSE)=0,#N/A,VLOOKUP(A148,'Database Rates'!$A:$E,5,FALSE))</f>
        <v/>
      </c>
    </row>
    <row r="149">
      <c r="A149" s="40" t="n">
        <v>22555</v>
      </c>
      <c r="B149" s="21">
        <f>IF(VLOOKUP(A149,'Database Rates'!$A:$E,5,FALSE)=0,#N/A,VLOOKUP(A149,'Database Rates'!$A:$E,5,FALSE))</f>
        <v/>
      </c>
    </row>
    <row r="150">
      <c r="A150" s="40" t="n">
        <v>22586</v>
      </c>
      <c r="B150" s="21">
        <f>IF(VLOOKUP(A150,'Database Rates'!$A:$E,5,FALSE)=0,#N/A,VLOOKUP(A150,'Database Rates'!$A:$E,5,FALSE))</f>
        <v/>
      </c>
    </row>
    <row r="151">
      <c r="A151" s="40" t="n">
        <v>22616</v>
      </c>
      <c r="B151" s="21">
        <f>IF(VLOOKUP(A151,'Database Rates'!$A:$E,5,FALSE)=0,#N/A,VLOOKUP(A151,'Database Rates'!$A:$E,5,FALSE))</f>
        <v/>
      </c>
    </row>
    <row r="152">
      <c r="A152" s="40" t="n">
        <v>22647</v>
      </c>
      <c r="B152" s="21">
        <f>IF(VLOOKUP(A152,'Database Rates'!$A:$E,5,FALSE)=0,#N/A,VLOOKUP(A152,'Database Rates'!$A:$E,5,FALSE))</f>
        <v/>
      </c>
    </row>
    <row r="153">
      <c r="A153" s="40" t="n">
        <v>22678</v>
      </c>
      <c r="B153" s="21">
        <f>IF(VLOOKUP(A153,'Database Rates'!$A:$E,5,FALSE)=0,#N/A,VLOOKUP(A153,'Database Rates'!$A:$E,5,FALSE))</f>
        <v/>
      </c>
    </row>
    <row r="154">
      <c r="A154" s="40" t="n">
        <v>22706</v>
      </c>
      <c r="B154" s="21">
        <f>IF(VLOOKUP(A154,'Database Rates'!$A:$E,5,FALSE)=0,#N/A,VLOOKUP(A154,'Database Rates'!$A:$E,5,FALSE))</f>
        <v/>
      </c>
    </row>
    <row r="155">
      <c r="A155" s="40" t="n">
        <v>22737</v>
      </c>
      <c r="B155" s="21">
        <f>IF(VLOOKUP(A155,'Database Rates'!$A:$E,5,FALSE)=0,#N/A,VLOOKUP(A155,'Database Rates'!$A:$E,5,FALSE))</f>
        <v/>
      </c>
    </row>
    <row r="156">
      <c r="A156" s="40" t="n">
        <v>22767</v>
      </c>
      <c r="B156" s="21">
        <f>IF(VLOOKUP(A156,'Database Rates'!$A:$E,5,FALSE)=0,#N/A,VLOOKUP(A156,'Database Rates'!$A:$E,5,FALSE))</f>
        <v/>
      </c>
    </row>
    <row r="157">
      <c r="A157" s="40" t="n">
        <v>22798</v>
      </c>
      <c r="B157" s="21">
        <f>IF(VLOOKUP(A157,'Database Rates'!$A:$E,5,FALSE)=0,#N/A,VLOOKUP(A157,'Database Rates'!$A:$E,5,FALSE))</f>
        <v/>
      </c>
    </row>
    <row r="158">
      <c r="A158" s="40" t="n">
        <v>22828</v>
      </c>
      <c r="B158" s="21">
        <f>IF(VLOOKUP(A158,'Database Rates'!$A:$E,5,FALSE)=0,#N/A,VLOOKUP(A158,'Database Rates'!$A:$E,5,FALSE))</f>
        <v/>
      </c>
    </row>
    <row r="159">
      <c r="A159" s="40" t="n">
        <v>22859</v>
      </c>
      <c r="B159" s="21">
        <f>IF(VLOOKUP(A159,'Database Rates'!$A:$E,5,FALSE)=0,#N/A,VLOOKUP(A159,'Database Rates'!$A:$E,5,FALSE))</f>
        <v/>
      </c>
    </row>
    <row r="160">
      <c r="A160" s="40" t="n">
        <v>22890</v>
      </c>
      <c r="B160" s="21">
        <f>IF(VLOOKUP(A160,'Database Rates'!$A:$E,5,FALSE)=0,#N/A,VLOOKUP(A160,'Database Rates'!$A:$E,5,FALSE))</f>
        <v/>
      </c>
    </row>
    <row r="161">
      <c r="A161" s="40" t="n">
        <v>22920</v>
      </c>
      <c r="B161" s="21">
        <f>IF(VLOOKUP(A161,'Database Rates'!$A:$E,5,FALSE)=0,#N/A,VLOOKUP(A161,'Database Rates'!$A:$E,5,FALSE))</f>
        <v/>
      </c>
    </row>
    <row r="162">
      <c r="A162" s="40" t="n">
        <v>22951</v>
      </c>
      <c r="B162" s="21">
        <f>IF(VLOOKUP(A162,'Database Rates'!$A:$E,5,FALSE)=0,#N/A,VLOOKUP(A162,'Database Rates'!$A:$E,5,FALSE))</f>
        <v/>
      </c>
    </row>
    <row r="163">
      <c r="A163" s="40" t="n">
        <v>22981</v>
      </c>
      <c r="B163" s="21">
        <f>IF(VLOOKUP(A163,'Database Rates'!$A:$E,5,FALSE)=0,#N/A,VLOOKUP(A163,'Database Rates'!$A:$E,5,FALSE))</f>
        <v/>
      </c>
    </row>
    <row r="164">
      <c r="A164" s="40" t="n">
        <v>23012</v>
      </c>
      <c r="B164" s="21">
        <f>IF(VLOOKUP(A164,'Database Rates'!$A:$E,5,FALSE)=0,#N/A,VLOOKUP(A164,'Database Rates'!$A:$E,5,FALSE))</f>
        <v/>
      </c>
    </row>
    <row r="165">
      <c r="A165" s="40" t="n">
        <v>23043</v>
      </c>
      <c r="B165" s="21">
        <f>IF(VLOOKUP(A165,'Database Rates'!$A:$E,5,FALSE)=0,#N/A,VLOOKUP(A165,'Database Rates'!$A:$E,5,FALSE))</f>
        <v/>
      </c>
    </row>
    <row r="166">
      <c r="A166" s="40" t="n">
        <v>23071</v>
      </c>
      <c r="B166" s="21">
        <f>IF(VLOOKUP(A166,'Database Rates'!$A:$E,5,FALSE)=0,#N/A,VLOOKUP(A166,'Database Rates'!$A:$E,5,FALSE))</f>
        <v/>
      </c>
    </row>
    <row r="167">
      <c r="A167" s="40" t="n">
        <v>23102</v>
      </c>
      <c r="B167" s="21">
        <f>IF(VLOOKUP(A167,'Database Rates'!$A:$E,5,FALSE)=0,#N/A,VLOOKUP(A167,'Database Rates'!$A:$E,5,FALSE))</f>
        <v/>
      </c>
    </row>
    <row r="168">
      <c r="A168" s="40" t="n">
        <v>23132</v>
      </c>
      <c r="B168" s="21">
        <f>IF(VLOOKUP(A168,'Database Rates'!$A:$E,5,FALSE)=0,#N/A,VLOOKUP(A168,'Database Rates'!$A:$E,5,FALSE))</f>
        <v/>
      </c>
    </row>
    <row r="169">
      <c r="A169" s="40" t="n">
        <v>23163</v>
      </c>
      <c r="B169" s="21">
        <f>IF(VLOOKUP(A169,'Database Rates'!$A:$E,5,FALSE)=0,#N/A,VLOOKUP(A169,'Database Rates'!$A:$E,5,FALSE))</f>
        <v/>
      </c>
    </row>
    <row r="170">
      <c r="A170" s="40" t="n">
        <v>23193</v>
      </c>
      <c r="B170" s="21">
        <f>IF(VLOOKUP(A170,'Database Rates'!$A:$E,5,FALSE)=0,#N/A,VLOOKUP(A170,'Database Rates'!$A:$E,5,FALSE))</f>
        <v/>
      </c>
    </row>
    <row r="171">
      <c r="A171" s="40" t="n">
        <v>23224</v>
      </c>
      <c r="B171" s="21">
        <f>IF(VLOOKUP(A171,'Database Rates'!$A:$E,5,FALSE)=0,#N/A,VLOOKUP(A171,'Database Rates'!$A:$E,5,FALSE))</f>
        <v/>
      </c>
    </row>
    <row r="172">
      <c r="A172" s="40" t="n">
        <v>23255</v>
      </c>
      <c r="B172" s="21">
        <f>IF(VLOOKUP(A172,'Database Rates'!$A:$E,5,FALSE)=0,#N/A,VLOOKUP(A172,'Database Rates'!$A:$E,5,FALSE))</f>
        <v/>
      </c>
    </row>
    <row r="173">
      <c r="A173" s="40" t="n">
        <v>23285</v>
      </c>
      <c r="B173" s="21">
        <f>IF(VLOOKUP(A173,'Database Rates'!$A:$E,5,FALSE)=0,#N/A,VLOOKUP(A173,'Database Rates'!$A:$E,5,FALSE))</f>
        <v/>
      </c>
    </row>
    <row r="174">
      <c r="A174" s="40" t="n">
        <v>23316</v>
      </c>
      <c r="B174" s="21">
        <f>IF(VLOOKUP(A174,'Database Rates'!$A:$E,5,FALSE)=0,#N/A,VLOOKUP(A174,'Database Rates'!$A:$E,5,FALSE))</f>
        <v/>
      </c>
    </row>
    <row r="175">
      <c r="A175" s="40" t="n">
        <v>23346</v>
      </c>
      <c r="B175" s="21">
        <f>IF(VLOOKUP(A175,'Database Rates'!$A:$E,5,FALSE)=0,#N/A,VLOOKUP(A175,'Database Rates'!$A:$E,5,FALSE))</f>
        <v/>
      </c>
    </row>
    <row r="176">
      <c r="A176" s="40" t="n">
        <v>23377</v>
      </c>
      <c r="B176" s="21">
        <f>IF(VLOOKUP(A176,'Database Rates'!$A:$E,5,FALSE)=0,#N/A,VLOOKUP(A176,'Database Rates'!$A:$E,5,FALSE))</f>
        <v/>
      </c>
    </row>
    <row r="177">
      <c r="A177" s="40" t="n">
        <v>23408</v>
      </c>
      <c r="B177" s="21">
        <f>IF(VLOOKUP(A177,'Database Rates'!$A:$E,5,FALSE)=0,#N/A,VLOOKUP(A177,'Database Rates'!$A:$E,5,FALSE))</f>
        <v/>
      </c>
    </row>
    <row r="178">
      <c r="A178" s="40" t="n">
        <v>23437</v>
      </c>
      <c r="B178" s="21">
        <f>IF(VLOOKUP(A178,'Database Rates'!$A:$E,5,FALSE)=0,#N/A,VLOOKUP(A178,'Database Rates'!$A:$E,5,FALSE))</f>
        <v/>
      </c>
    </row>
    <row r="179">
      <c r="A179" s="40" t="n">
        <v>23468</v>
      </c>
      <c r="B179" s="21">
        <f>IF(VLOOKUP(A179,'Database Rates'!$A:$E,5,FALSE)=0,#N/A,VLOOKUP(A179,'Database Rates'!$A:$E,5,FALSE))</f>
        <v/>
      </c>
    </row>
    <row r="180">
      <c r="A180" s="40" t="n">
        <v>23498</v>
      </c>
      <c r="B180" s="21">
        <f>IF(VLOOKUP(A180,'Database Rates'!$A:$E,5,FALSE)=0,#N/A,VLOOKUP(A180,'Database Rates'!$A:$E,5,FALSE))</f>
        <v/>
      </c>
    </row>
    <row r="181">
      <c r="A181" s="40" t="n">
        <v>23529</v>
      </c>
      <c r="B181" s="21">
        <f>IF(VLOOKUP(A181,'Database Rates'!$A:$E,5,FALSE)=0,#N/A,VLOOKUP(A181,'Database Rates'!$A:$E,5,FALSE))</f>
        <v/>
      </c>
    </row>
    <row r="182">
      <c r="A182" s="40" t="n">
        <v>23559</v>
      </c>
      <c r="B182" s="21">
        <f>IF(VLOOKUP(A182,'Database Rates'!$A:$E,5,FALSE)=0,#N/A,VLOOKUP(A182,'Database Rates'!$A:$E,5,FALSE))</f>
        <v/>
      </c>
    </row>
    <row r="183">
      <c r="A183" s="40" t="n">
        <v>23590</v>
      </c>
      <c r="B183" s="21">
        <f>IF(VLOOKUP(A183,'Database Rates'!$A:$E,5,FALSE)=0,#N/A,VLOOKUP(A183,'Database Rates'!$A:$E,5,FALSE))</f>
        <v/>
      </c>
    </row>
    <row r="184">
      <c r="A184" s="40" t="n">
        <v>23621</v>
      </c>
      <c r="B184" s="21">
        <f>IF(VLOOKUP(A184,'Database Rates'!$A:$E,5,FALSE)=0,#N/A,VLOOKUP(A184,'Database Rates'!$A:$E,5,FALSE))</f>
        <v/>
      </c>
    </row>
    <row r="185">
      <c r="A185" s="40" t="n">
        <v>23651</v>
      </c>
      <c r="B185" s="21">
        <f>IF(VLOOKUP(A185,'Database Rates'!$A:$E,5,FALSE)=0,#N/A,VLOOKUP(A185,'Database Rates'!$A:$E,5,FALSE))</f>
        <v/>
      </c>
    </row>
    <row r="186">
      <c r="A186" s="40" t="n">
        <v>23682</v>
      </c>
      <c r="B186" s="21">
        <f>IF(VLOOKUP(A186,'Database Rates'!$A:$E,5,FALSE)=0,#N/A,VLOOKUP(A186,'Database Rates'!$A:$E,5,FALSE))</f>
        <v/>
      </c>
    </row>
    <row r="187">
      <c r="A187" s="40" t="n">
        <v>23712</v>
      </c>
      <c r="B187" s="21">
        <f>IF(VLOOKUP(A187,'Database Rates'!$A:$E,5,FALSE)=0,#N/A,VLOOKUP(A187,'Database Rates'!$A:$E,5,FALSE))</f>
        <v/>
      </c>
    </row>
    <row r="188">
      <c r="A188" s="40" t="n">
        <v>23743</v>
      </c>
      <c r="B188" s="21">
        <f>IF(VLOOKUP(A188,'Database Rates'!$A:$E,5,FALSE)=0,#N/A,VLOOKUP(A188,'Database Rates'!$A:$E,5,FALSE))</f>
        <v/>
      </c>
    </row>
    <row r="189">
      <c r="A189" s="40" t="n">
        <v>23774</v>
      </c>
      <c r="B189" s="21">
        <f>IF(VLOOKUP(A189,'Database Rates'!$A:$E,5,FALSE)=0,#N/A,VLOOKUP(A189,'Database Rates'!$A:$E,5,FALSE))</f>
        <v/>
      </c>
    </row>
    <row r="190">
      <c r="A190" s="40" t="n">
        <v>23802</v>
      </c>
      <c r="B190" s="21">
        <f>IF(VLOOKUP(A190,'Database Rates'!$A:$E,5,FALSE)=0,#N/A,VLOOKUP(A190,'Database Rates'!$A:$E,5,FALSE))</f>
        <v/>
      </c>
    </row>
    <row r="191">
      <c r="A191" s="40" t="n">
        <v>23833</v>
      </c>
      <c r="B191" s="21">
        <f>IF(VLOOKUP(A191,'Database Rates'!$A:$E,5,FALSE)=0,#N/A,VLOOKUP(A191,'Database Rates'!$A:$E,5,FALSE))</f>
        <v/>
      </c>
    </row>
    <row r="192">
      <c r="A192" s="40" t="n">
        <v>23863</v>
      </c>
      <c r="B192" s="21">
        <f>IF(VLOOKUP(A192,'Database Rates'!$A:$E,5,FALSE)=0,#N/A,VLOOKUP(A192,'Database Rates'!$A:$E,5,FALSE))</f>
        <v/>
      </c>
    </row>
    <row r="193">
      <c r="A193" s="40" t="n">
        <v>23894</v>
      </c>
      <c r="B193" s="21">
        <f>IF(VLOOKUP(A193,'Database Rates'!$A:$E,5,FALSE)=0,#N/A,VLOOKUP(A193,'Database Rates'!$A:$E,5,FALSE))</f>
        <v/>
      </c>
    </row>
    <row r="194">
      <c r="A194" s="40" t="n">
        <v>23924</v>
      </c>
      <c r="B194" s="21">
        <f>IF(VLOOKUP(A194,'Database Rates'!$A:$E,5,FALSE)=0,#N/A,VLOOKUP(A194,'Database Rates'!$A:$E,5,FALSE))</f>
        <v/>
      </c>
    </row>
    <row r="195">
      <c r="A195" s="40" t="n">
        <v>23955</v>
      </c>
      <c r="B195" s="21">
        <f>IF(VLOOKUP(A195,'Database Rates'!$A:$E,5,FALSE)=0,#N/A,VLOOKUP(A195,'Database Rates'!$A:$E,5,FALSE))</f>
        <v/>
      </c>
    </row>
    <row r="196">
      <c r="A196" s="40" t="n">
        <v>23986</v>
      </c>
      <c r="B196" s="21">
        <f>IF(VLOOKUP(A196,'Database Rates'!$A:$E,5,FALSE)=0,#N/A,VLOOKUP(A196,'Database Rates'!$A:$E,5,FALSE))</f>
        <v/>
      </c>
    </row>
    <row r="197">
      <c r="A197" s="40" t="n">
        <v>24016</v>
      </c>
      <c r="B197" s="21">
        <f>IF(VLOOKUP(A197,'Database Rates'!$A:$E,5,FALSE)=0,#N/A,VLOOKUP(A197,'Database Rates'!$A:$E,5,FALSE))</f>
        <v/>
      </c>
    </row>
    <row r="198">
      <c r="A198" s="40" t="n">
        <v>24047</v>
      </c>
      <c r="B198" s="21">
        <f>IF(VLOOKUP(A198,'Database Rates'!$A:$E,5,FALSE)=0,#N/A,VLOOKUP(A198,'Database Rates'!$A:$E,5,FALSE))</f>
        <v/>
      </c>
    </row>
    <row r="199">
      <c r="A199" s="40" t="n">
        <v>24077</v>
      </c>
      <c r="B199" s="21">
        <f>IF(VLOOKUP(A199,'Database Rates'!$A:$E,5,FALSE)=0,#N/A,VLOOKUP(A199,'Database Rates'!$A:$E,5,FALSE))</f>
        <v/>
      </c>
    </row>
    <row r="200">
      <c r="A200" s="40" t="n">
        <v>24108</v>
      </c>
      <c r="B200" s="21">
        <f>IF(VLOOKUP(A200,'Database Rates'!$A:$E,5,FALSE)=0,#N/A,VLOOKUP(A200,'Database Rates'!$A:$E,5,FALSE))</f>
        <v/>
      </c>
    </row>
    <row r="201">
      <c r="A201" s="40" t="n">
        <v>24139</v>
      </c>
      <c r="B201" s="21">
        <f>IF(VLOOKUP(A201,'Database Rates'!$A:$E,5,FALSE)=0,#N/A,VLOOKUP(A201,'Database Rates'!$A:$E,5,FALSE))</f>
        <v/>
      </c>
    </row>
    <row r="202">
      <c r="A202" s="40" t="n">
        <v>24167</v>
      </c>
      <c r="B202" s="21">
        <f>IF(VLOOKUP(A202,'Database Rates'!$A:$E,5,FALSE)=0,#N/A,VLOOKUP(A202,'Database Rates'!$A:$E,5,FALSE))</f>
        <v/>
      </c>
    </row>
    <row r="203">
      <c r="A203" s="40" t="n">
        <v>24198</v>
      </c>
      <c r="B203" s="21">
        <f>IF(VLOOKUP(A203,'Database Rates'!$A:$E,5,FALSE)=0,#N/A,VLOOKUP(A203,'Database Rates'!$A:$E,5,FALSE))</f>
        <v/>
      </c>
    </row>
    <row r="204">
      <c r="A204" s="40" t="n">
        <v>24228</v>
      </c>
      <c r="B204" s="21">
        <f>IF(VLOOKUP(A204,'Database Rates'!$A:$E,5,FALSE)=0,#N/A,VLOOKUP(A204,'Database Rates'!$A:$E,5,FALSE))</f>
        <v/>
      </c>
    </row>
    <row r="205">
      <c r="A205" s="40" t="n">
        <v>24259</v>
      </c>
      <c r="B205" s="21">
        <f>IF(VLOOKUP(A205,'Database Rates'!$A:$E,5,FALSE)=0,#N/A,VLOOKUP(A205,'Database Rates'!$A:$E,5,FALSE))</f>
        <v/>
      </c>
    </row>
    <row r="206">
      <c r="A206" s="40" t="n">
        <v>24289</v>
      </c>
      <c r="B206" s="21">
        <f>IF(VLOOKUP(A206,'Database Rates'!$A:$E,5,FALSE)=0,#N/A,VLOOKUP(A206,'Database Rates'!$A:$E,5,FALSE))</f>
        <v/>
      </c>
    </row>
    <row r="207">
      <c r="A207" s="40" t="n">
        <v>24320</v>
      </c>
      <c r="B207" s="21">
        <f>IF(VLOOKUP(A207,'Database Rates'!$A:$E,5,FALSE)=0,#N/A,VLOOKUP(A207,'Database Rates'!$A:$E,5,FALSE))</f>
        <v/>
      </c>
    </row>
    <row r="208">
      <c r="A208" s="40" t="n">
        <v>24351</v>
      </c>
      <c r="B208" s="21">
        <f>IF(VLOOKUP(A208,'Database Rates'!$A:$E,5,FALSE)=0,#N/A,VLOOKUP(A208,'Database Rates'!$A:$E,5,FALSE))</f>
        <v/>
      </c>
    </row>
    <row r="209">
      <c r="A209" s="40" t="n">
        <v>24381</v>
      </c>
      <c r="B209" s="21">
        <f>IF(VLOOKUP(A209,'Database Rates'!$A:$E,5,FALSE)=0,#N/A,VLOOKUP(A209,'Database Rates'!$A:$E,5,FALSE))</f>
        <v/>
      </c>
    </row>
    <row r="210">
      <c r="A210" s="40" t="n">
        <v>24412</v>
      </c>
      <c r="B210" s="21">
        <f>IF(VLOOKUP(A210,'Database Rates'!$A:$E,5,FALSE)=0,#N/A,VLOOKUP(A210,'Database Rates'!$A:$E,5,FALSE))</f>
        <v/>
      </c>
    </row>
    <row r="211">
      <c r="A211" s="40" t="n">
        <v>24442</v>
      </c>
      <c r="B211" s="21">
        <f>IF(VLOOKUP(A211,'Database Rates'!$A:$E,5,FALSE)=0,#N/A,VLOOKUP(A211,'Database Rates'!$A:$E,5,FALSE))</f>
        <v/>
      </c>
    </row>
    <row r="212">
      <c r="A212" s="40" t="n">
        <v>24473</v>
      </c>
      <c r="B212" s="21">
        <f>IF(VLOOKUP(A212,'Database Rates'!$A:$E,5,FALSE)=0,#N/A,VLOOKUP(A212,'Database Rates'!$A:$E,5,FALSE))</f>
        <v/>
      </c>
    </row>
    <row r="213">
      <c r="A213" s="40" t="n">
        <v>24504</v>
      </c>
      <c r="B213" s="21">
        <f>IF(VLOOKUP(A213,'Database Rates'!$A:$E,5,FALSE)=0,#N/A,VLOOKUP(A213,'Database Rates'!$A:$E,5,FALSE))</f>
        <v/>
      </c>
    </row>
    <row r="214">
      <c r="A214" s="40" t="n">
        <v>24532</v>
      </c>
      <c r="B214" s="21">
        <f>IF(VLOOKUP(A214,'Database Rates'!$A:$E,5,FALSE)=0,#N/A,VLOOKUP(A214,'Database Rates'!$A:$E,5,FALSE))</f>
        <v/>
      </c>
    </row>
    <row r="215">
      <c r="A215" s="40" t="n">
        <v>24563</v>
      </c>
      <c r="B215" s="21">
        <f>IF(VLOOKUP(A215,'Database Rates'!$A:$E,5,FALSE)=0,#N/A,VLOOKUP(A215,'Database Rates'!$A:$E,5,FALSE))</f>
        <v/>
      </c>
    </row>
    <row r="216">
      <c r="A216" s="40" t="n">
        <v>24593</v>
      </c>
      <c r="B216" s="21">
        <f>IF(VLOOKUP(A216,'Database Rates'!$A:$E,5,FALSE)=0,#N/A,VLOOKUP(A216,'Database Rates'!$A:$E,5,FALSE))</f>
        <v/>
      </c>
    </row>
    <row r="217">
      <c r="A217" s="40" t="n">
        <v>24624</v>
      </c>
      <c r="B217" s="21">
        <f>IF(VLOOKUP(A217,'Database Rates'!$A:$E,5,FALSE)=0,#N/A,VLOOKUP(A217,'Database Rates'!$A:$E,5,FALSE))</f>
        <v/>
      </c>
    </row>
    <row r="218">
      <c r="A218" s="40" t="n">
        <v>24654</v>
      </c>
      <c r="B218" s="21">
        <f>IF(VLOOKUP(A218,'Database Rates'!$A:$E,5,FALSE)=0,#N/A,VLOOKUP(A218,'Database Rates'!$A:$E,5,FALSE))</f>
        <v/>
      </c>
    </row>
    <row r="219">
      <c r="A219" s="40" t="n">
        <v>24685</v>
      </c>
      <c r="B219" s="21">
        <f>IF(VLOOKUP(A219,'Database Rates'!$A:$E,5,FALSE)=0,#N/A,VLOOKUP(A219,'Database Rates'!$A:$E,5,FALSE))</f>
        <v/>
      </c>
    </row>
    <row r="220">
      <c r="A220" s="40" t="n">
        <v>24716</v>
      </c>
      <c r="B220" s="21">
        <f>IF(VLOOKUP(A220,'Database Rates'!$A:$E,5,FALSE)=0,#N/A,VLOOKUP(A220,'Database Rates'!$A:$E,5,FALSE))</f>
        <v/>
      </c>
    </row>
    <row r="221">
      <c r="A221" s="40" t="n">
        <v>24746</v>
      </c>
      <c r="B221" s="21">
        <f>IF(VLOOKUP(A221,'Database Rates'!$A:$E,5,FALSE)=0,#N/A,VLOOKUP(A221,'Database Rates'!$A:$E,5,FALSE))</f>
        <v/>
      </c>
    </row>
    <row r="222">
      <c r="A222" s="40" t="n">
        <v>24777</v>
      </c>
      <c r="B222" s="21">
        <f>IF(VLOOKUP(A222,'Database Rates'!$A:$E,5,FALSE)=0,#N/A,VLOOKUP(A222,'Database Rates'!$A:$E,5,FALSE))</f>
        <v/>
      </c>
    </row>
    <row r="223">
      <c r="A223" s="40" t="n">
        <v>24807</v>
      </c>
      <c r="B223" s="21">
        <f>IF(VLOOKUP(A223,'Database Rates'!$A:$E,5,FALSE)=0,#N/A,VLOOKUP(A223,'Database Rates'!$A:$E,5,FALSE))</f>
        <v/>
      </c>
    </row>
    <row r="224">
      <c r="A224" s="40" t="n">
        <v>24838</v>
      </c>
      <c r="B224" s="21">
        <f>IF(VLOOKUP(A224,'Database Rates'!$A:$E,5,FALSE)=0,#N/A,VLOOKUP(A224,'Database Rates'!$A:$E,5,FALSE))</f>
        <v/>
      </c>
    </row>
    <row r="225">
      <c r="A225" s="40" t="n">
        <v>24869</v>
      </c>
      <c r="B225" s="21">
        <f>IF(VLOOKUP(A225,'Database Rates'!$A:$E,5,FALSE)=0,#N/A,VLOOKUP(A225,'Database Rates'!$A:$E,5,FALSE))</f>
        <v/>
      </c>
    </row>
    <row r="226">
      <c r="A226" s="40" t="n">
        <v>24898</v>
      </c>
      <c r="B226" s="21">
        <f>IF(VLOOKUP(A226,'Database Rates'!$A:$E,5,FALSE)=0,#N/A,VLOOKUP(A226,'Database Rates'!$A:$E,5,FALSE))</f>
        <v/>
      </c>
    </row>
    <row r="227">
      <c r="A227" s="40" t="n">
        <v>24929</v>
      </c>
      <c r="B227" s="21">
        <f>IF(VLOOKUP(A227,'Database Rates'!$A:$E,5,FALSE)=0,#N/A,VLOOKUP(A227,'Database Rates'!$A:$E,5,FALSE))</f>
        <v/>
      </c>
    </row>
    <row r="228">
      <c r="A228" s="40" t="n">
        <v>24959</v>
      </c>
      <c r="B228" s="21">
        <f>IF(VLOOKUP(A228,'Database Rates'!$A:$E,5,FALSE)=0,#N/A,VLOOKUP(A228,'Database Rates'!$A:$E,5,FALSE))</f>
        <v/>
      </c>
    </row>
    <row r="229">
      <c r="A229" s="40" t="n">
        <v>24990</v>
      </c>
      <c r="B229" s="21">
        <f>IF(VLOOKUP(A229,'Database Rates'!$A:$E,5,FALSE)=0,#N/A,VLOOKUP(A229,'Database Rates'!$A:$E,5,FALSE))</f>
        <v/>
      </c>
    </row>
    <row r="230">
      <c r="A230" s="40" t="n">
        <v>25020</v>
      </c>
      <c r="B230" s="21">
        <f>IF(VLOOKUP(A230,'Database Rates'!$A:$E,5,FALSE)=0,#N/A,VLOOKUP(A230,'Database Rates'!$A:$E,5,FALSE))</f>
        <v/>
      </c>
    </row>
    <row r="231">
      <c r="A231" s="40" t="n">
        <v>25051</v>
      </c>
      <c r="B231" s="21">
        <f>IF(VLOOKUP(A231,'Database Rates'!$A:$E,5,FALSE)=0,#N/A,VLOOKUP(A231,'Database Rates'!$A:$E,5,FALSE))</f>
        <v/>
      </c>
    </row>
    <row r="232">
      <c r="A232" s="40" t="n">
        <v>25082</v>
      </c>
      <c r="B232" s="21">
        <f>IF(VLOOKUP(A232,'Database Rates'!$A:$E,5,FALSE)=0,#N/A,VLOOKUP(A232,'Database Rates'!$A:$E,5,FALSE))</f>
        <v/>
      </c>
    </row>
    <row r="233">
      <c r="A233" s="40" t="n">
        <v>25112</v>
      </c>
      <c r="B233" s="21">
        <f>IF(VLOOKUP(A233,'Database Rates'!$A:$E,5,FALSE)=0,#N/A,VLOOKUP(A233,'Database Rates'!$A:$E,5,FALSE))</f>
        <v/>
      </c>
    </row>
    <row r="234">
      <c r="A234" s="40" t="n">
        <v>25143</v>
      </c>
      <c r="B234" s="21">
        <f>IF(VLOOKUP(A234,'Database Rates'!$A:$E,5,FALSE)=0,#N/A,VLOOKUP(A234,'Database Rates'!$A:$E,5,FALSE))</f>
        <v/>
      </c>
    </row>
    <row r="235">
      <c r="A235" s="40" t="n">
        <v>25173</v>
      </c>
      <c r="B235" s="21">
        <f>IF(VLOOKUP(A235,'Database Rates'!$A:$E,5,FALSE)=0,#N/A,VLOOKUP(A235,'Database Rates'!$A:$E,5,FALSE))</f>
        <v/>
      </c>
    </row>
    <row r="236">
      <c r="A236" s="40" t="n">
        <v>25204</v>
      </c>
      <c r="B236" s="21">
        <f>IF(VLOOKUP(A236,'Database Rates'!$A:$E,5,FALSE)=0,#N/A,VLOOKUP(A236,'Database Rates'!$A:$E,5,FALSE))</f>
        <v/>
      </c>
    </row>
    <row r="237">
      <c r="A237" s="40" t="n">
        <v>25235</v>
      </c>
      <c r="B237" s="21">
        <f>IF(VLOOKUP(A237,'Database Rates'!$A:$E,5,FALSE)=0,#N/A,VLOOKUP(A237,'Database Rates'!$A:$E,5,FALSE))</f>
        <v/>
      </c>
    </row>
    <row r="238">
      <c r="A238" s="40" t="n">
        <v>25263</v>
      </c>
      <c r="B238" s="21">
        <f>IF(VLOOKUP(A238,'Database Rates'!$A:$E,5,FALSE)=0,#N/A,VLOOKUP(A238,'Database Rates'!$A:$E,5,FALSE))</f>
        <v/>
      </c>
    </row>
    <row r="239">
      <c r="A239" s="40" t="n">
        <v>25294</v>
      </c>
      <c r="B239" s="21">
        <f>IF(VLOOKUP(A239,'Database Rates'!$A:$E,5,FALSE)=0,#N/A,VLOOKUP(A239,'Database Rates'!$A:$E,5,FALSE))</f>
        <v/>
      </c>
    </row>
    <row r="240">
      <c r="A240" s="40" t="n">
        <v>25324</v>
      </c>
      <c r="B240" s="21">
        <f>IF(VLOOKUP(A240,'Database Rates'!$A:$E,5,FALSE)=0,#N/A,VLOOKUP(A240,'Database Rates'!$A:$E,5,FALSE))</f>
        <v/>
      </c>
    </row>
    <row r="241">
      <c r="A241" s="40" t="n">
        <v>25355</v>
      </c>
      <c r="B241" s="21">
        <f>IF(VLOOKUP(A241,'Database Rates'!$A:$E,5,FALSE)=0,#N/A,VLOOKUP(A241,'Database Rates'!$A:$E,5,FALSE))</f>
        <v/>
      </c>
    </row>
    <row r="242">
      <c r="A242" s="40" t="n">
        <v>25385</v>
      </c>
      <c r="B242" s="21">
        <f>IF(VLOOKUP(A242,'Database Rates'!$A:$E,5,FALSE)=0,#N/A,VLOOKUP(A242,'Database Rates'!$A:$E,5,FALSE))</f>
        <v/>
      </c>
    </row>
    <row r="243">
      <c r="A243" s="40" t="n">
        <v>25416</v>
      </c>
      <c r="B243" s="21">
        <f>IF(VLOOKUP(A243,'Database Rates'!$A:$E,5,FALSE)=0,#N/A,VLOOKUP(A243,'Database Rates'!$A:$E,5,FALSE))</f>
        <v/>
      </c>
    </row>
    <row r="244">
      <c r="A244" s="40" t="n">
        <v>25447</v>
      </c>
      <c r="B244" s="21">
        <f>IF(VLOOKUP(A244,'Database Rates'!$A:$E,5,FALSE)=0,#N/A,VLOOKUP(A244,'Database Rates'!$A:$E,5,FALSE))</f>
        <v/>
      </c>
    </row>
    <row r="245">
      <c r="A245" s="40" t="n">
        <v>25477</v>
      </c>
      <c r="B245" s="21">
        <f>IF(VLOOKUP(A245,'Database Rates'!$A:$E,5,FALSE)=0,#N/A,VLOOKUP(A245,'Database Rates'!$A:$E,5,FALSE))</f>
        <v/>
      </c>
    </row>
    <row r="246">
      <c r="A246" s="40" t="n">
        <v>25508</v>
      </c>
      <c r="B246" s="21">
        <f>IF(VLOOKUP(A246,'Database Rates'!$A:$E,5,FALSE)=0,#N/A,VLOOKUP(A246,'Database Rates'!$A:$E,5,FALSE))</f>
        <v/>
      </c>
    </row>
    <row r="247">
      <c r="A247" s="40" t="n">
        <v>25538</v>
      </c>
      <c r="B247" s="21">
        <f>IF(VLOOKUP(A247,'Database Rates'!$A:$E,5,FALSE)=0,#N/A,VLOOKUP(A247,'Database Rates'!$A:$E,5,FALSE))</f>
        <v/>
      </c>
    </row>
    <row r="248">
      <c r="A248" s="40" t="n">
        <v>25569</v>
      </c>
      <c r="B248" s="21">
        <f>IF(VLOOKUP(A248,'Database Rates'!$A:$E,5,FALSE)=0,#N/A,VLOOKUP(A248,'Database Rates'!$A:$E,5,FALSE))</f>
        <v/>
      </c>
    </row>
    <row r="249">
      <c r="A249" s="40" t="n">
        <v>25600</v>
      </c>
      <c r="B249" s="21">
        <f>IF(VLOOKUP(A249,'Database Rates'!$A:$E,5,FALSE)=0,#N/A,VLOOKUP(A249,'Database Rates'!$A:$E,5,FALSE))</f>
        <v/>
      </c>
    </row>
    <row r="250">
      <c r="A250" s="40" t="n">
        <v>25628</v>
      </c>
      <c r="B250" s="21">
        <f>IF(VLOOKUP(A250,'Database Rates'!$A:$E,5,FALSE)=0,#N/A,VLOOKUP(A250,'Database Rates'!$A:$E,5,FALSE))</f>
        <v/>
      </c>
    </row>
    <row r="251">
      <c r="A251" s="40" t="n">
        <v>25659</v>
      </c>
      <c r="B251" s="21">
        <f>IF(VLOOKUP(A251,'Database Rates'!$A:$E,5,FALSE)=0,#N/A,VLOOKUP(A251,'Database Rates'!$A:$E,5,FALSE))</f>
        <v/>
      </c>
    </row>
    <row r="252">
      <c r="A252" s="40" t="n">
        <v>25689</v>
      </c>
      <c r="B252" s="21">
        <f>IF(VLOOKUP(A252,'Database Rates'!$A:$E,5,FALSE)=0,#N/A,VLOOKUP(A252,'Database Rates'!$A:$E,5,FALSE))</f>
        <v/>
      </c>
    </row>
    <row r="253">
      <c r="A253" s="40" t="n">
        <v>25720</v>
      </c>
      <c r="B253" s="21">
        <f>IF(VLOOKUP(A253,'Database Rates'!$A:$E,5,FALSE)=0,#N/A,VLOOKUP(A253,'Database Rates'!$A:$E,5,FALSE))</f>
        <v/>
      </c>
    </row>
    <row r="254">
      <c r="A254" s="40" t="n">
        <v>25750</v>
      </c>
      <c r="B254" s="21">
        <f>IF(VLOOKUP(A254,'Database Rates'!$A:$E,5,FALSE)=0,#N/A,VLOOKUP(A254,'Database Rates'!$A:$E,5,FALSE))</f>
        <v/>
      </c>
    </row>
    <row r="255">
      <c r="A255" s="40" t="n">
        <v>25781</v>
      </c>
      <c r="B255" s="21">
        <f>IF(VLOOKUP(A255,'Database Rates'!$A:$E,5,FALSE)=0,#N/A,VLOOKUP(A255,'Database Rates'!$A:$E,5,FALSE))</f>
        <v/>
      </c>
    </row>
    <row r="256">
      <c r="A256" s="40" t="n">
        <v>25812</v>
      </c>
      <c r="B256" s="21">
        <f>IF(VLOOKUP(A256,'Database Rates'!$A:$E,5,FALSE)=0,#N/A,VLOOKUP(A256,'Database Rates'!$A:$E,5,FALSE))</f>
        <v/>
      </c>
    </row>
    <row r="257">
      <c r="A257" s="40" t="n">
        <v>25842</v>
      </c>
      <c r="B257" s="21">
        <f>IF(VLOOKUP(A257,'Database Rates'!$A:$E,5,FALSE)=0,#N/A,VLOOKUP(A257,'Database Rates'!$A:$E,5,FALSE))</f>
        <v/>
      </c>
    </row>
    <row r="258">
      <c r="A258" s="40" t="n">
        <v>25873</v>
      </c>
      <c r="B258" s="21">
        <f>IF(VLOOKUP(A258,'Database Rates'!$A:$E,5,FALSE)=0,#N/A,VLOOKUP(A258,'Database Rates'!$A:$E,5,FALSE))</f>
        <v/>
      </c>
    </row>
    <row r="259">
      <c r="A259" s="40" t="n">
        <v>25903</v>
      </c>
      <c r="B259" s="21">
        <f>IF(VLOOKUP(A259,'Database Rates'!$A:$E,5,FALSE)=0,#N/A,VLOOKUP(A259,'Database Rates'!$A:$E,5,FALSE))</f>
        <v/>
      </c>
    </row>
    <row r="260">
      <c r="A260" s="40" t="n">
        <v>25934</v>
      </c>
      <c r="B260" s="21">
        <f>IF(VLOOKUP(A260,'Database Rates'!$A:$E,5,FALSE)=0,#N/A,VLOOKUP(A260,'Database Rates'!$A:$E,5,FALSE))</f>
        <v/>
      </c>
    </row>
    <row r="261">
      <c r="A261" s="40" t="n">
        <v>25965</v>
      </c>
      <c r="B261" s="21">
        <f>IF(VLOOKUP(A261,'Database Rates'!$A:$E,5,FALSE)=0,#N/A,VLOOKUP(A261,'Database Rates'!$A:$E,5,FALSE))</f>
        <v/>
      </c>
    </row>
    <row r="262">
      <c r="A262" s="40" t="n">
        <v>25993</v>
      </c>
      <c r="B262" s="21">
        <f>IF(VLOOKUP(A262,'Database Rates'!$A:$E,5,FALSE)=0,#N/A,VLOOKUP(A262,'Database Rates'!$A:$E,5,FALSE))</f>
        <v/>
      </c>
    </row>
    <row r="263">
      <c r="A263" s="40" t="n">
        <v>26024</v>
      </c>
      <c r="B263" s="21">
        <f>IF(VLOOKUP(A263,'Database Rates'!$A:$E,5,FALSE)=0,#N/A,VLOOKUP(A263,'Database Rates'!$A:$E,5,FALSE))</f>
        <v/>
      </c>
    </row>
    <row r="264">
      <c r="A264" s="40" t="n">
        <v>26054</v>
      </c>
      <c r="B264" s="21">
        <f>IF(VLOOKUP(A264,'Database Rates'!$A:$E,5,FALSE)=0,#N/A,VLOOKUP(A264,'Database Rates'!$A:$E,5,FALSE))</f>
        <v/>
      </c>
    </row>
    <row r="265">
      <c r="A265" s="40" t="n">
        <v>26085</v>
      </c>
      <c r="B265" s="21">
        <f>IF(VLOOKUP(A265,'Database Rates'!$A:$E,5,FALSE)=0,#N/A,VLOOKUP(A265,'Database Rates'!$A:$E,5,FALSE))</f>
        <v/>
      </c>
    </row>
    <row r="266">
      <c r="A266" s="40" t="n">
        <v>26115</v>
      </c>
      <c r="B266" s="21">
        <f>IF(VLOOKUP(A266,'Database Rates'!$A:$E,5,FALSE)=0,#N/A,VLOOKUP(A266,'Database Rates'!$A:$E,5,FALSE))</f>
        <v/>
      </c>
    </row>
    <row r="267">
      <c r="A267" s="40" t="n">
        <v>26146</v>
      </c>
      <c r="B267" s="21">
        <f>IF(VLOOKUP(A267,'Database Rates'!$A:$E,5,FALSE)=0,#N/A,VLOOKUP(A267,'Database Rates'!$A:$E,5,FALSE))</f>
        <v/>
      </c>
    </row>
    <row r="268">
      <c r="A268" s="40" t="n">
        <v>26177</v>
      </c>
      <c r="B268" s="21">
        <f>IF(VLOOKUP(A268,'Database Rates'!$A:$E,5,FALSE)=0,#N/A,VLOOKUP(A268,'Database Rates'!$A:$E,5,FALSE))</f>
        <v/>
      </c>
    </row>
    <row r="269">
      <c r="A269" s="40" t="n">
        <v>26207</v>
      </c>
      <c r="B269" s="21">
        <f>IF(VLOOKUP(A269,'Database Rates'!$A:$E,5,FALSE)=0,#N/A,VLOOKUP(A269,'Database Rates'!$A:$E,5,FALSE))</f>
        <v/>
      </c>
    </row>
    <row r="270">
      <c r="A270" s="40" t="n">
        <v>26238</v>
      </c>
      <c r="B270" s="21">
        <f>IF(VLOOKUP(A270,'Database Rates'!$A:$E,5,FALSE)=0,#N/A,VLOOKUP(A270,'Database Rates'!$A:$E,5,FALSE))</f>
        <v/>
      </c>
    </row>
    <row r="271">
      <c r="A271" s="40" t="n">
        <v>26268</v>
      </c>
      <c r="B271" s="21">
        <f>IF(VLOOKUP(A271,'Database Rates'!$A:$E,5,FALSE)=0,#N/A,VLOOKUP(A271,'Database Rates'!$A:$E,5,FALSE))</f>
        <v/>
      </c>
    </row>
    <row r="272">
      <c r="A272" s="40" t="n">
        <v>26299</v>
      </c>
      <c r="B272" s="21">
        <f>IF(VLOOKUP(A272,'Database Rates'!$A:$E,5,FALSE)=0,#N/A,VLOOKUP(A272,'Database Rates'!$A:$E,5,FALSE))</f>
        <v/>
      </c>
    </row>
    <row r="273">
      <c r="A273" s="40" t="n">
        <v>26330</v>
      </c>
      <c r="B273" s="21">
        <f>IF(VLOOKUP(A273,'Database Rates'!$A:$E,5,FALSE)=0,#N/A,VLOOKUP(A273,'Database Rates'!$A:$E,5,FALSE))</f>
        <v/>
      </c>
    </row>
    <row r="274">
      <c r="A274" s="40" t="n">
        <v>26359</v>
      </c>
      <c r="B274" s="21">
        <f>IF(VLOOKUP(A274,'Database Rates'!$A:$E,5,FALSE)=0,#N/A,VLOOKUP(A274,'Database Rates'!$A:$E,5,FALSE))</f>
        <v/>
      </c>
    </row>
    <row r="275">
      <c r="A275" s="40" t="n">
        <v>26390</v>
      </c>
      <c r="B275" s="21">
        <f>IF(VLOOKUP(A275,'Database Rates'!$A:$E,5,FALSE)=0,#N/A,VLOOKUP(A275,'Database Rates'!$A:$E,5,FALSE))</f>
        <v/>
      </c>
    </row>
    <row r="276">
      <c r="A276" s="40" t="n">
        <v>26420</v>
      </c>
      <c r="B276" s="21">
        <f>IF(VLOOKUP(A276,'Database Rates'!$A:$E,5,FALSE)=0,#N/A,VLOOKUP(A276,'Database Rates'!$A:$E,5,FALSE))</f>
        <v/>
      </c>
    </row>
    <row r="277">
      <c r="A277" s="40" t="n">
        <v>26451</v>
      </c>
      <c r="B277" s="21">
        <f>IF(VLOOKUP(A277,'Database Rates'!$A:$E,5,FALSE)=0,#N/A,VLOOKUP(A277,'Database Rates'!$A:$E,5,FALSE))</f>
        <v/>
      </c>
    </row>
    <row r="278">
      <c r="A278" s="40" t="n">
        <v>26481</v>
      </c>
      <c r="B278" s="21">
        <f>IF(VLOOKUP(A278,'Database Rates'!$A:$E,5,FALSE)=0,#N/A,VLOOKUP(A278,'Database Rates'!$A:$E,5,FALSE))</f>
        <v/>
      </c>
    </row>
    <row r="279">
      <c r="A279" s="40" t="n">
        <v>26512</v>
      </c>
      <c r="B279" s="21">
        <f>IF(VLOOKUP(A279,'Database Rates'!$A:$E,5,FALSE)=0,#N/A,VLOOKUP(A279,'Database Rates'!$A:$E,5,FALSE))</f>
        <v/>
      </c>
    </row>
    <row r="280">
      <c r="A280" s="40" t="n">
        <v>26543</v>
      </c>
      <c r="B280" s="21">
        <f>IF(VLOOKUP(A280,'Database Rates'!$A:$E,5,FALSE)=0,#N/A,VLOOKUP(A280,'Database Rates'!$A:$E,5,FALSE))</f>
        <v/>
      </c>
    </row>
    <row r="281">
      <c r="A281" s="40" t="n">
        <v>26573</v>
      </c>
      <c r="B281" s="21">
        <f>IF(VLOOKUP(A281,'Database Rates'!$A:$E,5,FALSE)=0,#N/A,VLOOKUP(A281,'Database Rates'!$A:$E,5,FALSE))</f>
        <v/>
      </c>
    </row>
    <row r="282">
      <c r="A282" s="40" t="n">
        <v>26604</v>
      </c>
      <c r="B282" s="21">
        <f>IF(VLOOKUP(A282,'Database Rates'!$A:$E,5,FALSE)=0,#N/A,VLOOKUP(A282,'Database Rates'!$A:$E,5,FALSE))</f>
        <v/>
      </c>
    </row>
    <row r="283">
      <c r="A283" s="40" t="n">
        <v>26634</v>
      </c>
      <c r="B283" s="21">
        <f>IF(VLOOKUP(A283,'Database Rates'!$A:$E,5,FALSE)=0,#N/A,VLOOKUP(A283,'Database Rates'!$A:$E,5,FALSE))</f>
        <v/>
      </c>
    </row>
    <row r="284">
      <c r="A284" s="40" t="n">
        <v>26665</v>
      </c>
      <c r="B284" s="21">
        <f>IF(VLOOKUP(A284,'Database Rates'!$A:$E,5,FALSE)=0,#N/A,VLOOKUP(A284,'Database Rates'!$A:$E,5,FALSE))</f>
        <v/>
      </c>
    </row>
    <row r="285">
      <c r="A285" s="40" t="n">
        <v>26696</v>
      </c>
      <c r="B285" s="21">
        <f>IF(VLOOKUP(A285,'Database Rates'!$A:$E,5,FALSE)=0,#N/A,VLOOKUP(A285,'Database Rates'!$A:$E,5,FALSE))</f>
        <v/>
      </c>
    </row>
    <row r="286">
      <c r="A286" s="40" t="n">
        <v>26724</v>
      </c>
      <c r="B286" s="21">
        <f>IF(VLOOKUP(A286,'Database Rates'!$A:$E,5,FALSE)=0,#N/A,VLOOKUP(A286,'Database Rates'!$A:$E,5,FALSE))</f>
        <v/>
      </c>
    </row>
    <row r="287">
      <c r="A287" s="40" t="n">
        <v>26755</v>
      </c>
      <c r="B287" s="21">
        <f>IF(VLOOKUP(A287,'Database Rates'!$A:$E,5,FALSE)=0,#N/A,VLOOKUP(A287,'Database Rates'!$A:$E,5,FALSE))</f>
        <v/>
      </c>
    </row>
    <row r="288">
      <c r="A288" s="40" t="n">
        <v>26785</v>
      </c>
      <c r="B288" s="21">
        <f>IF(VLOOKUP(A288,'Database Rates'!$A:$E,5,FALSE)=0,#N/A,VLOOKUP(A288,'Database Rates'!$A:$E,5,FALSE))</f>
        <v/>
      </c>
    </row>
    <row r="289">
      <c r="A289" s="40" t="n">
        <v>26816</v>
      </c>
      <c r="B289" s="21">
        <f>IF(VLOOKUP(A289,'Database Rates'!$A:$E,5,FALSE)=0,#N/A,VLOOKUP(A289,'Database Rates'!$A:$E,5,FALSE))</f>
        <v/>
      </c>
    </row>
    <row r="290">
      <c r="A290" s="40" t="n">
        <v>26846</v>
      </c>
      <c r="B290" s="21">
        <f>IF(VLOOKUP(A290,'Database Rates'!$A:$E,5,FALSE)=0,#N/A,VLOOKUP(A290,'Database Rates'!$A:$E,5,FALSE))</f>
        <v/>
      </c>
    </row>
    <row r="291">
      <c r="A291" s="40" t="n">
        <v>26877</v>
      </c>
      <c r="B291" s="21">
        <f>IF(VLOOKUP(A291,'Database Rates'!$A:$E,5,FALSE)=0,#N/A,VLOOKUP(A291,'Database Rates'!$A:$E,5,FALSE))</f>
        <v/>
      </c>
    </row>
    <row r="292">
      <c r="A292" s="40" t="n">
        <v>26908</v>
      </c>
      <c r="B292" s="21">
        <f>IF(VLOOKUP(A292,'Database Rates'!$A:$E,5,FALSE)=0,#N/A,VLOOKUP(A292,'Database Rates'!$A:$E,5,FALSE))</f>
        <v/>
      </c>
    </row>
    <row r="293">
      <c r="A293" s="40" t="n">
        <v>26938</v>
      </c>
      <c r="B293" s="21">
        <f>IF(VLOOKUP(A293,'Database Rates'!$A:$E,5,FALSE)=0,#N/A,VLOOKUP(A293,'Database Rates'!$A:$E,5,FALSE))</f>
        <v/>
      </c>
    </row>
    <row r="294">
      <c r="A294" s="40" t="n">
        <v>26969</v>
      </c>
      <c r="B294" s="21">
        <f>IF(VLOOKUP(A294,'Database Rates'!$A:$E,5,FALSE)=0,#N/A,VLOOKUP(A294,'Database Rates'!$A:$E,5,FALSE))</f>
        <v/>
      </c>
    </row>
    <row r="295">
      <c r="A295" s="40" t="n">
        <v>26999</v>
      </c>
      <c r="B295" s="21">
        <f>IF(VLOOKUP(A295,'Database Rates'!$A:$E,5,FALSE)=0,#N/A,VLOOKUP(A295,'Database Rates'!$A:$E,5,FALSE))</f>
        <v/>
      </c>
    </row>
    <row r="296">
      <c r="A296" s="40" t="n">
        <v>27030</v>
      </c>
      <c r="B296" s="21">
        <f>IF(VLOOKUP(A296,'Database Rates'!$A:$E,5,FALSE)=0,#N/A,VLOOKUP(A296,'Database Rates'!$A:$E,5,FALSE))</f>
        <v/>
      </c>
    </row>
    <row r="297">
      <c r="A297" s="40" t="n">
        <v>27061</v>
      </c>
      <c r="B297" s="21">
        <f>IF(VLOOKUP(A297,'Database Rates'!$A:$E,5,FALSE)=0,#N/A,VLOOKUP(A297,'Database Rates'!$A:$E,5,FALSE))</f>
        <v/>
      </c>
    </row>
    <row r="298">
      <c r="A298" s="40" t="n">
        <v>27089</v>
      </c>
      <c r="B298" s="21">
        <f>IF(VLOOKUP(A298,'Database Rates'!$A:$E,5,FALSE)=0,#N/A,VLOOKUP(A298,'Database Rates'!$A:$E,5,FALSE))</f>
        <v/>
      </c>
    </row>
    <row r="299">
      <c r="A299" s="40" t="n">
        <v>27120</v>
      </c>
      <c r="B299" s="21">
        <f>IF(VLOOKUP(A299,'Database Rates'!$A:$E,5,FALSE)=0,#N/A,VLOOKUP(A299,'Database Rates'!$A:$E,5,FALSE))</f>
        <v/>
      </c>
    </row>
    <row r="300">
      <c r="A300" s="40" t="n">
        <v>27150</v>
      </c>
      <c r="B300" s="21">
        <f>IF(VLOOKUP(A300,'Database Rates'!$A:$E,5,FALSE)=0,#N/A,VLOOKUP(A300,'Database Rates'!$A:$E,5,FALSE))</f>
        <v/>
      </c>
    </row>
    <row r="301">
      <c r="A301" s="40" t="n">
        <v>27181</v>
      </c>
      <c r="B301" s="21">
        <f>IF(VLOOKUP(A301,'Database Rates'!$A:$E,5,FALSE)=0,#N/A,VLOOKUP(A301,'Database Rates'!$A:$E,5,FALSE))</f>
        <v/>
      </c>
    </row>
    <row r="302">
      <c r="A302" s="40" t="n">
        <v>27211</v>
      </c>
      <c r="B302" s="21">
        <f>IF(VLOOKUP(A302,'Database Rates'!$A:$E,5,FALSE)=0,#N/A,VLOOKUP(A302,'Database Rates'!$A:$E,5,FALSE))</f>
        <v/>
      </c>
    </row>
    <row r="303">
      <c r="A303" s="40" t="n">
        <v>27242</v>
      </c>
      <c r="B303" s="21">
        <f>IF(VLOOKUP(A303,'Database Rates'!$A:$E,5,FALSE)=0,#N/A,VLOOKUP(A303,'Database Rates'!$A:$E,5,FALSE))</f>
        <v/>
      </c>
    </row>
    <row r="304">
      <c r="A304" s="40" t="n">
        <v>27273</v>
      </c>
      <c r="B304" s="21">
        <f>IF(VLOOKUP(A304,'Database Rates'!$A:$E,5,FALSE)=0,#N/A,VLOOKUP(A304,'Database Rates'!$A:$E,5,FALSE))</f>
        <v/>
      </c>
    </row>
    <row r="305">
      <c r="A305" s="40" t="n">
        <v>27303</v>
      </c>
      <c r="B305" s="21">
        <f>IF(VLOOKUP(A305,'Database Rates'!$A:$E,5,FALSE)=0,#N/A,VLOOKUP(A305,'Database Rates'!$A:$E,5,FALSE))</f>
        <v/>
      </c>
    </row>
    <row r="306">
      <c r="A306" s="40" t="n">
        <v>27334</v>
      </c>
      <c r="B306" s="21">
        <f>IF(VLOOKUP(A306,'Database Rates'!$A:$E,5,FALSE)=0,#N/A,VLOOKUP(A306,'Database Rates'!$A:$E,5,FALSE))</f>
        <v/>
      </c>
    </row>
    <row r="307">
      <c r="A307" s="40" t="n">
        <v>27364</v>
      </c>
      <c r="B307" s="21">
        <f>IF(VLOOKUP(A307,'Database Rates'!$A:$E,5,FALSE)=0,#N/A,VLOOKUP(A307,'Database Rates'!$A:$E,5,FALSE))</f>
        <v/>
      </c>
    </row>
    <row r="308">
      <c r="A308" s="40" t="n">
        <v>27395</v>
      </c>
      <c r="B308" s="21">
        <f>IF(VLOOKUP(A308,'Database Rates'!$A:$E,5,FALSE)=0,#N/A,VLOOKUP(A308,'Database Rates'!$A:$E,5,FALSE))</f>
        <v/>
      </c>
    </row>
    <row r="309">
      <c r="A309" s="40" t="n">
        <v>27426</v>
      </c>
      <c r="B309" s="21">
        <f>IF(VLOOKUP(A309,'Database Rates'!$A:$E,5,FALSE)=0,#N/A,VLOOKUP(A309,'Database Rates'!$A:$E,5,FALSE))</f>
        <v/>
      </c>
    </row>
    <row r="310">
      <c r="A310" s="40" t="n">
        <v>27454</v>
      </c>
      <c r="B310" s="21">
        <f>IF(VLOOKUP(A310,'Database Rates'!$A:$E,5,FALSE)=0,#N/A,VLOOKUP(A310,'Database Rates'!$A:$E,5,FALSE))</f>
        <v/>
      </c>
    </row>
    <row r="311">
      <c r="A311" s="40" t="n">
        <v>27485</v>
      </c>
      <c r="B311" s="21">
        <f>IF(VLOOKUP(A311,'Database Rates'!$A:$E,5,FALSE)=0,#N/A,VLOOKUP(A311,'Database Rates'!$A:$E,5,FALSE))</f>
        <v/>
      </c>
    </row>
    <row r="312">
      <c r="A312" s="40" t="n">
        <v>27515</v>
      </c>
      <c r="B312" s="21">
        <f>IF(VLOOKUP(A312,'Database Rates'!$A:$E,5,FALSE)=0,#N/A,VLOOKUP(A312,'Database Rates'!$A:$E,5,FALSE))</f>
        <v/>
      </c>
    </row>
    <row r="313">
      <c r="A313" s="40" t="n">
        <v>27546</v>
      </c>
      <c r="B313" s="21">
        <f>IF(VLOOKUP(A313,'Database Rates'!$A:$E,5,FALSE)=0,#N/A,VLOOKUP(A313,'Database Rates'!$A:$E,5,FALSE))</f>
        <v/>
      </c>
    </row>
    <row r="314">
      <c r="A314" s="40" t="n">
        <v>27576</v>
      </c>
      <c r="B314" s="21">
        <f>IF(VLOOKUP(A314,'Database Rates'!$A:$E,5,FALSE)=0,#N/A,VLOOKUP(A314,'Database Rates'!$A:$E,5,FALSE))</f>
        <v/>
      </c>
    </row>
    <row r="315">
      <c r="A315" s="40" t="n">
        <v>27607</v>
      </c>
      <c r="B315" s="21">
        <f>IF(VLOOKUP(A315,'Database Rates'!$A:$E,5,FALSE)=0,#N/A,VLOOKUP(A315,'Database Rates'!$A:$E,5,FALSE))</f>
        <v/>
      </c>
    </row>
    <row r="316">
      <c r="A316" s="40" t="n">
        <v>27638</v>
      </c>
      <c r="B316" s="21">
        <f>IF(VLOOKUP(A316,'Database Rates'!$A:$E,5,FALSE)=0,#N/A,VLOOKUP(A316,'Database Rates'!$A:$E,5,FALSE))</f>
        <v/>
      </c>
    </row>
    <row r="317">
      <c r="A317" s="40" t="n">
        <v>27668</v>
      </c>
      <c r="B317" s="21">
        <f>IF(VLOOKUP(A317,'Database Rates'!$A:$E,5,FALSE)=0,#N/A,VLOOKUP(A317,'Database Rates'!$A:$E,5,FALSE))</f>
        <v/>
      </c>
    </row>
    <row r="318">
      <c r="A318" s="40" t="n">
        <v>27699</v>
      </c>
      <c r="B318" s="21">
        <f>IF(VLOOKUP(A318,'Database Rates'!$A:$E,5,FALSE)=0,#N/A,VLOOKUP(A318,'Database Rates'!$A:$E,5,FALSE))</f>
        <v/>
      </c>
    </row>
    <row r="319">
      <c r="A319" s="40" t="n">
        <v>27729</v>
      </c>
      <c r="B319" s="21">
        <f>IF(VLOOKUP(A319,'Database Rates'!$A:$E,5,FALSE)=0,#N/A,VLOOKUP(A319,'Database Rates'!$A:$E,5,FALSE))</f>
        <v/>
      </c>
    </row>
    <row r="320">
      <c r="A320" s="40" t="n">
        <v>27760</v>
      </c>
      <c r="B320" s="21">
        <f>IF(VLOOKUP(A320,'Database Rates'!$A:$E,5,FALSE)=0,#N/A,VLOOKUP(A320,'Database Rates'!$A:$E,5,FALSE))</f>
        <v/>
      </c>
    </row>
    <row r="321">
      <c r="A321" s="40" t="n">
        <v>27791</v>
      </c>
      <c r="B321" s="21">
        <f>IF(VLOOKUP(A321,'Database Rates'!$A:$E,5,FALSE)=0,#N/A,VLOOKUP(A321,'Database Rates'!$A:$E,5,FALSE))</f>
        <v/>
      </c>
    </row>
    <row r="322">
      <c r="A322" s="40" t="n">
        <v>27820</v>
      </c>
      <c r="B322" s="21">
        <f>IF(VLOOKUP(A322,'Database Rates'!$A:$E,5,FALSE)=0,#N/A,VLOOKUP(A322,'Database Rates'!$A:$E,5,FALSE))</f>
        <v/>
      </c>
    </row>
    <row r="323">
      <c r="A323" s="40" t="n">
        <v>27851</v>
      </c>
      <c r="B323" s="21">
        <f>IF(VLOOKUP(A323,'Database Rates'!$A:$E,5,FALSE)=0,#N/A,VLOOKUP(A323,'Database Rates'!$A:$E,5,FALSE))</f>
        <v/>
      </c>
    </row>
    <row r="324">
      <c r="A324" s="40" t="n">
        <v>27881</v>
      </c>
      <c r="B324" s="21">
        <f>IF(VLOOKUP(A324,'Database Rates'!$A:$E,5,FALSE)=0,#N/A,VLOOKUP(A324,'Database Rates'!$A:$E,5,FALSE))</f>
        <v/>
      </c>
    </row>
    <row r="325">
      <c r="A325" s="40" t="n">
        <v>27912</v>
      </c>
      <c r="B325" s="21">
        <f>IF(VLOOKUP(A325,'Database Rates'!$A:$E,5,FALSE)=0,#N/A,VLOOKUP(A325,'Database Rates'!$A:$E,5,FALSE))</f>
        <v/>
      </c>
    </row>
    <row r="326">
      <c r="A326" s="40" t="n">
        <v>27942</v>
      </c>
      <c r="B326" s="21">
        <f>IF(VLOOKUP(A326,'Database Rates'!$A:$E,5,FALSE)=0,#N/A,VLOOKUP(A326,'Database Rates'!$A:$E,5,FALSE))</f>
        <v/>
      </c>
    </row>
    <row r="327">
      <c r="A327" s="40" t="n">
        <v>27973</v>
      </c>
      <c r="B327" s="21">
        <f>IF(VLOOKUP(A327,'Database Rates'!$A:$E,5,FALSE)=0,#N/A,VLOOKUP(A327,'Database Rates'!$A:$E,5,FALSE))</f>
        <v/>
      </c>
    </row>
    <row r="328">
      <c r="A328" s="40" t="n">
        <v>28004</v>
      </c>
      <c r="B328" s="21">
        <f>IF(VLOOKUP(A328,'Database Rates'!$A:$E,5,FALSE)=0,#N/A,VLOOKUP(A328,'Database Rates'!$A:$E,5,FALSE))</f>
        <v/>
      </c>
    </row>
    <row r="329">
      <c r="A329" s="40" t="n">
        <v>28034</v>
      </c>
      <c r="B329" s="21">
        <f>IF(VLOOKUP(A329,'Database Rates'!$A:$E,5,FALSE)=0,#N/A,VLOOKUP(A329,'Database Rates'!$A:$E,5,FALSE))</f>
        <v/>
      </c>
    </row>
    <row r="330">
      <c r="A330" s="40" t="n">
        <v>28065</v>
      </c>
      <c r="B330" s="21">
        <f>IF(VLOOKUP(A330,'Database Rates'!$A:$E,5,FALSE)=0,#N/A,VLOOKUP(A330,'Database Rates'!$A:$E,5,FALSE))</f>
        <v/>
      </c>
    </row>
    <row r="331">
      <c r="A331" s="40" t="n">
        <v>28095</v>
      </c>
      <c r="B331" s="21">
        <f>IF(VLOOKUP(A331,'Database Rates'!$A:$E,5,FALSE)=0,#N/A,VLOOKUP(A331,'Database Rates'!$A:$E,5,FALSE))</f>
        <v/>
      </c>
    </row>
    <row r="332">
      <c r="A332" s="40" t="n">
        <v>28126</v>
      </c>
      <c r="B332" s="21">
        <f>IF(VLOOKUP(A332,'Database Rates'!$A:$E,5,FALSE)=0,#N/A,VLOOKUP(A332,'Database Rates'!$A:$E,5,FALSE))</f>
        <v/>
      </c>
    </row>
    <row r="333">
      <c r="A333" s="40" t="n">
        <v>28157</v>
      </c>
      <c r="B333" s="21">
        <f>IF(VLOOKUP(A333,'Database Rates'!$A:$E,5,FALSE)=0,#N/A,VLOOKUP(A333,'Database Rates'!$A:$E,5,FALSE))</f>
        <v/>
      </c>
    </row>
    <row r="334">
      <c r="A334" s="40" t="n">
        <v>28185</v>
      </c>
      <c r="B334" s="21">
        <f>IF(VLOOKUP(A334,'Database Rates'!$A:$E,5,FALSE)=0,#N/A,VLOOKUP(A334,'Database Rates'!$A:$E,5,FALSE))</f>
        <v/>
      </c>
    </row>
    <row r="335">
      <c r="A335" s="40" t="n">
        <v>28216</v>
      </c>
      <c r="B335" s="21">
        <f>IF(VLOOKUP(A335,'Database Rates'!$A:$E,5,FALSE)=0,#N/A,VLOOKUP(A335,'Database Rates'!$A:$E,5,FALSE))</f>
        <v/>
      </c>
    </row>
    <row r="336">
      <c r="A336" s="40" t="n">
        <v>28246</v>
      </c>
      <c r="B336" s="21">
        <f>IF(VLOOKUP(A336,'Database Rates'!$A:$E,5,FALSE)=0,#N/A,VLOOKUP(A336,'Database Rates'!$A:$E,5,FALSE))</f>
        <v/>
      </c>
    </row>
    <row r="337">
      <c r="A337" s="40" t="n">
        <v>28277</v>
      </c>
      <c r="B337" s="21">
        <f>IF(VLOOKUP(A337,'Database Rates'!$A:$E,5,FALSE)=0,#N/A,VLOOKUP(A337,'Database Rates'!$A:$E,5,FALSE))</f>
        <v/>
      </c>
    </row>
    <row r="338">
      <c r="A338" s="40" t="n">
        <v>28307</v>
      </c>
      <c r="B338" s="21">
        <f>IF(VLOOKUP(A338,'Database Rates'!$A:$E,5,FALSE)=0,#N/A,VLOOKUP(A338,'Database Rates'!$A:$E,5,FALSE))</f>
        <v/>
      </c>
    </row>
    <row r="339">
      <c r="A339" s="40" t="n">
        <v>28338</v>
      </c>
      <c r="B339" s="21">
        <f>IF(VLOOKUP(A339,'Database Rates'!$A:$E,5,FALSE)=0,#N/A,VLOOKUP(A339,'Database Rates'!$A:$E,5,FALSE))</f>
        <v/>
      </c>
    </row>
    <row r="340">
      <c r="A340" s="40" t="n">
        <v>28369</v>
      </c>
      <c r="B340" s="21">
        <f>IF(VLOOKUP(A340,'Database Rates'!$A:$E,5,FALSE)=0,#N/A,VLOOKUP(A340,'Database Rates'!$A:$E,5,FALSE))</f>
        <v/>
      </c>
    </row>
    <row r="341">
      <c r="A341" s="40" t="n">
        <v>28399</v>
      </c>
      <c r="B341" s="21">
        <f>IF(VLOOKUP(A341,'Database Rates'!$A:$E,5,FALSE)=0,#N/A,VLOOKUP(A341,'Database Rates'!$A:$E,5,FALSE))</f>
        <v/>
      </c>
    </row>
    <row r="342">
      <c r="A342" s="40" t="n">
        <v>28430</v>
      </c>
      <c r="B342" s="21">
        <f>IF(VLOOKUP(A342,'Database Rates'!$A:$E,5,FALSE)=0,#N/A,VLOOKUP(A342,'Database Rates'!$A:$E,5,FALSE))</f>
        <v/>
      </c>
    </row>
    <row r="343">
      <c r="A343" s="40" t="n">
        <v>28460</v>
      </c>
      <c r="B343" s="21">
        <f>IF(VLOOKUP(A343,'Database Rates'!$A:$E,5,FALSE)=0,#N/A,VLOOKUP(A343,'Database Rates'!$A:$E,5,FALSE))</f>
        <v/>
      </c>
    </row>
    <row r="344">
      <c r="A344" s="40" t="n">
        <v>28491</v>
      </c>
      <c r="B344" s="21">
        <f>IF(VLOOKUP(A344,'Database Rates'!$A:$E,5,FALSE)=0,#N/A,VLOOKUP(A344,'Database Rates'!$A:$E,5,FALSE))</f>
        <v/>
      </c>
    </row>
    <row r="345">
      <c r="A345" s="40" t="n">
        <v>28522</v>
      </c>
      <c r="B345" s="21">
        <f>IF(VLOOKUP(A345,'Database Rates'!$A:$E,5,FALSE)=0,#N/A,VLOOKUP(A345,'Database Rates'!$A:$E,5,FALSE))</f>
        <v/>
      </c>
    </row>
    <row r="346">
      <c r="A346" s="40" t="n">
        <v>28550</v>
      </c>
      <c r="B346" s="21">
        <f>IF(VLOOKUP(A346,'Database Rates'!$A:$E,5,FALSE)=0,#N/A,VLOOKUP(A346,'Database Rates'!$A:$E,5,FALSE))</f>
        <v/>
      </c>
    </row>
    <row r="347">
      <c r="A347" s="40" t="n">
        <v>28581</v>
      </c>
      <c r="B347" s="21">
        <f>IF(VLOOKUP(A347,'Database Rates'!$A:$E,5,FALSE)=0,#N/A,VLOOKUP(A347,'Database Rates'!$A:$E,5,FALSE))</f>
        <v/>
      </c>
    </row>
    <row r="348">
      <c r="A348" s="40" t="n">
        <v>28611</v>
      </c>
      <c r="B348" s="21">
        <f>IF(VLOOKUP(A348,'Database Rates'!$A:$E,5,FALSE)=0,#N/A,VLOOKUP(A348,'Database Rates'!$A:$E,5,FALSE))</f>
        <v/>
      </c>
    </row>
    <row r="349">
      <c r="A349" s="40" t="n">
        <v>28642</v>
      </c>
      <c r="B349" s="21">
        <f>IF(VLOOKUP(A349,'Database Rates'!$A:$E,5,FALSE)=0,#N/A,VLOOKUP(A349,'Database Rates'!$A:$E,5,FALSE))</f>
        <v/>
      </c>
    </row>
    <row r="350">
      <c r="A350" s="40" t="n">
        <v>28672</v>
      </c>
      <c r="B350" s="21">
        <f>IF(VLOOKUP(A350,'Database Rates'!$A:$E,5,FALSE)=0,#N/A,VLOOKUP(A350,'Database Rates'!$A:$E,5,FALSE))</f>
        <v/>
      </c>
    </row>
    <row r="351">
      <c r="A351" s="40" t="n">
        <v>28703</v>
      </c>
      <c r="B351" s="21">
        <f>IF(VLOOKUP(A351,'Database Rates'!$A:$E,5,FALSE)=0,#N/A,VLOOKUP(A351,'Database Rates'!$A:$E,5,FALSE))</f>
        <v/>
      </c>
    </row>
    <row r="352">
      <c r="A352" s="40" t="n">
        <v>28734</v>
      </c>
      <c r="B352" s="21">
        <f>IF(VLOOKUP(A352,'Database Rates'!$A:$E,5,FALSE)=0,#N/A,VLOOKUP(A352,'Database Rates'!$A:$E,5,FALSE))</f>
        <v/>
      </c>
    </row>
    <row r="353">
      <c r="A353" s="40" t="n">
        <v>28764</v>
      </c>
      <c r="B353" s="21">
        <f>IF(VLOOKUP(A353,'Database Rates'!$A:$E,5,FALSE)=0,#N/A,VLOOKUP(A353,'Database Rates'!$A:$E,5,FALSE))</f>
        <v/>
      </c>
    </row>
    <row r="354">
      <c r="A354" s="40" t="n">
        <v>28795</v>
      </c>
      <c r="B354" s="21">
        <f>IF(VLOOKUP(A354,'Database Rates'!$A:$E,5,FALSE)=0,#N/A,VLOOKUP(A354,'Database Rates'!$A:$E,5,FALSE))</f>
        <v/>
      </c>
    </row>
    <row r="355">
      <c r="A355" s="40" t="n">
        <v>28825</v>
      </c>
      <c r="B355" s="21">
        <f>IF(VLOOKUP(A355,'Database Rates'!$A:$E,5,FALSE)=0,#N/A,VLOOKUP(A355,'Database Rates'!$A:$E,5,FALSE))</f>
        <v/>
      </c>
    </row>
    <row r="356">
      <c r="A356" s="40" t="n">
        <v>28856</v>
      </c>
      <c r="B356" s="21">
        <f>IF(VLOOKUP(A356,'Database Rates'!$A:$E,5,FALSE)=0,#N/A,VLOOKUP(A356,'Database Rates'!$A:$E,5,FALSE))</f>
        <v/>
      </c>
    </row>
    <row r="357">
      <c r="A357" s="40" t="n">
        <v>28887</v>
      </c>
      <c r="B357" s="21">
        <f>IF(VLOOKUP(A357,'Database Rates'!$A:$E,5,FALSE)=0,#N/A,VLOOKUP(A357,'Database Rates'!$A:$E,5,FALSE))</f>
        <v/>
      </c>
    </row>
    <row r="358">
      <c r="A358" s="40" t="n">
        <v>28915</v>
      </c>
      <c r="B358" s="21">
        <f>IF(VLOOKUP(A358,'Database Rates'!$A:$E,5,FALSE)=0,#N/A,VLOOKUP(A358,'Database Rates'!$A:$E,5,FALSE))</f>
        <v/>
      </c>
    </row>
    <row r="359">
      <c r="A359" s="40" t="n">
        <v>28946</v>
      </c>
      <c r="B359" s="21">
        <f>IF(VLOOKUP(A359,'Database Rates'!$A:$E,5,FALSE)=0,#N/A,VLOOKUP(A359,'Database Rates'!$A:$E,5,FALSE))</f>
        <v/>
      </c>
    </row>
    <row r="360">
      <c r="A360" s="40" t="n">
        <v>28976</v>
      </c>
      <c r="B360" s="21">
        <f>IF(VLOOKUP(A360,'Database Rates'!$A:$E,5,FALSE)=0,#N/A,VLOOKUP(A360,'Database Rates'!$A:$E,5,FALSE))</f>
        <v/>
      </c>
    </row>
    <row r="361">
      <c r="A361" s="40" t="n">
        <v>29007</v>
      </c>
      <c r="B361" s="21">
        <f>IF(VLOOKUP(A361,'Database Rates'!$A:$E,5,FALSE)=0,#N/A,VLOOKUP(A361,'Database Rates'!$A:$E,5,FALSE))</f>
        <v/>
      </c>
    </row>
    <row r="362">
      <c r="A362" s="40" t="n">
        <v>29037</v>
      </c>
      <c r="B362" s="21">
        <f>IF(VLOOKUP(A362,'Database Rates'!$A:$E,5,FALSE)=0,#N/A,VLOOKUP(A362,'Database Rates'!$A:$E,5,FALSE))</f>
        <v/>
      </c>
    </row>
    <row r="363">
      <c r="A363" s="40" t="n">
        <v>29068</v>
      </c>
      <c r="B363" s="21">
        <f>IF(VLOOKUP(A363,'Database Rates'!$A:$E,5,FALSE)=0,#N/A,VLOOKUP(A363,'Database Rates'!$A:$E,5,FALSE))</f>
        <v/>
      </c>
    </row>
    <row r="364">
      <c r="A364" s="40" t="n">
        <v>29099</v>
      </c>
      <c r="B364" s="21">
        <f>IF(VLOOKUP(A364,'Database Rates'!$A:$E,5,FALSE)=0,#N/A,VLOOKUP(A364,'Database Rates'!$A:$E,5,FALSE))</f>
        <v/>
      </c>
    </row>
    <row r="365">
      <c r="A365" s="40" t="n">
        <v>29129</v>
      </c>
      <c r="B365" s="21">
        <f>IF(VLOOKUP(A365,'Database Rates'!$A:$E,5,FALSE)=0,#N/A,VLOOKUP(A365,'Database Rates'!$A:$E,5,FALSE))</f>
        <v/>
      </c>
    </row>
    <row r="366">
      <c r="A366" s="40" t="n">
        <v>29160</v>
      </c>
      <c r="B366" s="21">
        <f>IF(VLOOKUP(A366,'Database Rates'!$A:$E,5,FALSE)=0,#N/A,VLOOKUP(A366,'Database Rates'!$A:$E,5,FALSE))</f>
        <v/>
      </c>
    </row>
    <row r="367">
      <c r="A367" s="40" t="n">
        <v>29190</v>
      </c>
      <c r="B367" s="21">
        <f>IF(VLOOKUP(A367,'Database Rates'!$A:$E,5,FALSE)=0,#N/A,VLOOKUP(A367,'Database Rates'!$A:$E,5,FALSE))</f>
        <v/>
      </c>
    </row>
    <row r="368">
      <c r="A368" s="40" t="n">
        <v>29221</v>
      </c>
      <c r="B368" s="21">
        <f>IF(VLOOKUP(A368,'Database Rates'!$A:$E,5,FALSE)=0,#N/A,VLOOKUP(A368,'Database Rates'!$A:$E,5,FALSE))</f>
        <v/>
      </c>
    </row>
    <row r="369">
      <c r="A369" s="40" t="n">
        <v>29252</v>
      </c>
      <c r="B369" s="21">
        <f>IF(VLOOKUP(A369,'Database Rates'!$A:$E,5,FALSE)=0,#N/A,VLOOKUP(A369,'Database Rates'!$A:$E,5,FALSE))</f>
        <v/>
      </c>
    </row>
    <row r="370">
      <c r="A370" s="40" t="n">
        <v>29281</v>
      </c>
      <c r="B370" s="21">
        <f>IF(VLOOKUP(A370,'Database Rates'!$A:$E,5,FALSE)=0,#N/A,VLOOKUP(A370,'Database Rates'!$A:$E,5,FALSE))</f>
        <v/>
      </c>
    </row>
    <row r="371">
      <c r="A371" s="40" t="n">
        <v>29312</v>
      </c>
      <c r="B371" s="21">
        <f>IF(VLOOKUP(A371,'Database Rates'!$A:$E,5,FALSE)=0,#N/A,VLOOKUP(A371,'Database Rates'!$A:$E,5,FALSE))</f>
        <v/>
      </c>
    </row>
    <row r="372">
      <c r="A372" s="40" t="n">
        <v>29342</v>
      </c>
      <c r="B372" s="21">
        <f>IF(VLOOKUP(A372,'Database Rates'!$A:$E,5,FALSE)=0,#N/A,VLOOKUP(A372,'Database Rates'!$A:$E,5,FALSE))</f>
        <v/>
      </c>
    </row>
    <row r="373">
      <c r="A373" s="40" t="n">
        <v>29373</v>
      </c>
      <c r="B373" s="21">
        <f>IF(VLOOKUP(A373,'Database Rates'!$A:$E,5,FALSE)=0,#N/A,VLOOKUP(A373,'Database Rates'!$A:$E,5,FALSE))</f>
        <v/>
      </c>
    </row>
    <row r="374">
      <c r="A374" s="40" t="n">
        <v>29403</v>
      </c>
      <c r="B374" s="21">
        <f>IF(VLOOKUP(A374,'Database Rates'!$A:$E,5,FALSE)=0,#N/A,VLOOKUP(A374,'Database Rates'!$A:$E,5,FALSE))</f>
        <v/>
      </c>
    </row>
    <row r="375">
      <c r="A375" s="40" t="n">
        <v>29434</v>
      </c>
      <c r="B375" s="21">
        <f>IF(VLOOKUP(A375,'Database Rates'!$A:$E,5,FALSE)=0,#N/A,VLOOKUP(A375,'Database Rates'!$A:$E,5,FALSE))</f>
        <v/>
      </c>
    </row>
    <row r="376">
      <c r="A376" s="40" t="n">
        <v>29465</v>
      </c>
      <c r="B376" s="21">
        <f>IF(VLOOKUP(A376,'Database Rates'!$A:$E,5,FALSE)=0,#N/A,VLOOKUP(A376,'Database Rates'!$A:$E,5,FALSE))</f>
        <v/>
      </c>
    </row>
    <row r="377">
      <c r="A377" s="40" t="n">
        <v>29495</v>
      </c>
      <c r="B377" s="21">
        <f>IF(VLOOKUP(A377,'Database Rates'!$A:$E,5,FALSE)=0,#N/A,VLOOKUP(A377,'Database Rates'!$A:$E,5,FALSE))</f>
        <v/>
      </c>
    </row>
    <row r="378">
      <c r="A378" s="40" t="n">
        <v>29526</v>
      </c>
      <c r="B378" s="21">
        <f>IF(VLOOKUP(A378,'Database Rates'!$A:$E,5,FALSE)=0,#N/A,VLOOKUP(A378,'Database Rates'!$A:$E,5,FALSE))</f>
        <v/>
      </c>
    </row>
    <row r="379">
      <c r="A379" s="40" t="n">
        <v>29556</v>
      </c>
      <c r="B379" s="21">
        <f>IF(VLOOKUP(A379,'Database Rates'!$A:$E,5,FALSE)=0,#N/A,VLOOKUP(A379,'Database Rates'!$A:$E,5,FALSE))</f>
        <v/>
      </c>
    </row>
    <row r="380">
      <c r="A380" s="40" t="n">
        <v>29587</v>
      </c>
      <c r="B380" s="21">
        <f>IF(VLOOKUP(A380,'Database Rates'!$A:$E,5,FALSE)=0,#N/A,VLOOKUP(A380,'Database Rates'!$A:$E,5,FALSE))</f>
        <v/>
      </c>
    </row>
    <row r="381">
      <c r="A381" s="40" t="n">
        <v>29618</v>
      </c>
      <c r="B381" s="21">
        <f>IF(VLOOKUP(A381,'Database Rates'!$A:$E,5,FALSE)=0,#N/A,VLOOKUP(A381,'Database Rates'!$A:$E,5,FALSE))</f>
        <v/>
      </c>
    </row>
    <row r="382">
      <c r="A382" s="40" t="n">
        <v>29646</v>
      </c>
      <c r="B382" s="21">
        <f>IF(VLOOKUP(A382,'Database Rates'!$A:$E,5,FALSE)=0,#N/A,VLOOKUP(A382,'Database Rates'!$A:$E,5,FALSE))</f>
        <v/>
      </c>
    </row>
    <row r="383">
      <c r="A383" s="40" t="n">
        <v>29677</v>
      </c>
      <c r="B383" s="21">
        <f>IF(VLOOKUP(A383,'Database Rates'!$A:$E,5,FALSE)=0,#N/A,VLOOKUP(A383,'Database Rates'!$A:$E,5,FALSE))</f>
        <v/>
      </c>
    </row>
    <row r="384">
      <c r="A384" s="40" t="n">
        <v>29707</v>
      </c>
      <c r="B384" s="21">
        <f>IF(VLOOKUP(A384,'Database Rates'!$A:$E,5,FALSE)=0,#N/A,VLOOKUP(A384,'Database Rates'!$A:$E,5,FALSE))</f>
        <v/>
      </c>
    </row>
    <row r="385">
      <c r="A385" s="40" t="n">
        <v>29738</v>
      </c>
      <c r="B385" s="21">
        <f>IF(VLOOKUP(A385,'Database Rates'!$A:$E,5,FALSE)=0,#N/A,VLOOKUP(A385,'Database Rates'!$A:$E,5,FALSE))</f>
        <v/>
      </c>
    </row>
    <row r="386">
      <c r="A386" s="40" t="n">
        <v>29768</v>
      </c>
      <c r="B386" s="21">
        <f>IF(VLOOKUP(A386,'Database Rates'!$A:$E,5,FALSE)=0,#N/A,VLOOKUP(A386,'Database Rates'!$A:$E,5,FALSE))</f>
        <v/>
      </c>
    </row>
    <row r="387">
      <c r="A387" s="40" t="n">
        <v>29799</v>
      </c>
      <c r="B387" s="21">
        <f>IF(VLOOKUP(A387,'Database Rates'!$A:$E,5,FALSE)=0,#N/A,VLOOKUP(A387,'Database Rates'!$A:$E,5,FALSE))</f>
        <v/>
      </c>
    </row>
    <row r="388">
      <c r="A388" s="40" t="n">
        <v>29830</v>
      </c>
      <c r="B388" s="21">
        <f>IF(VLOOKUP(A388,'Database Rates'!$A:$E,5,FALSE)=0,#N/A,VLOOKUP(A388,'Database Rates'!$A:$E,5,FALSE))</f>
        <v/>
      </c>
    </row>
    <row r="389">
      <c r="A389" s="40" t="n">
        <v>29860</v>
      </c>
      <c r="B389" s="21">
        <f>IF(VLOOKUP(A389,'Database Rates'!$A:$E,5,FALSE)=0,#N/A,VLOOKUP(A389,'Database Rates'!$A:$E,5,FALSE))</f>
        <v/>
      </c>
    </row>
    <row r="390">
      <c r="A390" s="40" t="n">
        <v>29891</v>
      </c>
      <c r="B390" s="21">
        <f>IF(VLOOKUP(A390,'Database Rates'!$A:$E,5,FALSE)=0,#N/A,VLOOKUP(A390,'Database Rates'!$A:$E,5,FALSE))</f>
        <v/>
      </c>
    </row>
    <row r="391">
      <c r="A391" s="40" t="n">
        <v>29921</v>
      </c>
      <c r="B391" s="21">
        <f>IF(VLOOKUP(A391,'Database Rates'!$A:$E,5,FALSE)=0,#N/A,VLOOKUP(A391,'Database Rates'!$A:$E,5,FALSE))</f>
        <v/>
      </c>
    </row>
    <row r="392">
      <c r="A392" s="40" t="n">
        <v>29952</v>
      </c>
      <c r="B392" s="21">
        <f>IF(VLOOKUP(A392,'Database Rates'!$A:$E,5,FALSE)=0,#N/A,VLOOKUP(A392,'Database Rates'!$A:$E,5,FALSE))</f>
        <v/>
      </c>
    </row>
    <row r="393">
      <c r="A393" s="40" t="n">
        <v>29983</v>
      </c>
      <c r="B393" s="21">
        <f>IF(VLOOKUP(A393,'Database Rates'!$A:$E,5,FALSE)=0,#N/A,VLOOKUP(A393,'Database Rates'!$A:$E,5,FALSE))</f>
        <v/>
      </c>
    </row>
    <row r="394">
      <c r="A394" s="40" t="n">
        <v>30011</v>
      </c>
      <c r="B394" s="21">
        <f>IF(VLOOKUP(A394,'Database Rates'!$A:$E,5,FALSE)=0,#N/A,VLOOKUP(A394,'Database Rates'!$A:$E,5,FALSE))</f>
        <v/>
      </c>
    </row>
    <row r="395">
      <c r="A395" s="40" t="n">
        <v>30042</v>
      </c>
      <c r="B395" s="21">
        <f>IF(VLOOKUP(A395,'Database Rates'!$A:$E,5,FALSE)=0,#N/A,VLOOKUP(A395,'Database Rates'!$A:$E,5,FALSE))</f>
        <v/>
      </c>
    </row>
    <row r="396">
      <c r="A396" s="40" t="n">
        <v>30072</v>
      </c>
      <c r="B396" s="21">
        <f>IF(VLOOKUP(A396,'Database Rates'!$A:$E,5,FALSE)=0,#N/A,VLOOKUP(A396,'Database Rates'!$A:$E,5,FALSE))</f>
        <v/>
      </c>
    </row>
    <row r="397">
      <c r="A397" s="40" t="n">
        <v>30103</v>
      </c>
      <c r="B397" s="21">
        <f>IF(VLOOKUP(A397,'Database Rates'!$A:$E,5,FALSE)=0,#N/A,VLOOKUP(A397,'Database Rates'!$A:$E,5,FALSE))</f>
        <v/>
      </c>
    </row>
    <row r="398">
      <c r="A398" s="40" t="n">
        <v>30133</v>
      </c>
      <c r="B398" s="21">
        <f>IF(VLOOKUP(A398,'Database Rates'!$A:$E,5,FALSE)=0,#N/A,VLOOKUP(A398,'Database Rates'!$A:$E,5,FALSE))</f>
        <v/>
      </c>
    </row>
    <row r="399">
      <c r="A399" s="40" t="n">
        <v>30164</v>
      </c>
      <c r="B399" s="21">
        <f>IF(VLOOKUP(A399,'Database Rates'!$A:$E,5,FALSE)=0,#N/A,VLOOKUP(A399,'Database Rates'!$A:$E,5,FALSE))</f>
        <v/>
      </c>
    </row>
    <row r="400">
      <c r="A400" s="40" t="n">
        <v>30195</v>
      </c>
      <c r="B400" s="21">
        <f>IF(VLOOKUP(A400,'Database Rates'!$A:$E,5,FALSE)=0,#N/A,VLOOKUP(A400,'Database Rates'!$A:$E,5,FALSE))</f>
        <v/>
      </c>
    </row>
    <row r="401">
      <c r="A401" s="40" t="n">
        <v>30225</v>
      </c>
      <c r="B401" s="21">
        <f>IF(VLOOKUP(A401,'Database Rates'!$A:$E,5,FALSE)=0,#N/A,VLOOKUP(A401,'Database Rates'!$A:$E,5,FALSE))</f>
        <v/>
      </c>
    </row>
    <row r="402">
      <c r="A402" s="40" t="n">
        <v>30256</v>
      </c>
      <c r="B402" s="21">
        <f>IF(VLOOKUP(A402,'Database Rates'!$A:$E,5,FALSE)=0,#N/A,VLOOKUP(A402,'Database Rates'!$A:$E,5,FALSE))</f>
        <v/>
      </c>
    </row>
    <row r="403">
      <c r="A403" s="40" t="n">
        <v>30286</v>
      </c>
      <c r="B403" s="21">
        <f>IF(VLOOKUP(A403,'Database Rates'!$A:$E,5,FALSE)=0,#N/A,VLOOKUP(A403,'Database Rates'!$A:$E,5,FALSE))</f>
        <v/>
      </c>
    </row>
    <row r="404">
      <c r="A404" s="40" t="n">
        <v>30317</v>
      </c>
      <c r="B404" s="21">
        <f>IF(VLOOKUP(A404,'Database Rates'!$A:$E,5,FALSE)=0,#N/A,VLOOKUP(A404,'Database Rates'!$A:$E,5,FALSE))</f>
        <v/>
      </c>
    </row>
    <row r="405">
      <c r="A405" s="40" t="n">
        <v>30348</v>
      </c>
      <c r="B405" s="21">
        <f>IF(VLOOKUP(A405,'Database Rates'!$A:$E,5,FALSE)=0,#N/A,VLOOKUP(A405,'Database Rates'!$A:$E,5,FALSE))</f>
        <v/>
      </c>
    </row>
    <row r="406">
      <c r="A406" s="40" t="n">
        <v>30376</v>
      </c>
      <c r="B406" s="21">
        <f>IF(VLOOKUP(A406,'Database Rates'!$A:$E,5,FALSE)=0,#N/A,VLOOKUP(A406,'Database Rates'!$A:$E,5,FALSE))</f>
        <v/>
      </c>
    </row>
    <row r="407">
      <c r="A407" s="40" t="n">
        <v>30407</v>
      </c>
      <c r="B407" s="21">
        <f>IF(VLOOKUP(A407,'Database Rates'!$A:$E,5,FALSE)=0,#N/A,VLOOKUP(A407,'Database Rates'!$A:$E,5,FALSE))</f>
        <v/>
      </c>
    </row>
    <row r="408">
      <c r="A408" s="40" t="n">
        <v>30437</v>
      </c>
      <c r="B408" s="21">
        <f>IF(VLOOKUP(A408,'Database Rates'!$A:$E,5,FALSE)=0,#N/A,VLOOKUP(A408,'Database Rates'!$A:$E,5,FALSE))</f>
        <v/>
      </c>
    </row>
    <row r="409">
      <c r="A409" s="40" t="n">
        <v>30468</v>
      </c>
      <c r="B409" s="21">
        <f>IF(VLOOKUP(A409,'Database Rates'!$A:$E,5,FALSE)=0,#N/A,VLOOKUP(A409,'Database Rates'!$A:$E,5,FALSE))</f>
        <v/>
      </c>
    </row>
    <row r="410">
      <c r="A410" s="40" t="n">
        <v>30498</v>
      </c>
      <c r="B410" s="21">
        <f>IF(VLOOKUP(A410,'Database Rates'!$A:$E,5,FALSE)=0,#N/A,VLOOKUP(A410,'Database Rates'!$A:$E,5,FALSE))</f>
        <v/>
      </c>
    </row>
    <row r="411">
      <c r="A411" s="40" t="n">
        <v>30529</v>
      </c>
      <c r="B411" s="21">
        <f>IF(VLOOKUP(A411,'Database Rates'!$A:$E,5,FALSE)=0,#N/A,VLOOKUP(A411,'Database Rates'!$A:$E,5,FALSE))</f>
        <v/>
      </c>
    </row>
    <row r="412">
      <c r="A412" s="40" t="n">
        <v>30560</v>
      </c>
      <c r="B412" s="21">
        <f>IF(VLOOKUP(A412,'Database Rates'!$A:$E,5,FALSE)=0,#N/A,VLOOKUP(A412,'Database Rates'!$A:$E,5,FALSE))</f>
        <v/>
      </c>
    </row>
    <row r="413">
      <c r="A413" s="40" t="n">
        <v>30590</v>
      </c>
      <c r="B413" s="21">
        <f>IF(VLOOKUP(A413,'Database Rates'!$A:$E,5,FALSE)=0,#N/A,VLOOKUP(A413,'Database Rates'!$A:$E,5,FALSE))</f>
        <v/>
      </c>
    </row>
    <row r="414">
      <c r="A414" s="40" t="n">
        <v>30621</v>
      </c>
      <c r="B414" s="21">
        <f>IF(VLOOKUP(A414,'Database Rates'!$A:$E,5,FALSE)=0,#N/A,VLOOKUP(A414,'Database Rates'!$A:$E,5,FALSE))</f>
        <v/>
      </c>
    </row>
    <row r="415">
      <c r="A415" s="40" t="n">
        <v>30651</v>
      </c>
      <c r="B415" s="21">
        <f>IF(VLOOKUP(A415,'Database Rates'!$A:$E,5,FALSE)=0,#N/A,VLOOKUP(A415,'Database Rates'!$A:$E,5,FALSE))</f>
        <v/>
      </c>
    </row>
    <row r="416">
      <c r="A416" s="40" t="n">
        <v>30682</v>
      </c>
      <c r="B416" s="21">
        <f>IF(VLOOKUP(A416,'Database Rates'!$A:$E,5,FALSE)=0,#N/A,VLOOKUP(A416,'Database Rates'!$A:$E,5,FALSE))</f>
        <v/>
      </c>
    </row>
    <row r="417">
      <c r="A417" s="40" t="n">
        <v>30713</v>
      </c>
      <c r="B417" s="21">
        <f>IF(VLOOKUP(A417,'Database Rates'!$A:$E,5,FALSE)=0,#N/A,VLOOKUP(A417,'Database Rates'!$A:$E,5,FALSE))</f>
        <v/>
      </c>
    </row>
    <row r="418">
      <c r="A418" s="40" t="n">
        <v>30742</v>
      </c>
      <c r="B418" s="21">
        <f>IF(VLOOKUP(A418,'Database Rates'!$A:$E,5,FALSE)=0,#N/A,VLOOKUP(A418,'Database Rates'!$A:$E,5,FALSE))</f>
        <v/>
      </c>
    </row>
    <row r="419">
      <c r="A419" s="40" t="n">
        <v>30773</v>
      </c>
      <c r="B419" s="21">
        <f>IF(VLOOKUP(A419,'Database Rates'!$A:$E,5,FALSE)=0,#N/A,VLOOKUP(A419,'Database Rates'!$A:$E,5,FALSE))</f>
        <v/>
      </c>
    </row>
    <row r="420">
      <c r="A420" s="40" t="n">
        <v>30803</v>
      </c>
      <c r="B420" s="21">
        <f>IF(VLOOKUP(A420,'Database Rates'!$A:$E,5,FALSE)=0,#N/A,VLOOKUP(A420,'Database Rates'!$A:$E,5,FALSE))</f>
        <v/>
      </c>
    </row>
    <row r="421">
      <c r="A421" s="40" t="n">
        <v>30834</v>
      </c>
      <c r="B421" s="21">
        <f>IF(VLOOKUP(A421,'Database Rates'!$A:$E,5,FALSE)=0,#N/A,VLOOKUP(A421,'Database Rates'!$A:$E,5,FALSE))</f>
        <v/>
      </c>
    </row>
    <row r="422">
      <c r="A422" s="40" t="n">
        <v>30864</v>
      </c>
      <c r="B422" s="21">
        <f>IF(VLOOKUP(A422,'Database Rates'!$A:$E,5,FALSE)=0,#N/A,VLOOKUP(A422,'Database Rates'!$A:$E,5,FALSE))</f>
        <v/>
      </c>
    </row>
    <row r="423">
      <c r="A423" s="40" t="n">
        <v>30895</v>
      </c>
      <c r="B423" s="21">
        <f>IF(VLOOKUP(A423,'Database Rates'!$A:$E,5,FALSE)=0,#N/A,VLOOKUP(A423,'Database Rates'!$A:$E,5,FALSE))</f>
        <v/>
      </c>
    </row>
    <row r="424">
      <c r="A424" s="40" t="n">
        <v>30926</v>
      </c>
      <c r="B424" s="21">
        <f>IF(VLOOKUP(A424,'Database Rates'!$A:$E,5,FALSE)=0,#N/A,VLOOKUP(A424,'Database Rates'!$A:$E,5,FALSE))</f>
        <v/>
      </c>
    </row>
    <row r="425">
      <c r="A425" s="40" t="n">
        <v>30956</v>
      </c>
      <c r="B425" s="21">
        <f>IF(VLOOKUP(A425,'Database Rates'!$A:$E,5,FALSE)=0,#N/A,VLOOKUP(A425,'Database Rates'!$A:$E,5,FALSE))</f>
        <v/>
      </c>
    </row>
    <row r="426">
      <c r="A426" s="40" t="n">
        <v>30987</v>
      </c>
      <c r="B426" s="21">
        <f>IF(VLOOKUP(A426,'Database Rates'!$A:$E,5,FALSE)=0,#N/A,VLOOKUP(A426,'Database Rates'!$A:$E,5,FALSE))</f>
        <v/>
      </c>
    </row>
    <row r="427">
      <c r="A427" s="40" t="n">
        <v>31017</v>
      </c>
      <c r="B427" s="21">
        <f>IF(VLOOKUP(A427,'Database Rates'!$A:$E,5,FALSE)=0,#N/A,VLOOKUP(A427,'Database Rates'!$A:$E,5,FALSE))</f>
        <v/>
      </c>
    </row>
    <row r="428">
      <c r="A428" s="40" t="n">
        <v>31048</v>
      </c>
      <c r="B428" s="21">
        <f>IF(VLOOKUP(A428,'Database Rates'!$A:$E,5,FALSE)=0,#N/A,VLOOKUP(A428,'Database Rates'!$A:$E,5,FALSE))</f>
        <v/>
      </c>
    </row>
    <row r="429">
      <c r="A429" s="40" t="n">
        <v>31079</v>
      </c>
      <c r="B429" s="21">
        <f>IF(VLOOKUP(A429,'Database Rates'!$A:$E,5,FALSE)=0,#N/A,VLOOKUP(A429,'Database Rates'!$A:$E,5,FALSE))</f>
        <v/>
      </c>
    </row>
    <row r="430">
      <c r="A430" s="40" t="n">
        <v>31107</v>
      </c>
      <c r="B430" s="21">
        <f>IF(VLOOKUP(A430,'Database Rates'!$A:$E,5,FALSE)=0,#N/A,VLOOKUP(A430,'Database Rates'!$A:$E,5,FALSE))</f>
        <v/>
      </c>
    </row>
    <row r="431">
      <c r="A431" s="40" t="n">
        <v>31138</v>
      </c>
      <c r="B431" s="21">
        <f>IF(VLOOKUP(A431,'Database Rates'!$A:$E,5,FALSE)=0,#N/A,VLOOKUP(A431,'Database Rates'!$A:$E,5,FALSE))</f>
        <v/>
      </c>
    </row>
    <row r="432">
      <c r="A432" s="40" t="n">
        <v>31168</v>
      </c>
      <c r="B432" s="21">
        <f>IF(VLOOKUP(A432,'Database Rates'!$A:$E,5,FALSE)=0,#N/A,VLOOKUP(A432,'Database Rates'!$A:$E,5,FALSE))</f>
        <v/>
      </c>
    </row>
    <row r="433">
      <c r="A433" s="40" t="n">
        <v>31199</v>
      </c>
      <c r="B433" s="21">
        <f>IF(VLOOKUP(A433,'Database Rates'!$A:$E,5,FALSE)=0,#N/A,VLOOKUP(A433,'Database Rates'!$A:$E,5,FALSE))</f>
        <v/>
      </c>
    </row>
    <row r="434">
      <c r="A434" s="40" t="n">
        <v>31229</v>
      </c>
      <c r="B434" s="21">
        <f>IF(VLOOKUP(A434,'Database Rates'!$A:$E,5,FALSE)=0,#N/A,VLOOKUP(A434,'Database Rates'!$A:$E,5,FALSE))</f>
        <v/>
      </c>
    </row>
    <row r="435">
      <c r="A435" s="40" t="n">
        <v>31260</v>
      </c>
      <c r="B435" s="21">
        <f>IF(VLOOKUP(A435,'Database Rates'!$A:$E,5,FALSE)=0,#N/A,VLOOKUP(A435,'Database Rates'!$A:$E,5,FALSE))</f>
        <v/>
      </c>
    </row>
    <row r="436">
      <c r="A436" s="40" t="n">
        <v>31291</v>
      </c>
      <c r="B436" s="21">
        <f>IF(VLOOKUP(A436,'Database Rates'!$A:$E,5,FALSE)=0,#N/A,VLOOKUP(A436,'Database Rates'!$A:$E,5,FALSE))</f>
        <v/>
      </c>
    </row>
    <row r="437">
      <c r="A437" s="40" t="n">
        <v>31321</v>
      </c>
      <c r="B437" s="21">
        <f>IF(VLOOKUP(A437,'Database Rates'!$A:$E,5,FALSE)=0,#N/A,VLOOKUP(A437,'Database Rates'!$A:$E,5,FALSE))</f>
        <v/>
      </c>
    </row>
    <row r="438">
      <c r="A438" s="40" t="n">
        <v>31352</v>
      </c>
      <c r="B438" s="21">
        <f>IF(VLOOKUP(A438,'Database Rates'!$A:$E,5,FALSE)=0,#N/A,VLOOKUP(A438,'Database Rates'!$A:$E,5,FALSE))</f>
        <v/>
      </c>
    </row>
    <row r="439">
      <c r="A439" s="40" t="n">
        <v>31382</v>
      </c>
      <c r="B439" s="21">
        <f>IF(VLOOKUP(A439,'Database Rates'!$A:$E,5,FALSE)=0,#N/A,VLOOKUP(A439,'Database Rates'!$A:$E,5,FALSE))</f>
        <v/>
      </c>
    </row>
    <row r="440">
      <c r="A440" s="40" t="n">
        <v>31413</v>
      </c>
      <c r="B440" s="21">
        <f>IF(VLOOKUP(A440,'Database Rates'!$A:$E,5,FALSE)=0,#N/A,VLOOKUP(A440,'Database Rates'!$A:$E,5,FALSE))</f>
        <v/>
      </c>
    </row>
    <row r="441">
      <c r="A441" s="40" t="n">
        <v>31444</v>
      </c>
      <c r="B441" s="21">
        <f>IF(VLOOKUP(A441,'Database Rates'!$A:$E,5,FALSE)=0,#N/A,VLOOKUP(A441,'Database Rates'!$A:$E,5,FALSE))</f>
        <v/>
      </c>
    </row>
    <row r="442">
      <c r="A442" s="40" t="n">
        <v>31472</v>
      </c>
      <c r="B442" s="21">
        <f>IF(VLOOKUP(A442,'Database Rates'!$A:$E,5,FALSE)=0,#N/A,VLOOKUP(A442,'Database Rates'!$A:$E,5,FALSE))</f>
        <v/>
      </c>
    </row>
    <row r="443">
      <c r="A443" s="40" t="n">
        <v>31503</v>
      </c>
      <c r="B443" s="21">
        <f>IF(VLOOKUP(A443,'Database Rates'!$A:$E,5,FALSE)=0,#N/A,VLOOKUP(A443,'Database Rates'!$A:$E,5,FALSE))</f>
        <v/>
      </c>
    </row>
    <row r="444">
      <c r="A444" s="40" t="n">
        <v>31533</v>
      </c>
      <c r="B444" s="21">
        <f>IF(VLOOKUP(A444,'Database Rates'!$A:$E,5,FALSE)=0,#N/A,VLOOKUP(A444,'Database Rates'!$A:$E,5,FALSE))</f>
        <v/>
      </c>
    </row>
    <row r="445">
      <c r="A445" s="40" t="n">
        <v>31564</v>
      </c>
      <c r="B445" s="21">
        <f>IF(VLOOKUP(A445,'Database Rates'!$A:$E,5,FALSE)=0,#N/A,VLOOKUP(A445,'Database Rates'!$A:$E,5,FALSE))</f>
        <v/>
      </c>
    </row>
    <row r="446">
      <c r="A446" s="40" t="n">
        <v>31594</v>
      </c>
      <c r="B446" s="21">
        <f>IF(VLOOKUP(A446,'Database Rates'!$A:$E,5,FALSE)=0,#N/A,VLOOKUP(A446,'Database Rates'!$A:$E,5,FALSE))</f>
        <v/>
      </c>
    </row>
    <row r="447">
      <c r="A447" s="40" t="n">
        <v>31625</v>
      </c>
      <c r="B447" s="21">
        <f>IF(VLOOKUP(A447,'Database Rates'!$A:$E,5,FALSE)=0,#N/A,VLOOKUP(A447,'Database Rates'!$A:$E,5,FALSE))</f>
        <v/>
      </c>
    </row>
    <row r="448">
      <c r="A448" s="40" t="n">
        <v>31656</v>
      </c>
      <c r="B448" s="21">
        <f>IF(VLOOKUP(A448,'Database Rates'!$A:$E,5,FALSE)=0,#N/A,VLOOKUP(A448,'Database Rates'!$A:$E,5,FALSE))</f>
        <v/>
      </c>
    </row>
    <row r="449">
      <c r="A449" s="40" t="n">
        <v>31686</v>
      </c>
      <c r="B449" s="21">
        <f>IF(VLOOKUP(A449,'Database Rates'!$A:$E,5,FALSE)=0,#N/A,VLOOKUP(A449,'Database Rates'!$A:$E,5,FALSE))</f>
        <v/>
      </c>
    </row>
    <row r="450">
      <c r="A450" s="40" t="n">
        <v>31717</v>
      </c>
      <c r="B450" s="21">
        <f>IF(VLOOKUP(A450,'Database Rates'!$A:$E,5,FALSE)=0,#N/A,VLOOKUP(A450,'Database Rates'!$A:$E,5,FALSE))</f>
        <v/>
      </c>
    </row>
    <row r="451">
      <c r="A451" s="40" t="n">
        <v>31747</v>
      </c>
      <c r="B451" s="21">
        <f>IF(VLOOKUP(A451,'Database Rates'!$A:$E,5,FALSE)=0,#N/A,VLOOKUP(A451,'Database Rates'!$A:$E,5,FALSE))</f>
        <v/>
      </c>
    </row>
    <row r="452">
      <c r="A452" s="40" t="n">
        <v>31778</v>
      </c>
      <c r="B452" s="21">
        <f>IF(VLOOKUP(A452,'Database Rates'!$A:$E,5,FALSE)=0,#N/A,VLOOKUP(A452,'Database Rates'!$A:$E,5,FALSE))</f>
        <v/>
      </c>
    </row>
    <row r="453">
      <c r="A453" s="40" t="n">
        <v>31809</v>
      </c>
      <c r="B453" s="21">
        <f>IF(VLOOKUP(A453,'Database Rates'!$A:$E,5,FALSE)=0,#N/A,VLOOKUP(A453,'Database Rates'!$A:$E,5,FALSE))</f>
        <v/>
      </c>
    </row>
    <row r="454">
      <c r="A454" s="40" t="n">
        <v>31837</v>
      </c>
      <c r="B454" s="21">
        <f>IF(VLOOKUP(A454,'Database Rates'!$A:$E,5,FALSE)=0,#N/A,VLOOKUP(A454,'Database Rates'!$A:$E,5,FALSE))</f>
        <v/>
      </c>
    </row>
    <row r="455">
      <c r="A455" s="40" t="n">
        <v>31868</v>
      </c>
      <c r="B455" s="21">
        <f>IF(VLOOKUP(A455,'Database Rates'!$A:$E,5,FALSE)=0,#N/A,VLOOKUP(A455,'Database Rates'!$A:$E,5,FALSE))</f>
        <v/>
      </c>
    </row>
    <row r="456">
      <c r="A456" s="40" t="n">
        <v>31898</v>
      </c>
      <c r="B456" s="21">
        <f>IF(VLOOKUP(A456,'Database Rates'!$A:$E,5,FALSE)=0,#N/A,VLOOKUP(A456,'Database Rates'!$A:$E,5,FALSE))</f>
        <v/>
      </c>
    </row>
    <row r="457">
      <c r="A457" s="40" t="n">
        <v>31929</v>
      </c>
      <c r="B457" s="21">
        <f>IF(VLOOKUP(A457,'Database Rates'!$A:$E,5,FALSE)=0,#N/A,VLOOKUP(A457,'Database Rates'!$A:$E,5,FALSE))</f>
        <v/>
      </c>
    </row>
    <row r="458">
      <c r="A458" s="40" t="n">
        <v>31959</v>
      </c>
      <c r="B458" s="21">
        <f>IF(VLOOKUP(A458,'Database Rates'!$A:$E,5,FALSE)=0,#N/A,VLOOKUP(A458,'Database Rates'!$A:$E,5,FALSE))</f>
        <v/>
      </c>
    </row>
    <row r="459">
      <c r="A459" s="40" t="n">
        <v>31990</v>
      </c>
      <c r="B459" s="21">
        <f>IF(VLOOKUP(A459,'Database Rates'!$A:$E,5,FALSE)=0,#N/A,VLOOKUP(A459,'Database Rates'!$A:$E,5,FALSE))</f>
        <v/>
      </c>
    </row>
    <row r="460">
      <c r="A460" s="40" t="n">
        <v>32021</v>
      </c>
      <c r="B460" s="21">
        <f>IF(VLOOKUP(A460,'Database Rates'!$A:$E,5,FALSE)=0,#N/A,VLOOKUP(A460,'Database Rates'!$A:$E,5,FALSE))</f>
        <v/>
      </c>
    </row>
    <row r="461">
      <c r="A461" s="40" t="n">
        <v>32051</v>
      </c>
      <c r="B461" s="21">
        <f>IF(VLOOKUP(A461,'Database Rates'!$A:$E,5,FALSE)=0,#N/A,VLOOKUP(A461,'Database Rates'!$A:$E,5,FALSE))</f>
        <v/>
      </c>
    </row>
    <row r="462">
      <c r="A462" s="40" t="n">
        <v>32082</v>
      </c>
      <c r="B462" s="21">
        <f>IF(VLOOKUP(A462,'Database Rates'!$A:$E,5,FALSE)=0,#N/A,VLOOKUP(A462,'Database Rates'!$A:$E,5,FALSE))</f>
        <v/>
      </c>
    </row>
    <row r="463">
      <c r="A463" s="40" t="n">
        <v>32112</v>
      </c>
      <c r="B463" s="21">
        <f>IF(VLOOKUP(A463,'Database Rates'!$A:$E,5,FALSE)=0,#N/A,VLOOKUP(A463,'Database Rates'!$A:$E,5,FALSE))</f>
        <v/>
      </c>
    </row>
    <row r="464">
      <c r="A464" s="40" t="n">
        <v>32143</v>
      </c>
      <c r="B464" s="21">
        <f>IF(VLOOKUP(A464,'Database Rates'!$A:$E,5,FALSE)=0,#N/A,VLOOKUP(A464,'Database Rates'!$A:$E,5,FALSE))</f>
        <v/>
      </c>
    </row>
    <row r="465">
      <c r="A465" s="40" t="n">
        <v>32174</v>
      </c>
      <c r="B465" s="21">
        <f>IF(VLOOKUP(A465,'Database Rates'!$A:$E,5,FALSE)=0,#N/A,VLOOKUP(A465,'Database Rates'!$A:$E,5,FALSE))</f>
        <v/>
      </c>
    </row>
    <row r="466">
      <c r="A466" s="40" t="n">
        <v>32203</v>
      </c>
      <c r="B466" s="21">
        <f>IF(VLOOKUP(A466,'Database Rates'!$A:$E,5,FALSE)=0,#N/A,VLOOKUP(A466,'Database Rates'!$A:$E,5,FALSE))</f>
        <v/>
      </c>
    </row>
    <row r="467">
      <c r="A467" s="40" t="n">
        <v>32234</v>
      </c>
      <c r="B467" s="21">
        <f>IF(VLOOKUP(A467,'Database Rates'!$A:$E,5,FALSE)=0,#N/A,VLOOKUP(A467,'Database Rates'!$A:$E,5,FALSE))</f>
        <v/>
      </c>
    </row>
    <row r="468">
      <c r="A468" s="40" t="n">
        <v>32264</v>
      </c>
      <c r="B468" s="21">
        <f>IF(VLOOKUP(A468,'Database Rates'!$A:$E,5,FALSE)=0,#N/A,VLOOKUP(A468,'Database Rates'!$A:$E,5,FALSE))</f>
        <v/>
      </c>
    </row>
    <row r="469">
      <c r="A469" s="40" t="n">
        <v>32295</v>
      </c>
      <c r="B469" s="21">
        <f>IF(VLOOKUP(A469,'Database Rates'!$A:$E,5,FALSE)=0,#N/A,VLOOKUP(A469,'Database Rates'!$A:$E,5,FALSE))</f>
        <v/>
      </c>
    </row>
    <row r="470">
      <c r="A470" s="40" t="n">
        <v>32325</v>
      </c>
      <c r="B470" s="21">
        <f>IF(VLOOKUP(A470,'Database Rates'!$A:$E,5,FALSE)=0,#N/A,VLOOKUP(A470,'Database Rates'!$A:$E,5,FALSE))</f>
        <v/>
      </c>
    </row>
    <row r="471">
      <c r="A471" s="40" t="n">
        <v>32356</v>
      </c>
      <c r="B471" s="21">
        <f>IF(VLOOKUP(A471,'Database Rates'!$A:$E,5,FALSE)=0,#N/A,VLOOKUP(A471,'Database Rates'!$A:$E,5,FALSE))</f>
        <v/>
      </c>
    </row>
    <row r="472">
      <c r="A472" s="40" t="n">
        <v>32387</v>
      </c>
      <c r="B472" s="21">
        <f>IF(VLOOKUP(A472,'Database Rates'!$A:$E,5,FALSE)=0,#N/A,VLOOKUP(A472,'Database Rates'!$A:$E,5,FALSE))</f>
        <v/>
      </c>
    </row>
    <row r="473">
      <c r="A473" s="40" t="n">
        <v>32417</v>
      </c>
      <c r="B473" s="21">
        <f>IF(VLOOKUP(A473,'Database Rates'!$A:$E,5,FALSE)=0,#N/A,VLOOKUP(A473,'Database Rates'!$A:$E,5,FALSE))</f>
        <v/>
      </c>
    </row>
    <row r="474">
      <c r="A474" s="40" t="n">
        <v>32448</v>
      </c>
      <c r="B474" s="21">
        <f>IF(VLOOKUP(A474,'Database Rates'!$A:$E,5,FALSE)=0,#N/A,VLOOKUP(A474,'Database Rates'!$A:$E,5,FALSE))</f>
        <v/>
      </c>
    </row>
    <row r="475">
      <c r="A475" s="40" t="n">
        <v>32478</v>
      </c>
      <c r="B475" s="21">
        <f>IF(VLOOKUP(A475,'Database Rates'!$A:$E,5,FALSE)=0,#N/A,VLOOKUP(A475,'Database Rates'!$A:$E,5,FALSE))</f>
        <v/>
      </c>
    </row>
    <row r="476">
      <c r="A476" s="40" t="n">
        <v>32509</v>
      </c>
      <c r="B476" s="21">
        <f>IF(VLOOKUP(A476,'Database Rates'!$A:$E,5,FALSE)=0,#N/A,VLOOKUP(A476,'Database Rates'!$A:$E,5,FALSE))</f>
        <v/>
      </c>
    </row>
    <row r="477">
      <c r="A477" s="40" t="n">
        <v>32540</v>
      </c>
      <c r="B477" s="21">
        <f>IF(VLOOKUP(A477,'Database Rates'!$A:$E,5,FALSE)=0,#N/A,VLOOKUP(A477,'Database Rates'!$A:$E,5,FALSE))</f>
        <v/>
      </c>
    </row>
    <row r="478">
      <c r="A478" s="40" t="n">
        <v>32568</v>
      </c>
      <c r="B478" s="21">
        <f>IF(VLOOKUP(A478,'Database Rates'!$A:$E,5,FALSE)=0,#N/A,VLOOKUP(A478,'Database Rates'!$A:$E,5,FALSE))</f>
        <v/>
      </c>
    </row>
    <row r="479">
      <c r="A479" s="40" t="n">
        <v>32599</v>
      </c>
      <c r="B479" s="21">
        <f>IF(VLOOKUP(A479,'Database Rates'!$A:$E,5,FALSE)=0,#N/A,VLOOKUP(A479,'Database Rates'!$A:$E,5,FALSE))</f>
        <v/>
      </c>
    </row>
    <row r="480">
      <c r="A480" s="40" t="n">
        <v>32629</v>
      </c>
      <c r="B480" s="21">
        <f>IF(VLOOKUP(A480,'Database Rates'!$A:$E,5,FALSE)=0,#N/A,VLOOKUP(A480,'Database Rates'!$A:$E,5,FALSE))</f>
        <v/>
      </c>
    </row>
    <row r="481">
      <c r="A481" s="40" t="n">
        <v>32660</v>
      </c>
      <c r="B481" s="21">
        <f>IF(VLOOKUP(A481,'Database Rates'!$A:$E,5,FALSE)=0,#N/A,VLOOKUP(A481,'Database Rates'!$A:$E,5,FALSE))</f>
        <v/>
      </c>
    </row>
    <row r="482">
      <c r="A482" s="40" t="n">
        <v>32690</v>
      </c>
      <c r="B482" s="21">
        <f>IF(VLOOKUP(A482,'Database Rates'!$A:$E,5,FALSE)=0,#N/A,VLOOKUP(A482,'Database Rates'!$A:$E,5,FALSE))</f>
        <v/>
      </c>
    </row>
    <row r="483">
      <c r="A483" s="40" t="n">
        <v>32721</v>
      </c>
      <c r="B483" s="21">
        <f>IF(VLOOKUP(A483,'Database Rates'!$A:$E,5,FALSE)=0,#N/A,VLOOKUP(A483,'Database Rates'!$A:$E,5,FALSE))</f>
        <v/>
      </c>
    </row>
    <row r="484">
      <c r="A484" s="40" t="n">
        <v>32752</v>
      </c>
      <c r="B484" s="21">
        <f>IF(VLOOKUP(A484,'Database Rates'!$A:$E,5,FALSE)=0,#N/A,VLOOKUP(A484,'Database Rates'!$A:$E,5,FALSE))</f>
        <v/>
      </c>
    </row>
    <row r="485">
      <c r="A485" s="40" t="n">
        <v>32782</v>
      </c>
      <c r="B485" s="21">
        <f>IF(VLOOKUP(A485,'Database Rates'!$A:$E,5,FALSE)=0,#N/A,VLOOKUP(A485,'Database Rates'!$A:$E,5,FALSE))</f>
        <v/>
      </c>
    </row>
    <row r="486">
      <c r="A486" s="40" t="n">
        <v>32813</v>
      </c>
      <c r="B486" s="21">
        <f>IF(VLOOKUP(A486,'Database Rates'!$A:$E,5,FALSE)=0,#N/A,VLOOKUP(A486,'Database Rates'!$A:$E,5,FALSE))</f>
        <v/>
      </c>
    </row>
    <row r="487">
      <c r="A487" s="40" t="n">
        <v>32843</v>
      </c>
      <c r="B487" s="21">
        <f>IF(VLOOKUP(A487,'Database Rates'!$A:$E,5,FALSE)=0,#N/A,VLOOKUP(A487,'Database Rates'!$A:$E,5,FALSE))</f>
        <v/>
      </c>
    </row>
    <row r="488">
      <c r="A488" s="40" t="n">
        <v>32874</v>
      </c>
      <c r="B488" s="21">
        <f>IF(VLOOKUP(A488,'Database Rates'!$A:$E,5,FALSE)=0,#N/A,VLOOKUP(A488,'Database Rates'!$A:$E,5,FALSE))</f>
        <v/>
      </c>
    </row>
    <row r="489">
      <c r="A489" s="40" t="n">
        <v>32905</v>
      </c>
      <c r="B489" s="21">
        <f>IF(VLOOKUP(A489,'Database Rates'!$A:$E,5,FALSE)=0,#N/A,VLOOKUP(A489,'Database Rates'!$A:$E,5,FALSE))</f>
        <v/>
      </c>
    </row>
    <row r="490">
      <c r="A490" s="40" t="n">
        <v>32933</v>
      </c>
      <c r="B490" s="21">
        <f>IF(VLOOKUP(A490,'Database Rates'!$A:$E,5,FALSE)=0,#N/A,VLOOKUP(A490,'Database Rates'!$A:$E,5,FALSE))</f>
        <v/>
      </c>
    </row>
    <row r="491">
      <c r="A491" s="40" t="n">
        <v>32964</v>
      </c>
      <c r="B491" s="21">
        <f>IF(VLOOKUP(A491,'Database Rates'!$A:$E,5,FALSE)=0,#N/A,VLOOKUP(A491,'Database Rates'!$A:$E,5,FALSE))</f>
        <v/>
      </c>
    </row>
    <row r="492">
      <c r="A492" s="40" t="n">
        <v>32994</v>
      </c>
      <c r="B492" s="21">
        <f>IF(VLOOKUP(A492,'Database Rates'!$A:$E,5,FALSE)=0,#N/A,VLOOKUP(A492,'Database Rates'!$A:$E,5,FALSE))</f>
        <v/>
      </c>
    </row>
    <row r="493">
      <c r="A493" s="40" t="n">
        <v>33025</v>
      </c>
      <c r="B493" s="21">
        <f>IF(VLOOKUP(A493,'Database Rates'!$A:$E,5,FALSE)=0,#N/A,VLOOKUP(A493,'Database Rates'!$A:$E,5,FALSE))</f>
        <v/>
      </c>
    </row>
    <row r="494">
      <c r="A494" s="40" t="n">
        <v>33055</v>
      </c>
      <c r="B494" s="21">
        <f>IF(VLOOKUP(A494,'Database Rates'!$A:$E,5,FALSE)=0,#N/A,VLOOKUP(A494,'Database Rates'!$A:$E,5,FALSE))</f>
        <v/>
      </c>
    </row>
    <row r="495">
      <c r="A495" s="40" t="n">
        <v>33086</v>
      </c>
      <c r="B495" s="21">
        <f>IF(VLOOKUP(A495,'Database Rates'!$A:$E,5,FALSE)=0,#N/A,VLOOKUP(A495,'Database Rates'!$A:$E,5,FALSE))</f>
        <v/>
      </c>
    </row>
    <row r="496">
      <c r="A496" s="40" t="n">
        <v>33117</v>
      </c>
      <c r="B496" s="21">
        <f>IF(VLOOKUP(A496,'Database Rates'!$A:$E,5,FALSE)=0,#N/A,VLOOKUP(A496,'Database Rates'!$A:$E,5,FALSE))</f>
        <v/>
      </c>
    </row>
    <row r="497">
      <c r="A497" s="40" t="n">
        <v>33147</v>
      </c>
      <c r="B497" s="21">
        <f>IF(VLOOKUP(A497,'Database Rates'!$A:$E,5,FALSE)=0,#N/A,VLOOKUP(A497,'Database Rates'!$A:$E,5,FALSE))</f>
        <v/>
      </c>
    </row>
    <row r="498">
      <c r="A498" s="40" t="n">
        <v>33178</v>
      </c>
      <c r="B498" s="21">
        <f>IF(VLOOKUP(A498,'Database Rates'!$A:$E,5,FALSE)=0,#N/A,VLOOKUP(A498,'Database Rates'!$A:$E,5,FALSE))</f>
        <v/>
      </c>
    </row>
    <row r="499">
      <c r="A499" s="40" t="n">
        <v>33208</v>
      </c>
      <c r="B499" s="21">
        <f>IF(VLOOKUP(A499,'Database Rates'!$A:$E,5,FALSE)=0,#N/A,VLOOKUP(A499,'Database Rates'!$A:$E,5,FALSE))</f>
        <v/>
      </c>
    </row>
    <row r="500">
      <c r="A500" s="40" t="n">
        <v>33239</v>
      </c>
      <c r="B500" s="21">
        <f>IF(VLOOKUP(A500,'Database Rates'!$A:$E,5,FALSE)=0,#N/A,VLOOKUP(A500,'Database Rates'!$A:$E,5,FALSE))</f>
        <v/>
      </c>
    </row>
    <row r="501">
      <c r="A501" s="40" t="n">
        <v>33270</v>
      </c>
      <c r="B501" s="21">
        <f>IF(VLOOKUP(A501,'Database Rates'!$A:$E,5,FALSE)=0,#N/A,VLOOKUP(A501,'Database Rates'!$A:$E,5,FALSE))</f>
        <v/>
      </c>
    </row>
    <row r="502">
      <c r="A502" s="40" t="n">
        <v>33298</v>
      </c>
      <c r="B502" s="21">
        <f>IF(VLOOKUP(A502,'Database Rates'!$A:$E,5,FALSE)=0,#N/A,VLOOKUP(A502,'Database Rates'!$A:$E,5,FALSE))</f>
        <v/>
      </c>
    </row>
    <row r="503">
      <c r="A503" s="40" t="n">
        <v>33329</v>
      </c>
      <c r="B503" s="21">
        <f>IF(VLOOKUP(A503,'Database Rates'!$A:$E,5,FALSE)=0,#N/A,VLOOKUP(A503,'Database Rates'!$A:$E,5,FALSE))</f>
        <v/>
      </c>
    </row>
    <row r="504">
      <c r="A504" s="40" t="n">
        <v>33359</v>
      </c>
      <c r="B504" s="21">
        <f>IF(VLOOKUP(A504,'Database Rates'!$A:$E,5,FALSE)=0,#N/A,VLOOKUP(A504,'Database Rates'!$A:$E,5,FALSE))</f>
        <v/>
      </c>
    </row>
    <row r="505">
      <c r="A505" s="40" t="n">
        <v>33390</v>
      </c>
      <c r="B505" s="21">
        <f>IF(VLOOKUP(A505,'Database Rates'!$A:$E,5,FALSE)=0,#N/A,VLOOKUP(A505,'Database Rates'!$A:$E,5,FALSE))</f>
        <v/>
      </c>
    </row>
    <row r="506">
      <c r="A506" s="40" t="n">
        <v>33420</v>
      </c>
      <c r="B506" s="21">
        <f>IF(VLOOKUP(A506,'Database Rates'!$A:$E,5,FALSE)=0,#N/A,VLOOKUP(A506,'Database Rates'!$A:$E,5,FALSE))</f>
        <v/>
      </c>
    </row>
    <row r="507">
      <c r="A507" s="40" t="n">
        <v>33451</v>
      </c>
      <c r="B507" s="21">
        <f>IF(VLOOKUP(A507,'Database Rates'!$A:$E,5,FALSE)=0,#N/A,VLOOKUP(A507,'Database Rates'!$A:$E,5,FALSE))</f>
        <v/>
      </c>
    </row>
    <row r="508">
      <c r="A508" s="40" t="n">
        <v>33482</v>
      </c>
      <c r="B508" s="21">
        <f>IF(VLOOKUP(A508,'Database Rates'!$A:$E,5,FALSE)=0,#N/A,VLOOKUP(A508,'Database Rates'!$A:$E,5,FALSE))</f>
        <v/>
      </c>
    </row>
    <row r="509">
      <c r="A509" s="40" t="n">
        <v>33512</v>
      </c>
      <c r="B509" s="21">
        <f>IF(VLOOKUP(A509,'Database Rates'!$A:$E,5,FALSE)=0,#N/A,VLOOKUP(A509,'Database Rates'!$A:$E,5,FALSE))</f>
        <v/>
      </c>
    </row>
    <row r="510">
      <c r="A510" s="40" t="n">
        <v>33543</v>
      </c>
      <c r="B510" s="21">
        <f>IF(VLOOKUP(A510,'Database Rates'!$A:$E,5,FALSE)=0,#N/A,VLOOKUP(A510,'Database Rates'!$A:$E,5,FALSE))</f>
        <v/>
      </c>
    </row>
    <row r="511">
      <c r="A511" s="40" t="n">
        <v>33573</v>
      </c>
      <c r="B511" s="21">
        <f>IF(VLOOKUP(A511,'Database Rates'!$A:$E,5,FALSE)=0,#N/A,VLOOKUP(A511,'Database Rates'!$A:$E,5,FALSE))</f>
        <v/>
      </c>
    </row>
    <row r="512">
      <c r="A512" s="40" t="n">
        <v>33604</v>
      </c>
      <c r="B512" s="21">
        <f>IF(VLOOKUP(A512,'Database Rates'!$A:$E,5,FALSE)=0,#N/A,VLOOKUP(A512,'Database Rates'!$A:$E,5,FALSE))</f>
        <v/>
      </c>
    </row>
    <row r="513">
      <c r="A513" s="40" t="n">
        <v>33635</v>
      </c>
      <c r="B513" s="21">
        <f>IF(VLOOKUP(A513,'Database Rates'!$A:$E,5,FALSE)=0,#N/A,VLOOKUP(A513,'Database Rates'!$A:$E,5,FALSE))</f>
        <v/>
      </c>
    </row>
    <row r="514">
      <c r="A514" s="40" t="n">
        <v>33664</v>
      </c>
      <c r="B514" s="21">
        <f>IF(VLOOKUP(A514,'Database Rates'!$A:$E,5,FALSE)=0,#N/A,VLOOKUP(A514,'Database Rates'!$A:$E,5,FALSE))</f>
        <v/>
      </c>
    </row>
    <row r="515">
      <c r="A515" s="40" t="n">
        <v>33695</v>
      </c>
      <c r="B515" s="21">
        <f>IF(VLOOKUP(A515,'Database Rates'!$A:$E,5,FALSE)=0,#N/A,VLOOKUP(A515,'Database Rates'!$A:$E,5,FALSE))</f>
        <v/>
      </c>
    </row>
    <row r="516">
      <c r="A516" s="40" t="n">
        <v>33725</v>
      </c>
      <c r="B516" s="21">
        <f>IF(VLOOKUP(A516,'Database Rates'!$A:$E,5,FALSE)=0,#N/A,VLOOKUP(A516,'Database Rates'!$A:$E,5,FALSE))</f>
        <v/>
      </c>
    </row>
    <row r="517">
      <c r="A517" s="40" t="n">
        <v>33756</v>
      </c>
      <c r="B517" s="21">
        <f>IF(VLOOKUP(A517,'Database Rates'!$A:$E,5,FALSE)=0,#N/A,VLOOKUP(A517,'Database Rates'!$A:$E,5,FALSE))</f>
        <v/>
      </c>
    </row>
    <row r="518">
      <c r="A518" s="40" t="n">
        <v>33786</v>
      </c>
      <c r="B518" s="21">
        <f>IF(VLOOKUP(A518,'Database Rates'!$A:$E,5,FALSE)=0,#N/A,VLOOKUP(A518,'Database Rates'!$A:$E,5,FALSE))</f>
        <v/>
      </c>
    </row>
    <row r="519">
      <c r="A519" s="40" t="n">
        <v>33817</v>
      </c>
      <c r="B519" s="21">
        <f>IF(VLOOKUP(A519,'Database Rates'!$A:$E,5,FALSE)=0,#N/A,VLOOKUP(A519,'Database Rates'!$A:$E,5,FALSE))</f>
        <v/>
      </c>
    </row>
    <row r="520">
      <c r="A520" s="40" t="n">
        <v>33848</v>
      </c>
      <c r="B520" s="21">
        <f>IF(VLOOKUP(A520,'Database Rates'!$A:$E,5,FALSE)=0,#N/A,VLOOKUP(A520,'Database Rates'!$A:$E,5,FALSE))</f>
        <v/>
      </c>
    </row>
    <row r="521">
      <c r="A521" s="40" t="n">
        <v>33878</v>
      </c>
      <c r="B521" s="21">
        <f>IF(VLOOKUP(A521,'Database Rates'!$A:$E,5,FALSE)=0,#N/A,VLOOKUP(A521,'Database Rates'!$A:$E,5,FALSE))</f>
        <v/>
      </c>
    </row>
    <row r="522">
      <c r="A522" s="40" t="n">
        <v>33909</v>
      </c>
      <c r="B522" s="21">
        <f>IF(VLOOKUP(A522,'Database Rates'!$A:$E,5,FALSE)=0,#N/A,VLOOKUP(A522,'Database Rates'!$A:$E,5,FALSE))</f>
        <v/>
      </c>
    </row>
    <row r="523">
      <c r="A523" s="40" t="n">
        <v>33939</v>
      </c>
      <c r="B523" s="21">
        <f>IF(VLOOKUP(A523,'Database Rates'!$A:$E,5,FALSE)=0,#N/A,VLOOKUP(A523,'Database Rates'!$A:$E,5,FALSE))</f>
        <v/>
      </c>
    </row>
    <row r="524">
      <c r="A524" s="40" t="n">
        <v>33970</v>
      </c>
      <c r="B524" s="21">
        <f>IF(VLOOKUP(A524,'Database Rates'!$A:$E,5,FALSE)=0,#N/A,VLOOKUP(A524,'Database Rates'!$A:$E,5,FALSE))</f>
        <v/>
      </c>
    </row>
    <row r="525">
      <c r="A525" s="40" t="n">
        <v>34001</v>
      </c>
      <c r="B525" s="21">
        <f>IF(VLOOKUP(A525,'Database Rates'!$A:$E,5,FALSE)=0,#N/A,VLOOKUP(A525,'Database Rates'!$A:$E,5,FALSE))</f>
        <v/>
      </c>
    </row>
    <row r="526">
      <c r="A526" s="40" t="n">
        <v>34029</v>
      </c>
      <c r="B526" s="21">
        <f>IF(VLOOKUP(A526,'Database Rates'!$A:$E,5,FALSE)=0,#N/A,VLOOKUP(A526,'Database Rates'!$A:$E,5,FALSE))</f>
        <v/>
      </c>
    </row>
    <row r="527">
      <c r="A527" s="40" t="n">
        <v>34060</v>
      </c>
      <c r="B527" s="21">
        <f>IF(VLOOKUP(A527,'Database Rates'!$A:$E,5,FALSE)=0,#N/A,VLOOKUP(A527,'Database Rates'!$A:$E,5,FALSE))</f>
        <v/>
      </c>
    </row>
    <row r="528">
      <c r="A528" s="40" t="n">
        <v>34090</v>
      </c>
      <c r="B528" s="21">
        <f>IF(VLOOKUP(A528,'Database Rates'!$A:$E,5,FALSE)=0,#N/A,VLOOKUP(A528,'Database Rates'!$A:$E,5,FALSE))</f>
        <v/>
      </c>
    </row>
    <row r="529">
      <c r="A529" s="40" t="n">
        <v>34121</v>
      </c>
      <c r="B529" s="21">
        <f>IF(VLOOKUP(A529,'Database Rates'!$A:$E,5,FALSE)=0,#N/A,VLOOKUP(A529,'Database Rates'!$A:$E,5,FALSE))</f>
        <v/>
      </c>
    </row>
    <row r="530">
      <c r="A530" s="40" t="n">
        <v>34151</v>
      </c>
      <c r="B530" s="21">
        <f>IF(VLOOKUP(A530,'Database Rates'!$A:$E,5,FALSE)=0,#N/A,VLOOKUP(A530,'Database Rates'!$A:$E,5,FALSE))</f>
        <v/>
      </c>
    </row>
    <row r="531">
      <c r="A531" s="40" t="n">
        <v>34182</v>
      </c>
      <c r="B531" s="21">
        <f>IF(VLOOKUP(A531,'Database Rates'!$A:$E,5,FALSE)=0,#N/A,VLOOKUP(A531,'Database Rates'!$A:$E,5,FALSE))</f>
        <v/>
      </c>
    </row>
    <row r="532">
      <c r="A532" s="40" t="n">
        <v>34213</v>
      </c>
      <c r="B532" s="21">
        <f>IF(VLOOKUP(A532,'Database Rates'!$A:$E,5,FALSE)=0,#N/A,VLOOKUP(A532,'Database Rates'!$A:$E,5,FALSE))</f>
        <v/>
      </c>
    </row>
    <row r="533">
      <c r="A533" s="40" t="n">
        <v>34243</v>
      </c>
      <c r="B533" s="21">
        <f>IF(VLOOKUP(A533,'Database Rates'!$A:$E,5,FALSE)=0,#N/A,VLOOKUP(A533,'Database Rates'!$A:$E,5,FALSE))</f>
        <v/>
      </c>
    </row>
    <row r="534">
      <c r="A534" s="40" t="n">
        <v>34274</v>
      </c>
      <c r="B534" s="21">
        <f>IF(VLOOKUP(A534,'Database Rates'!$A:$E,5,FALSE)=0,#N/A,VLOOKUP(A534,'Database Rates'!$A:$E,5,FALSE))</f>
        <v/>
      </c>
    </row>
    <row r="535">
      <c r="A535" s="40" t="n">
        <v>34304</v>
      </c>
      <c r="B535" s="21">
        <f>IF(VLOOKUP(A535,'Database Rates'!$A:$E,5,FALSE)=0,#N/A,VLOOKUP(A535,'Database Rates'!$A:$E,5,FALSE))</f>
        <v/>
      </c>
    </row>
    <row r="536">
      <c r="A536" s="40" t="n">
        <v>34335</v>
      </c>
      <c r="B536" s="21">
        <f>IF(VLOOKUP(A536,'Database Rates'!$A:$E,5,FALSE)=0,#N/A,VLOOKUP(A536,'Database Rates'!$A:$E,5,FALSE))</f>
        <v/>
      </c>
    </row>
    <row r="537">
      <c r="A537" s="40" t="n">
        <v>34366</v>
      </c>
      <c r="B537" s="21">
        <f>IF(VLOOKUP(A537,'Database Rates'!$A:$E,5,FALSE)=0,#N/A,VLOOKUP(A537,'Database Rates'!$A:$E,5,FALSE))</f>
        <v/>
      </c>
    </row>
    <row r="538">
      <c r="A538" s="40" t="n">
        <v>34394</v>
      </c>
      <c r="B538" s="21">
        <f>IF(VLOOKUP(A538,'Database Rates'!$A:$E,5,FALSE)=0,#N/A,VLOOKUP(A538,'Database Rates'!$A:$E,5,FALSE))</f>
        <v/>
      </c>
    </row>
    <row r="539">
      <c r="A539" s="40" t="n">
        <v>34425</v>
      </c>
      <c r="B539" s="21">
        <f>IF(VLOOKUP(A539,'Database Rates'!$A:$E,5,FALSE)=0,#N/A,VLOOKUP(A539,'Database Rates'!$A:$E,5,FALSE))</f>
        <v/>
      </c>
    </row>
    <row r="540">
      <c r="A540" s="40" t="n">
        <v>34455</v>
      </c>
      <c r="B540" s="21">
        <f>IF(VLOOKUP(A540,'Database Rates'!$A:$E,5,FALSE)=0,#N/A,VLOOKUP(A540,'Database Rates'!$A:$E,5,FALSE))</f>
        <v/>
      </c>
    </row>
    <row r="541">
      <c r="A541" s="40" t="n">
        <v>34486</v>
      </c>
      <c r="B541" s="21">
        <f>IF(VLOOKUP(A541,'Database Rates'!$A:$E,5,FALSE)=0,#N/A,VLOOKUP(A541,'Database Rates'!$A:$E,5,FALSE))</f>
        <v/>
      </c>
    </row>
    <row r="542">
      <c r="A542" s="40" t="n">
        <v>34516</v>
      </c>
      <c r="B542" s="21">
        <f>IF(VLOOKUP(A542,'Database Rates'!$A:$E,5,FALSE)=0,#N/A,VLOOKUP(A542,'Database Rates'!$A:$E,5,FALSE))</f>
        <v/>
      </c>
    </row>
    <row r="543">
      <c r="A543" s="40" t="n">
        <v>34547</v>
      </c>
      <c r="B543" s="21">
        <f>IF(VLOOKUP(A543,'Database Rates'!$A:$E,5,FALSE)=0,#N/A,VLOOKUP(A543,'Database Rates'!$A:$E,5,FALSE))</f>
        <v/>
      </c>
    </row>
    <row r="544">
      <c r="A544" s="40" t="n">
        <v>34578</v>
      </c>
      <c r="B544" s="21">
        <f>IF(VLOOKUP(A544,'Database Rates'!$A:$E,5,FALSE)=0,#N/A,VLOOKUP(A544,'Database Rates'!$A:$E,5,FALSE))</f>
        <v/>
      </c>
    </row>
    <row r="545">
      <c r="A545" s="40" t="n">
        <v>34608</v>
      </c>
      <c r="B545" s="21">
        <f>IF(VLOOKUP(A545,'Database Rates'!$A:$E,5,FALSE)=0,#N/A,VLOOKUP(A545,'Database Rates'!$A:$E,5,FALSE))</f>
        <v/>
      </c>
    </row>
    <row r="546">
      <c r="A546" s="40" t="n">
        <v>34639</v>
      </c>
      <c r="B546" s="21">
        <f>IF(VLOOKUP(A546,'Database Rates'!$A:$E,5,FALSE)=0,#N/A,VLOOKUP(A546,'Database Rates'!$A:$E,5,FALSE))</f>
        <v/>
      </c>
    </row>
    <row r="547">
      <c r="A547" s="40" t="n">
        <v>34669</v>
      </c>
      <c r="B547" s="21">
        <f>IF(VLOOKUP(A547,'Database Rates'!$A:$E,5,FALSE)=0,#N/A,VLOOKUP(A547,'Database Rates'!$A:$E,5,FALSE))</f>
        <v/>
      </c>
    </row>
    <row r="548">
      <c r="A548" s="40" t="n">
        <v>34700</v>
      </c>
      <c r="B548" s="21">
        <f>IF(VLOOKUP(A548,'Database Rates'!$A:$E,5,FALSE)=0,#N/A,VLOOKUP(A548,'Database Rates'!$A:$E,5,FALSE))</f>
        <v/>
      </c>
    </row>
    <row r="549">
      <c r="A549" s="40" t="n">
        <v>34731</v>
      </c>
      <c r="B549" s="21">
        <f>IF(VLOOKUP(A549,'Database Rates'!$A:$E,5,FALSE)=0,#N/A,VLOOKUP(A549,'Database Rates'!$A:$E,5,FALSE))</f>
        <v/>
      </c>
    </row>
    <row r="550">
      <c r="A550" s="40" t="n">
        <v>34759</v>
      </c>
      <c r="B550" s="21">
        <f>IF(VLOOKUP(A550,'Database Rates'!$A:$E,5,FALSE)=0,#N/A,VLOOKUP(A550,'Database Rates'!$A:$E,5,FALSE))</f>
        <v/>
      </c>
    </row>
    <row r="551">
      <c r="A551" s="40" t="n">
        <v>34790</v>
      </c>
      <c r="B551" s="21">
        <f>IF(VLOOKUP(A551,'Database Rates'!$A:$E,5,FALSE)=0,#N/A,VLOOKUP(A551,'Database Rates'!$A:$E,5,FALSE))</f>
        <v/>
      </c>
    </row>
    <row r="552">
      <c r="A552" s="40" t="n">
        <v>34820</v>
      </c>
      <c r="B552" s="21">
        <f>IF(VLOOKUP(A552,'Database Rates'!$A:$E,5,FALSE)=0,#N/A,VLOOKUP(A552,'Database Rates'!$A:$E,5,FALSE))</f>
        <v/>
      </c>
    </row>
    <row r="553">
      <c r="A553" s="40" t="n">
        <v>34851</v>
      </c>
      <c r="B553" s="21">
        <f>IF(VLOOKUP(A553,'Database Rates'!$A:$E,5,FALSE)=0,#N/A,VLOOKUP(A553,'Database Rates'!$A:$E,5,FALSE))</f>
        <v/>
      </c>
    </row>
    <row r="554">
      <c r="A554" s="40" t="n">
        <v>34881</v>
      </c>
      <c r="B554" s="21">
        <f>IF(VLOOKUP(A554,'Database Rates'!$A:$E,5,FALSE)=0,#N/A,VLOOKUP(A554,'Database Rates'!$A:$E,5,FALSE))</f>
        <v/>
      </c>
    </row>
    <row r="555">
      <c r="A555" s="40" t="n">
        <v>34912</v>
      </c>
      <c r="B555" s="21">
        <f>IF(VLOOKUP(A555,'Database Rates'!$A:$E,5,FALSE)=0,#N/A,VLOOKUP(A555,'Database Rates'!$A:$E,5,FALSE))</f>
        <v/>
      </c>
    </row>
    <row r="556">
      <c r="A556" s="40" t="n">
        <v>34943</v>
      </c>
      <c r="B556" s="21">
        <f>IF(VLOOKUP(A556,'Database Rates'!$A:$E,5,FALSE)=0,#N/A,VLOOKUP(A556,'Database Rates'!$A:$E,5,FALSE))</f>
        <v/>
      </c>
    </row>
    <row r="557">
      <c r="A557" s="40" t="n">
        <v>34973</v>
      </c>
      <c r="B557" s="21">
        <f>IF(VLOOKUP(A557,'Database Rates'!$A:$E,5,FALSE)=0,#N/A,VLOOKUP(A557,'Database Rates'!$A:$E,5,FALSE))</f>
        <v/>
      </c>
    </row>
    <row r="558">
      <c r="A558" s="40" t="n">
        <v>35004</v>
      </c>
      <c r="B558" s="21">
        <f>IF(VLOOKUP(A558,'Database Rates'!$A:$E,5,FALSE)=0,#N/A,VLOOKUP(A558,'Database Rates'!$A:$E,5,FALSE))</f>
        <v/>
      </c>
    </row>
    <row r="559">
      <c r="A559" s="40" t="n">
        <v>35034</v>
      </c>
      <c r="B559" s="21">
        <f>IF(VLOOKUP(A559,'Database Rates'!$A:$E,5,FALSE)=0,#N/A,VLOOKUP(A559,'Database Rates'!$A:$E,5,FALSE))</f>
        <v/>
      </c>
    </row>
    <row r="560">
      <c r="A560" s="40" t="n">
        <v>35065</v>
      </c>
      <c r="B560" s="21">
        <f>IF(VLOOKUP(A560,'Database Rates'!$A:$E,5,FALSE)=0,#N/A,VLOOKUP(A560,'Database Rates'!$A:$E,5,FALSE))</f>
        <v/>
      </c>
    </row>
    <row r="561">
      <c r="A561" s="40" t="n">
        <v>35096</v>
      </c>
      <c r="B561" s="21">
        <f>IF(VLOOKUP(A561,'Database Rates'!$A:$E,5,FALSE)=0,#N/A,VLOOKUP(A561,'Database Rates'!$A:$E,5,FALSE))</f>
        <v/>
      </c>
    </row>
    <row r="562">
      <c r="A562" s="40" t="n">
        <v>35125</v>
      </c>
      <c r="B562" s="21">
        <f>IF(VLOOKUP(A562,'Database Rates'!$A:$E,5,FALSE)=0,#N/A,VLOOKUP(A562,'Database Rates'!$A:$E,5,FALSE))</f>
        <v/>
      </c>
    </row>
    <row r="563">
      <c r="A563" s="40" t="n">
        <v>35156</v>
      </c>
      <c r="B563" s="21">
        <f>IF(VLOOKUP(A563,'Database Rates'!$A:$E,5,FALSE)=0,#N/A,VLOOKUP(A563,'Database Rates'!$A:$E,5,FALSE))</f>
        <v/>
      </c>
    </row>
    <row r="564">
      <c r="A564" s="40" t="n">
        <v>35186</v>
      </c>
      <c r="B564" s="21">
        <f>IF(VLOOKUP(A564,'Database Rates'!$A:$E,5,FALSE)=0,#N/A,VLOOKUP(A564,'Database Rates'!$A:$E,5,FALSE))</f>
        <v/>
      </c>
    </row>
    <row r="565">
      <c r="A565" s="40" t="n">
        <v>35217</v>
      </c>
      <c r="B565" s="21">
        <f>IF(VLOOKUP(A565,'Database Rates'!$A:$E,5,FALSE)=0,#N/A,VLOOKUP(A565,'Database Rates'!$A:$E,5,FALSE))</f>
        <v/>
      </c>
    </row>
    <row r="566">
      <c r="A566" s="40" t="n">
        <v>35247</v>
      </c>
      <c r="B566" s="21">
        <f>IF(VLOOKUP(A566,'Database Rates'!$A:$E,5,FALSE)=0,#N/A,VLOOKUP(A566,'Database Rates'!$A:$E,5,FALSE))</f>
        <v/>
      </c>
    </row>
    <row r="567">
      <c r="A567" s="40" t="n">
        <v>35278</v>
      </c>
      <c r="B567" s="21">
        <f>IF(VLOOKUP(A567,'Database Rates'!$A:$E,5,FALSE)=0,#N/A,VLOOKUP(A567,'Database Rates'!$A:$E,5,FALSE))</f>
        <v/>
      </c>
    </row>
    <row r="568">
      <c r="A568" s="40" t="n">
        <v>35309</v>
      </c>
      <c r="B568" s="21">
        <f>IF(VLOOKUP(A568,'Database Rates'!$A:$E,5,FALSE)=0,#N/A,VLOOKUP(A568,'Database Rates'!$A:$E,5,FALSE))</f>
        <v/>
      </c>
    </row>
    <row r="569">
      <c r="A569" s="40" t="n">
        <v>35339</v>
      </c>
      <c r="B569" s="21">
        <f>IF(VLOOKUP(A569,'Database Rates'!$A:$E,5,FALSE)=0,#N/A,VLOOKUP(A569,'Database Rates'!$A:$E,5,FALSE))</f>
        <v/>
      </c>
    </row>
    <row r="570">
      <c r="A570" s="40" t="n">
        <v>35370</v>
      </c>
      <c r="B570" s="21">
        <f>IF(VLOOKUP(A570,'Database Rates'!$A:$E,5,FALSE)=0,#N/A,VLOOKUP(A570,'Database Rates'!$A:$E,5,FALSE))</f>
        <v/>
      </c>
    </row>
    <row r="571">
      <c r="A571" s="40" t="n">
        <v>35400</v>
      </c>
      <c r="B571" s="21">
        <f>IF(VLOOKUP(A571,'Database Rates'!$A:$E,5,FALSE)=0,#N/A,VLOOKUP(A571,'Database Rates'!$A:$E,5,FALSE))</f>
        <v/>
      </c>
    </row>
    <row r="572">
      <c r="A572" s="40" t="n">
        <v>35431</v>
      </c>
      <c r="B572" s="21">
        <f>IF(VLOOKUP(A572,'Database Rates'!$A:$E,5,FALSE)=0,#N/A,VLOOKUP(A572,'Database Rates'!$A:$E,5,FALSE))</f>
        <v/>
      </c>
    </row>
    <row r="573">
      <c r="A573" s="40" t="n">
        <v>35462</v>
      </c>
      <c r="B573" s="21">
        <f>IF(VLOOKUP(A573,'Database Rates'!$A:$E,5,FALSE)=0,#N/A,VLOOKUP(A573,'Database Rates'!$A:$E,5,FALSE))</f>
        <v/>
      </c>
    </row>
    <row r="574">
      <c r="A574" s="40" t="n">
        <v>35490</v>
      </c>
      <c r="B574" s="21">
        <f>IF(VLOOKUP(A574,'Database Rates'!$A:$E,5,FALSE)=0,#N/A,VLOOKUP(A574,'Database Rates'!$A:$E,5,FALSE))</f>
        <v/>
      </c>
    </row>
    <row r="575">
      <c r="A575" s="40" t="n">
        <v>35521</v>
      </c>
      <c r="B575" s="21">
        <f>IF(VLOOKUP(A575,'Database Rates'!$A:$E,5,FALSE)=0,#N/A,VLOOKUP(A575,'Database Rates'!$A:$E,5,FALSE))</f>
        <v/>
      </c>
    </row>
    <row r="576">
      <c r="A576" s="40" t="n">
        <v>35551</v>
      </c>
      <c r="B576" s="21">
        <f>IF(VLOOKUP(A576,'Database Rates'!$A:$E,5,FALSE)=0,#N/A,VLOOKUP(A576,'Database Rates'!$A:$E,5,FALSE))</f>
        <v/>
      </c>
    </row>
    <row r="577">
      <c r="A577" s="40" t="n">
        <v>35582</v>
      </c>
      <c r="B577" s="21">
        <f>IF(VLOOKUP(A577,'Database Rates'!$A:$E,5,FALSE)=0,#N/A,VLOOKUP(A577,'Database Rates'!$A:$E,5,FALSE))</f>
        <v/>
      </c>
    </row>
    <row r="578">
      <c r="A578" s="40" t="n">
        <v>35612</v>
      </c>
      <c r="B578" s="21">
        <f>IF(VLOOKUP(A578,'Database Rates'!$A:$E,5,FALSE)=0,#N/A,VLOOKUP(A578,'Database Rates'!$A:$E,5,FALSE))</f>
        <v/>
      </c>
    </row>
    <row r="579">
      <c r="A579" s="40" t="n">
        <v>35643</v>
      </c>
      <c r="B579" s="21">
        <f>IF(VLOOKUP(A579,'Database Rates'!$A:$E,5,FALSE)=0,#N/A,VLOOKUP(A579,'Database Rates'!$A:$E,5,FALSE))</f>
        <v/>
      </c>
    </row>
    <row r="580">
      <c r="A580" s="40" t="n">
        <v>35674</v>
      </c>
      <c r="B580" s="21">
        <f>IF(VLOOKUP(A580,'Database Rates'!$A:$E,5,FALSE)=0,#N/A,VLOOKUP(A580,'Database Rates'!$A:$E,5,FALSE))</f>
        <v/>
      </c>
    </row>
    <row r="581">
      <c r="A581" s="40" t="n">
        <v>35704</v>
      </c>
      <c r="B581" s="21">
        <f>IF(VLOOKUP(A581,'Database Rates'!$A:$E,5,FALSE)=0,#N/A,VLOOKUP(A581,'Database Rates'!$A:$E,5,FALSE))</f>
        <v/>
      </c>
    </row>
    <row r="582">
      <c r="A582" s="40" t="n">
        <v>35735</v>
      </c>
      <c r="B582" s="21">
        <f>IF(VLOOKUP(A582,'Database Rates'!$A:$E,5,FALSE)=0,#N/A,VLOOKUP(A582,'Database Rates'!$A:$E,5,FALSE))</f>
        <v/>
      </c>
    </row>
    <row r="583">
      <c r="A583" s="40" t="n">
        <v>35765</v>
      </c>
      <c r="B583" s="21">
        <f>IF(VLOOKUP(A583,'Database Rates'!$A:$E,5,FALSE)=0,#N/A,VLOOKUP(A583,'Database Rates'!$A:$E,5,FALSE))</f>
        <v/>
      </c>
    </row>
    <row r="584">
      <c r="A584" s="40" t="n">
        <v>35796</v>
      </c>
      <c r="B584" s="21">
        <f>IF(VLOOKUP(A584,'Database Rates'!$A:$E,5,FALSE)=0,#N/A,VLOOKUP(A584,'Database Rates'!$A:$E,5,FALSE))</f>
        <v/>
      </c>
    </row>
    <row r="585">
      <c r="A585" s="40" t="n">
        <v>35827</v>
      </c>
      <c r="B585" s="21">
        <f>IF(VLOOKUP(A585,'Database Rates'!$A:$E,5,FALSE)=0,#N/A,VLOOKUP(A585,'Database Rates'!$A:$E,5,FALSE))</f>
        <v/>
      </c>
    </row>
    <row r="586">
      <c r="A586" s="40" t="n">
        <v>35855</v>
      </c>
      <c r="B586" s="21">
        <f>IF(VLOOKUP(A586,'Database Rates'!$A:$E,5,FALSE)=0,#N/A,VLOOKUP(A586,'Database Rates'!$A:$E,5,FALSE))</f>
        <v/>
      </c>
    </row>
    <row r="587">
      <c r="A587" s="40" t="n">
        <v>35886</v>
      </c>
      <c r="B587" s="21">
        <f>IF(VLOOKUP(A587,'Database Rates'!$A:$E,5,FALSE)=0,#N/A,VLOOKUP(A587,'Database Rates'!$A:$E,5,FALSE))</f>
        <v/>
      </c>
    </row>
    <row r="588">
      <c r="A588" s="40" t="n">
        <v>35916</v>
      </c>
      <c r="B588" s="21">
        <f>IF(VLOOKUP(A588,'Database Rates'!$A:$E,5,FALSE)=0,#N/A,VLOOKUP(A588,'Database Rates'!$A:$E,5,FALSE))</f>
        <v/>
      </c>
    </row>
    <row r="589">
      <c r="A589" s="40" t="n">
        <v>35947</v>
      </c>
      <c r="B589" s="21">
        <f>IF(VLOOKUP(A589,'Database Rates'!$A:$E,5,FALSE)=0,#N/A,VLOOKUP(A589,'Database Rates'!$A:$E,5,FALSE))</f>
        <v/>
      </c>
    </row>
    <row r="590">
      <c r="A590" s="40" t="n">
        <v>35977</v>
      </c>
      <c r="B590" s="21">
        <f>IF(VLOOKUP(A590,'Database Rates'!$A:$E,5,FALSE)=0,#N/A,VLOOKUP(A590,'Database Rates'!$A:$E,5,FALSE))</f>
        <v/>
      </c>
    </row>
    <row r="591">
      <c r="A591" s="40" t="n">
        <v>36008</v>
      </c>
      <c r="B591" s="21">
        <f>IF(VLOOKUP(A591,'Database Rates'!$A:$E,5,FALSE)=0,#N/A,VLOOKUP(A591,'Database Rates'!$A:$E,5,FALSE))</f>
        <v/>
      </c>
    </row>
    <row r="592">
      <c r="A592" s="40" t="n">
        <v>36039</v>
      </c>
      <c r="B592" s="21">
        <f>IF(VLOOKUP(A592,'Database Rates'!$A:$E,5,FALSE)=0,#N/A,VLOOKUP(A592,'Database Rates'!$A:$E,5,FALSE))</f>
        <v/>
      </c>
    </row>
    <row r="593">
      <c r="A593" s="40" t="n">
        <v>36069</v>
      </c>
      <c r="B593" s="21">
        <f>IF(VLOOKUP(A593,'Database Rates'!$A:$E,5,FALSE)=0,#N/A,VLOOKUP(A593,'Database Rates'!$A:$E,5,FALSE))</f>
        <v/>
      </c>
    </row>
    <row r="594">
      <c r="A594" s="40" t="n">
        <v>36100</v>
      </c>
      <c r="B594" s="21">
        <f>IF(VLOOKUP(A594,'Database Rates'!$A:$E,5,FALSE)=0,#N/A,VLOOKUP(A594,'Database Rates'!$A:$E,5,FALSE))</f>
        <v/>
      </c>
    </row>
    <row r="595">
      <c r="A595" s="40" t="n">
        <v>36130</v>
      </c>
      <c r="B595" s="21">
        <f>IF(VLOOKUP(A595,'Database Rates'!$A:$E,5,FALSE)=0,#N/A,VLOOKUP(A595,'Database Rates'!$A:$E,5,FALSE))</f>
        <v/>
      </c>
    </row>
    <row r="596">
      <c r="A596" s="40" t="n">
        <v>36161</v>
      </c>
      <c r="B596" s="21">
        <f>IF(VLOOKUP(A596,'Database Rates'!$A:$E,5,FALSE)=0,#N/A,VLOOKUP(A596,'Database Rates'!$A:$E,5,FALSE))</f>
        <v/>
      </c>
    </row>
    <row r="597">
      <c r="A597" s="40" t="n">
        <v>36192</v>
      </c>
      <c r="B597" s="21">
        <f>IF(VLOOKUP(A597,'Database Rates'!$A:$E,5,FALSE)=0,#N/A,VLOOKUP(A597,'Database Rates'!$A:$E,5,FALSE))</f>
        <v/>
      </c>
    </row>
    <row r="598">
      <c r="A598" s="40" t="n">
        <v>36220</v>
      </c>
      <c r="B598" s="21">
        <f>IF(VLOOKUP(A598,'Database Rates'!$A:$E,5,FALSE)=0,#N/A,VLOOKUP(A598,'Database Rates'!$A:$E,5,FALSE))</f>
        <v/>
      </c>
    </row>
    <row r="599">
      <c r="A599" s="40" t="n">
        <v>36251</v>
      </c>
      <c r="B599" s="21">
        <f>IF(VLOOKUP(A599,'Database Rates'!$A:$E,5,FALSE)=0,#N/A,VLOOKUP(A599,'Database Rates'!$A:$E,5,FALSE))</f>
        <v/>
      </c>
    </row>
    <row r="600">
      <c r="A600" s="40" t="n">
        <v>36281</v>
      </c>
      <c r="B600" s="21">
        <f>IF(VLOOKUP(A600,'Database Rates'!$A:$E,5,FALSE)=0,#N/A,VLOOKUP(A600,'Database Rates'!$A:$E,5,FALSE))</f>
        <v/>
      </c>
    </row>
    <row r="601">
      <c r="A601" s="40" t="n">
        <v>36312</v>
      </c>
      <c r="B601" s="21">
        <f>IF(VLOOKUP(A601,'Database Rates'!$A:$E,5,FALSE)=0,#N/A,VLOOKUP(A601,'Database Rates'!$A:$E,5,FALSE))</f>
        <v/>
      </c>
    </row>
    <row r="602">
      <c r="A602" s="40" t="n">
        <v>36342</v>
      </c>
      <c r="B602" s="21">
        <f>IF(VLOOKUP(A602,'Database Rates'!$A:$E,5,FALSE)=0,#N/A,VLOOKUP(A602,'Database Rates'!$A:$E,5,FALSE))</f>
        <v/>
      </c>
    </row>
    <row r="603">
      <c r="A603" s="40" t="n">
        <v>36373</v>
      </c>
      <c r="B603" s="21">
        <f>IF(VLOOKUP(A603,'Database Rates'!$A:$E,5,FALSE)=0,#N/A,VLOOKUP(A603,'Database Rates'!$A:$E,5,FALSE))</f>
        <v/>
      </c>
    </row>
    <row r="604">
      <c r="A604" s="40" t="n">
        <v>36404</v>
      </c>
      <c r="B604" s="21">
        <f>IF(VLOOKUP(A604,'Database Rates'!$A:$E,5,FALSE)=0,#N/A,VLOOKUP(A604,'Database Rates'!$A:$E,5,FALSE))</f>
        <v/>
      </c>
    </row>
    <row r="605">
      <c r="A605" s="40" t="n">
        <v>36434</v>
      </c>
      <c r="B605" s="21">
        <f>IF(VLOOKUP(A605,'Database Rates'!$A:$E,5,FALSE)=0,#N/A,VLOOKUP(A605,'Database Rates'!$A:$E,5,FALSE))</f>
        <v/>
      </c>
    </row>
    <row r="606">
      <c r="A606" s="40" t="n">
        <v>36465</v>
      </c>
      <c r="B606" s="21">
        <f>IF(VLOOKUP(A606,'Database Rates'!$A:$E,5,FALSE)=0,#N/A,VLOOKUP(A606,'Database Rates'!$A:$E,5,FALSE))</f>
        <v/>
      </c>
    </row>
    <row r="607">
      <c r="A607" s="40" t="n">
        <v>36495</v>
      </c>
      <c r="B607" s="21">
        <f>IF(VLOOKUP(A607,'Database Rates'!$A:$E,5,FALSE)=0,#N/A,VLOOKUP(A607,'Database Rates'!$A:$E,5,FALSE))</f>
        <v/>
      </c>
    </row>
    <row r="608">
      <c r="A608" s="40" t="n">
        <v>36526</v>
      </c>
      <c r="B608" s="21">
        <f>IF(VLOOKUP(A608,'Database Rates'!$A:$E,5,FALSE)=0,#N/A,VLOOKUP(A608,'Database Rates'!$A:$E,5,FALSE))</f>
        <v/>
      </c>
    </row>
    <row r="609">
      <c r="A609" s="40" t="n">
        <v>36557</v>
      </c>
      <c r="B609" s="21">
        <f>IF(VLOOKUP(A609,'Database Rates'!$A:$E,5,FALSE)=0,#N/A,VLOOKUP(A609,'Database Rates'!$A:$E,5,FALSE))</f>
        <v/>
      </c>
    </row>
    <row r="610">
      <c r="A610" s="40" t="n">
        <v>36586</v>
      </c>
      <c r="B610" s="21">
        <f>IF(VLOOKUP(A610,'Database Rates'!$A:$E,5,FALSE)=0,#N/A,VLOOKUP(A610,'Database Rates'!$A:$E,5,FALSE))</f>
        <v/>
      </c>
    </row>
    <row r="611">
      <c r="A611" s="40" t="n">
        <v>36617</v>
      </c>
      <c r="B611" s="21">
        <f>IF(VLOOKUP(A611,'Database Rates'!$A:$E,5,FALSE)=0,#N/A,VLOOKUP(A611,'Database Rates'!$A:$E,5,FALSE))</f>
        <v/>
      </c>
    </row>
    <row r="612">
      <c r="A612" s="40" t="n">
        <v>36647</v>
      </c>
      <c r="B612" s="21">
        <f>IF(VLOOKUP(A612,'Database Rates'!$A:$E,5,FALSE)=0,#N/A,VLOOKUP(A612,'Database Rates'!$A:$E,5,FALSE))</f>
        <v/>
      </c>
    </row>
    <row r="613">
      <c r="A613" s="40" t="n">
        <v>36678</v>
      </c>
      <c r="B613" s="21">
        <f>IF(VLOOKUP(A613,'Database Rates'!$A:$E,5,FALSE)=0,#N/A,VLOOKUP(A613,'Database Rates'!$A:$E,5,FALSE))</f>
        <v/>
      </c>
    </row>
    <row r="614">
      <c r="A614" s="40" t="n">
        <v>36708</v>
      </c>
      <c r="B614" s="21">
        <f>IF(VLOOKUP(A614,'Database Rates'!$A:$E,5,FALSE)=0,#N/A,VLOOKUP(A614,'Database Rates'!$A:$E,5,FALSE))</f>
        <v/>
      </c>
    </row>
    <row r="615">
      <c r="A615" s="40" t="n">
        <v>36739</v>
      </c>
      <c r="B615" s="21">
        <f>IF(VLOOKUP(A615,'Database Rates'!$A:$E,5,FALSE)=0,#N/A,VLOOKUP(A615,'Database Rates'!$A:$E,5,FALSE))</f>
        <v/>
      </c>
    </row>
    <row r="616">
      <c r="A616" s="40" t="n">
        <v>36770</v>
      </c>
      <c r="B616" s="21">
        <f>IF(VLOOKUP(A616,'Database Rates'!$A:$E,5,FALSE)=0,#N/A,VLOOKUP(A616,'Database Rates'!$A:$E,5,FALSE))</f>
        <v/>
      </c>
    </row>
    <row r="617">
      <c r="A617" s="40" t="n">
        <v>36800</v>
      </c>
      <c r="B617" s="21">
        <f>IF(VLOOKUP(A617,'Database Rates'!$A:$E,5,FALSE)=0,#N/A,VLOOKUP(A617,'Database Rates'!$A:$E,5,FALSE))</f>
        <v/>
      </c>
    </row>
    <row r="618">
      <c r="A618" s="40" t="n">
        <v>36831</v>
      </c>
      <c r="B618" s="21">
        <f>IF(VLOOKUP(A618,'Database Rates'!$A:$E,5,FALSE)=0,#N/A,VLOOKUP(A618,'Database Rates'!$A:$E,5,FALSE))</f>
        <v/>
      </c>
    </row>
    <row r="619">
      <c r="A619" s="40" t="n">
        <v>36861</v>
      </c>
      <c r="B619" s="21">
        <f>IF(VLOOKUP(A619,'Database Rates'!$A:$E,5,FALSE)=0,#N/A,VLOOKUP(A619,'Database Rates'!$A:$E,5,FALSE))</f>
        <v/>
      </c>
    </row>
    <row r="620">
      <c r="A620" s="40" t="n">
        <v>36892</v>
      </c>
      <c r="B620" s="21">
        <f>IF(VLOOKUP(A620,'Database Rates'!$A:$E,5,FALSE)=0,#N/A,VLOOKUP(A620,'Database Rates'!$A:$E,5,FALSE))</f>
        <v/>
      </c>
    </row>
    <row r="621">
      <c r="A621" s="40" t="n">
        <v>36923</v>
      </c>
      <c r="B621" s="21">
        <f>IF(VLOOKUP(A621,'Database Rates'!$A:$E,5,FALSE)=0,#N/A,VLOOKUP(A621,'Database Rates'!$A:$E,5,FALSE))</f>
        <v/>
      </c>
    </row>
    <row r="622">
      <c r="A622" s="40" t="n">
        <v>36951</v>
      </c>
      <c r="B622" s="21">
        <f>IF(VLOOKUP(A622,'Database Rates'!$A:$E,5,FALSE)=0,#N/A,VLOOKUP(A622,'Database Rates'!$A:$E,5,FALSE))</f>
        <v/>
      </c>
    </row>
    <row r="623">
      <c r="A623" s="40" t="n">
        <v>36982</v>
      </c>
      <c r="B623" s="21">
        <f>IF(VLOOKUP(A623,'Database Rates'!$A:$E,5,FALSE)=0,#N/A,VLOOKUP(A623,'Database Rates'!$A:$E,5,FALSE))</f>
        <v/>
      </c>
    </row>
    <row r="624">
      <c r="A624" s="40" t="n">
        <v>37012</v>
      </c>
      <c r="B624" s="21">
        <f>IF(VLOOKUP(A624,'Database Rates'!$A:$E,5,FALSE)=0,#N/A,VLOOKUP(A624,'Database Rates'!$A:$E,5,FALSE))</f>
        <v/>
      </c>
    </row>
    <row r="625">
      <c r="A625" s="40" t="n">
        <v>37043</v>
      </c>
      <c r="B625" s="21">
        <f>IF(VLOOKUP(A625,'Database Rates'!$A:$E,5,FALSE)=0,#N/A,VLOOKUP(A625,'Database Rates'!$A:$E,5,FALSE))</f>
        <v/>
      </c>
    </row>
    <row r="626">
      <c r="A626" s="40" t="n">
        <v>37073</v>
      </c>
      <c r="B626" s="21">
        <f>IF(VLOOKUP(A626,'Database Rates'!$A:$E,5,FALSE)=0,#N/A,VLOOKUP(A626,'Database Rates'!$A:$E,5,FALSE))</f>
        <v/>
      </c>
    </row>
    <row r="627">
      <c r="A627" s="40" t="n">
        <v>37104</v>
      </c>
      <c r="B627" s="21">
        <f>IF(VLOOKUP(A627,'Database Rates'!$A:$E,5,FALSE)=0,#N/A,VLOOKUP(A627,'Database Rates'!$A:$E,5,FALSE))</f>
        <v/>
      </c>
    </row>
    <row r="628">
      <c r="A628" s="40" t="n">
        <v>37135</v>
      </c>
      <c r="B628" s="21">
        <f>IF(VLOOKUP(A628,'Database Rates'!$A:$E,5,FALSE)=0,#N/A,VLOOKUP(A628,'Database Rates'!$A:$E,5,FALSE))</f>
        <v/>
      </c>
    </row>
    <row r="629">
      <c r="A629" s="40" t="n">
        <v>37165</v>
      </c>
      <c r="B629" s="21">
        <f>IF(VLOOKUP(A629,'Database Rates'!$A:$E,5,FALSE)=0,#N/A,VLOOKUP(A629,'Database Rates'!$A:$E,5,FALSE))</f>
        <v/>
      </c>
    </row>
    <row r="630">
      <c r="A630" s="40" t="n">
        <v>37196</v>
      </c>
      <c r="B630" s="21">
        <f>IF(VLOOKUP(A630,'Database Rates'!$A:$E,5,FALSE)=0,#N/A,VLOOKUP(A630,'Database Rates'!$A:$E,5,FALSE))</f>
        <v/>
      </c>
    </row>
    <row r="631">
      <c r="A631" s="40" t="n">
        <v>37226</v>
      </c>
      <c r="B631" s="21">
        <f>IF(VLOOKUP(A631,'Database Rates'!$A:$E,5,FALSE)=0,#N/A,VLOOKUP(A631,'Database Rates'!$A:$E,5,FALSE))</f>
        <v/>
      </c>
    </row>
    <row r="632">
      <c r="A632" s="40" t="n">
        <v>37257</v>
      </c>
      <c r="B632" s="21">
        <f>IF(VLOOKUP(A632,'Database Rates'!$A:$E,5,FALSE)=0,#N/A,VLOOKUP(A632,'Database Rates'!$A:$E,5,FALSE))</f>
        <v/>
      </c>
    </row>
    <row r="633">
      <c r="A633" s="40" t="n">
        <v>37288</v>
      </c>
      <c r="B633" s="21">
        <f>IF(VLOOKUP(A633,'Database Rates'!$A:$E,5,FALSE)=0,#N/A,VLOOKUP(A633,'Database Rates'!$A:$E,5,FALSE))</f>
        <v/>
      </c>
    </row>
    <row r="634">
      <c r="A634" s="40" t="n">
        <v>37316</v>
      </c>
      <c r="B634" s="21">
        <f>IF(VLOOKUP(A634,'Database Rates'!$A:$E,5,FALSE)=0,#N/A,VLOOKUP(A634,'Database Rates'!$A:$E,5,FALSE))</f>
        <v/>
      </c>
    </row>
    <row r="635">
      <c r="A635" s="40" t="n">
        <v>37347</v>
      </c>
      <c r="B635" s="21">
        <f>IF(VLOOKUP(A635,'Database Rates'!$A:$E,5,FALSE)=0,#N/A,VLOOKUP(A635,'Database Rates'!$A:$E,5,FALSE))</f>
        <v/>
      </c>
    </row>
    <row r="636">
      <c r="A636" s="40" t="n">
        <v>37377</v>
      </c>
      <c r="B636" s="21">
        <f>IF(VLOOKUP(A636,'Database Rates'!$A:$E,5,FALSE)=0,#N/A,VLOOKUP(A636,'Database Rates'!$A:$E,5,FALSE))</f>
        <v/>
      </c>
    </row>
    <row r="637">
      <c r="A637" s="40" t="n">
        <v>37408</v>
      </c>
      <c r="B637" s="21">
        <f>IF(VLOOKUP(A637,'Database Rates'!$A:$E,5,FALSE)=0,#N/A,VLOOKUP(A637,'Database Rates'!$A:$E,5,FALSE))</f>
        <v/>
      </c>
    </row>
    <row r="638">
      <c r="A638" s="40" t="n">
        <v>37438</v>
      </c>
      <c r="B638" s="21">
        <f>IF(VLOOKUP(A638,'Database Rates'!$A:$E,5,FALSE)=0,#N/A,VLOOKUP(A638,'Database Rates'!$A:$E,5,FALSE))</f>
        <v/>
      </c>
    </row>
    <row r="639">
      <c r="A639" s="40" t="n">
        <v>37469</v>
      </c>
      <c r="B639" s="21">
        <f>IF(VLOOKUP(A639,'Database Rates'!$A:$E,5,FALSE)=0,#N/A,VLOOKUP(A639,'Database Rates'!$A:$E,5,FALSE))</f>
        <v/>
      </c>
    </row>
    <row r="640">
      <c r="A640" s="40" t="n">
        <v>37500</v>
      </c>
      <c r="B640" s="21">
        <f>IF(VLOOKUP(A640,'Database Rates'!$A:$E,5,FALSE)=0,#N/A,VLOOKUP(A640,'Database Rates'!$A:$E,5,FALSE))</f>
        <v/>
      </c>
    </row>
    <row r="641">
      <c r="A641" s="40" t="n">
        <v>37530</v>
      </c>
      <c r="B641" s="21">
        <f>IF(VLOOKUP(A641,'Database Rates'!$A:$E,5,FALSE)=0,#N/A,VLOOKUP(A641,'Database Rates'!$A:$E,5,FALSE))</f>
        <v/>
      </c>
    </row>
    <row r="642">
      <c r="A642" s="40" t="n">
        <v>37561</v>
      </c>
      <c r="B642" s="21">
        <f>IF(VLOOKUP(A642,'Database Rates'!$A:$E,5,FALSE)=0,#N/A,VLOOKUP(A642,'Database Rates'!$A:$E,5,FALSE))</f>
        <v/>
      </c>
    </row>
    <row r="643">
      <c r="A643" s="40" t="n">
        <v>37591</v>
      </c>
      <c r="B643" s="21">
        <f>IF(VLOOKUP(A643,'Database Rates'!$A:$E,5,FALSE)=0,#N/A,VLOOKUP(A643,'Database Rates'!$A:$E,5,FALSE))</f>
        <v/>
      </c>
    </row>
    <row r="644">
      <c r="A644" s="40" t="n">
        <v>37622</v>
      </c>
      <c r="B644" s="21">
        <f>IF(VLOOKUP(A644,'Database Rates'!$A:$E,5,FALSE)=0,#N/A,VLOOKUP(A644,'Database Rates'!$A:$E,5,FALSE))</f>
        <v/>
      </c>
    </row>
    <row r="645">
      <c r="A645" s="40" t="n">
        <v>37653</v>
      </c>
      <c r="B645" s="21">
        <f>IF(VLOOKUP(A645,'Database Rates'!$A:$E,5,FALSE)=0,#N/A,VLOOKUP(A645,'Database Rates'!$A:$E,5,FALSE))</f>
        <v/>
      </c>
    </row>
    <row r="646">
      <c r="A646" s="40" t="n">
        <v>37681</v>
      </c>
      <c r="B646" s="21">
        <f>IF(VLOOKUP(A646,'Database Rates'!$A:$E,5,FALSE)=0,#N/A,VLOOKUP(A646,'Database Rates'!$A:$E,5,FALSE))</f>
        <v/>
      </c>
    </row>
    <row r="647">
      <c r="A647" s="40" t="n">
        <v>37712</v>
      </c>
      <c r="B647" s="21">
        <f>IF(VLOOKUP(A647,'Database Rates'!$A:$E,5,FALSE)=0,#N/A,VLOOKUP(A647,'Database Rates'!$A:$E,5,FALSE))</f>
        <v/>
      </c>
    </row>
    <row r="648">
      <c r="A648" s="40" t="n">
        <v>37742</v>
      </c>
      <c r="B648" s="21">
        <f>IF(VLOOKUP(A648,'Database Rates'!$A:$E,5,FALSE)=0,#N/A,VLOOKUP(A648,'Database Rates'!$A:$E,5,FALSE))</f>
        <v/>
      </c>
    </row>
    <row r="649">
      <c r="A649" s="40" t="n">
        <v>37773</v>
      </c>
      <c r="B649" s="21">
        <f>IF(VLOOKUP(A649,'Database Rates'!$A:$E,5,FALSE)=0,#N/A,VLOOKUP(A649,'Database Rates'!$A:$E,5,FALSE))</f>
        <v/>
      </c>
    </row>
    <row r="650">
      <c r="A650" s="40" t="n">
        <v>37803</v>
      </c>
      <c r="B650" s="21">
        <f>IF(VLOOKUP(A650,'Database Rates'!$A:$E,5,FALSE)=0,#N/A,VLOOKUP(A650,'Database Rates'!$A:$E,5,FALSE))</f>
        <v/>
      </c>
    </row>
    <row r="651">
      <c r="A651" s="40" t="n">
        <v>37834</v>
      </c>
      <c r="B651" s="21">
        <f>IF(VLOOKUP(A651,'Database Rates'!$A:$E,5,FALSE)=0,#N/A,VLOOKUP(A651,'Database Rates'!$A:$E,5,FALSE))</f>
        <v/>
      </c>
    </row>
    <row r="652">
      <c r="A652" s="40" t="n">
        <v>37865</v>
      </c>
      <c r="B652" s="21">
        <f>IF(VLOOKUP(A652,'Database Rates'!$A:$E,5,FALSE)=0,#N/A,VLOOKUP(A652,'Database Rates'!$A:$E,5,FALSE))</f>
        <v/>
      </c>
    </row>
    <row r="653">
      <c r="A653" s="40" t="n">
        <v>37895</v>
      </c>
      <c r="B653" s="21">
        <f>IF(VLOOKUP(A653,'Database Rates'!$A:$E,5,FALSE)=0,#N/A,VLOOKUP(A653,'Database Rates'!$A:$E,5,FALSE))</f>
        <v/>
      </c>
    </row>
    <row r="654">
      <c r="A654" s="40" t="n">
        <v>37926</v>
      </c>
      <c r="B654" s="21">
        <f>IF(VLOOKUP(A654,'Database Rates'!$A:$E,5,FALSE)=0,#N/A,VLOOKUP(A654,'Database Rates'!$A:$E,5,FALSE))</f>
        <v/>
      </c>
    </row>
    <row r="655">
      <c r="A655" s="40" t="n">
        <v>37956</v>
      </c>
      <c r="B655" s="21">
        <f>IF(VLOOKUP(A655,'Database Rates'!$A:$E,5,FALSE)=0,#N/A,VLOOKUP(A655,'Database Rates'!$A:$E,5,FALSE))</f>
        <v/>
      </c>
    </row>
    <row r="656">
      <c r="A656" s="40" t="n">
        <v>37987</v>
      </c>
      <c r="B656" s="21">
        <f>IF(VLOOKUP(A656,'Database Rates'!$A:$E,5,FALSE)=0,#N/A,VLOOKUP(A656,'Database Rates'!$A:$E,5,FALSE))</f>
        <v/>
      </c>
    </row>
    <row r="657">
      <c r="A657" s="40" t="n">
        <v>38018</v>
      </c>
      <c r="B657" s="21">
        <f>IF(VLOOKUP(A657,'Database Rates'!$A:$E,5,FALSE)=0,#N/A,VLOOKUP(A657,'Database Rates'!$A:$E,5,FALSE))</f>
        <v/>
      </c>
    </row>
    <row r="658">
      <c r="A658" s="40" t="n">
        <v>38047</v>
      </c>
      <c r="B658" s="21">
        <f>IF(VLOOKUP(A658,'Database Rates'!$A:$E,5,FALSE)=0,#N/A,VLOOKUP(A658,'Database Rates'!$A:$E,5,FALSE))</f>
        <v/>
      </c>
    </row>
    <row r="659">
      <c r="A659" s="40" t="n">
        <v>38078</v>
      </c>
      <c r="B659" s="21">
        <f>IF(VLOOKUP(A659,'Database Rates'!$A:$E,5,FALSE)=0,#N/A,VLOOKUP(A659,'Database Rates'!$A:$E,5,FALSE))</f>
        <v/>
      </c>
    </row>
    <row r="660">
      <c r="A660" s="40" t="n">
        <v>38108</v>
      </c>
      <c r="B660" s="21">
        <f>IF(VLOOKUP(A660,'Database Rates'!$A:$E,5,FALSE)=0,#N/A,VLOOKUP(A660,'Database Rates'!$A:$E,5,FALSE))</f>
        <v/>
      </c>
    </row>
    <row r="661">
      <c r="A661" s="40" t="n">
        <v>38139</v>
      </c>
      <c r="B661" s="21">
        <f>IF(VLOOKUP(A661,'Database Rates'!$A:$E,5,FALSE)=0,#N/A,VLOOKUP(A661,'Database Rates'!$A:$E,5,FALSE))</f>
        <v/>
      </c>
    </row>
    <row r="662">
      <c r="A662" s="40" t="n">
        <v>38169</v>
      </c>
      <c r="B662" s="21">
        <f>IF(VLOOKUP(A662,'Database Rates'!$A:$E,5,FALSE)=0,#N/A,VLOOKUP(A662,'Database Rates'!$A:$E,5,FALSE))</f>
        <v/>
      </c>
    </row>
    <row r="663">
      <c r="A663" s="40" t="n">
        <v>38200</v>
      </c>
      <c r="B663" s="21">
        <f>IF(VLOOKUP(A663,'Database Rates'!$A:$E,5,FALSE)=0,#N/A,VLOOKUP(A663,'Database Rates'!$A:$E,5,FALSE))</f>
        <v/>
      </c>
    </row>
    <row r="664">
      <c r="A664" s="40" t="n">
        <v>38231</v>
      </c>
      <c r="B664" s="21">
        <f>IF(VLOOKUP(A664,'Database Rates'!$A:$E,5,FALSE)=0,#N/A,VLOOKUP(A664,'Database Rates'!$A:$E,5,FALSE))</f>
        <v/>
      </c>
    </row>
    <row r="665">
      <c r="A665" s="40" t="n">
        <v>38261</v>
      </c>
      <c r="B665" s="21">
        <f>IF(VLOOKUP(A665,'Database Rates'!$A:$E,5,FALSE)=0,#N/A,VLOOKUP(A665,'Database Rates'!$A:$E,5,FALSE))</f>
        <v/>
      </c>
    </row>
    <row r="666">
      <c r="A666" s="40" t="n">
        <v>38292</v>
      </c>
      <c r="B666" s="21">
        <f>IF(VLOOKUP(A666,'Database Rates'!$A:$E,5,FALSE)=0,#N/A,VLOOKUP(A666,'Database Rates'!$A:$E,5,FALSE))</f>
        <v/>
      </c>
    </row>
    <row r="667">
      <c r="A667" s="40" t="n">
        <v>38322</v>
      </c>
      <c r="B667" s="21">
        <f>IF(VLOOKUP(A667,'Database Rates'!$A:$E,5,FALSE)=0,#N/A,VLOOKUP(A667,'Database Rates'!$A:$E,5,FALSE))</f>
        <v/>
      </c>
    </row>
    <row r="668">
      <c r="A668" s="40" t="n">
        <v>38353</v>
      </c>
      <c r="B668" s="21">
        <f>IF(VLOOKUP(A668,'Database Rates'!$A:$E,5,FALSE)=0,#N/A,VLOOKUP(A668,'Database Rates'!$A:$E,5,FALSE))</f>
        <v/>
      </c>
    </row>
    <row r="669">
      <c r="A669" s="40" t="n">
        <v>38384</v>
      </c>
      <c r="B669" s="21">
        <f>IF(VLOOKUP(A669,'Database Rates'!$A:$E,5,FALSE)=0,#N/A,VLOOKUP(A669,'Database Rates'!$A:$E,5,FALSE))</f>
        <v/>
      </c>
    </row>
    <row r="670">
      <c r="A670" s="40" t="n">
        <v>38412</v>
      </c>
      <c r="B670" s="21">
        <f>IF(VLOOKUP(A670,'Database Rates'!$A:$E,5,FALSE)=0,#N/A,VLOOKUP(A670,'Database Rates'!$A:$E,5,FALSE))</f>
        <v/>
      </c>
    </row>
    <row r="671">
      <c r="A671" s="40" t="n">
        <v>38443</v>
      </c>
      <c r="B671" s="21">
        <f>IF(VLOOKUP(A671,'Database Rates'!$A:$E,5,FALSE)=0,#N/A,VLOOKUP(A671,'Database Rates'!$A:$E,5,FALSE))</f>
        <v/>
      </c>
    </row>
    <row r="672">
      <c r="A672" s="40" t="n">
        <v>38473</v>
      </c>
      <c r="B672" s="21">
        <f>IF(VLOOKUP(A672,'Database Rates'!$A:$E,5,FALSE)=0,#N/A,VLOOKUP(A672,'Database Rates'!$A:$E,5,FALSE))</f>
        <v/>
      </c>
    </row>
    <row r="673">
      <c r="A673" s="40" t="n">
        <v>38504</v>
      </c>
      <c r="B673" s="21">
        <f>IF(VLOOKUP(A673,'Database Rates'!$A:$E,5,FALSE)=0,#N/A,VLOOKUP(A673,'Database Rates'!$A:$E,5,FALSE))</f>
        <v/>
      </c>
    </row>
    <row r="674">
      <c r="A674" s="40" t="n">
        <v>38534</v>
      </c>
      <c r="B674" s="21">
        <f>IF(VLOOKUP(A674,'Database Rates'!$A:$E,5,FALSE)=0,#N/A,VLOOKUP(A674,'Database Rates'!$A:$E,5,FALSE))</f>
        <v/>
      </c>
    </row>
    <row r="675">
      <c r="A675" s="40" t="n">
        <v>38565</v>
      </c>
      <c r="B675" s="21">
        <f>IF(VLOOKUP(A675,'Database Rates'!$A:$E,5,FALSE)=0,#N/A,VLOOKUP(A675,'Database Rates'!$A:$E,5,FALSE))</f>
        <v/>
      </c>
    </row>
    <row r="676">
      <c r="A676" s="40" t="n">
        <v>38596</v>
      </c>
      <c r="B676" s="21">
        <f>IF(VLOOKUP(A676,'Database Rates'!$A:$E,5,FALSE)=0,#N/A,VLOOKUP(A676,'Database Rates'!$A:$E,5,FALSE))</f>
        <v/>
      </c>
    </row>
    <row r="677">
      <c r="A677" s="40" t="n">
        <v>38626</v>
      </c>
      <c r="B677" s="21">
        <f>IF(VLOOKUP(A677,'Database Rates'!$A:$E,5,FALSE)=0,#N/A,VLOOKUP(A677,'Database Rates'!$A:$E,5,FALSE))</f>
        <v/>
      </c>
    </row>
    <row r="678">
      <c r="A678" s="40" t="n">
        <v>38657</v>
      </c>
      <c r="B678" s="21">
        <f>IF(VLOOKUP(A678,'Database Rates'!$A:$E,5,FALSE)=0,#N/A,VLOOKUP(A678,'Database Rates'!$A:$E,5,FALSE))</f>
        <v/>
      </c>
    </row>
    <row r="679">
      <c r="A679" s="40" t="n">
        <v>38687</v>
      </c>
      <c r="B679" s="21">
        <f>IF(VLOOKUP(A679,'Database Rates'!$A:$E,5,FALSE)=0,#N/A,VLOOKUP(A679,'Database Rates'!$A:$E,5,FALSE))</f>
        <v/>
      </c>
    </row>
    <row r="680">
      <c r="A680" s="40" t="n">
        <v>38718</v>
      </c>
      <c r="B680" s="21">
        <f>IF(VLOOKUP(A680,'Database Rates'!$A:$E,5,FALSE)=0,#N/A,VLOOKUP(A680,'Database Rates'!$A:$E,5,FALSE))</f>
        <v/>
      </c>
    </row>
    <row r="681">
      <c r="A681" s="40" t="n">
        <v>38749</v>
      </c>
      <c r="B681" s="21">
        <f>IF(VLOOKUP(A681,'Database Rates'!$A:$E,5,FALSE)=0,#N/A,VLOOKUP(A681,'Database Rates'!$A:$E,5,FALSE))</f>
        <v/>
      </c>
    </row>
    <row r="682">
      <c r="A682" s="40" t="n">
        <v>38777</v>
      </c>
      <c r="B682" s="21">
        <f>IF(VLOOKUP(A682,'Database Rates'!$A:$E,5,FALSE)=0,#N/A,VLOOKUP(A682,'Database Rates'!$A:$E,5,FALSE))</f>
        <v/>
      </c>
    </row>
    <row r="683">
      <c r="A683" s="40" t="n">
        <v>38808</v>
      </c>
      <c r="B683" s="21">
        <f>IF(VLOOKUP(A683,'Database Rates'!$A:$E,5,FALSE)=0,#N/A,VLOOKUP(A683,'Database Rates'!$A:$E,5,FALSE))</f>
        <v/>
      </c>
    </row>
    <row r="684">
      <c r="A684" s="40" t="n">
        <v>38838</v>
      </c>
      <c r="B684" s="21">
        <f>IF(VLOOKUP(A684,'Database Rates'!$A:$E,5,FALSE)=0,#N/A,VLOOKUP(A684,'Database Rates'!$A:$E,5,FALSE))</f>
        <v/>
      </c>
    </row>
    <row r="685">
      <c r="A685" s="40" t="n">
        <v>38869</v>
      </c>
      <c r="B685" s="21">
        <f>IF(VLOOKUP(A685,'Database Rates'!$A:$E,5,FALSE)=0,#N/A,VLOOKUP(A685,'Database Rates'!$A:$E,5,FALSE))</f>
        <v/>
      </c>
    </row>
    <row r="686">
      <c r="A686" s="40" t="n">
        <v>38899</v>
      </c>
      <c r="B686" s="21">
        <f>IF(VLOOKUP(A686,'Database Rates'!$A:$E,5,FALSE)=0,#N/A,VLOOKUP(A686,'Database Rates'!$A:$E,5,FALSE))</f>
        <v/>
      </c>
    </row>
    <row r="687">
      <c r="A687" s="40" t="n">
        <v>38930</v>
      </c>
      <c r="B687" s="21">
        <f>IF(VLOOKUP(A687,'Database Rates'!$A:$E,5,FALSE)=0,#N/A,VLOOKUP(A687,'Database Rates'!$A:$E,5,FALSE))</f>
        <v/>
      </c>
    </row>
    <row r="688">
      <c r="A688" s="40" t="n">
        <v>38961</v>
      </c>
      <c r="B688" s="21">
        <f>IF(VLOOKUP(A688,'Database Rates'!$A:$E,5,FALSE)=0,#N/A,VLOOKUP(A688,'Database Rates'!$A:$E,5,FALSE))</f>
        <v/>
      </c>
    </row>
    <row r="689">
      <c r="A689" s="40" t="n">
        <v>38991</v>
      </c>
      <c r="B689" s="21">
        <f>IF(VLOOKUP(A689,'Database Rates'!$A:$E,5,FALSE)=0,#N/A,VLOOKUP(A689,'Database Rates'!$A:$E,5,FALSE))</f>
        <v/>
      </c>
    </row>
    <row r="690">
      <c r="A690" s="40" t="n">
        <v>39022</v>
      </c>
      <c r="B690" s="21">
        <f>IF(VLOOKUP(A690,'Database Rates'!$A:$E,5,FALSE)=0,#N/A,VLOOKUP(A690,'Database Rates'!$A:$E,5,FALSE))</f>
        <v/>
      </c>
    </row>
    <row r="691">
      <c r="A691" s="40" t="n">
        <v>39052</v>
      </c>
      <c r="B691" s="21">
        <f>IF(VLOOKUP(A691,'Database Rates'!$A:$E,5,FALSE)=0,#N/A,VLOOKUP(A691,'Database Rates'!$A:$E,5,FALSE))</f>
        <v/>
      </c>
    </row>
    <row r="692">
      <c r="A692" s="40" t="n">
        <v>39083</v>
      </c>
      <c r="B692" s="21">
        <f>IF(VLOOKUP(A692,'Database Rates'!$A:$E,5,FALSE)=0,#N/A,VLOOKUP(A692,'Database Rates'!$A:$E,5,FALSE))</f>
        <v/>
      </c>
    </row>
    <row r="693">
      <c r="A693" s="40" t="n">
        <v>39114</v>
      </c>
      <c r="B693" s="21">
        <f>IF(VLOOKUP(A693,'Database Rates'!$A:$E,5,FALSE)=0,#N/A,VLOOKUP(A693,'Database Rates'!$A:$E,5,FALSE))</f>
        <v/>
      </c>
    </row>
    <row r="694">
      <c r="A694" s="40" t="n">
        <v>39142</v>
      </c>
      <c r="B694" s="21">
        <f>IF(VLOOKUP(A694,'Database Rates'!$A:$E,5,FALSE)=0,#N/A,VLOOKUP(A694,'Database Rates'!$A:$E,5,FALSE))</f>
        <v/>
      </c>
    </row>
    <row r="695">
      <c r="A695" s="40" t="n">
        <v>39173</v>
      </c>
      <c r="B695" s="21">
        <f>IF(VLOOKUP(A695,'Database Rates'!$A:$E,5,FALSE)=0,#N/A,VLOOKUP(A695,'Database Rates'!$A:$E,5,FALSE))</f>
        <v/>
      </c>
    </row>
    <row r="696">
      <c r="A696" s="40" t="n">
        <v>39203</v>
      </c>
      <c r="B696" s="21">
        <f>IF(VLOOKUP(A696,'Database Rates'!$A:$E,5,FALSE)=0,#N/A,VLOOKUP(A696,'Database Rates'!$A:$E,5,FALSE))</f>
        <v/>
      </c>
    </row>
    <row r="697">
      <c r="A697" s="40" t="n">
        <v>39234</v>
      </c>
      <c r="B697" s="21">
        <f>IF(VLOOKUP(A697,'Database Rates'!$A:$E,5,FALSE)=0,#N/A,VLOOKUP(A697,'Database Rates'!$A:$E,5,FALSE))</f>
        <v/>
      </c>
    </row>
    <row r="698">
      <c r="A698" s="40" t="n">
        <v>39264</v>
      </c>
      <c r="B698" s="21">
        <f>IF(VLOOKUP(A698,'Database Rates'!$A:$E,5,FALSE)=0,#N/A,VLOOKUP(A698,'Database Rates'!$A:$E,5,FALSE))</f>
        <v/>
      </c>
    </row>
    <row r="699">
      <c r="A699" s="40" t="n">
        <v>39295</v>
      </c>
      <c r="B699" s="21">
        <f>IF(VLOOKUP(A699,'Database Rates'!$A:$E,5,FALSE)=0,#N/A,VLOOKUP(A699,'Database Rates'!$A:$E,5,FALSE))</f>
        <v/>
      </c>
    </row>
    <row r="700">
      <c r="A700" s="40" t="n">
        <v>39326</v>
      </c>
      <c r="B700" s="21">
        <f>IF(VLOOKUP(A700,'Database Rates'!$A:$E,5,FALSE)=0,#N/A,VLOOKUP(A700,'Database Rates'!$A:$E,5,FALSE))</f>
        <v/>
      </c>
    </row>
    <row r="701">
      <c r="A701" s="40" t="n">
        <v>39356</v>
      </c>
      <c r="B701" s="21">
        <f>IF(VLOOKUP(A701,'Database Rates'!$A:$E,5,FALSE)=0,#N/A,VLOOKUP(A701,'Database Rates'!$A:$E,5,FALSE))</f>
        <v/>
      </c>
    </row>
    <row r="702">
      <c r="A702" s="40" t="n">
        <v>39387</v>
      </c>
      <c r="B702" s="21">
        <f>IF(VLOOKUP(A702,'Database Rates'!$A:$E,5,FALSE)=0,#N/A,VLOOKUP(A702,'Database Rates'!$A:$E,5,FALSE))</f>
        <v/>
      </c>
    </row>
    <row r="703">
      <c r="A703" s="40" t="n">
        <v>39417</v>
      </c>
      <c r="B703" s="21">
        <f>IF(VLOOKUP(A703,'Database Rates'!$A:$E,5,FALSE)=0,#N/A,VLOOKUP(A703,'Database Rates'!$A:$E,5,FALSE))</f>
        <v/>
      </c>
    </row>
    <row r="704">
      <c r="A704" s="40" t="n">
        <v>39448</v>
      </c>
      <c r="B704" s="21">
        <f>IF(VLOOKUP(A704,'Database Rates'!$A:$E,5,FALSE)=0,#N/A,VLOOKUP(A704,'Database Rates'!$A:$E,5,FALSE))</f>
        <v/>
      </c>
    </row>
    <row r="705">
      <c r="A705" s="40" t="n">
        <v>39479</v>
      </c>
      <c r="B705" s="21">
        <f>IF(VLOOKUP(A705,'Database Rates'!$A:$E,5,FALSE)=0,#N/A,VLOOKUP(A705,'Database Rates'!$A:$E,5,FALSE))</f>
        <v/>
      </c>
    </row>
    <row r="706">
      <c r="A706" s="40" t="n">
        <v>39508</v>
      </c>
      <c r="B706" s="21">
        <f>IF(VLOOKUP(A706,'Database Rates'!$A:$E,5,FALSE)=0,#N/A,VLOOKUP(A706,'Database Rates'!$A:$E,5,FALSE))</f>
        <v/>
      </c>
    </row>
    <row r="707">
      <c r="A707" s="40" t="n">
        <v>39539</v>
      </c>
      <c r="B707" s="21">
        <f>IF(VLOOKUP(A707,'Database Rates'!$A:$E,5,FALSE)=0,#N/A,VLOOKUP(A707,'Database Rates'!$A:$E,5,FALSE))</f>
        <v/>
      </c>
    </row>
    <row r="708">
      <c r="A708" s="40" t="n">
        <v>39569</v>
      </c>
      <c r="B708" s="21">
        <f>IF(VLOOKUP(A708,'Database Rates'!$A:$E,5,FALSE)=0,#N/A,VLOOKUP(A708,'Database Rates'!$A:$E,5,FALSE))</f>
        <v/>
      </c>
    </row>
    <row r="709">
      <c r="A709" s="40" t="n">
        <v>39600</v>
      </c>
      <c r="B709" s="21">
        <f>IF(VLOOKUP(A709,'Database Rates'!$A:$E,5,FALSE)=0,#N/A,VLOOKUP(A709,'Database Rates'!$A:$E,5,FALSE))</f>
        <v/>
      </c>
    </row>
    <row r="710">
      <c r="A710" s="40" t="n">
        <v>39630</v>
      </c>
      <c r="B710" s="21">
        <f>IF(VLOOKUP(A710,'Database Rates'!$A:$E,5,FALSE)=0,#N/A,VLOOKUP(A710,'Database Rates'!$A:$E,5,FALSE))</f>
        <v/>
      </c>
    </row>
    <row r="711">
      <c r="A711" s="40" t="n">
        <v>39661</v>
      </c>
      <c r="B711" s="21">
        <f>IF(VLOOKUP(A711,'Database Rates'!$A:$E,5,FALSE)=0,#N/A,VLOOKUP(A711,'Database Rates'!$A:$E,5,FALSE))</f>
        <v/>
      </c>
    </row>
    <row r="712">
      <c r="A712" s="40" t="n">
        <v>39692</v>
      </c>
      <c r="B712" s="21">
        <f>IF(VLOOKUP(A712,'Database Rates'!$A:$E,5,FALSE)=0,#N/A,VLOOKUP(A712,'Database Rates'!$A:$E,5,FALSE))</f>
        <v/>
      </c>
    </row>
    <row r="713">
      <c r="A713" s="40" t="n">
        <v>39722</v>
      </c>
      <c r="B713" s="21">
        <f>IF(VLOOKUP(A713,'Database Rates'!$A:$E,5,FALSE)=0,#N/A,VLOOKUP(A713,'Database Rates'!$A:$E,5,FALSE))</f>
        <v/>
      </c>
    </row>
    <row r="714">
      <c r="A714" s="40" t="n">
        <v>39753</v>
      </c>
      <c r="B714" s="21">
        <f>IF(VLOOKUP(A714,'Database Rates'!$A:$E,5,FALSE)=0,#N/A,VLOOKUP(A714,'Database Rates'!$A:$E,5,FALSE))</f>
        <v/>
      </c>
    </row>
    <row r="715">
      <c r="A715" s="40" t="n">
        <v>39783</v>
      </c>
      <c r="B715" s="21">
        <f>IF(VLOOKUP(A715,'Database Rates'!$A:$E,5,FALSE)=0,#N/A,VLOOKUP(A715,'Database Rates'!$A:$E,5,FALSE))</f>
        <v/>
      </c>
    </row>
    <row r="716">
      <c r="A716" s="40" t="n">
        <v>39814</v>
      </c>
      <c r="B716" s="21">
        <f>IF(VLOOKUP(A716,'Database Rates'!$A:$E,5,FALSE)=0,#N/A,VLOOKUP(A716,'Database Rates'!$A:$E,5,FALSE))</f>
        <v/>
      </c>
    </row>
    <row r="717">
      <c r="A717" s="40" t="n">
        <v>39845</v>
      </c>
      <c r="B717" s="21">
        <f>IF(VLOOKUP(A717,'Database Rates'!$A:$E,5,FALSE)=0,#N/A,VLOOKUP(A717,'Database Rates'!$A:$E,5,FALSE))</f>
        <v/>
      </c>
    </row>
    <row r="718">
      <c r="A718" s="40" t="n">
        <v>39873</v>
      </c>
      <c r="B718" s="21">
        <f>IF(VLOOKUP(A718,'Database Rates'!$A:$E,5,FALSE)=0,#N/A,VLOOKUP(A718,'Database Rates'!$A:$E,5,FALSE))</f>
        <v/>
      </c>
    </row>
    <row r="719">
      <c r="A719" s="40" t="n">
        <v>39904</v>
      </c>
      <c r="B719" s="21">
        <f>IF(VLOOKUP(A719,'Database Rates'!$A:$E,5,FALSE)=0,#N/A,VLOOKUP(A719,'Database Rates'!$A:$E,5,FALSE))</f>
        <v/>
      </c>
    </row>
    <row r="720">
      <c r="A720" s="40" t="n">
        <v>39934</v>
      </c>
      <c r="B720" s="21">
        <f>IF(VLOOKUP(A720,'Database Rates'!$A:$E,5,FALSE)=0,#N/A,VLOOKUP(A720,'Database Rates'!$A:$E,5,FALSE))</f>
        <v/>
      </c>
    </row>
    <row r="721">
      <c r="A721" s="40" t="n">
        <v>39965</v>
      </c>
      <c r="B721" s="21">
        <f>IF(VLOOKUP(A721,'Database Rates'!$A:$E,5,FALSE)=0,#N/A,VLOOKUP(A721,'Database Rates'!$A:$E,5,FALSE))</f>
        <v/>
      </c>
    </row>
    <row r="722">
      <c r="A722" s="40" t="n">
        <v>39995</v>
      </c>
      <c r="B722" s="21">
        <f>IF(VLOOKUP(A722,'Database Rates'!$A:$E,5,FALSE)=0,#N/A,VLOOKUP(A722,'Database Rates'!$A:$E,5,FALSE))</f>
        <v/>
      </c>
    </row>
    <row r="723">
      <c r="A723" s="40" t="n">
        <v>40026</v>
      </c>
      <c r="B723" s="21">
        <f>IF(VLOOKUP(A723,'Database Rates'!$A:$E,5,FALSE)=0,#N/A,VLOOKUP(A723,'Database Rates'!$A:$E,5,FALSE))</f>
        <v/>
      </c>
    </row>
    <row r="724">
      <c r="A724" s="40" t="n">
        <v>40057</v>
      </c>
      <c r="B724" s="21">
        <f>IF(VLOOKUP(A724,'Database Rates'!$A:$E,5,FALSE)=0,#N/A,VLOOKUP(A724,'Database Rates'!$A:$E,5,FALSE))</f>
        <v/>
      </c>
    </row>
    <row r="725">
      <c r="A725" s="40" t="n">
        <v>40087</v>
      </c>
      <c r="B725" s="21">
        <f>IF(VLOOKUP(A725,'Database Rates'!$A:$E,5,FALSE)=0,#N/A,VLOOKUP(A725,'Database Rates'!$A:$E,5,FALSE))</f>
        <v/>
      </c>
    </row>
    <row r="726">
      <c r="A726" s="40" t="n">
        <v>40118</v>
      </c>
      <c r="B726" s="21">
        <f>IF(VLOOKUP(A726,'Database Rates'!$A:$E,5,FALSE)=0,#N/A,VLOOKUP(A726,'Database Rates'!$A:$E,5,FALSE))</f>
        <v/>
      </c>
    </row>
    <row r="727">
      <c r="A727" s="40" t="n">
        <v>40148</v>
      </c>
      <c r="B727" s="21">
        <f>IF(VLOOKUP(A727,'Database Rates'!$A:$E,5,FALSE)=0,#N/A,VLOOKUP(A727,'Database Rates'!$A:$E,5,FALSE))</f>
        <v/>
      </c>
    </row>
    <row r="728">
      <c r="A728" s="40" t="n">
        <v>40179</v>
      </c>
      <c r="B728" s="21">
        <f>IF(VLOOKUP(A728,'Database Rates'!$A:$E,5,FALSE)=0,#N/A,VLOOKUP(A728,'Database Rates'!$A:$E,5,FALSE))</f>
        <v/>
      </c>
    </row>
    <row r="729">
      <c r="A729" s="40" t="n">
        <v>40210</v>
      </c>
      <c r="B729" s="21">
        <f>IF(VLOOKUP(A729,'Database Rates'!$A:$E,5,FALSE)=0,#N/A,VLOOKUP(A729,'Database Rates'!$A:$E,5,FALSE))</f>
        <v/>
      </c>
    </row>
    <row r="730">
      <c r="A730" s="40" t="n">
        <v>40238</v>
      </c>
      <c r="B730" s="21">
        <f>IF(VLOOKUP(A730,'Database Rates'!$A:$E,5,FALSE)=0,#N/A,VLOOKUP(A730,'Database Rates'!$A:$E,5,FALSE))</f>
        <v/>
      </c>
    </row>
    <row r="731">
      <c r="A731" s="40" t="n">
        <v>40269</v>
      </c>
      <c r="B731" s="21">
        <f>IF(VLOOKUP(A731,'Database Rates'!$A:$E,5,FALSE)=0,#N/A,VLOOKUP(A731,'Database Rates'!$A:$E,5,FALSE))</f>
        <v/>
      </c>
    </row>
    <row r="732">
      <c r="A732" s="40" t="n">
        <v>40299</v>
      </c>
      <c r="B732" s="21">
        <f>IF(VLOOKUP(A732,'Database Rates'!$A:$E,5,FALSE)=0,#N/A,VLOOKUP(A732,'Database Rates'!$A:$E,5,FALSE))</f>
        <v/>
      </c>
    </row>
    <row r="733">
      <c r="A733" s="40" t="n">
        <v>40330</v>
      </c>
      <c r="B733" s="21">
        <f>IF(VLOOKUP(A733,'Database Rates'!$A:$E,5,FALSE)=0,#N/A,VLOOKUP(A733,'Database Rates'!$A:$E,5,FALSE))</f>
        <v/>
      </c>
    </row>
    <row r="734">
      <c r="A734" s="40" t="n">
        <v>40360</v>
      </c>
      <c r="B734" s="21">
        <f>IF(VLOOKUP(A734,'Database Rates'!$A:$E,5,FALSE)=0,#N/A,VLOOKUP(A734,'Database Rates'!$A:$E,5,FALSE))</f>
        <v/>
      </c>
    </row>
    <row r="735">
      <c r="A735" s="40" t="n">
        <v>40391</v>
      </c>
      <c r="B735" s="21">
        <f>IF(VLOOKUP(A735,'Database Rates'!$A:$E,5,FALSE)=0,#N/A,VLOOKUP(A735,'Database Rates'!$A:$E,5,FALSE))</f>
        <v/>
      </c>
    </row>
    <row r="736">
      <c r="A736" s="40" t="n">
        <v>40422</v>
      </c>
      <c r="B736" s="21">
        <f>IF(VLOOKUP(A736,'Database Rates'!$A:$E,5,FALSE)=0,#N/A,VLOOKUP(A736,'Database Rates'!$A:$E,5,FALSE))</f>
        <v/>
      </c>
    </row>
    <row r="737">
      <c r="A737" s="40" t="n">
        <v>40452</v>
      </c>
      <c r="B737" s="21">
        <f>IF(VLOOKUP(A737,'Database Rates'!$A:$E,5,FALSE)=0,#N/A,VLOOKUP(A737,'Database Rates'!$A:$E,5,FALSE))</f>
        <v/>
      </c>
    </row>
    <row r="738">
      <c r="A738" s="40" t="n">
        <v>40483</v>
      </c>
      <c r="B738" s="21">
        <f>IF(VLOOKUP(A738,'Database Rates'!$A:$E,5,FALSE)=0,#N/A,VLOOKUP(A738,'Database Rates'!$A:$E,5,FALSE))</f>
        <v/>
      </c>
    </row>
    <row r="739">
      <c r="A739" s="40" t="n">
        <v>40513</v>
      </c>
      <c r="B739" s="21">
        <f>IF(VLOOKUP(A739,'Database Rates'!$A:$E,5,FALSE)=0,#N/A,VLOOKUP(A739,'Database Rates'!$A:$E,5,FALSE))</f>
        <v/>
      </c>
    </row>
    <row r="740">
      <c r="A740" s="40" t="n">
        <v>40544</v>
      </c>
      <c r="B740" s="21">
        <f>IF(VLOOKUP(A740,'Database Rates'!$A:$E,5,FALSE)=0,#N/A,VLOOKUP(A740,'Database Rates'!$A:$E,5,FALSE))</f>
        <v/>
      </c>
    </row>
    <row r="741">
      <c r="A741" s="40" t="n">
        <v>40575</v>
      </c>
      <c r="B741" s="21">
        <f>IF(VLOOKUP(A741,'Database Rates'!$A:$E,5,FALSE)=0,#N/A,VLOOKUP(A741,'Database Rates'!$A:$E,5,FALSE))</f>
        <v/>
      </c>
    </row>
    <row r="742">
      <c r="A742" s="40" t="n">
        <v>40603</v>
      </c>
      <c r="B742" s="21">
        <f>IF(VLOOKUP(A742,'Database Rates'!$A:$E,5,FALSE)=0,#N/A,VLOOKUP(A742,'Database Rates'!$A:$E,5,FALSE))</f>
        <v/>
      </c>
    </row>
    <row r="743">
      <c r="A743" s="40" t="n">
        <v>40634</v>
      </c>
      <c r="B743" s="21">
        <f>IF(VLOOKUP(A743,'Database Rates'!$A:$E,5,FALSE)=0,#N/A,VLOOKUP(A743,'Database Rates'!$A:$E,5,FALSE))</f>
        <v/>
      </c>
    </row>
    <row r="744">
      <c r="A744" s="40" t="n">
        <v>40664</v>
      </c>
      <c r="B744" s="21">
        <f>IF(VLOOKUP(A744,'Database Rates'!$A:$E,5,FALSE)=0,#N/A,VLOOKUP(A744,'Database Rates'!$A:$E,5,FALSE))</f>
        <v/>
      </c>
    </row>
    <row r="745">
      <c r="A745" s="40" t="n">
        <v>40695</v>
      </c>
      <c r="B745" s="21">
        <f>IF(VLOOKUP(A745,'Database Rates'!$A:$E,5,FALSE)=0,#N/A,VLOOKUP(A745,'Database Rates'!$A:$E,5,FALSE))</f>
        <v/>
      </c>
    </row>
    <row r="746">
      <c r="A746" s="40" t="n">
        <v>40725</v>
      </c>
      <c r="B746" s="21">
        <f>IF(VLOOKUP(A746,'Database Rates'!$A:$E,5,FALSE)=0,#N/A,VLOOKUP(A746,'Database Rates'!$A:$E,5,FALSE))</f>
        <v/>
      </c>
    </row>
    <row r="747">
      <c r="A747" s="40" t="n">
        <v>40756</v>
      </c>
      <c r="B747" s="21">
        <f>IF(VLOOKUP(A747,'Database Rates'!$A:$E,5,FALSE)=0,#N/A,VLOOKUP(A747,'Database Rates'!$A:$E,5,FALSE))</f>
        <v/>
      </c>
    </row>
    <row r="748">
      <c r="A748" s="40" t="n">
        <v>40787</v>
      </c>
      <c r="B748" s="21">
        <f>IF(VLOOKUP(A748,'Database Rates'!$A:$E,5,FALSE)=0,#N/A,VLOOKUP(A748,'Database Rates'!$A:$E,5,FALSE))</f>
        <v/>
      </c>
    </row>
    <row r="749">
      <c r="A749" s="40" t="n">
        <v>40817</v>
      </c>
      <c r="B749" s="21">
        <f>IF(VLOOKUP(A749,'Database Rates'!$A:$E,5,FALSE)=0,#N/A,VLOOKUP(A749,'Database Rates'!$A:$E,5,FALSE))</f>
        <v/>
      </c>
    </row>
    <row r="750">
      <c r="A750" s="40" t="n">
        <v>40848</v>
      </c>
      <c r="B750" s="21">
        <f>IF(VLOOKUP(A750,'Database Rates'!$A:$E,5,FALSE)=0,#N/A,VLOOKUP(A750,'Database Rates'!$A:$E,5,FALSE))</f>
        <v/>
      </c>
    </row>
    <row r="751">
      <c r="A751" s="40" t="n">
        <v>40878</v>
      </c>
      <c r="B751" s="21">
        <f>IF(VLOOKUP(A751,'Database Rates'!$A:$E,5,FALSE)=0,#N/A,VLOOKUP(A751,'Database Rates'!$A:$E,5,FALSE))</f>
        <v/>
      </c>
    </row>
    <row r="752">
      <c r="A752" s="40" t="n">
        <v>40909</v>
      </c>
      <c r="B752" s="21">
        <f>IF(VLOOKUP(A752,'Database Rates'!$A:$E,5,FALSE)=0,#N/A,VLOOKUP(A752,'Database Rates'!$A:$E,5,FALSE))</f>
        <v/>
      </c>
    </row>
    <row r="753">
      <c r="A753" s="40" t="n">
        <v>40940</v>
      </c>
      <c r="B753" s="21">
        <f>IF(VLOOKUP(A753,'Database Rates'!$A:$E,5,FALSE)=0,#N/A,VLOOKUP(A753,'Database Rates'!$A:$E,5,FALSE))</f>
        <v/>
      </c>
    </row>
    <row r="754">
      <c r="A754" s="40" t="n">
        <v>40969</v>
      </c>
      <c r="B754" s="21">
        <f>IF(VLOOKUP(A754,'Database Rates'!$A:$E,5,FALSE)=0,#N/A,VLOOKUP(A754,'Database Rates'!$A:$E,5,FALSE))</f>
        <v/>
      </c>
    </row>
    <row r="755">
      <c r="A755" s="40" t="n">
        <v>41000</v>
      </c>
      <c r="B755" s="21">
        <f>IF(VLOOKUP(A755,'Database Rates'!$A:$E,5,FALSE)=0,#N/A,VLOOKUP(A755,'Database Rates'!$A:$E,5,FALSE))</f>
        <v/>
      </c>
    </row>
    <row r="756">
      <c r="A756" s="40" t="n">
        <v>41030</v>
      </c>
      <c r="B756" s="21">
        <f>IF(VLOOKUP(A756,'Database Rates'!$A:$E,5,FALSE)=0,#N/A,VLOOKUP(A756,'Database Rates'!$A:$E,5,FALSE))</f>
        <v/>
      </c>
    </row>
    <row r="757">
      <c r="A757" s="40" t="n">
        <v>41061</v>
      </c>
      <c r="B757" s="21">
        <f>IF(VLOOKUP(A757,'Database Rates'!$A:$E,5,FALSE)=0,#N/A,VLOOKUP(A757,'Database Rates'!$A:$E,5,FALSE))</f>
        <v/>
      </c>
    </row>
    <row r="758">
      <c r="A758" s="40" t="n">
        <v>41091</v>
      </c>
      <c r="B758" s="21">
        <f>IF(VLOOKUP(A758,'Database Rates'!$A:$E,5,FALSE)=0,#N/A,VLOOKUP(A758,'Database Rates'!$A:$E,5,FALSE))</f>
        <v/>
      </c>
    </row>
    <row r="759">
      <c r="A759" s="40" t="n">
        <v>41122</v>
      </c>
      <c r="B759" s="21">
        <f>IF(VLOOKUP(A759,'Database Rates'!$A:$E,5,FALSE)=0,#N/A,VLOOKUP(A759,'Database Rates'!$A:$E,5,FALSE))</f>
        <v/>
      </c>
    </row>
    <row r="760">
      <c r="A760" s="40" t="n">
        <v>41153</v>
      </c>
      <c r="B760" s="21">
        <f>IF(VLOOKUP(A760,'Database Rates'!$A:$E,5,FALSE)=0,#N/A,VLOOKUP(A760,'Database Rates'!$A:$E,5,FALSE))</f>
        <v/>
      </c>
    </row>
    <row r="761">
      <c r="A761" s="40" t="n">
        <v>41183</v>
      </c>
      <c r="B761" s="21">
        <f>IF(VLOOKUP(A761,'Database Rates'!$A:$E,5,FALSE)=0,#N/A,VLOOKUP(A761,'Database Rates'!$A:$E,5,FALSE))</f>
        <v/>
      </c>
    </row>
    <row r="762">
      <c r="A762" s="40" t="n">
        <v>41214</v>
      </c>
      <c r="B762" s="21">
        <f>IF(VLOOKUP(A762,'Database Rates'!$A:$E,5,FALSE)=0,#N/A,VLOOKUP(A762,'Database Rates'!$A:$E,5,FALSE))</f>
        <v/>
      </c>
    </row>
    <row r="763">
      <c r="A763" s="40" t="n">
        <v>41244</v>
      </c>
      <c r="B763" s="21">
        <f>IF(VLOOKUP(A763,'Database Rates'!$A:$E,5,FALSE)=0,#N/A,VLOOKUP(A763,'Database Rates'!$A:$E,5,FALSE))</f>
        <v/>
      </c>
    </row>
    <row r="764">
      <c r="A764" s="40" t="n">
        <v>41275</v>
      </c>
      <c r="B764" s="21">
        <f>IF(VLOOKUP(A764,'Database Rates'!$A:$E,5,FALSE)=0,#N/A,VLOOKUP(A764,'Database Rates'!$A:$E,5,FALSE))</f>
        <v/>
      </c>
    </row>
    <row r="765">
      <c r="A765" s="40" t="n">
        <v>41306</v>
      </c>
      <c r="B765" s="21">
        <f>IF(VLOOKUP(A765,'Database Rates'!$A:$E,5,FALSE)=0,#N/A,VLOOKUP(A765,'Database Rates'!$A:$E,5,FALSE))</f>
        <v/>
      </c>
    </row>
    <row r="766">
      <c r="A766" s="40" t="n">
        <v>41334</v>
      </c>
      <c r="B766" s="21">
        <f>IF(VLOOKUP(A766,'Database Rates'!$A:$E,5,FALSE)=0,#N/A,VLOOKUP(A766,'Database Rates'!$A:$E,5,FALSE))</f>
        <v/>
      </c>
    </row>
    <row r="767">
      <c r="A767" s="40" t="n">
        <v>41365</v>
      </c>
      <c r="B767" s="21">
        <f>IF(VLOOKUP(A767,'Database Rates'!$A:$E,5,FALSE)=0,#N/A,VLOOKUP(A767,'Database Rates'!$A:$E,5,FALSE))</f>
        <v/>
      </c>
    </row>
    <row r="768">
      <c r="A768" s="40" t="n">
        <v>41395</v>
      </c>
      <c r="B768" s="21">
        <f>IF(VLOOKUP(A768,'Database Rates'!$A:$E,5,FALSE)=0,#N/A,VLOOKUP(A768,'Database Rates'!$A:$E,5,FALSE))</f>
        <v/>
      </c>
    </row>
    <row r="769">
      <c r="A769" s="40" t="n">
        <v>41426</v>
      </c>
      <c r="B769" s="21">
        <f>IF(VLOOKUP(A769,'Database Rates'!$A:$E,5,FALSE)=0,#N/A,VLOOKUP(A769,'Database Rates'!$A:$E,5,FALSE))</f>
        <v/>
      </c>
    </row>
    <row r="770">
      <c r="A770" s="40" t="n">
        <v>41456</v>
      </c>
      <c r="B770" s="21">
        <f>IF(VLOOKUP(A770,'Database Rates'!$A:$E,5,FALSE)=0,#N/A,VLOOKUP(A770,'Database Rates'!$A:$E,5,FALSE))</f>
        <v/>
      </c>
    </row>
    <row r="771">
      <c r="A771" s="40" t="n">
        <v>41487</v>
      </c>
      <c r="B771" s="21">
        <f>IF(VLOOKUP(A771,'Database Rates'!$A:$E,5,FALSE)=0,#N/A,VLOOKUP(A771,'Database Rates'!$A:$E,5,FALSE))</f>
        <v/>
      </c>
    </row>
    <row r="772">
      <c r="A772" s="40" t="n">
        <v>41518</v>
      </c>
      <c r="B772" s="21">
        <f>IF(VLOOKUP(A772,'Database Rates'!$A:$E,5,FALSE)=0,#N/A,VLOOKUP(A772,'Database Rates'!$A:$E,5,FALSE))</f>
        <v/>
      </c>
    </row>
    <row r="773">
      <c r="A773" s="40" t="n">
        <v>41548</v>
      </c>
      <c r="B773" s="21">
        <f>IF(VLOOKUP(A773,'Database Rates'!$A:$E,5,FALSE)=0,#N/A,VLOOKUP(A773,'Database Rates'!$A:$E,5,FALSE))</f>
        <v/>
      </c>
    </row>
    <row r="774">
      <c r="A774" s="40" t="n">
        <v>41579</v>
      </c>
      <c r="B774" s="21">
        <f>IF(VLOOKUP(A774,'Database Rates'!$A:$E,5,FALSE)=0,#N/A,VLOOKUP(A774,'Database Rates'!$A:$E,5,FALSE))</f>
        <v/>
      </c>
    </row>
    <row r="775">
      <c r="A775" s="40" t="n">
        <v>41609</v>
      </c>
      <c r="B775" s="21">
        <f>IF(VLOOKUP(A775,'Database Rates'!$A:$E,5,FALSE)=0,#N/A,VLOOKUP(A775,'Database Rates'!$A:$E,5,FALSE))</f>
        <v/>
      </c>
    </row>
    <row r="776">
      <c r="A776" s="40" t="n">
        <v>41640</v>
      </c>
      <c r="B776" s="21">
        <f>IF(VLOOKUP(A776,'Database Rates'!$A:$E,5,FALSE)=0,#N/A,VLOOKUP(A776,'Database Rates'!$A:$E,5,FALSE))</f>
        <v/>
      </c>
    </row>
    <row r="777">
      <c r="A777" s="40" t="n">
        <v>41671</v>
      </c>
      <c r="B777" s="21">
        <f>IF(VLOOKUP(A777,'Database Rates'!$A:$E,5,FALSE)=0,#N/A,VLOOKUP(A777,'Database Rates'!$A:$E,5,FALSE))</f>
        <v/>
      </c>
    </row>
    <row r="778">
      <c r="A778" s="40" t="n">
        <v>41699</v>
      </c>
      <c r="B778" s="21">
        <f>IF(VLOOKUP(A778,'Database Rates'!$A:$E,5,FALSE)=0,#N/A,VLOOKUP(A778,'Database Rates'!$A:$E,5,FALSE))</f>
        <v/>
      </c>
    </row>
    <row r="779">
      <c r="A779" s="40" t="n">
        <v>41730</v>
      </c>
      <c r="B779" s="21">
        <f>IF(VLOOKUP(A779,'Database Rates'!$A:$E,5,FALSE)=0,#N/A,VLOOKUP(A779,'Database Rates'!$A:$E,5,FALSE))</f>
        <v/>
      </c>
    </row>
    <row r="780">
      <c r="A780" s="40" t="n">
        <v>41760</v>
      </c>
      <c r="B780" s="21">
        <f>IF(VLOOKUP(A780,'Database Rates'!$A:$E,5,FALSE)=0,#N/A,VLOOKUP(A780,'Database Rates'!$A:$E,5,FALSE))</f>
        <v/>
      </c>
    </row>
    <row r="781">
      <c r="A781" s="40" t="n">
        <v>41791</v>
      </c>
      <c r="B781" s="21">
        <f>IF(VLOOKUP(A781,'Database Rates'!$A:$E,5,FALSE)=0,#N/A,VLOOKUP(A781,'Database Rates'!$A:$E,5,FALSE))</f>
        <v/>
      </c>
    </row>
    <row r="782">
      <c r="A782" s="40" t="n">
        <v>41821</v>
      </c>
      <c r="B782" s="21">
        <f>IF(VLOOKUP(A782,'Database Rates'!$A:$E,5,FALSE)=0,#N/A,VLOOKUP(A782,'Database Rates'!$A:$E,5,FALSE))</f>
        <v/>
      </c>
    </row>
    <row r="783">
      <c r="A783" s="40" t="n">
        <v>41852</v>
      </c>
      <c r="B783" s="21">
        <f>IF(VLOOKUP(A783,'Database Rates'!$A:$E,5,FALSE)=0,#N/A,VLOOKUP(A783,'Database Rates'!$A:$E,5,FALSE))</f>
        <v/>
      </c>
    </row>
    <row r="784">
      <c r="A784" s="40" t="n">
        <v>41883</v>
      </c>
      <c r="B784" s="21">
        <f>IF(VLOOKUP(A784,'Database Rates'!$A:$E,5,FALSE)=0,#N/A,VLOOKUP(A784,'Database Rates'!$A:$E,5,FALSE))</f>
        <v/>
      </c>
    </row>
    <row r="785">
      <c r="A785" s="40" t="n">
        <v>41913</v>
      </c>
      <c r="B785" s="21">
        <f>IF(VLOOKUP(A785,'Database Rates'!$A:$E,5,FALSE)=0,#N/A,VLOOKUP(A785,'Database Rates'!$A:$E,5,FALSE))</f>
        <v/>
      </c>
    </row>
    <row r="786">
      <c r="A786" s="40" t="n">
        <v>41944</v>
      </c>
      <c r="B786" s="21">
        <f>IF(VLOOKUP(A786,'Database Rates'!$A:$E,5,FALSE)=0,#N/A,VLOOKUP(A786,'Database Rates'!$A:$E,5,FALSE))</f>
        <v/>
      </c>
    </row>
    <row r="787">
      <c r="A787" s="40" t="n">
        <v>41974</v>
      </c>
      <c r="B787" s="21">
        <f>IF(VLOOKUP(A787,'Database Rates'!$A:$E,5,FALSE)=0,#N/A,VLOOKUP(A787,'Database Rates'!$A:$E,5,FALSE))</f>
        <v/>
      </c>
    </row>
    <row r="788">
      <c r="A788" s="40" t="n">
        <v>42005</v>
      </c>
      <c r="B788" s="21">
        <f>IF(VLOOKUP(A788,'Database Rates'!$A:$E,5,FALSE)=0,#N/A,VLOOKUP(A788,'Database Rates'!$A:$E,5,FALSE))</f>
        <v/>
      </c>
    </row>
    <row r="789">
      <c r="A789" s="40" t="n">
        <v>42036</v>
      </c>
      <c r="B789" s="21">
        <f>IF(VLOOKUP(A789,'Database Rates'!$A:$E,5,FALSE)=0,#N/A,VLOOKUP(A789,'Database Rates'!$A:$E,5,FALSE))</f>
        <v/>
      </c>
    </row>
    <row r="790">
      <c r="A790" s="40" t="n">
        <v>42064</v>
      </c>
      <c r="B790" s="21">
        <f>IF(VLOOKUP(A790,'Database Rates'!$A:$E,5,FALSE)=0,#N/A,VLOOKUP(A790,'Database Rates'!$A:$E,5,FALSE))</f>
        <v/>
      </c>
    </row>
    <row r="791">
      <c r="A791" s="40" t="n">
        <v>42095</v>
      </c>
      <c r="B791" s="21">
        <f>IF(VLOOKUP(A791,'Database Rates'!$A:$E,5,FALSE)=0,#N/A,VLOOKUP(A791,'Database Rates'!$A:$E,5,FALSE))</f>
        <v/>
      </c>
    </row>
    <row r="792">
      <c r="A792" s="40" t="n">
        <v>42125</v>
      </c>
      <c r="B792" s="21">
        <f>IF(VLOOKUP(A792,'Database Rates'!$A:$E,5,FALSE)=0,#N/A,VLOOKUP(A792,'Database Rates'!$A:$E,5,FALSE))</f>
        <v/>
      </c>
    </row>
    <row r="793">
      <c r="A793" s="40" t="n">
        <v>42156</v>
      </c>
      <c r="B793" s="21">
        <f>IF(VLOOKUP(A793,'Database Rates'!$A:$E,5,FALSE)=0,#N/A,VLOOKUP(A793,'Database Rates'!$A:$E,5,FALSE))</f>
        <v/>
      </c>
    </row>
    <row r="794">
      <c r="A794" s="40" t="n">
        <v>42186</v>
      </c>
      <c r="B794" s="21">
        <f>IF(VLOOKUP(A794,'Database Rates'!$A:$E,5,FALSE)=0,#N/A,VLOOKUP(A794,'Database Rates'!$A:$E,5,FALSE))</f>
        <v/>
      </c>
    </row>
    <row r="795">
      <c r="A795" s="40" t="n">
        <v>42217</v>
      </c>
      <c r="B795" s="21">
        <f>IF(VLOOKUP(A795,'Database Rates'!$A:$E,5,FALSE)=0,#N/A,VLOOKUP(A795,'Database Rates'!$A:$E,5,FALSE))</f>
        <v/>
      </c>
    </row>
    <row r="796">
      <c r="A796" s="40" t="n">
        <v>42248</v>
      </c>
      <c r="B796" s="21">
        <f>IF(VLOOKUP(A796,'Database Rates'!$A:$E,5,FALSE)=0,#N/A,VLOOKUP(A796,'Database Rates'!$A:$E,5,FALSE))</f>
        <v/>
      </c>
    </row>
    <row r="797">
      <c r="A797" s="40" t="n">
        <v>42278</v>
      </c>
      <c r="B797" s="21">
        <f>IF(VLOOKUP(A797,'Database Rates'!$A:$E,5,FALSE)=0,#N/A,VLOOKUP(A797,'Database Rates'!$A:$E,5,FALSE))</f>
        <v/>
      </c>
    </row>
    <row r="798">
      <c r="A798" s="40" t="n">
        <v>42309</v>
      </c>
      <c r="B798" s="21">
        <f>IF(VLOOKUP(A798,'Database Rates'!$A:$E,5,FALSE)=0,#N/A,VLOOKUP(A798,'Database Rates'!$A:$E,5,FALSE))</f>
        <v/>
      </c>
    </row>
    <row r="799">
      <c r="A799" s="40" t="n">
        <v>42339</v>
      </c>
      <c r="B799" s="21">
        <f>IF(VLOOKUP(A799,'Database Rates'!$A:$E,5,FALSE)=0,#N/A,VLOOKUP(A799,'Database Rates'!$A:$E,5,FALSE))</f>
        <v/>
      </c>
    </row>
    <row r="800">
      <c r="A800" s="40" t="n">
        <v>42370</v>
      </c>
      <c r="B800" s="21">
        <f>IF(VLOOKUP(A800,'Database Rates'!$A:$E,5,FALSE)=0,#N/A,VLOOKUP(A800,'Database Rates'!$A:$E,5,FALSE))</f>
        <v/>
      </c>
    </row>
    <row r="801">
      <c r="A801" s="40" t="n">
        <v>42401</v>
      </c>
      <c r="B801" s="21">
        <f>IF(VLOOKUP(A801,'Database Rates'!$A:$E,5,FALSE)=0,#N/A,VLOOKUP(A801,'Database Rates'!$A:$E,5,FALSE))</f>
        <v/>
      </c>
    </row>
    <row r="802">
      <c r="A802" s="40" t="n">
        <v>42430</v>
      </c>
      <c r="B802" s="21">
        <f>IF(VLOOKUP(A802,'Database Rates'!$A:$E,5,FALSE)=0,#N/A,VLOOKUP(A802,'Database Rates'!$A:$E,5,FALSE))</f>
        <v/>
      </c>
    </row>
    <row r="803">
      <c r="A803" s="40" t="n">
        <v>42461</v>
      </c>
      <c r="B803" s="21">
        <f>IF(VLOOKUP(A803,'Database Rates'!$A:$E,5,FALSE)=0,#N/A,VLOOKUP(A803,'Database Rates'!$A:$E,5,FALSE))</f>
        <v/>
      </c>
    </row>
    <row r="804">
      <c r="A804" s="40" t="n">
        <v>42491</v>
      </c>
      <c r="B804" s="21">
        <f>IF(VLOOKUP(A804,'Database Rates'!$A:$E,5,FALSE)=0,#N/A,VLOOKUP(A804,'Database Rates'!$A:$E,5,FALSE))</f>
        <v/>
      </c>
    </row>
    <row r="805">
      <c r="A805" s="40" t="n">
        <v>42522</v>
      </c>
      <c r="B805" s="21">
        <f>IF(VLOOKUP(A805,'Database Rates'!$A:$E,5,FALSE)=0,#N/A,VLOOKUP(A805,'Database Rates'!$A:$E,5,FALSE))</f>
        <v/>
      </c>
    </row>
    <row r="806">
      <c r="A806" s="40" t="n">
        <v>42552</v>
      </c>
      <c r="B806" s="21">
        <f>IF(VLOOKUP(A806,'Database Rates'!$A:$E,5,FALSE)=0,#N/A,VLOOKUP(A806,'Database Rates'!$A:$E,5,FALSE))</f>
        <v/>
      </c>
    </row>
    <row r="807">
      <c r="A807" s="40" t="n">
        <v>42583</v>
      </c>
      <c r="B807" s="21">
        <f>IF(VLOOKUP(A807,'Database Rates'!$A:$E,5,FALSE)=0,#N/A,VLOOKUP(A807,'Database Rates'!$A:$E,5,FALSE))</f>
        <v/>
      </c>
    </row>
    <row r="808">
      <c r="A808" s="40" t="n">
        <v>42614</v>
      </c>
      <c r="B808" s="21">
        <f>IF(VLOOKUP(A808,'Database Rates'!$A:$E,5,FALSE)=0,#N/A,VLOOKUP(A808,'Database Rates'!$A:$E,5,FALSE))</f>
        <v/>
      </c>
    </row>
    <row r="809">
      <c r="A809" s="40" t="n">
        <v>42644</v>
      </c>
      <c r="B809" s="21">
        <f>IF(VLOOKUP(A809,'Database Rates'!$A:$E,5,FALSE)=0,#N/A,VLOOKUP(A809,'Database Rates'!$A:$E,5,FALSE))</f>
        <v/>
      </c>
    </row>
    <row r="810">
      <c r="A810" s="40" t="n">
        <v>42675</v>
      </c>
      <c r="B810" s="21">
        <f>IF(VLOOKUP(A810,'Database Rates'!$A:$E,5,FALSE)=0,#N/A,VLOOKUP(A810,'Database Rates'!$A:$E,5,FALSE))</f>
        <v/>
      </c>
    </row>
    <row r="811">
      <c r="A811" s="40" t="n">
        <v>42705</v>
      </c>
      <c r="B811" s="21">
        <f>IF(VLOOKUP(A811,'Database Rates'!$A:$E,5,FALSE)=0,#N/A,VLOOKUP(A811,'Database Rates'!$A:$E,5,FALSE))</f>
        <v/>
      </c>
    </row>
    <row r="812">
      <c r="A812" s="40" t="n">
        <v>42736</v>
      </c>
      <c r="B812" s="21">
        <f>IF(VLOOKUP(A812,'Database Rates'!$A:$E,5,FALSE)=0,#N/A,VLOOKUP(A812,'Database Rates'!$A:$E,5,FALSE))</f>
        <v/>
      </c>
    </row>
    <row r="813">
      <c r="A813" s="40" t="n">
        <v>42767</v>
      </c>
      <c r="B813" s="21">
        <f>IF(VLOOKUP(A813,'Database Rates'!$A:$E,5,FALSE)=0,#N/A,VLOOKUP(A813,'Database Rates'!$A:$E,5,FALSE))</f>
        <v/>
      </c>
    </row>
    <row r="814">
      <c r="A814" s="40" t="n">
        <v>42795</v>
      </c>
      <c r="B814" s="21">
        <f>IF(VLOOKUP(A814,'Database Rates'!$A:$E,5,FALSE)=0,#N/A,VLOOKUP(A814,'Database Rates'!$A:$E,5,FALSE))</f>
        <v/>
      </c>
    </row>
    <row r="815">
      <c r="A815" s="40" t="n">
        <v>42826</v>
      </c>
      <c r="B815" s="21">
        <f>IF(VLOOKUP(A815,'Database Rates'!$A:$E,5,FALSE)=0,#N/A,VLOOKUP(A815,'Database Rates'!$A:$E,5,FALSE))</f>
        <v/>
      </c>
    </row>
    <row r="816">
      <c r="A816" s="40" t="n">
        <v>42856</v>
      </c>
      <c r="B816" s="21">
        <f>IF(VLOOKUP(A816,'Database Rates'!$A:$E,5,FALSE)=0,#N/A,VLOOKUP(A816,'Database Rates'!$A:$E,5,FALSE))</f>
        <v/>
      </c>
    </row>
    <row r="817">
      <c r="A817" s="40" t="n">
        <v>42887</v>
      </c>
      <c r="B817" s="21">
        <f>IF(VLOOKUP(A817,'Database Rates'!$A:$E,5,FALSE)=0,#N/A,VLOOKUP(A817,'Database Rates'!$A:$E,5,FALSE))</f>
        <v/>
      </c>
    </row>
    <row r="818">
      <c r="A818" s="40" t="n">
        <v>42917</v>
      </c>
      <c r="B818" s="21">
        <f>IF(VLOOKUP(A818,'Database Rates'!$A:$E,5,FALSE)=0,#N/A,VLOOKUP(A818,'Database Rates'!$A:$E,5,FALSE))</f>
        <v/>
      </c>
    </row>
    <row r="819">
      <c r="A819" s="40" t="n">
        <v>42948</v>
      </c>
      <c r="B819" s="21">
        <f>IF(VLOOKUP(A819,'Database Rates'!$A:$E,5,FALSE)=0,#N/A,VLOOKUP(A819,'Database Rates'!$A:$E,5,FALSE))</f>
        <v/>
      </c>
    </row>
    <row r="820">
      <c r="A820" s="40" t="n">
        <v>42979</v>
      </c>
      <c r="B820" s="21">
        <f>IF(VLOOKUP(A820,'Database Rates'!$A:$E,5,FALSE)=0,#N/A,VLOOKUP(A820,'Database Rates'!$A:$E,5,FALSE))</f>
        <v/>
      </c>
    </row>
    <row r="821">
      <c r="A821" s="40" t="n">
        <v>43009</v>
      </c>
      <c r="B821" s="21">
        <f>IF(VLOOKUP(A821,'Database Rates'!$A:$E,5,FALSE)=0,#N/A,VLOOKUP(A821,'Database Rates'!$A:$E,5,FALSE))</f>
        <v/>
      </c>
    </row>
    <row r="822">
      <c r="A822" s="40" t="n">
        <v>43040</v>
      </c>
      <c r="B822" s="21">
        <f>IF(VLOOKUP(A822,'Database Rates'!$A:$E,5,FALSE)=0,#N/A,VLOOKUP(A822,'Database Rates'!$A:$E,5,FALSE))</f>
        <v/>
      </c>
    </row>
    <row r="823">
      <c r="A823" s="40" t="n">
        <v>43070</v>
      </c>
      <c r="B823" s="21">
        <f>IF(VLOOKUP(A823,'Database Rates'!$A:$E,5,FALSE)=0,#N/A,VLOOKUP(A823,'Database Rates'!$A:$E,5,FALSE))</f>
        <v/>
      </c>
    </row>
    <row r="824">
      <c r="A824" s="40" t="n">
        <v>43101</v>
      </c>
      <c r="B824" s="21">
        <f>IF(VLOOKUP(A824,'Database Rates'!$A:$E,5,FALSE)=0,#N/A,VLOOKUP(A824,'Database Rates'!$A:$E,5,FALSE))</f>
        <v/>
      </c>
    </row>
    <row r="825">
      <c r="A825" s="40" t="n">
        <v>43132</v>
      </c>
      <c r="B825" s="21">
        <f>IF(VLOOKUP(A825,'Database Rates'!$A:$E,5,FALSE)=0,#N/A,VLOOKUP(A825,'Database Rates'!$A:$E,5,FALSE))</f>
        <v/>
      </c>
    </row>
    <row r="826">
      <c r="A826" s="40" t="n">
        <v>43160</v>
      </c>
      <c r="B826" s="21">
        <f>IF(VLOOKUP(A826,'Database Rates'!$A:$E,5,FALSE)=0,#N/A,VLOOKUP(A826,'Database Rates'!$A:$E,5,FALSE))</f>
        <v/>
      </c>
    </row>
    <row r="827">
      <c r="A827" s="40" t="n">
        <v>43191</v>
      </c>
      <c r="B827" s="21">
        <f>IF(VLOOKUP(A827,'Database Rates'!$A:$E,5,FALSE)=0,#N/A,VLOOKUP(A827,'Database Rates'!$A:$E,5,FALSE))</f>
        <v/>
      </c>
    </row>
    <row r="828">
      <c r="A828" s="40" t="n">
        <v>43221</v>
      </c>
      <c r="B828" s="21">
        <f>IF(VLOOKUP(A828,'Database Rates'!$A:$E,5,FALSE)=0,#N/A,VLOOKUP(A828,'Database Rates'!$A:$E,5,FALSE))</f>
        <v/>
      </c>
    </row>
    <row r="829">
      <c r="A829" s="40" t="n">
        <v>43252</v>
      </c>
      <c r="B829" s="21">
        <f>IF(VLOOKUP(A829,'Database Rates'!$A:$E,5,FALSE)=0,#N/A,VLOOKUP(A829,'Database Rates'!$A:$E,5,FALSE))</f>
        <v/>
      </c>
    </row>
    <row r="830">
      <c r="A830" s="40" t="n">
        <v>43282</v>
      </c>
      <c r="B830" s="21">
        <f>IF(VLOOKUP(A830,'Database Rates'!$A:$E,5,FALSE)=0,#N/A,VLOOKUP(A830,'Database Rates'!$A:$E,5,FALSE))</f>
        <v/>
      </c>
    </row>
    <row r="831">
      <c r="A831" s="40" t="n">
        <v>43313</v>
      </c>
      <c r="B831" s="21">
        <f>IF(VLOOKUP(A831,'Database Rates'!$A:$E,5,FALSE)=0,#N/A,VLOOKUP(A831,'Database Rates'!$A:$E,5,FALSE))</f>
        <v/>
      </c>
    </row>
    <row r="832">
      <c r="A832" s="40" t="n">
        <v>43344</v>
      </c>
      <c r="B832" s="21">
        <f>IF(VLOOKUP(A832,'Database Rates'!$A:$E,5,FALSE)=0,#N/A,VLOOKUP(A832,'Database Rates'!$A:$E,5,FALSE))</f>
        <v/>
      </c>
    </row>
    <row r="833">
      <c r="A833" s="40" t="n">
        <v>43374</v>
      </c>
      <c r="B833" s="21">
        <f>IF(VLOOKUP(A833,'Database Rates'!$A:$E,5,FALSE)=0,#N/A,VLOOKUP(A833,'Database Rates'!$A:$E,5,FALSE))</f>
        <v/>
      </c>
    </row>
    <row r="834">
      <c r="A834" s="40" t="n">
        <v>43405</v>
      </c>
      <c r="B834" s="21">
        <f>IF(VLOOKUP(A834,'Database Rates'!$A:$E,5,FALSE)=0,#N/A,VLOOKUP(A834,'Database Rates'!$A:$E,5,FALSE))</f>
        <v/>
      </c>
    </row>
    <row r="835">
      <c r="A835" s="40" t="n">
        <v>43435</v>
      </c>
      <c r="B835" s="21">
        <f>IF(VLOOKUP(A835,'Database Rates'!$A:$E,5,FALSE)=0,#N/A,VLOOKUP(A835,'Database Rates'!$A:$E,5,FALSE))</f>
        <v/>
      </c>
    </row>
    <row r="836">
      <c r="A836" s="40" t="n">
        <v>43466</v>
      </c>
      <c r="B836" s="21">
        <f>IF(VLOOKUP(A836,'Database Rates'!$A:$E,5,FALSE)=0,#N/A,VLOOKUP(A836,'Database Rates'!$A:$E,5,FALSE))</f>
        <v/>
      </c>
    </row>
    <row r="837">
      <c r="A837" s="40" t="n">
        <v>43497</v>
      </c>
      <c r="B837" s="21">
        <f>IF(VLOOKUP(A837,'Database Rates'!$A:$E,5,FALSE)=0,#N/A,VLOOKUP(A837,'Database Rates'!$A:$E,5,FALSE))</f>
        <v/>
      </c>
    </row>
    <row r="838">
      <c r="A838" s="40" t="n">
        <v>43525</v>
      </c>
      <c r="B838" s="21">
        <f>IF(VLOOKUP(A838,'Database Rates'!$A:$E,5,FALSE)=0,#N/A,VLOOKUP(A838,'Database Rates'!$A:$E,5,FALSE))</f>
        <v/>
      </c>
    </row>
    <row r="839">
      <c r="A839" s="40" t="n">
        <v>43556</v>
      </c>
      <c r="B839" s="21">
        <f>IF(VLOOKUP(A839,'Database Rates'!$A:$E,5,FALSE)=0,#N/A,VLOOKUP(A839,'Database Rates'!$A:$E,5,FALSE))</f>
        <v/>
      </c>
    </row>
    <row r="840">
      <c r="A840" s="40" t="n">
        <v>43586</v>
      </c>
      <c r="B840" s="21">
        <f>IF(VLOOKUP(A840,'Database Rates'!$A:$E,5,FALSE)=0,#N/A,VLOOKUP(A840,'Database Rates'!$A:$E,5,FALSE))</f>
        <v/>
      </c>
    </row>
    <row r="841">
      <c r="A841" s="40" t="n">
        <v>43617</v>
      </c>
      <c r="B841" s="21">
        <f>IF(VLOOKUP(A841,'Database Rates'!$A:$E,5,FALSE)=0,#N/A,VLOOKUP(A841,'Database Rates'!$A:$E,5,FALSE))</f>
        <v/>
      </c>
    </row>
    <row r="842">
      <c r="A842" s="40" t="n">
        <v>43647</v>
      </c>
      <c r="B842" s="21">
        <f>IF(VLOOKUP(A842,'Database Rates'!$A:$E,5,FALSE)=0,#N/A,VLOOKUP(A842,'Database Rates'!$A:$E,5,FALSE))</f>
        <v/>
      </c>
    </row>
    <row r="843">
      <c r="A843" s="40" t="n">
        <v>43678</v>
      </c>
      <c r="B843" s="21">
        <f>IF(VLOOKUP(A843,'Database Rates'!$A:$E,5,FALSE)=0,#N/A,VLOOKUP(A843,'Database Rates'!$A:$E,5,FALSE))</f>
        <v/>
      </c>
    </row>
    <row r="844">
      <c r="A844" s="40" t="n">
        <v>43709</v>
      </c>
      <c r="B844" s="21">
        <f>IF(VLOOKUP(A844,'Database Rates'!$A:$E,5,FALSE)=0,#N/A,VLOOKUP(A844,'Database Rates'!$A:$E,5,FALSE))</f>
        <v/>
      </c>
    </row>
    <row r="845">
      <c r="A845" s="40" t="n">
        <v>43739</v>
      </c>
      <c r="B845" s="21">
        <f>IF(VLOOKUP(A845,'Database Rates'!$A:$E,5,FALSE)=0,#N/A,VLOOKUP(A845,'Database Rates'!$A:$E,5,FALSE))</f>
        <v/>
      </c>
    </row>
    <row r="846">
      <c r="A846" s="40" t="n">
        <v>43770</v>
      </c>
      <c r="B846" s="21">
        <f>IF(VLOOKUP(A846,'Database Rates'!$A:$E,5,FALSE)=0,#N/A,VLOOKUP(A846,'Database Rates'!$A:$E,5,FALSE))</f>
        <v/>
      </c>
    </row>
    <row r="847">
      <c r="A847" s="40" t="n">
        <v>43800</v>
      </c>
      <c r="B847" s="21">
        <f>IF(VLOOKUP(A847,'Database Rates'!$A:$E,5,FALSE)=0,#N/A,VLOOKUP(A847,'Database Rates'!$A:$E,5,FALSE))</f>
        <v/>
      </c>
    </row>
    <row r="848">
      <c r="A848" s="40" t="n">
        <v>43831</v>
      </c>
      <c r="B848" s="21">
        <f>IF(VLOOKUP(A848,'Database Rates'!$A:$E,5,FALSE)=0,#N/A,VLOOKUP(A848,'Database Rates'!$A:$E,5,FALSE))</f>
        <v/>
      </c>
    </row>
    <row r="849">
      <c r="A849" s="40" t="n">
        <v>43862</v>
      </c>
      <c r="B849" s="21">
        <f>IF(VLOOKUP(A849,'Database Rates'!$A:$E,5,FALSE)=0,#N/A,VLOOKUP(A849,'Database Rates'!$A:$E,5,FALSE))</f>
        <v/>
      </c>
    </row>
    <row r="850">
      <c r="A850" s="41" t="n">
        <v>43891</v>
      </c>
      <c r="B850" s="21">
        <f>IF(VLOOKUP(A850,'Database Rates'!$A:$E,5,FALSE)=0,#N/A,VLOOKUP(A850,'Database Rates'!$A:$E,5,FALSE))</f>
        <v/>
      </c>
    </row>
    <row r="851">
      <c r="A851" s="40" t="n">
        <v>43922</v>
      </c>
      <c r="B851" s="21">
        <f>IF(VLOOKUP(A851,'Database Rates'!$A:$E,5,FALSE)=0,#N/A,VLOOKUP(A851,'Database Rates'!$A:$E,5,FALSE))</f>
        <v/>
      </c>
    </row>
    <row r="852">
      <c r="A852" s="41" t="n">
        <v>43952</v>
      </c>
      <c r="B852" s="21">
        <f>IF(VLOOKUP(A852,'Database Rates'!$A:$E,5,FALSE)=0,#N/A,VLOOKUP(A852,'Database Rates'!$A:$E,5,FALSE))</f>
        <v/>
      </c>
    </row>
    <row r="853">
      <c r="A853" s="40" t="n">
        <v>43983</v>
      </c>
      <c r="B853" s="21">
        <f>IF(VLOOKUP(A853,'Database Rates'!$A:$E,5,FALSE)=0,#N/A,VLOOKUP(A853,'Database Rates'!$A:$E,5,FALSE))</f>
        <v/>
      </c>
    </row>
    <row r="854">
      <c r="A854" s="41" t="n">
        <v>44013</v>
      </c>
      <c r="B854" s="21">
        <f>IF(VLOOKUP(A854,'Database Rates'!$A:$E,5,FALSE)=0,#N/A,VLOOKUP(A854,'Database Rates'!$A:$E,5,FALSE))</f>
        <v/>
      </c>
    </row>
    <row r="855">
      <c r="A855" s="40" t="n">
        <v>44044</v>
      </c>
      <c r="B855" s="21">
        <f>IF(VLOOKUP(A855,'Database Rates'!$A:$E,5,FALSE)=0,#N/A,VLOOKUP(A855,'Database Rates'!$A:$E,5,FALSE))</f>
        <v/>
      </c>
    </row>
    <row r="856">
      <c r="A856" s="41" t="n">
        <v>44075</v>
      </c>
      <c r="B856" s="21">
        <f>IF(VLOOKUP(A856,'Database Rates'!$A:$E,5,FALSE)=0,#N/A,VLOOKUP(A856,'Database Rates'!$A:$E,5,FALSE))</f>
        <v/>
      </c>
    </row>
    <row r="857">
      <c r="A857" s="40" t="n">
        <v>44105</v>
      </c>
      <c r="B857" s="21">
        <f>IF(VLOOKUP(A857,'Database Rates'!$A:$E,5,FALSE)=0,#N/A,VLOOKUP(A857,'Database Rates'!$A:$E,5,FALSE))</f>
        <v/>
      </c>
    </row>
    <row r="858">
      <c r="A858" s="41" t="n">
        <v>44136</v>
      </c>
      <c r="B858" s="21">
        <f>IF(VLOOKUP(A858,'Database Rates'!$A:$E,5,FALSE)=0,#N/A,VLOOKUP(A858,'Database Rates'!$A:$E,5,FALSE))</f>
        <v/>
      </c>
    </row>
    <row r="859">
      <c r="A859" s="40" t="n">
        <v>44166</v>
      </c>
      <c r="B859" s="21">
        <f>IF(VLOOKUP(A859,'Database Rates'!$A:$E,5,FALSE)=0,#N/A,VLOOKUP(A859,'Database Rates'!$A:$E,5,FALSE))</f>
        <v/>
      </c>
    </row>
    <row r="860">
      <c r="A860" s="41" t="n">
        <v>44197</v>
      </c>
      <c r="B860" s="21">
        <f>IF(VLOOKUP(A860,'Database Rates'!$A:$E,5,FALSE)=0,#N/A,VLOOKUP(A860,'Database Rates'!$A:$E,5,FALSE))</f>
        <v/>
      </c>
    </row>
    <row r="861">
      <c r="A861" s="40" t="n">
        <v>44228</v>
      </c>
      <c r="B861" s="21">
        <f>IF(VLOOKUP(A861,'Database Rates'!$A:$E,5,FALSE)=0,#N/A,VLOOKUP(A861,'Database Rates'!$A:$E,5,FALSE))</f>
        <v/>
      </c>
    </row>
    <row r="862">
      <c r="A862" s="41" t="n">
        <v>44256</v>
      </c>
      <c r="B862" s="21">
        <f>IF(VLOOKUP(A862,'Database Rates'!$A:$E,5,FALSE)=0,#N/A,VLOOKUP(A862,'Database Rates'!$A:$E,5,FALSE))</f>
        <v/>
      </c>
    </row>
    <row r="863">
      <c r="A863" s="41" t="n">
        <v>44287</v>
      </c>
      <c r="B863" s="21">
        <f>IF(VLOOKUP(A863,'Database Rates'!$A:$E,5,FALSE)=0,#N/A,VLOOKUP(A863,'Database Rates'!$A:$E,5,FALSE))</f>
        <v/>
      </c>
    </row>
    <row r="864">
      <c r="A864" s="40" t="n">
        <v>44317</v>
      </c>
      <c r="B864" s="21">
        <f>IF(VLOOKUP(A864,'Database Rates'!$A:$E,5,FALSE)=0,#N/A,VLOOKUP(A864,'Database Rates'!$A:$E,5,FALSE))</f>
        <v/>
      </c>
    </row>
    <row r="865">
      <c r="A865" s="41" t="n">
        <v>44348</v>
      </c>
      <c r="B865" s="21">
        <f>IF(VLOOKUP(A865,'Database Rates'!$A:$E,5,FALSE)=0,#N/A,VLOOKUP(A865,'Database Rates'!$A:$E,5,FALSE))</f>
        <v/>
      </c>
    </row>
    <row r="866">
      <c r="A866" s="40" t="n">
        <v>44378</v>
      </c>
      <c r="B866" s="21">
        <f>IF(VLOOKUP(A866,'Database Rates'!$A:$E,5,FALSE)=0,#N/A,VLOOKUP(A866,'Database Rates'!$A:$E,5,FALSE))</f>
        <v/>
      </c>
    </row>
    <row r="867">
      <c r="A867" s="41" t="n">
        <v>44409</v>
      </c>
      <c r="B867" s="21">
        <f>IF(VLOOKUP(A867,'Database Rates'!$A:$E,5,FALSE)=0,#N/A,VLOOKUP(A867,'Database Rates'!$A:$E,5,FALSE))</f>
        <v/>
      </c>
    </row>
    <row r="868">
      <c r="A868" s="41" t="n">
        <v>44440</v>
      </c>
      <c r="B868" s="21">
        <f>IF(VLOOKUP(A868,'Database Rates'!$A:$E,5,FALSE)=0,#N/A,VLOOKUP(A868,'Database Rates'!$A:$E,5,FALSE))</f>
        <v/>
      </c>
    </row>
    <row r="869">
      <c r="A869" s="40" t="n">
        <v>44470</v>
      </c>
      <c r="B869" s="21">
        <f>IF(VLOOKUP(A869,'Database Rates'!$A:$E,5,FALSE)=0,#N/A,VLOOKUP(A869,'Database Rates'!$A:$E,5,FALSE))</f>
        <v/>
      </c>
    </row>
    <row r="870">
      <c r="A870" s="41" t="n">
        <v>44501</v>
      </c>
      <c r="B870" s="21">
        <f>IF(VLOOKUP(A870,'Database Rates'!$A:$E,5,FALSE)=0,#N/A,VLOOKUP(A870,'Database Rates'!$A:$E,5,FALSE))</f>
        <v/>
      </c>
    </row>
    <row r="871">
      <c r="A871" s="40" t="n">
        <v>44531</v>
      </c>
      <c r="B871" s="21">
        <f>IF(VLOOKUP(A871,'Database Rates'!$A:$E,5,FALSE)=0,#N/A,VLOOKUP(A871,'Database Rates'!$A:$E,5,FALSE))</f>
        <v/>
      </c>
    </row>
    <row r="872">
      <c r="A872" s="41" t="n">
        <v>44562</v>
      </c>
      <c r="B872" s="21">
        <f>IF(VLOOKUP(A872,'Database Rates'!$A:$E,5,FALSE)=0,#N/A,VLOOKUP(A872,'Database Rates'!$A:$E,5,FALSE))</f>
        <v/>
      </c>
    </row>
    <row r="873">
      <c r="A873" s="41" t="n">
        <v>44593</v>
      </c>
      <c r="B873" s="21">
        <f>IF(VLOOKUP(A873,'Database Rates'!$A:$E,5,FALSE)=0,#N/A,VLOOKUP(A873,'Database Rates'!$A:$E,5,FALSE))</f>
        <v/>
      </c>
    </row>
    <row r="874">
      <c r="A874" s="40" t="n">
        <v>44621</v>
      </c>
      <c r="B874" s="21">
        <f>IF(VLOOKUP(A874,'Database Rates'!$A:$E,5,FALSE)=0,#N/A,VLOOKUP(A874,'Database Rates'!$A:$E,5,FALSE))</f>
        <v/>
      </c>
    </row>
    <row r="875">
      <c r="A875" s="41" t="n">
        <v>44652</v>
      </c>
      <c r="B875" s="21">
        <f>IF(VLOOKUP(A875,'Database Rates'!$A:$E,5,FALSE)=0,#N/A,VLOOKUP(A875,'Database Rates'!$A:$E,5,FALSE))</f>
        <v/>
      </c>
    </row>
    <row r="876">
      <c r="A876" s="40" t="n">
        <v>44682</v>
      </c>
      <c r="B876" s="21">
        <f>IF(VLOOKUP(A876,'Database Rates'!$A:$E,5,FALSE)=0,#N/A,VLOOKUP(A876,'Database Rates'!$A:$E,5,FALSE))</f>
        <v/>
      </c>
    </row>
    <row r="877">
      <c r="A877" s="41" t="n">
        <v>44713</v>
      </c>
      <c r="B877" s="21">
        <f>IF(VLOOKUP(A877,'Database Rates'!$A:$E,5,FALSE)=0,#N/A,VLOOKUP(A877,'Database Rates'!$A:$E,5,FALSE))</f>
        <v/>
      </c>
    </row>
    <row r="878">
      <c r="A878" s="40" t="n">
        <v>44743</v>
      </c>
      <c r="B878" s="21">
        <f>IF(VLOOKUP(A878,'Database Rates'!$A:$E,5,FALSE)=0,#N/A,VLOOKUP(A878,'Database Rates'!$A:$E,5,FALSE))</f>
        <v/>
      </c>
    </row>
    <row r="879">
      <c r="A879" s="41" t="n">
        <v>44774</v>
      </c>
      <c r="B879" s="21">
        <f>IF(VLOOKUP(A879,'Database Rates'!$A:$E,5,FALSE)=0,#N/A,VLOOKUP(A879,'Database Rates'!$A:$E,5,FALSE))</f>
        <v/>
      </c>
    </row>
    <row r="880">
      <c r="A880" s="40" t="n">
        <v>44805</v>
      </c>
      <c r="B880" s="21">
        <f>IF(VLOOKUP(A880,'Database Rates'!$A:$E,5,FALSE)=0,#N/A,VLOOKUP(A880,'Database Rates'!$A:$E,5,FALSE))</f>
        <v/>
      </c>
    </row>
    <row r="881">
      <c r="A881" s="40" t="n">
        <v>44835</v>
      </c>
      <c r="B881" s="21">
        <f>IF(VLOOKUP(A881,'Database Rates'!$A:$E,5,FALSE)=0,#N/A,VLOOKUP(A881,'Database Rates'!$A:$E,5,FALSE))</f>
        <v/>
      </c>
    </row>
    <row r="882">
      <c r="A882" s="41" t="n">
        <v>44866</v>
      </c>
      <c r="B882" s="21">
        <f>IF(VLOOKUP(A882,'Database Rates'!$A:$E,5,FALSE)=0,#N/A,VLOOKUP(A882,'Database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8"/>
  <sheetViews>
    <sheetView zoomScale="90" zoomScaleNormal="90" workbookViewId="0">
      <pane ySplit="7" topLeftCell="A816" activePane="bottomLeft" state="frozen"/>
      <selection pane="bottomLeft" activeCell="L833" sqref="L833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5" min="3" max="36"/>
    <col width="9.1796875" customWidth="1" style="55" min="37" max="16384"/>
  </cols>
  <sheetData>
    <row r="1">
      <c r="A1" s="2" t="inlineStr">
        <is>
          <t>https://fred.stlouisfed.org/series/FEDFUNDS</t>
        </is>
      </c>
      <c r="B1" s="3" t="n"/>
    </row>
    <row r="2">
      <c r="A2" s="51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Fed Funds Rate</t>
        </is>
      </c>
    </row>
    <row r="8">
      <c r="A8" s="39" t="n">
        <v>19906</v>
      </c>
      <c r="B8" s="21">
        <f>VLOOKUP(A8,'Database Rates'!$A:$D,3,FALSE)</f>
        <v/>
      </c>
    </row>
    <row r="9">
      <c r="A9" s="40" t="n">
        <v>19937</v>
      </c>
      <c r="B9" s="21">
        <f>VLOOKUP(A9,'Database Rates'!$A:$D,3,FALSE)</f>
        <v/>
      </c>
    </row>
    <row r="10">
      <c r="A10" s="40" t="n">
        <v>19968</v>
      </c>
      <c r="B10" s="21">
        <f>VLOOKUP(A10,'Database Rates'!$A:$D,3,FALSE)</f>
        <v/>
      </c>
    </row>
    <row r="11">
      <c r="A11" s="40" t="n">
        <v>19998</v>
      </c>
      <c r="B11" s="21">
        <f>VLOOKUP(A11,'Database Rates'!$A:$D,3,FALSE)</f>
        <v/>
      </c>
    </row>
    <row r="12">
      <c r="A12" s="40" t="n">
        <v>20029</v>
      </c>
      <c r="B12" s="21">
        <f>VLOOKUP(A12,'Database Rates'!$A:$D,3,FALSE)</f>
        <v/>
      </c>
    </row>
    <row r="13">
      <c r="A13" s="40" t="n">
        <v>20059</v>
      </c>
      <c r="B13" s="21">
        <f>VLOOKUP(A13,'Database Rates'!$A:$D,3,FALSE)</f>
        <v/>
      </c>
    </row>
    <row r="14">
      <c r="A14" s="40" t="n">
        <v>20090</v>
      </c>
      <c r="B14" s="21">
        <f>VLOOKUP(A14,'Database Rates'!$A:$D,3,FALSE)</f>
        <v/>
      </c>
    </row>
    <row r="15">
      <c r="A15" s="40" t="n">
        <v>20121</v>
      </c>
      <c r="B15" s="21">
        <f>VLOOKUP(A15,'Database Rates'!$A:$D,3,FALSE)</f>
        <v/>
      </c>
    </row>
    <row r="16">
      <c r="A16" s="40" t="n">
        <v>20149</v>
      </c>
      <c r="B16" s="21">
        <f>VLOOKUP(A16,'Database Rates'!$A:$D,3,FALSE)</f>
        <v/>
      </c>
    </row>
    <row r="17">
      <c r="A17" s="40" t="n">
        <v>20180</v>
      </c>
      <c r="B17" s="21">
        <f>VLOOKUP(A17,'Database Rates'!$A:$D,3,FALSE)</f>
        <v/>
      </c>
    </row>
    <row r="18">
      <c r="A18" s="40" t="n">
        <v>20210</v>
      </c>
      <c r="B18" s="21">
        <f>VLOOKUP(A18,'Database Rates'!$A:$D,3,FALSE)</f>
        <v/>
      </c>
    </row>
    <row r="19">
      <c r="A19" s="40" t="n">
        <v>20241</v>
      </c>
      <c r="B19" s="21">
        <f>VLOOKUP(A19,'Database Rates'!$A:$D,3,FALSE)</f>
        <v/>
      </c>
    </row>
    <row r="20">
      <c r="A20" s="40" t="n">
        <v>20271</v>
      </c>
      <c r="B20" s="21">
        <f>VLOOKUP(A20,'Database Rates'!$A:$D,3,FALSE)</f>
        <v/>
      </c>
    </row>
    <row r="21">
      <c r="A21" s="40" t="n">
        <v>20302</v>
      </c>
      <c r="B21" s="21">
        <f>VLOOKUP(A21,'Database Rates'!$A:$D,3,FALSE)</f>
        <v/>
      </c>
    </row>
    <row r="22">
      <c r="A22" s="40" t="n">
        <v>20333</v>
      </c>
      <c r="B22" s="21">
        <f>VLOOKUP(A22,'Database Rates'!$A:$D,3,FALSE)</f>
        <v/>
      </c>
    </row>
    <row r="23">
      <c r="A23" s="40" t="n">
        <v>20363</v>
      </c>
      <c r="B23" s="21">
        <f>VLOOKUP(A23,'Database Rates'!$A:$D,3,FALSE)</f>
        <v/>
      </c>
    </row>
    <row r="24">
      <c r="A24" s="40" t="n">
        <v>20394</v>
      </c>
      <c r="B24" s="21">
        <f>VLOOKUP(A24,'Database Rates'!$A:$D,3,FALSE)</f>
        <v/>
      </c>
    </row>
    <row r="25">
      <c r="A25" s="40" t="n">
        <v>20424</v>
      </c>
      <c r="B25" s="21">
        <f>VLOOKUP(A25,'Database Rates'!$A:$D,3,FALSE)</f>
        <v/>
      </c>
    </row>
    <row r="26">
      <c r="A26" s="40" t="n">
        <v>20455</v>
      </c>
      <c r="B26" s="21">
        <f>VLOOKUP(A26,'Database Rates'!$A:$D,3,FALSE)</f>
        <v/>
      </c>
    </row>
    <row r="27">
      <c r="A27" s="40" t="n">
        <v>20486</v>
      </c>
      <c r="B27" s="21">
        <f>VLOOKUP(A27,'Database Rates'!$A:$D,3,FALSE)</f>
        <v/>
      </c>
    </row>
    <row r="28">
      <c r="A28" s="40" t="n">
        <v>20515</v>
      </c>
      <c r="B28" s="21">
        <f>VLOOKUP(A28,'Database Rates'!$A:$D,3,FALSE)</f>
        <v/>
      </c>
    </row>
    <row r="29">
      <c r="A29" s="40" t="n">
        <v>20546</v>
      </c>
      <c r="B29" s="21">
        <f>VLOOKUP(A29,'Database Rates'!$A:$D,3,FALSE)</f>
        <v/>
      </c>
    </row>
    <row r="30">
      <c r="A30" s="40" t="n">
        <v>20576</v>
      </c>
      <c r="B30" s="21">
        <f>VLOOKUP(A30,'Database Rates'!$A:$D,3,FALSE)</f>
        <v/>
      </c>
    </row>
    <row r="31">
      <c r="A31" s="40" t="n">
        <v>20607</v>
      </c>
      <c r="B31" s="21">
        <f>VLOOKUP(A31,'Database Rates'!$A:$D,3,FALSE)</f>
        <v/>
      </c>
    </row>
    <row r="32">
      <c r="A32" s="40" t="n">
        <v>20637</v>
      </c>
      <c r="B32" s="21">
        <f>VLOOKUP(A32,'Database Rates'!$A:$D,3,FALSE)</f>
        <v/>
      </c>
    </row>
    <row r="33">
      <c r="A33" s="40" t="n">
        <v>20668</v>
      </c>
      <c r="B33" s="21">
        <f>VLOOKUP(A33,'Database Rates'!$A:$D,3,FALSE)</f>
        <v/>
      </c>
    </row>
    <row r="34">
      <c r="A34" s="40" t="n">
        <v>20699</v>
      </c>
      <c r="B34" s="21">
        <f>VLOOKUP(A34,'Database Rates'!$A:$D,3,FALSE)</f>
        <v/>
      </c>
    </row>
    <row r="35">
      <c r="A35" s="40" t="n">
        <v>20729</v>
      </c>
      <c r="B35" s="21">
        <f>VLOOKUP(A35,'Database Rates'!$A:$D,3,FALSE)</f>
        <v/>
      </c>
    </row>
    <row r="36">
      <c r="A36" s="40" t="n">
        <v>20760</v>
      </c>
      <c r="B36" s="21">
        <f>VLOOKUP(A36,'Database Rates'!$A:$D,3,FALSE)</f>
        <v/>
      </c>
    </row>
    <row r="37">
      <c r="A37" s="40" t="n">
        <v>20790</v>
      </c>
      <c r="B37" s="21">
        <f>VLOOKUP(A37,'Database Rates'!$A:$D,3,FALSE)</f>
        <v/>
      </c>
    </row>
    <row r="38">
      <c r="A38" s="40" t="n">
        <v>20821</v>
      </c>
      <c r="B38" s="21">
        <f>VLOOKUP(A38,'Database Rates'!$A:$D,3,FALSE)</f>
        <v/>
      </c>
    </row>
    <row r="39">
      <c r="A39" s="40" t="n">
        <v>20852</v>
      </c>
      <c r="B39" s="21">
        <f>VLOOKUP(A39,'Database Rates'!$A:$D,3,FALSE)</f>
        <v/>
      </c>
    </row>
    <row r="40">
      <c r="A40" s="40" t="n">
        <v>20880</v>
      </c>
      <c r="B40" s="21">
        <f>VLOOKUP(A40,'Database Rates'!$A:$D,3,FALSE)</f>
        <v/>
      </c>
    </row>
    <row r="41">
      <c r="A41" s="40" t="n">
        <v>20911</v>
      </c>
      <c r="B41" s="21">
        <f>VLOOKUP(A41,'Database Rates'!$A:$D,3,FALSE)</f>
        <v/>
      </c>
    </row>
    <row r="42">
      <c r="A42" s="40" t="n">
        <v>20941</v>
      </c>
      <c r="B42" s="21">
        <f>VLOOKUP(A42,'Database Rates'!$A:$D,3,FALSE)</f>
        <v/>
      </c>
    </row>
    <row r="43">
      <c r="A43" s="40" t="n">
        <v>20972</v>
      </c>
      <c r="B43" s="21">
        <f>VLOOKUP(A43,'Database Rates'!$A:$D,3,FALSE)</f>
        <v/>
      </c>
    </row>
    <row r="44">
      <c r="A44" s="40" t="n">
        <v>21002</v>
      </c>
      <c r="B44" s="21">
        <f>VLOOKUP(A44,'Database Rates'!$A:$D,3,FALSE)</f>
        <v/>
      </c>
    </row>
    <row r="45">
      <c r="A45" s="40" t="n">
        <v>21033</v>
      </c>
      <c r="B45" s="21">
        <f>VLOOKUP(A45,'Database Rates'!$A:$D,3,FALSE)</f>
        <v/>
      </c>
    </row>
    <row r="46">
      <c r="A46" s="40" t="n">
        <v>21064</v>
      </c>
      <c r="B46" s="21">
        <f>VLOOKUP(A46,'Database Rates'!$A:$D,3,FALSE)</f>
        <v/>
      </c>
    </row>
    <row r="47">
      <c r="A47" s="40" t="n">
        <v>21094</v>
      </c>
      <c r="B47" s="21">
        <f>VLOOKUP(A47,'Database Rates'!$A:$D,3,FALSE)</f>
        <v/>
      </c>
    </row>
    <row r="48">
      <c r="A48" s="40" t="n">
        <v>21125</v>
      </c>
      <c r="B48" s="21">
        <f>VLOOKUP(A48,'Database Rates'!$A:$D,3,FALSE)</f>
        <v/>
      </c>
    </row>
    <row r="49">
      <c r="A49" s="40" t="n">
        <v>21155</v>
      </c>
      <c r="B49" s="21">
        <f>VLOOKUP(A49,'Database Rates'!$A:$D,3,FALSE)</f>
        <v/>
      </c>
    </row>
    <row r="50">
      <c r="A50" s="40" t="n">
        <v>21186</v>
      </c>
      <c r="B50" s="21">
        <f>VLOOKUP(A50,'Database Rates'!$A:$D,3,FALSE)</f>
        <v/>
      </c>
    </row>
    <row r="51">
      <c r="A51" s="40" t="n">
        <v>21217</v>
      </c>
      <c r="B51" s="21">
        <f>VLOOKUP(A51,'Database Rates'!$A:$D,3,FALSE)</f>
        <v/>
      </c>
    </row>
    <row r="52">
      <c r="A52" s="40" t="n">
        <v>21245</v>
      </c>
      <c r="B52" s="21">
        <f>VLOOKUP(A52,'Database Rates'!$A:$D,3,FALSE)</f>
        <v/>
      </c>
    </row>
    <row r="53">
      <c r="A53" s="40" t="n">
        <v>21276</v>
      </c>
      <c r="B53" s="21">
        <f>VLOOKUP(A53,'Database Rates'!$A:$D,3,FALSE)</f>
        <v/>
      </c>
    </row>
    <row r="54">
      <c r="A54" s="40" t="n">
        <v>21306</v>
      </c>
      <c r="B54" s="21">
        <f>VLOOKUP(A54,'Database Rates'!$A:$D,3,FALSE)</f>
        <v/>
      </c>
    </row>
    <row r="55">
      <c r="A55" s="40" t="n">
        <v>21337</v>
      </c>
      <c r="B55" s="21">
        <f>VLOOKUP(A55,'Database Rates'!$A:$D,3,FALSE)</f>
        <v/>
      </c>
    </row>
    <row r="56">
      <c r="A56" s="40" t="n">
        <v>21367</v>
      </c>
      <c r="B56" s="21">
        <f>VLOOKUP(A56,'Database Rates'!$A:$D,3,FALSE)</f>
        <v/>
      </c>
    </row>
    <row r="57">
      <c r="A57" s="40" t="n">
        <v>21398</v>
      </c>
      <c r="B57" s="21">
        <f>VLOOKUP(A57,'Database Rates'!$A:$D,3,FALSE)</f>
        <v/>
      </c>
    </row>
    <row r="58">
      <c r="A58" s="40" t="n">
        <v>21429</v>
      </c>
      <c r="B58" s="21">
        <f>VLOOKUP(A58,'Database Rates'!$A:$D,3,FALSE)</f>
        <v/>
      </c>
    </row>
    <row r="59">
      <c r="A59" s="40" t="n">
        <v>21459</v>
      </c>
      <c r="B59" s="21">
        <f>VLOOKUP(A59,'Database Rates'!$A:$D,3,FALSE)</f>
        <v/>
      </c>
    </row>
    <row r="60">
      <c r="A60" s="40" t="n">
        <v>21490</v>
      </c>
      <c r="B60" s="21">
        <f>VLOOKUP(A60,'Database Rates'!$A:$D,3,FALSE)</f>
        <v/>
      </c>
    </row>
    <row r="61">
      <c r="A61" s="40" t="n">
        <v>21520</v>
      </c>
      <c r="B61" s="21">
        <f>VLOOKUP(A61,'Database Rates'!$A:$D,3,FALSE)</f>
        <v/>
      </c>
    </row>
    <row r="62">
      <c r="A62" s="40" t="n">
        <v>21551</v>
      </c>
      <c r="B62" s="21">
        <f>VLOOKUP(A62,'Database Rates'!$A:$D,3,FALSE)</f>
        <v/>
      </c>
    </row>
    <row r="63">
      <c r="A63" s="40" t="n">
        <v>21582</v>
      </c>
      <c r="B63" s="21">
        <f>VLOOKUP(A63,'Database Rates'!$A:$D,3,FALSE)</f>
        <v/>
      </c>
    </row>
    <row r="64">
      <c r="A64" s="40" t="n">
        <v>21610</v>
      </c>
      <c r="B64" s="21">
        <f>VLOOKUP(A64,'Database Rates'!$A:$D,3,FALSE)</f>
        <v/>
      </c>
    </row>
    <row r="65">
      <c r="A65" s="40" t="n">
        <v>21641</v>
      </c>
      <c r="B65" s="21">
        <f>VLOOKUP(A65,'Database Rates'!$A:$D,3,FALSE)</f>
        <v/>
      </c>
    </row>
    <row r="66">
      <c r="A66" s="40" t="n">
        <v>21671</v>
      </c>
      <c r="B66" s="21">
        <f>VLOOKUP(A66,'Database Rates'!$A:$D,3,FALSE)</f>
        <v/>
      </c>
    </row>
    <row r="67">
      <c r="A67" s="40" t="n">
        <v>21702</v>
      </c>
      <c r="B67" s="21">
        <f>VLOOKUP(A67,'Database Rates'!$A:$D,3,FALSE)</f>
        <v/>
      </c>
    </row>
    <row r="68">
      <c r="A68" s="40" t="n">
        <v>21732</v>
      </c>
      <c r="B68" s="21">
        <f>VLOOKUP(A68,'Database Rates'!$A:$D,3,FALSE)</f>
        <v/>
      </c>
    </row>
    <row r="69">
      <c r="A69" s="40" t="n">
        <v>21763</v>
      </c>
      <c r="B69" s="21">
        <f>VLOOKUP(A69,'Database Rates'!$A:$D,3,FALSE)</f>
        <v/>
      </c>
    </row>
    <row r="70">
      <c r="A70" s="40" t="n">
        <v>21794</v>
      </c>
      <c r="B70" s="21">
        <f>VLOOKUP(A70,'Database Rates'!$A:$D,3,FALSE)</f>
        <v/>
      </c>
    </row>
    <row r="71">
      <c r="A71" s="40" t="n">
        <v>21824</v>
      </c>
      <c r="B71" s="21">
        <f>VLOOKUP(A71,'Database Rates'!$A:$D,3,FALSE)</f>
        <v/>
      </c>
    </row>
    <row r="72">
      <c r="A72" s="40" t="n">
        <v>21855</v>
      </c>
      <c r="B72" s="21">
        <f>VLOOKUP(A72,'Database Rates'!$A:$D,3,FALSE)</f>
        <v/>
      </c>
    </row>
    <row r="73">
      <c r="A73" s="40" t="n">
        <v>21885</v>
      </c>
      <c r="B73" s="21">
        <f>VLOOKUP(A73,'Database Rates'!$A:$D,3,FALSE)</f>
        <v/>
      </c>
    </row>
    <row r="74">
      <c r="A74" s="40" t="n">
        <v>21916</v>
      </c>
      <c r="B74" s="21">
        <f>VLOOKUP(A74,'Database Rates'!$A:$D,3,FALSE)</f>
        <v/>
      </c>
    </row>
    <row r="75">
      <c r="A75" s="40" t="n">
        <v>21947</v>
      </c>
      <c r="B75" s="21">
        <f>VLOOKUP(A75,'Database Rates'!$A:$D,3,FALSE)</f>
        <v/>
      </c>
    </row>
    <row r="76">
      <c r="A76" s="40" t="n">
        <v>21976</v>
      </c>
      <c r="B76" s="21">
        <f>VLOOKUP(A76,'Database Rates'!$A:$D,3,FALSE)</f>
        <v/>
      </c>
    </row>
    <row r="77">
      <c r="A77" s="40" t="n">
        <v>22007</v>
      </c>
      <c r="B77" s="21">
        <f>VLOOKUP(A77,'Database Rates'!$A:$D,3,FALSE)</f>
        <v/>
      </c>
    </row>
    <row r="78">
      <c r="A78" s="40" t="n">
        <v>22037</v>
      </c>
      <c r="B78" s="21">
        <f>VLOOKUP(A78,'Database Rates'!$A:$D,3,FALSE)</f>
        <v/>
      </c>
    </row>
    <row r="79">
      <c r="A79" s="40" t="n">
        <v>22068</v>
      </c>
      <c r="B79" s="21">
        <f>VLOOKUP(A79,'Database Rates'!$A:$D,3,FALSE)</f>
        <v/>
      </c>
    </row>
    <row r="80">
      <c r="A80" s="40" t="n">
        <v>22098</v>
      </c>
      <c r="B80" s="21">
        <f>VLOOKUP(A80,'Database Rates'!$A:$D,3,FALSE)</f>
        <v/>
      </c>
    </row>
    <row r="81">
      <c r="A81" s="40" t="n">
        <v>22129</v>
      </c>
      <c r="B81" s="21">
        <f>VLOOKUP(A81,'Database Rates'!$A:$D,3,FALSE)</f>
        <v/>
      </c>
    </row>
    <row r="82">
      <c r="A82" s="40" t="n">
        <v>22160</v>
      </c>
      <c r="B82" s="21">
        <f>VLOOKUP(A82,'Database Rates'!$A:$D,3,FALSE)</f>
        <v/>
      </c>
    </row>
    <row r="83">
      <c r="A83" s="40" t="n">
        <v>22190</v>
      </c>
      <c r="B83" s="21">
        <f>VLOOKUP(A83,'Database Rates'!$A:$D,3,FALSE)</f>
        <v/>
      </c>
    </row>
    <row r="84">
      <c r="A84" s="40" t="n">
        <v>22221</v>
      </c>
      <c r="B84" s="21">
        <f>VLOOKUP(A84,'Database Rates'!$A:$D,3,FALSE)</f>
        <v/>
      </c>
    </row>
    <row r="85">
      <c r="A85" s="40" t="n">
        <v>22251</v>
      </c>
      <c r="B85" s="21">
        <f>VLOOKUP(A85,'Database Rates'!$A:$D,3,FALSE)</f>
        <v/>
      </c>
    </row>
    <row r="86">
      <c r="A86" s="40" t="n">
        <v>22282</v>
      </c>
      <c r="B86" s="21">
        <f>VLOOKUP(A86,'Database Rates'!$A:$D,3,FALSE)</f>
        <v/>
      </c>
    </row>
    <row r="87">
      <c r="A87" s="40" t="n">
        <v>22313</v>
      </c>
      <c r="B87" s="21">
        <f>VLOOKUP(A87,'Database Rates'!$A:$D,3,FALSE)</f>
        <v/>
      </c>
    </row>
    <row r="88">
      <c r="A88" s="40" t="n">
        <v>22341</v>
      </c>
      <c r="B88" s="21">
        <f>VLOOKUP(A88,'Database Rates'!$A:$D,3,FALSE)</f>
        <v/>
      </c>
    </row>
    <row r="89">
      <c r="A89" s="40" t="n">
        <v>22372</v>
      </c>
      <c r="B89" s="21">
        <f>VLOOKUP(A89,'Database Rates'!$A:$D,3,FALSE)</f>
        <v/>
      </c>
    </row>
    <row r="90">
      <c r="A90" s="40" t="n">
        <v>22402</v>
      </c>
      <c r="B90" s="21">
        <f>VLOOKUP(A90,'Database Rates'!$A:$D,3,FALSE)</f>
        <v/>
      </c>
    </row>
    <row r="91">
      <c r="A91" s="40" t="n">
        <v>22433</v>
      </c>
      <c r="B91" s="21">
        <f>VLOOKUP(A91,'Database Rates'!$A:$D,3,FALSE)</f>
        <v/>
      </c>
    </row>
    <row r="92">
      <c r="A92" s="40" t="n">
        <v>22463</v>
      </c>
      <c r="B92" s="21">
        <f>VLOOKUP(A92,'Database Rates'!$A:$D,3,FALSE)</f>
        <v/>
      </c>
    </row>
    <row r="93">
      <c r="A93" s="40" t="n">
        <v>22494</v>
      </c>
      <c r="B93" s="21">
        <f>VLOOKUP(A93,'Database Rates'!$A:$D,3,FALSE)</f>
        <v/>
      </c>
    </row>
    <row r="94">
      <c r="A94" s="40" t="n">
        <v>22525</v>
      </c>
      <c r="B94" s="21">
        <f>VLOOKUP(A94,'Database Rates'!$A:$D,3,FALSE)</f>
        <v/>
      </c>
    </row>
    <row r="95">
      <c r="A95" s="40" t="n">
        <v>22555</v>
      </c>
      <c r="B95" s="21">
        <f>VLOOKUP(A95,'Database Rates'!$A:$D,3,FALSE)</f>
        <v/>
      </c>
    </row>
    <row r="96">
      <c r="A96" s="40" t="n">
        <v>22586</v>
      </c>
      <c r="B96" s="21">
        <f>VLOOKUP(A96,'Database Rates'!$A:$D,3,FALSE)</f>
        <v/>
      </c>
    </row>
    <row r="97">
      <c r="A97" s="40" t="n">
        <v>22616</v>
      </c>
      <c r="B97" s="21">
        <f>VLOOKUP(A97,'Database Rates'!$A:$D,3,FALSE)</f>
        <v/>
      </c>
    </row>
    <row r="98">
      <c r="A98" s="40" t="n">
        <v>22647</v>
      </c>
      <c r="B98" s="21">
        <f>VLOOKUP(A98,'Database Rates'!$A:$D,3,FALSE)</f>
        <v/>
      </c>
    </row>
    <row r="99">
      <c r="A99" s="40" t="n">
        <v>22678</v>
      </c>
      <c r="B99" s="21">
        <f>VLOOKUP(A99,'Database Rates'!$A:$D,3,FALSE)</f>
        <v/>
      </c>
    </row>
    <row r="100">
      <c r="A100" s="40" t="n">
        <v>22706</v>
      </c>
      <c r="B100" s="21">
        <f>VLOOKUP(A100,'Database Rates'!$A:$D,3,FALSE)</f>
        <v/>
      </c>
    </row>
    <row r="101">
      <c r="A101" s="40" t="n">
        <v>22737</v>
      </c>
      <c r="B101" s="21">
        <f>VLOOKUP(A101,'Database Rates'!$A:$D,3,FALSE)</f>
        <v/>
      </c>
    </row>
    <row r="102">
      <c r="A102" s="40" t="n">
        <v>22767</v>
      </c>
      <c r="B102" s="21">
        <f>VLOOKUP(A102,'Database Rates'!$A:$D,3,FALSE)</f>
        <v/>
      </c>
    </row>
    <row r="103">
      <c r="A103" s="40" t="n">
        <v>22798</v>
      </c>
      <c r="B103" s="21">
        <f>VLOOKUP(A103,'Database Rates'!$A:$D,3,FALSE)</f>
        <v/>
      </c>
    </row>
    <row r="104">
      <c r="A104" s="40" t="n">
        <v>22828</v>
      </c>
      <c r="B104" s="21">
        <f>VLOOKUP(A104,'Database Rates'!$A:$D,3,FALSE)</f>
        <v/>
      </c>
    </row>
    <row r="105">
      <c r="A105" s="40" t="n">
        <v>22859</v>
      </c>
      <c r="B105" s="21">
        <f>VLOOKUP(A105,'Database Rates'!$A:$D,3,FALSE)</f>
        <v/>
      </c>
    </row>
    <row r="106">
      <c r="A106" s="40" t="n">
        <v>22890</v>
      </c>
      <c r="B106" s="21">
        <f>VLOOKUP(A106,'Database Rates'!$A:$D,3,FALSE)</f>
        <v/>
      </c>
    </row>
    <row r="107">
      <c r="A107" s="40" t="n">
        <v>22920</v>
      </c>
      <c r="B107" s="21">
        <f>VLOOKUP(A107,'Database Rates'!$A:$D,3,FALSE)</f>
        <v/>
      </c>
    </row>
    <row r="108">
      <c r="A108" s="40" t="n">
        <v>22951</v>
      </c>
      <c r="B108" s="21">
        <f>VLOOKUP(A108,'Database Rates'!$A:$D,3,FALSE)</f>
        <v/>
      </c>
    </row>
    <row r="109">
      <c r="A109" s="40" t="n">
        <v>22981</v>
      </c>
      <c r="B109" s="21">
        <f>VLOOKUP(A109,'Database Rates'!$A:$D,3,FALSE)</f>
        <v/>
      </c>
    </row>
    <row r="110">
      <c r="A110" s="40" t="n">
        <v>23012</v>
      </c>
      <c r="B110" s="21">
        <f>VLOOKUP(A110,'Database Rates'!$A:$D,3,FALSE)</f>
        <v/>
      </c>
    </row>
    <row r="111">
      <c r="A111" s="40" t="n">
        <v>23043</v>
      </c>
      <c r="B111" s="21">
        <f>VLOOKUP(A111,'Database Rates'!$A:$D,3,FALSE)</f>
        <v/>
      </c>
    </row>
    <row r="112">
      <c r="A112" s="40" t="n">
        <v>23071</v>
      </c>
      <c r="B112" s="21">
        <f>VLOOKUP(A112,'Database Rates'!$A:$D,3,FALSE)</f>
        <v/>
      </c>
    </row>
    <row r="113">
      <c r="A113" s="40" t="n">
        <v>23102</v>
      </c>
      <c r="B113" s="21">
        <f>VLOOKUP(A113,'Database Rates'!$A:$D,3,FALSE)</f>
        <v/>
      </c>
    </row>
    <row r="114">
      <c r="A114" s="40" t="n">
        <v>23132</v>
      </c>
      <c r="B114" s="21">
        <f>VLOOKUP(A114,'Database Rates'!$A:$D,3,FALSE)</f>
        <v/>
      </c>
    </row>
    <row r="115">
      <c r="A115" s="40" t="n">
        <v>23163</v>
      </c>
      <c r="B115" s="21">
        <f>VLOOKUP(A115,'Database Rates'!$A:$D,3,FALSE)</f>
        <v/>
      </c>
    </row>
    <row r="116">
      <c r="A116" s="40" t="n">
        <v>23193</v>
      </c>
      <c r="B116" s="21">
        <f>VLOOKUP(A116,'Database Rates'!$A:$D,3,FALSE)</f>
        <v/>
      </c>
    </row>
    <row r="117">
      <c r="A117" s="40" t="n">
        <v>23224</v>
      </c>
      <c r="B117" s="21">
        <f>VLOOKUP(A117,'Database Rates'!$A:$D,3,FALSE)</f>
        <v/>
      </c>
    </row>
    <row r="118">
      <c r="A118" s="40" t="n">
        <v>23255</v>
      </c>
      <c r="B118" s="21">
        <f>VLOOKUP(A118,'Database Rates'!$A:$D,3,FALSE)</f>
        <v/>
      </c>
    </row>
    <row r="119">
      <c r="A119" s="40" t="n">
        <v>23285</v>
      </c>
      <c r="B119" s="21">
        <f>VLOOKUP(A119,'Database Rates'!$A:$D,3,FALSE)</f>
        <v/>
      </c>
    </row>
    <row r="120">
      <c r="A120" s="40" t="n">
        <v>23316</v>
      </c>
      <c r="B120" s="21">
        <f>VLOOKUP(A120,'Database Rates'!$A:$D,3,FALSE)</f>
        <v/>
      </c>
    </row>
    <row r="121">
      <c r="A121" s="40" t="n">
        <v>23346</v>
      </c>
      <c r="B121" s="21">
        <f>VLOOKUP(A121,'Database Rates'!$A:$D,3,FALSE)</f>
        <v/>
      </c>
    </row>
    <row r="122">
      <c r="A122" s="40" t="n">
        <v>23377</v>
      </c>
      <c r="B122" s="21">
        <f>VLOOKUP(A122,'Database Rates'!$A:$D,3,FALSE)</f>
        <v/>
      </c>
    </row>
    <row r="123">
      <c r="A123" s="40" t="n">
        <v>23408</v>
      </c>
      <c r="B123" s="21">
        <f>VLOOKUP(A123,'Database Rates'!$A:$D,3,FALSE)</f>
        <v/>
      </c>
    </row>
    <row r="124">
      <c r="A124" s="40" t="n">
        <v>23437</v>
      </c>
      <c r="B124" s="21">
        <f>VLOOKUP(A124,'Database Rates'!$A:$D,3,FALSE)</f>
        <v/>
      </c>
    </row>
    <row r="125">
      <c r="A125" s="40" t="n">
        <v>23468</v>
      </c>
      <c r="B125" s="21">
        <f>VLOOKUP(A125,'Database Rates'!$A:$D,3,FALSE)</f>
        <v/>
      </c>
    </row>
    <row r="126">
      <c r="A126" s="40" t="n">
        <v>23498</v>
      </c>
      <c r="B126" s="21">
        <f>VLOOKUP(A126,'Database Rates'!$A:$D,3,FALSE)</f>
        <v/>
      </c>
    </row>
    <row r="127">
      <c r="A127" s="40" t="n">
        <v>23529</v>
      </c>
      <c r="B127" s="21">
        <f>VLOOKUP(A127,'Database Rates'!$A:$D,3,FALSE)</f>
        <v/>
      </c>
    </row>
    <row r="128">
      <c r="A128" s="40" t="n">
        <v>23559</v>
      </c>
      <c r="B128" s="21">
        <f>VLOOKUP(A128,'Database Rates'!$A:$D,3,FALSE)</f>
        <v/>
      </c>
    </row>
    <row r="129">
      <c r="A129" s="40" t="n">
        <v>23590</v>
      </c>
      <c r="B129" s="21">
        <f>VLOOKUP(A129,'Database Rates'!$A:$D,3,FALSE)</f>
        <v/>
      </c>
    </row>
    <row r="130">
      <c r="A130" s="40" t="n">
        <v>23621</v>
      </c>
      <c r="B130" s="21">
        <f>VLOOKUP(A130,'Database Rates'!$A:$D,3,FALSE)</f>
        <v/>
      </c>
    </row>
    <row r="131">
      <c r="A131" s="40" t="n">
        <v>23651</v>
      </c>
      <c r="B131" s="21">
        <f>VLOOKUP(A131,'Database Rates'!$A:$D,3,FALSE)</f>
        <v/>
      </c>
    </row>
    <row r="132">
      <c r="A132" s="40" t="n">
        <v>23682</v>
      </c>
      <c r="B132" s="21">
        <f>VLOOKUP(A132,'Database Rates'!$A:$D,3,FALSE)</f>
        <v/>
      </c>
    </row>
    <row r="133">
      <c r="A133" s="40" t="n">
        <v>23712</v>
      </c>
      <c r="B133" s="21">
        <f>VLOOKUP(A133,'Database Rates'!$A:$D,3,FALSE)</f>
        <v/>
      </c>
    </row>
    <row r="134">
      <c r="A134" s="40" t="n">
        <v>23743</v>
      </c>
      <c r="B134" s="21">
        <f>VLOOKUP(A134,'Database Rates'!$A:$D,3,FALSE)</f>
        <v/>
      </c>
    </row>
    <row r="135">
      <c r="A135" s="40" t="n">
        <v>23774</v>
      </c>
      <c r="B135" s="21">
        <f>VLOOKUP(A135,'Database Rates'!$A:$D,3,FALSE)</f>
        <v/>
      </c>
    </row>
    <row r="136">
      <c r="A136" s="40" t="n">
        <v>23802</v>
      </c>
      <c r="B136" s="21">
        <f>VLOOKUP(A136,'Database Rates'!$A:$D,3,FALSE)</f>
        <v/>
      </c>
    </row>
    <row r="137">
      <c r="A137" s="40" t="n">
        <v>23833</v>
      </c>
      <c r="B137" s="21">
        <f>VLOOKUP(A137,'Database Rates'!$A:$D,3,FALSE)</f>
        <v/>
      </c>
    </row>
    <row r="138">
      <c r="A138" s="40" t="n">
        <v>23863</v>
      </c>
      <c r="B138" s="21">
        <f>VLOOKUP(A138,'Database Rates'!$A:$D,3,FALSE)</f>
        <v/>
      </c>
    </row>
    <row r="139">
      <c r="A139" s="40" t="n">
        <v>23894</v>
      </c>
      <c r="B139" s="21">
        <f>VLOOKUP(A139,'Database Rates'!$A:$D,3,FALSE)</f>
        <v/>
      </c>
    </row>
    <row r="140">
      <c r="A140" s="40" t="n">
        <v>23924</v>
      </c>
      <c r="B140" s="21">
        <f>VLOOKUP(A140,'Database Rates'!$A:$D,3,FALSE)</f>
        <v/>
      </c>
    </row>
    <row r="141">
      <c r="A141" s="40" t="n">
        <v>23955</v>
      </c>
      <c r="B141" s="21">
        <f>VLOOKUP(A141,'Database Rates'!$A:$D,3,FALSE)</f>
        <v/>
      </c>
    </row>
    <row r="142">
      <c r="A142" s="40" t="n">
        <v>23986</v>
      </c>
      <c r="B142" s="21">
        <f>VLOOKUP(A142,'Database Rates'!$A:$D,3,FALSE)</f>
        <v/>
      </c>
    </row>
    <row r="143">
      <c r="A143" s="40" t="n">
        <v>24016</v>
      </c>
      <c r="B143" s="21">
        <f>VLOOKUP(A143,'Database Rates'!$A:$D,3,FALSE)</f>
        <v/>
      </c>
    </row>
    <row r="144">
      <c r="A144" s="40" t="n">
        <v>24047</v>
      </c>
      <c r="B144" s="21">
        <f>VLOOKUP(A144,'Database Rates'!$A:$D,3,FALSE)</f>
        <v/>
      </c>
    </row>
    <row r="145">
      <c r="A145" s="40" t="n">
        <v>24077</v>
      </c>
      <c r="B145" s="21">
        <f>VLOOKUP(A145,'Database Rates'!$A:$D,3,FALSE)</f>
        <v/>
      </c>
    </row>
    <row r="146">
      <c r="A146" s="40" t="n">
        <v>24108</v>
      </c>
      <c r="B146" s="21">
        <f>VLOOKUP(A146,'Database Rates'!$A:$D,3,FALSE)</f>
        <v/>
      </c>
    </row>
    <row r="147">
      <c r="A147" s="40" t="n">
        <v>24139</v>
      </c>
      <c r="B147" s="21">
        <f>VLOOKUP(A147,'Database Rates'!$A:$D,3,FALSE)</f>
        <v/>
      </c>
    </row>
    <row r="148">
      <c r="A148" s="40" t="n">
        <v>24167</v>
      </c>
      <c r="B148" s="21">
        <f>VLOOKUP(A148,'Database Rates'!$A:$D,3,FALSE)</f>
        <v/>
      </c>
    </row>
    <row r="149">
      <c r="A149" s="40" t="n">
        <v>24198</v>
      </c>
      <c r="B149" s="21">
        <f>VLOOKUP(A149,'Database Rates'!$A:$D,3,FALSE)</f>
        <v/>
      </c>
    </row>
    <row r="150">
      <c r="A150" s="40" t="n">
        <v>24228</v>
      </c>
      <c r="B150" s="21">
        <f>VLOOKUP(A150,'Database Rates'!$A:$D,3,FALSE)</f>
        <v/>
      </c>
    </row>
    <row r="151">
      <c r="A151" s="40" t="n">
        <v>24259</v>
      </c>
      <c r="B151" s="21">
        <f>VLOOKUP(A151,'Database Rates'!$A:$D,3,FALSE)</f>
        <v/>
      </c>
    </row>
    <row r="152">
      <c r="A152" s="40" t="n">
        <v>24289</v>
      </c>
      <c r="B152" s="21">
        <f>VLOOKUP(A152,'Database Rates'!$A:$D,3,FALSE)</f>
        <v/>
      </c>
    </row>
    <row r="153">
      <c r="A153" s="40" t="n">
        <v>24320</v>
      </c>
      <c r="B153" s="21">
        <f>VLOOKUP(A153,'Database Rates'!$A:$D,3,FALSE)</f>
        <v/>
      </c>
    </row>
    <row r="154">
      <c r="A154" s="40" t="n">
        <v>24351</v>
      </c>
      <c r="B154" s="21">
        <f>VLOOKUP(A154,'Database Rates'!$A:$D,3,FALSE)</f>
        <v/>
      </c>
    </row>
    <row r="155">
      <c r="A155" s="40" t="n">
        <v>24381</v>
      </c>
      <c r="B155" s="21">
        <f>VLOOKUP(A155,'Database Rates'!$A:$D,3,FALSE)</f>
        <v/>
      </c>
    </row>
    <row r="156">
      <c r="A156" s="40" t="n">
        <v>24412</v>
      </c>
      <c r="B156" s="21">
        <f>VLOOKUP(A156,'Database Rates'!$A:$D,3,FALSE)</f>
        <v/>
      </c>
    </row>
    <row r="157">
      <c r="A157" s="40" t="n">
        <v>24442</v>
      </c>
      <c r="B157" s="21">
        <f>VLOOKUP(A157,'Database Rates'!$A:$D,3,FALSE)</f>
        <v/>
      </c>
    </row>
    <row r="158">
      <c r="A158" s="40" t="n">
        <v>24473</v>
      </c>
      <c r="B158" s="21">
        <f>VLOOKUP(A158,'Database Rates'!$A:$D,3,FALSE)</f>
        <v/>
      </c>
    </row>
    <row r="159">
      <c r="A159" s="40" t="n">
        <v>24504</v>
      </c>
      <c r="B159" s="21">
        <f>VLOOKUP(A159,'Database Rates'!$A:$D,3,FALSE)</f>
        <v/>
      </c>
    </row>
    <row r="160">
      <c r="A160" s="40" t="n">
        <v>24532</v>
      </c>
      <c r="B160" s="21">
        <f>VLOOKUP(A160,'Database Rates'!$A:$D,3,FALSE)</f>
        <v/>
      </c>
    </row>
    <row r="161">
      <c r="A161" s="40" t="n">
        <v>24563</v>
      </c>
      <c r="B161" s="21">
        <f>VLOOKUP(A161,'Database Rates'!$A:$D,3,FALSE)</f>
        <v/>
      </c>
    </row>
    <row r="162">
      <c r="A162" s="40" t="n">
        <v>24593</v>
      </c>
      <c r="B162" s="21">
        <f>VLOOKUP(A162,'Database Rates'!$A:$D,3,FALSE)</f>
        <v/>
      </c>
    </row>
    <row r="163">
      <c r="A163" s="40" t="n">
        <v>24624</v>
      </c>
      <c r="B163" s="21">
        <f>VLOOKUP(A163,'Database Rates'!$A:$D,3,FALSE)</f>
        <v/>
      </c>
    </row>
    <row r="164">
      <c r="A164" s="40" t="n">
        <v>24654</v>
      </c>
      <c r="B164" s="21">
        <f>VLOOKUP(A164,'Database Rates'!$A:$D,3,FALSE)</f>
        <v/>
      </c>
    </row>
    <row r="165">
      <c r="A165" s="40" t="n">
        <v>24685</v>
      </c>
      <c r="B165" s="21">
        <f>VLOOKUP(A165,'Database Rates'!$A:$D,3,FALSE)</f>
        <v/>
      </c>
    </row>
    <row r="166">
      <c r="A166" s="40" t="n">
        <v>24716</v>
      </c>
      <c r="B166" s="21">
        <f>VLOOKUP(A166,'Database Rates'!$A:$D,3,FALSE)</f>
        <v/>
      </c>
    </row>
    <row r="167">
      <c r="A167" s="40" t="n">
        <v>24746</v>
      </c>
      <c r="B167" s="21">
        <f>VLOOKUP(A167,'Database Rates'!$A:$D,3,FALSE)</f>
        <v/>
      </c>
    </row>
    <row r="168">
      <c r="A168" s="40" t="n">
        <v>24777</v>
      </c>
      <c r="B168" s="21">
        <f>VLOOKUP(A168,'Database Rates'!$A:$D,3,FALSE)</f>
        <v/>
      </c>
    </row>
    <row r="169">
      <c r="A169" s="40" t="n">
        <v>24807</v>
      </c>
      <c r="B169" s="21">
        <f>VLOOKUP(A169,'Database Rates'!$A:$D,3,FALSE)</f>
        <v/>
      </c>
    </row>
    <row r="170">
      <c r="A170" s="40" t="n">
        <v>24838</v>
      </c>
      <c r="B170" s="21">
        <f>VLOOKUP(A170,'Database Rates'!$A:$D,3,FALSE)</f>
        <v/>
      </c>
    </row>
    <row r="171">
      <c r="A171" s="40" t="n">
        <v>24869</v>
      </c>
      <c r="B171" s="21">
        <f>VLOOKUP(A171,'Database Rates'!$A:$D,3,FALSE)</f>
        <v/>
      </c>
    </row>
    <row r="172">
      <c r="A172" s="40" t="n">
        <v>24898</v>
      </c>
      <c r="B172" s="21">
        <f>VLOOKUP(A172,'Database Rates'!$A:$D,3,FALSE)</f>
        <v/>
      </c>
    </row>
    <row r="173">
      <c r="A173" s="40" t="n">
        <v>24929</v>
      </c>
      <c r="B173" s="21">
        <f>VLOOKUP(A173,'Database Rates'!$A:$D,3,FALSE)</f>
        <v/>
      </c>
    </row>
    <row r="174">
      <c r="A174" s="40" t="n">
        <v>24959</v>
      </c>
      <c r="B174" s="21">
        <f>VLOOKUP(A174,'Database Rates'!$A:$D,3,FALSE)</f>
        <v/>
      </c>
    </row>
    <row r="175">
      <c r="A175" s="40" t="n">
        <v>24990</v>
      </c>
      <c r="B175" s="21">
        <f>VLOOKUP(A175,'Database Rates'!$A:$D,3,FALSE)</f>
        <v/>
      </c>
    </row>
    <row r="176">
      <c r="A176" s="40" t="n">
        <v>25020</v>
      </c>
      <c r="B176" s="21">
        <f>VLOOKUP(A176,'Database Rates'!$A:$D,3,FALSE)</f>
        <v/>
      </c>
    </row>
    <row r="177">
      <c r="A177" s="40" t="n">
        <v>25051</v>
      </c>
      <c r="B177" s="21">
        <f>VLOOKUP(A177,'Database Rates'!$A:$D,3,FALSE)</f>
        <v/>
      </c>
    </row>
    <row r="178">
      <c r="A178" s="40" t="n">
        <v>25082</v>
      </c>
      <c r="B178" s="21">
        <f>VLOOKUP(A178,'Database Rates'!$A:$D,3,FALSE)</f>
        <v/>
      </c>
    </row>
    <row r="179">
      <c r="A179" s="40" t="n">
        <v>25112</v>
      </c>
      <c r="B179" s="21">
        <f>VLOOKUP(A179,'Database Rates'!$A:$D,3,FALSE)</f>
        <v/>
      </c>
    </row>
    <row r="180">
      <c r="A180" s="40" t="n">
        <v>25143</v>
      </c>
      <c r="B180" s="21">
        <f>VLOOKUP(A180,'Database Rates'!$A:$D,3,FALSE)</f>
        <v/>
      </c>
    </row>
    <row r="181">
      <c r="A181" s="40" t="n">
        <v>25173</v>
      </c>
      <c r="B181" s="21">
        <f>VLOOKUP(A181,'Database Rates'!$A:$D,3,FALSE)</f>
        <v/>
      </c>
    </row>
    <row r="182">
      <c r="A182" s="40" t="n">
        <v>25204</v>
      </c>
      <c r="B182" s="21">
        <f>VLOOKUP(A182,'Database Rates'!$A:$D,3,FALSE)</f>
        <v/>
      </c>
    </row>
    <row r="183">
      <c r="A183" s="40" t="n">
        <v>25235</v>
      </c>
      <c r="B183" s="21">
        <f>VLOOKUP(A183,'Database Rates'!$A:$D,3,FALSE)</f>
        <v/>
      </c>
    </row>
    <row r="184">
      <c r="A184" s="40" t="n">
        <v>25263</v>
      </c>
      <c r="B184" s="21">
        <f>VLOOKUP(A184,'Database Rates'!$A:$D,3,FALSE)</f>
        <v/>
      </c>
    </row>
    <row r="185">
      <c r="A185" s="40" t="n">
        <v>25294</v>
      </c>
      <c r="B185" s="21">
        <f>VLOOKUP(A185,'Database Rates'!$A:$D,3,FALSE)</f>
        <v/>
      </c>
    </row>
    <row r="186">
      <c r="A186" s="40" t="n">
        <v>25324</v>
      </c>
      <c r="B186" s="21">
        <f>VLOOKUP(A186,'Database Rates'!$A:$D,3,FALSE)</f>
        <v/>
      </c>
    </row>
    <row r="187">
      <c r="A187" s="40" t="n">
        <v>25355</v>
      </c>
      <c r="B187" s="21">
        <f>VLOOKUP(A187,'Database Rates'!$A:$D,3,FALSE)</f>
        <v/>
      </c>
    </row>
    <row r="188">
      <c r="A188" s="40" t="n">
        <v>25385</v>
      </c>
      <c r="B188" s="21">
        <f>VLOOKUP(A188,'Database Rates'!$A:$D,3,FALSE)</f>
        <v/>
      </c>
    </row>
    <row r="189">
      <c r="A189" s="40" t="n">
        <v>25416</v>
      </c>
      <c r="B189" s="21">
        <f>VLOOKUP(A189,'Database Rates'!$A:$D,3,FALSE)</f>
        <v/>
      </c>
    </row>
    <row r="190">
      <c r="A190" s="40" t="n">
        <v>25447</v>
      </c>
      <c r="B190" s="21">
        <f>VLOOKUP(A190,'Database Rates'!$A:$D,3,FALSE)</f>
        <v/>
      </c>
    </row>
    <row r="191">
      <c r="A191" s="40" t="n">
        <v>25477</v>
      </c>
      <c r="B191" s="21">
        <f>VLOOKUP(A191,'Database Rates'!$A:$D,3,FALSE)</f>
        <v/>
      </c>
    </row>
    <row r="192">
      <c r="A192" s="40" t="n">
        <v>25508</v>
      </c>
      <c r="B192" s="21">
        <f>VLOOKUP(A192,'Database Rates'!$A:$D,3,FALSE)</f>
        <v/>
      </c>
    </row>
    <row r="193">
      <c r="A193" s="40" t="n">
        <v>25538</v>
      </c>
      <c r="B193" s="21">
        <f>VLOOKUP(A193,'Database Rates'!$A:$D,3,FALSE)</f>
        <v/>
      </c>
    </row>
    <row r="194">
      <c r="A194" s="40" t="n">
        <v>25569</v>
      </c>
      <c r="B194" s="21">
        <f>VLOOKUP(A194,'Database Rates'!$A:$D,3,FALSE)</f>
        <v/>
      </c>
    </row>
    <row r="195">
      <c r="A195" s="40" t="n">
        <v>25600</v>
      </c>
      <c r="B195" s="21">
        <f>VLOOKUP(A195,'Database Rates'!$A:$D,3,FALSE)</f>
        <v/>
      </c>
    </row>
    <row r="196">
      <c r="A196" s="40" t="n">
        <v>25628</v>
      </c>
      <c r="B196" s="21">
        <f>VLOOKUP(A196,'Database Rates'!$A:$D,3,FALSE)</f>
        <v/>
      </c>
    </row>
    <row r="197">
      <c r="A197" s="40" t="n">
        <v>25659</v>
      </c>
      <c r="B197" s="21">
        <f>VLOOKUP(A197,'Database Rates'!$A:$D,3,FALSE)</f>
        <v/>
      </c>
    </row>
    <row r="198">
      <c r="A198" s="40" t="n">
        <v>25689</v>
      </c>
      <c r="B198" s="21">
        <f>VLOOKUP(A198,'Database Rates'!$A:$D,3,FALSE)</f>
        <v/>
      </c>
    </row>
    <row r="199">
      <c r="A199" s="40" t="n">
        <v>25720</v>
      </c>
      <c r="B199" s="21">
        <f>VLOOKUP(A199,'Database Rates'!$A:$D,3,FALSE)</f>
        <v/>
      </c>
    </row>
    <row r="200">
      <c r="A200" s="40" t="n">
        <v>25750</v>
      </c>
      <c r="B200" s="21">
        <f>VLOOKUP(A200,'Database Rates'!$A:$D,3,FALSE)</f>
        <v/>
      </c>
    </row>
    <row r="201">
      <c r="A201" s="40" t="n">
        <v>25781</v>
      </c>
      <c r="B201" s="21">
        <f>VLOOKUP(A201,'Database Rates'!$A:$D,3,FALSE)</f>
        <v/>
      </c>
    </row>
    <row r="202">
      <c r="A202" s="40" t="n">
        <v>25812</v>
      </c>
      <c r="B202" s="21">
        <f>VLOOKUP(A202,'Database Rates'!$A:$D,3,FALSE)</f>
        <v/>
      </c>
    </row>
    <row r="203">
      <c r="A203" s="40" t="n">
        <v>25842</v>
      </c>
      <c r="B203" s="21">
        <f>VLOOKUP(A203,'Database Rates'!$A:$D,3,FALSE)</f>
        <v/>
      </c>
    </row>
    <row r="204">
      <c r="A204" s="40" t="n">
        <v>25873</v>
      </c>
      <c r="B204" s="21">
        <f>VLOOKUP(A204,'Database Rates'!$A:$D,3,FALSE)</f>
        <v/>
      </c>
    </row>
    <row r="205">
      <c r="A205" s="40" t="n">
        <v>25903</v>
      </c>
      <c r="B205" s="21">
        <f>VLOOKUP(A205,'Database Rates'!$A:$D,3,FALSE)</f>
        <v/>
      </c>
    </row>
    <row r="206">
      <c r="A206" s="40" t="n">
        <v>25934</v>
      </c>
      <c r="B206" s="21">
        <f>VLOOKUP(A206,'Database Rates'!$A:$D,3,FALSE)</f>
        <v/>
      </c>
    </row>
    <row r="207">
      <c r="A207" s="40" t="n">
        <v>25965</v>
      </c>
      <c r="B207" s="21">
        <f>VLOOKUP(A207,'Database Rates'!$A:$D,3,FALSE)</f>
        <v/>
      </c>
    </row>
    <row r="208">
      <c r="A208" s="40" t="n">
        <v>25993</v>
      </c>
      <c r="B208" s="21">
        <f>VLOOKUP(A208,'Database Rates'!$A:$D,3,FALSE)</f>
        <v/>
      </c>
    </row>
    <row r="209">
      <c r="A209" s="40" t="n">
        <v>26024</v>
      </c>
      <c r="B209" s="21">
        <f>VLOOKUP(A209,'Database Rates'!$A:$D,3,FALSE)</f>
        <v/>
      </c>
    </row>
    <row r="210">
      <c r="A210" s="40" t="n">
        <v>26054</v>
      </c>
      <c r="B210" s="21">
        <f>VLOOKUP(A210,'Database Rates'!$A:$D,3,FALSE)</f>
        <v/>
      </c>
    </row>
    <row r="211">
      <c r="A211" s="40" t="n">
        <v>26085</v>
      </c>
      <c r="B211" s="21">
        <f>VLOOKUP(A211,'Database Rates'!$A:$D,3,FALSE)</f>
        <v/>
      </c>
    </row>
    <row r="212">
      <c r="A212" s="40" t="n">
        <v>26115</v>
      </c>
      <c r="B212" s="21">
        <f>VLOOKUP(A212,'Database Rates'!$A:$D,3,FALSE)</f>
        <v/>
      </c>
    </row>
    <row r="213">
      <c r="A213" s="40" t="n">
        <v>26146</v>
      </c>
      <c r="B213" s="21">
        <f>VLOOKUP(A213,'Database Rates'!$A:$D,3,FALSE)</f>
        <v/>
      </c>
    </row>
    <row r="214">
      <c r="A214" s="40" t="n">
        <v>26177</v>
      </c>
      <c r="B214" s="21">
        <f>VLOOKUP(A214,'Database Rates'!$A:$D,3,FALSE)</f>
        <v/>
      </c>
    </row>
    <row r="215">
      <c r="A215" s="40" t="n">
        <v>26207</v>
      </c>
      <c r="B215" s="21">
        <f>VLOOKUP(A215,'Database Rates'!$A:$D,3,FALSE)</f>
        <v/>
      </c>
    </row>
    <row r="216">
      <c r="A216" s="40" t="n">
        <v>26238</v>
      </c>
      <c r="B216" s="21">
        <f>VLOOKUP(A216,'Database Rates'!$A:$D,3,FALSE)</f>
        <v/>
      </c>
    </row>
    <row r="217">
      <c r="A217" s="40" t="n">
        <v>26268</v>
      </c>
      <c r="B217" s="21">
        <f>VLOOKUP(A217,'Database Rates'!$A:$D,3,FALSE)</f>
        <v/>
      </c>
    </row>
    <row r="218">
      <c r="A218" s="40" t="n">
        <v>26299</v>
      </c>
      <c r="B218" s="21">
        <f>VLOOKUP(A218,'Database Rates'!$A:$D,3,FALSE)</f>
        <v/>
      </c>
    </row>
    <row r="219">
      <c r="A219" s="40" t="n">
        <v>26330</v>
      </c>
      <c r="B219" s="21">
        <f>VLOOKUP(A219,'Database Rates'!$A:$D,3,FALSE)</f>
        <v/>
      </c>
    </row>
    <row r="220">
      <c r="A220" s="40" t="n">
        <v>26359</v>
      </c>
      <c r="B220" s="21">
        <f>VLOOKUP(A220,'Database Rates'!$A:$D,3,FALSE)</f>
        <v/>
      </c>
    </row>
    <row r="221">
      <c r="A221" s="40" t="n">
        <v>26390</v>
      </c>
      <c r="B221" s="21">
        <f>VLOOKUP(A221,'Database Rates'!$A:$D,3,FALSE)</f>
        <v/>
      </c>
    </row>
    <row r="222">
      <c r="A222" s="40" t="n">
        <v>26420</v>
      </c>
      <c r="B222" s="21">
        <f>VLOOKUP(A222,'Database Rates'!$A:$D,3,FALSE)</f>
        <v/>
      </c>
    </row>
    <row r="223">
      <c r="A223" s="40" t="n">
        <v>26451</v>
      </c>
      <c r="B223" s="21">
        <f>VLOOKUP(A223,'Database Rates'!$A:$D,3,FALSE)</f>
        <v/>
      </c>
    </row>
    <row r="224">
      <c r="A224" s="40" t="n">
        <v>26481</v>
      </c>
      <c r="B224" s="21">
        <f>VLOOKUP(A224,'Database Rates'!$A:$D,3,FALSE)</f>
        <v/>
      </c>
    </row>
    <row r="225">
      <c r="A225" s="40" t="n">
        <v>26512</v>
      </c>
      <c r="B225" s="21">
        <f>VLOOKUP(A225,'Database Rates'!$A:$D,3,FALSE)</f>
        <v/>
      </c>
    </row>
    <row r="226">
      <c r="A226" s="40" t="n">
        <v>26543</v>
      </c>
      <c r="B226" s="21">
        <f>VLOOKUP(A226,'Database Rates'!$A:$D,3,FALSE)</f>
        <v/>
      </c>
    </row>
    <row r="227">
      <c r="A227" s="40" t="n">
        <v>26573</v>
      </c>
      <c r="B227" s="21">
        <f>VLOOKUP(A227,'Database Rates'!$A:$D,3,FALSE)</f>
        <v/>
      </c>
    </row>
    <row r="228">
      <c r="A228" s="40" t="n">
        <v>26604</v>
      </c>
      <c r="B228" s="21">
        <f>VLOOKUP(A228,'Database Rates'!$A:$D,3,FALSE)</f>
        <v/>
      </c>
    </row>
    <row r="229">
      <c r="A229" s="40" t="n">
        <v>26634</v>
      </c>
      <c r="B229" s="21">
        <f>VLOOKUP(A229,'Database Rates'!$A:$D,3,FALSE)</f>
        <v/>
      </c>
    </row>
    <row r="230">
      <c r="A230" s="40" t="n">
        <v>26665</v>
      </c>
      <c r="B230" s="21">
        <f>VLOOKUP(A230,'Database Rates'!$A:$D,3,FALSE)</f>
        <v/>
      </c>
    </row>
    <row r="231">
      <c r="A231" s="40" t="n">
        <v>26696</v>
      </c>
      <c r="B231" s="21">
        <f>VLOOKUP(A231,'Database Rates'!$A:$D,3,FALSE)</f>
        <v/>
      </c>
    </row>
    <row r="232">
      <c r="A232" s="40" t="n">
        <v>26724</v>
      </c>
      <c r="B232" s="21">
        <f>VLOOKUP(A232,'Database Rates'!$A:$D,3,FALSE)</f>
        <v/>
      </c>
    </row>
    <row r="233">
      <c r="A233" s="40" t="n">
        <v>26755</v>
      </c>
      <c r="B233" s="21">
        <f>VLOOKUP(A233,'Database Rates'!$A:$D,3,FALSE)</f>
        <v/>
      </c>
    </row>
    <row r="234">
      <c r="A234" s="40" t="n">
        <v>26785</v>
      </c>
      <c r="B234" s="21">
        <f>VLOOKUP(A234,'Database Rates'!$A:$D,3,FALSE)</f>
        <v/>
      </c>
    </row>
    <row r="235">
      <c r="A235" s="40" t="n">
        <v>26816</v>
      </c>
      <c r="B235" s="21">
        <f>VLOOKUP(A235,'Database Rates'!$A:$D,3,FALSE)</f>
        <v/>
      </c>
    </row>
    <row r="236">
      <c r="A236" s="40" t="n">
        <v>26846</v>
      </c>
      <c r="B236" s="21">
        <f>VLOOKUP(A236,'Database Rates'!$A:$D,3,FALSE)</f>
        <v/>
      </c>
    </row>
    <row r="237">
      <c r="A237" s="40" t="n">
        <v>26877</v>
      </c>
      <c r="B237" s="21">
        <f>VLOOKUP(A237,'Database Rates'!$A:$D,3,FALSE)</f>
        <v/>
      </c>
    </row>
    <row r="238">
      <c r="A238" s="40" t="n">
        <v>26908</v>
      </c>
      <c r="B238" s="21">
        <f>VLOOKUP(A238,'Database Rates'!$A:$D,3,FALSE)</f>
        <v/>
      </c>
    </row>
    <row r="239">
      <c r="A239" s="40" t="n">
        <v>26938</v>
      </c>
      <c r="B239" s="21">
        <f>VLOOKUP(A239,'Database Rates'!$A:$D,3,FALSE)</f>
        <v/>
      </c>
    </row>
    <row r="240">
      <c r="A240" s="40" t="n">
        <v>26969</v>
      </c>
      <c r="B240" s="21">
        <f>VLOOKUP(A240,'Database Rates'!$A:$D,3,FALSE)</f>
        <v/>
      </c>
    </row>
    <row r="241">
      <c r="A241" s="40" t="n">
        <v>26999</v>
      </c>
      <c r="B241" s="21">
        <f>VLOOKUP(A241,'Database Rates'!$A:$D,3,FALSE)</f>
        <v/>
      </c>
    </row>
    <row r="242">
      <c r="A242" s="40" t="n">
        <v>27030</v>
      </c>
      <c r="B242" s="21">
        <f>VLOOKUP(A242,'Database Rates'!$A:$D,3,FALSE)</f>
        <v/>
      </c>
    </row>
    <row r="243">
      <c r="A243" s="40" t="n">
        <v>27061</v>
      </c>
      <c r="B243" s="21">
        <f>VLOOKUP(A243,'Database Rates'!$A:$D,3,FALSE)</f>
        <v/>
      </c>
    </row>
    <row r="244">
      <c r="A244" s="40" t="n">
        <v>27089</v>
      </c>
      <c r="B244" s="21">
        <f>VLOOKUP(A244,'Database Rates'!$A:$D,3,FALSE)</f>
        <v/>
      </c>
    </row>
    <row r="245">
      <c r="A245" s="40" t="n">
        <v>27120</v>
      </c>
      <c r="B245" s="21">
        <f>VLOOKUP(A245,'Database Rates'!$A:$D,3,FALSE)</f>
        <v/>
      </c>
    </row>
    <row r="246">
      <c r="A246" s="40" t="n">
        <v>27150</v>
      </c>
      <c r="B246" s="21">
        <f>VLOOKUP(A246,'Database Rates'!$A:$D,3,FALSE)</f>
        <v/>
      </c>
    </row>
    <row r="247">
      <c r="A247" s="40" t="n">
        <v>27181</v>
      </c>
      <c r="B247" s="21">
        <f>VLOOKUP(A247,'Database Rates'!$A:$D,3,FALSE)</f>
        <v/>
      </c>
    </row>
    <row r="248">
      <c r="A248" s="40" t="n">
        <v>27211</v>
      </c>
      <c r="B248" s="21">
        <f>VLOOKUP(A248,'Database Rates'!$A:$D,3,FALSE)</f>
        <v/>
      </c>
    </row>
    <row r="249">
      <c r="A249" s="40" t="n">
        <v>27242</v>
      </c>
      <c r="B249" s="21">
        <f>VLOOKUP(A249,'Database Rates'!$A:$D,3,FALSE)</f>
        <v/>
      </c>
    </row>
    <row r="250">
      <c r="A250" s="40" t="n">
        <v>27273</v>
      </c>
      <c r="B250" s="21">
        <f>VLOOKUP(A250,'Database Rates'!$A:$D,3,FALSE)</f>
        <v/>
      </c>
    </row>
    <row r="251">
      <c r="A251" s="40" t="n">
        <v>27303</v>
      </c>
      <c r="B251" s="21">
        <f>VLOOKUP(A251,'Database Rates'!$A:$D,3,FALSE)</f>
        <v/>
      </c>
    </row>
    <row r="252">
      <c r="A252" s="40" t="n">
        <v>27334</v>
      </c>
      <c r="B252" s="21">
        <f>VLOOKUP(A252,'Database Rates'!$A:$D,3,FALSE)</f>
        <v/>
      </c>
    </row>
    <row r="253">
      <c r="A253" s="40" t="n">
        <v>27364</v>
      </c>
      <c r="B253" s="21">
        <f>VLOOKUP(A253,'Database Rates'!$A:$D,3,FALSE)</f>
        <v/>
      </c>
    </row>
    <row r="254">
      <c r="A254" s="40" t="n">
        <v>27395</v>
      </c>
      <c r="B254" s="21">
        <f>VLOOKUP(A254,'Database Rates'!$A:$D,3,FALSE)</f>
        <v/>
      </c>
    </row>
    <row r="255">
      <c r="A255" s="40" t="n">
        <v>27426</v>
      </c>
      <c r="B255" s="21">
        <f>VLOOKUP(A255,'Database Rates'!$A:$D,3,FALSE)</f>
        <v/>
      </c>
    </row>
    <row r="256">
      <c r="A256" s="40" t="n">
        <v>27454</v>
      </c>
      <c r="B256" s="21">
        <f>VLOOKUP(A256,'Database Rates'!$A:$D,3,FALSE)</f>
        <v/>
      </c>
    </row>
    <row r="257">
      <c r="A257" s="40" t="n">
        <v>27485</v>
      </c>
      <c r="B257" s="21">
        <f>VLOOKUP(A257,'Database Rates'!$A:$D,3,FALSE)</f>
        <v/>
      </c>
    </row>
    <row r="258">
      <c r="A258" s="40" t="n">
        <v>27515</v>
      </c>
      <c r="B258" s="21">
        <f>VLOOKUP(A258,'Database Rates'!$A:$D,3,FALSE)</f>
        <v/>
      </c>
    </row>
    <row r="259">
      <c r="A259" s="40" t="n">
        <v>27546</v>
      </c>
      <c r="B259" s="21">
        <f>VLOOKUP(A259,'Database Rates'!$A:$D,3,FALSE)</f>
        <v/>
      </c>
    </row>
    <row r="260">
      <c r="A260" s="40" t="n">
        <v>27576</v>
      </c>
      <c r="B260" s="21">
        <f>VLOOKUP(A260,'Database Rates'!$A:$D,3,FALSE)</f>
        <v/>
      </c>
    </row>
    <row r="261">
      <c r="A261" s="40" t="n">
        <v>27607</v>
      </c>
      <c r="B261" s="21">
        <f>VLOOKUP(A261,'Database Rates'!$A:$D,3,FALSE)</f>
        <v/>
      </c>
    </row>
    <row r="262">
      <c r="A262" s="40" t="n">
        <v>27638</v>
      </c>
      <c r="B262" s="21">
        <f>VLOOKUP(A262,'Database Rates'!$A:$D,3,FALSE)</f>
        <v/>
      </c>
    </row>
    <row r="263">
      <c r="A263" s="40" t="n">
        <v>27668</v>
      </c>
      <c r="B263" s="21">
        <f>VLOOKUP(A263,'Database Rates'!$A:$D,3,FALSE)</f>
        <v/>
      </c>
    </row>
    <row r="264">
      <c r="A264" s="40" t="n">
        <v>27699</v>
      </c>
      <c r="B264" s="21">
        <f>VLOOKUP(A264,'Database Rates'!$A:$D,3,FALSE)</f>
        <v/>
      </c>
    </row>
    <row r="265">
      <c r="A265" s="40" t="n">
        <v>27729</v>
      </c>
      <c r="B265" s="21">
        <f>VLOOKUP(A265,'Database Rates'!$A:$D,3,FALSE)</f>
        <v/>
      </c>
    </row>
    <row r="266">
      <c r="A266" s="40" t="n">
        <v>27760</v>
      </c>
      <c r="B266" s="21">
        <f>VLOOKUP(A266,'Database Rates'!$A:$D,3,FALSE)</f>
        <v/>
      </c>
    </row>
    <row r="267">
      <c r="A267" s="40" t="n">
        <v>27791</v>
      </c>
      <c r="B267" s="21">
        <f>VLOOKUP(A267,'Database Rates'!$A:$D,3,FALSE)</f>
        <v/>
      </c>
    </row>
    <row r="268">
      <c r="A268" s="40" t="n">
        <v>27820</v>
      </c>
      <c r="B268" s="21">
        <f>VLOOKUP(A268,'Database Rates'!$A:$D,3,FALSE)</f>
        <v/>
      </c>
    </row>
    <row r="269">
      <c r="A269" s="40" t="n">
        <v>27851</v>
      </c>
      <c r="B269" s="21">
        <f>VLOOKUP(A269,'Database Rates'!$A:$D,3,FALSE)</f>
        <v/>
      </c>
    </row>
    <row r="270">
      <c r="A270" s="40" t="n">
        <v>27881</v>
      </c>
      <c r="B270" s="21">
        <f>VLOOKUP(A270,'Database Rates'!$A:$D,3,FALSE)</f>
        <v/>
      </c>
    </row>
    <row r="271">
      <c r="A271" s="40" t="n">
        <v>27912</v>
      </c>
      <c r="B271" s="21">
        <f>VLOOKUP(A271,'Database Rates'!$A:$D,3,FALSE)</f>
        <v/>
      </c>
    </row>
    <row r="272">
      <c r="A272" s="40" t="n">
        <v>27942</v>
      </c>
      <c r="B272" s="21">
        <f>VLOOKUP(A272,'Database Rates'!$A:$D,3,FALSE)</f>
        <v/>
      </c>
    </row>
    <row r="273">
      <c r="A273" s="40" t="n">
        <v>27973</v>
      </c>
      <c r="B273" s="21">
        <f>VLOOKUP(A273,'Database Rates'!$A:$D,3,FALSE)</f>
        <v/>
      </c>
    </row>
    <row r="274">
      <c r="A274" s="40" t="n">
        <v>28004</v>
      </c>
      <c r="B274" s="21">
        <f>VLOOKUP(A274,'Database Rates'!$A:$D,3,FALSE)</f>
        <v/>
      </c>
    </row>
    <row r="275">
      <c r="A275" s="40" t="n">
        <v>28034</v>
      </c>
      <c r="B275" s="21">
        <f>VLOOKUP(A275,'Database Rates'!$A:$D,3,FALSE)</f>
        <v/>
      </c>
    </row>
    <row r="276">
      <c r="A276" s="40" t="n">
        <v>28065</v>
      </c>
      <c r="B276" s="21">
        <f>VLOOKUP(A276,'Database Rates'!$A:$D,3,FALSE)</f>
        <v/>
      </c>
    </row>
    <row r="277">
      <c r="A277" s="40" t="n">
        <v>28095</v>
      </c>
      <c r="B277" s="21">
        <f>VLOOKUP(A277,'Database Rates'!$A:$D,3,FALSE)</f>
        <v/>
      </c>
    </row>
    <row r="278">
      <c r="A278" s="40" t="n">
        <v>28126</v>
      </c>
      <c r="B278" s="21">
        <f>VLOOKUP(A278,'Database Rates'!$A:$D,3,FALSE)</f>
        <v/>
      </c>
    </row>
    <row r="279">
      <c r="A279" s="40" t="n">
        <v>28157</v>
      </c>
      <c r="B279" s="21">
        <f>VLOOKUP(A279,'Database Rates'!$A:$D,3,FALSE)</f>
        <v/>
      </c>
    </row>
    <row r="280">
      <c r="A280" s="40" t="n">
        <v>28185</v>
      </c>
      <c r="B280" s="21">
        <f>VLOOKUP(A280,'Database Rates'!$A:$D,3,FALSE)</f>
        <v/>
      </c>
    </row>
    <row r="281">
      <c r="A281" s="40" t="n">
        <v>28216</v>
      </c>
      <c r="B281" s="21">
        <f>VLOOKUP(A281,'Database Rates'!$A:$D,3,FALSE)</f>
        <v/>
      </c>
    </row>
    <row r="282">
      <c r="A282" s="40" t="n">
        <v>28246</v>
      </c>
      <c r="B282" s="21">
        <f>VLOOKUP(A282,'Database Rates'!$A:$D,3,FALSE)</f>
        <v/>
      </c>
    </row>
    <row r="283">
      <c r="A283" s="40" t="n">
        <v>28277</v>
      </c>
      <c r="B283" s="21">
        <f>VLOOKUP(A283,'Database Rates'!$A:$D,3,FALSE)</f>
        <v/>
      </c>
    </row>
    <row r="284">
      <c r="A284" s="40" t="n">
        <v>28307</v>
      </c>
      <c r="B284" s="21">
        <f>VLOOKUP(A284,'Database Rates'!$A:$D,3,FALSE)</f>
        <v/>
      </c>
    </row>
    <row r="285">
      <c r="A285" s="40" t="n">
        <v>28338</v>
      </c>
      <c r="B285" s="21">
        <f>VLOOKUP(A285,'Database Rates'!$A:$D,3,FALSE)</f>
        <v/>
      </c>
    </row>
    <row r="286">
      <c r="A286" s="40" t="n">
        <v>28369</v>
      </c>
      <c r="B286" s="21">
        <f>VLOOKUP(A286,'Database Rates'!$A:$D,3,FALSE)</f>
        <v/>
      </c>
    </row>
    <row r="287">
      <c r="A287" s="40" t="n">
        <v>28399</v>
      </c>
      <c r="B287" s="21">
        <f>VLOOKUP(A287,'Database Rates'!$A:$D,3,FALSE)</f>
        <v/>
      </c>
    </row>
    <row r="288">
      <c r="A288" s="40" t="n">
        <v>28430</v>
      </c>
      <c r="B288" s="21">
        <f>VLOOKUP(A288,'Database Rates'!$A:$D,3,FALSE)</f>
        <v/>
      </c>
    </row>
    <row r="289">
      <c r="A289" s="40" t="n">
        <v>28460</v>
      </c>
      <c r="B289" s="21">
        <f>VLOOKUP(A289,'Database Rates'!$A:$D,3,FALSE)</f>
        <v/>
      </c>
    </row>
    <row r="290">
      <c r="A290" s="40" t="n">
        <v>28491</v>
      </c>
      <c r="B290" s="21">
        <f>VLOOKUP(A290,'Database Rates'!$A:$D,3,FALSE)</f>
        <v/>
      </c>
    </row>
    <row r="291">
      <c r="A291" s="40" t="n">
        <v>28522</v>
      </c>
      <c r="B291" s="21">
        <f>VLOOKUP(A291,'Database Rates'!$A:$D,3,FALSE)</f>
        <v/>
      </c>
    </row>
    <row r="292">
      <c r="A292" s="40" t="n">
        <v>28550</v>
      </c>
      <c r="B292" s="21">
        <f>VLOOKUP(A292,'Database Rates'!$A:$D,3,FALSE)</f>
        <v/>
      </c>
    </row>
    <row r="293">
      <c r="A293" s="40" t="n">
        <v>28581</v>
      </c>
      <c r="B293" s="21">
        <f>VLOOKUP(A293,'Database Rates'!$A:$D,3,FALSE)</f>
        <v/>
      </c>
    </row>
    <row r="294">
      <c r="A294" s="40" t="n">
        <v>28611</v>
      </c>
      <c r="B294" s="21">
        <f>VLOOKUP(A294,'Database Rates'!$A:$D,3,FALSE)</f>
        <v/>
      </c>
    </row>
    <row r="295">
      <c r="A295" s="40" t="n">
        <v>28642</v>
      </c>
      <c r="B295" s="21">
        <f>VLOOKUP(A295,'Database Rates'!$A:$D,3,FALSE)</f>
        <v/>
      </c>
    </row>
    <row r="296">
      <c r="A296" s="40" t="n">
        <v>28672</v>
      </c>
      <c r="B296" s="21">
        <f>VLOOKUP(A296,'Database Rates'!$A:$D,3,FALSE)</f>
        <v/>
      </c>
    </row>
    <row r="297">
      <c r="A297" s="40" t="n">
        <v>28703</v>
      </c>
      <c r="B297" s="21">
        <f>VLOOKUP(A297,'Database Rates'!$A:$D,3,FALSE)</f>
        <v/>
      </c>
    </row>
    <row r="298">
      <c r="A298" s="40" t="n">
        <v>28734</v>
      </c>
      <c r="B298" s="21">
        <f>VLOOKUP(A298,'Database Rates'!$A:$D,3,FALSE)</f>
        <v/>
      </c>
    </row>
    <row r="299">
      <c r="A299" s="40" t="n">
        <v>28764</v>
      </c>
      <c r="B299" s="21">
        <f>VLOOKUP(A299,'Database Rates'!$A:$D,3,FALSE)</f>
        <v/>
      </c>
    </row>
    <row r="300">
      <c r="A300" s="40" t="n">
        <v>28795</v>
      </c>
      <c r="B300" s="21">
        <f>VLOOKUP(A300,'Database Rates'!$A:$D,3,FALSE)</f>
        <v/>
      </c>
    </row>
    <row r="301">
      <c r="A301" s="40" t="n">
        <v>28825</v>
      </c>
      <c r="B301" s="21">
        <f>VLOOKUP(A301,'Database Rates'!$A:$D,3,FALSE)</f>
        <v/>
      </c>
    </row>
    <row r="302">
      <c r="A302" s="40" t="n">
        <v>28856</v>
      </c>
      <c r="B302" s="21">
        <f>VLOOKUP(A302,'Database Rates'!$A:$D,3,FALSE)</f>
        <v/>
      </c>
    </row>
    <row r="303">
      <c r="A303" s="40" t="n">
        <v>28887</v>
      </c>
      <c r="B303" s="21">
        <f>VLOOKUP(A303,'Database Rates'!$A:$D,3,FALSE)</f>
        <v/>
      </c>
    </row>
    <row r="304">
      <c r="A304" s="40" t="n">
        <v>28915</v>
      </c>
      <c r="B304" s="21">
        <f>VLOOKUP(A304,'Database Rates'!$A:$D,3,FALSE)</f>
        <v/>
      </c>
    </row>
    <row r="305">
      <c r="A305" s="40" t="n">
        <v>28946</v>
      </c>
      <c r="B305" s="21">
        <f>VLOOKUP(A305,'Database Rates'!$A:$D,3,FALSE)</f>
        <v/>
      </c>
    </row>
    <row r="306">
      <c r="A306" s="40" t="n">
        <v>28976</v>
      </c>
      <c r="B306" s="21">
        <f>VLOOKUP(A306,'Database Rates'!$A:$D,3,FALSE)</f>
        <v/>
      </c>
    </row>
    <row r="307">
      <c r="A307" s="40" t="n">
        <v>29007</v>
      </c>
      <c r="B307" s="21">
        <f>VLOOKUP(A307,'Database Rates'!$A:$D,3,FALSE)</f>
        <v/>
      </c>
    </row>
    <row r="308">
      <c r="A308" s="40" t="n">
        <v>29037</v>
      </c>
      <c r="B308" s="21">
        <f>VLOOKUP(A308,'Database Rates'!$A:$D,3,FALSE)</f>
        <v/>
      </c>
    </row>
    <row r="309">
      <c r="A309" s="40" t="n">
        <v>29068</v>
      </c>
      <c r="B309" s="21">
        <f>VLOOKUP(A309,'Database Rates'!$A:$D,3,FALSE)</f>
        <v/>
      </c>
    </row>
    <row r="310">
      <c r="A310" s="40" t="n">
        <v>29099</v>
      </c>
      <c r="B310" s="21">
        <f>VLOOKUP(A310,'Database Rates'!$A:$D,3,FALSE)</f>
        <v/>
      </c>
    </row>
    <row r="311">
      <c r="A311" s="40" t="n">
        <v>29129</v>
      </c>
      <c r="B311" s="21">
        <f>VLOOKUP(A311,'Database Rates'!$A:$D,3,FALSE)</f>
        <v/>
      </c>
    </row>
    <row r="312">
      <c r="A312" s="40" t="n">
        <v>29160</v>
      </c>
      <c r="B312" s="21">
        <f>VLOOKUP(A312,'Database Rates'!$A:$D,3,FALSE)</f>
        <v/>
      </c>
    </row>
    <row r="313">
      <c r="A313" s="40" t="n">
        <v>29190</v>
      </c>
      <c r="B313" s="21">
        <f>VLOOKUP(A313,'Database Rates'!$A:$D,3,FALSE)</f>
        <v/>
      </c>
    </row>
    <row r="314">
      <c r="A314" s="40" t="n">
        <v>29221</v>
      </c>
      <c r="B314" s="21">
        <f>VLOOKUP(A314,'Database Rates'!$A:$D,3,FALSE)</f>
        <v/>
      </c>
    </row>
    <row r="315">
      <c r="A315" s="40" t="n">
        <v>29252</v>
      </c>
      <c r="B315" s="21">
        <f>VLOOKUP(A315,'Database Rates'!$A:$D,3,FALSE)</f>
        <v/>
      </c>
    </row>
    <row r="316">
      <c r="A316" s="40" t="n">
        <v>29281</v>
      </c>
      <c r="B316" s="21">
        <f>VLOOKUP(A316,'Database Rates'!$A:$D,3,FALSE)</f>
        <v/>
      </c>
    </row>
    <row r="317">
      <c r="A317" s="40" t="n">
        <v>29312</v>
      </c>
      <c r="B317" s="21">
        <f>VLOOKUP(A317,'Database Rates'!$A:$D,3,FALSE)</f>
        <v/>
      </c>
    </row>
    <row r="318">
      <c r="A318" s="40" t="n">
        <v>29342</v>
      </c>
      <c r="B318" s="21">
        <f>VLOOKUP(A318,'Database Rates'!$A:$D,3,FALSE)</f>
        <v/>
      </c>
    </row>
    <row r="319">
      <c r="A319" s="40" t="n">
        <v>29373</v>
      </c>
      <c r="B319" s="21">
        <f>VLOOKUP(A319,'Database Rates'!$A:$D,3,FALSE)</f>
        <v/>
      </c>
    </row>
    <row r="320">
      <c r="A320" s="40" t="n">
        <v>29403</v>
      </c>
      <c r="B320" s="21">
        <f>VLOOKUP(A320,'Database Rates'!$A:$D,3,FALSE)</f>
        <v/>
      </c>
    </row>
    <row r="321">
      <c r="A321" s="40" t="n">
        <v>29434</v>
      </c>
      <c r="B321" s="21">
        <f>VLOOKUP(A321,'Database Rates'!$A:$D,3,FALSE)</f>
        <v/>
      </c>
    </row>
    <row r="322">
      <c r="A322" s="40" t="n">
        <v>29465</v>
      </c>
      <c r="B322" s="21">
        <f>VLOOKUP(A322,'Database Rates'!$A:$D,3,FALSE)</f>
        <v/>
      </c>
    </row>
    <row r="323">
      <c r="A323" s="40" t="n">
        <v>29495</v>
      </c>
      <c r="B323" s="21">
        <f>VLOOKUP(A323,'Database Rates'!$A:$D,3,FALSE)</f>
        <v/>
      </c>
    </row>
    <row r="324">
      <c r="A324" s="40" t="n">
        <v>29526</v>
      </c>
      <c r="B324" s="21">
        <f>VLOOKUP(A324,'Database Rates'!$A:$D,3,FALSE)</f>
        <v/>
      </c>
    </row>
    <row r="325">
      <c r="A325" s="40" t="n">
        <v>29556</v>
      </c>
      <c r="B325" s="21">
        <f>VLOOKUP(A325,'Database Rates'!$A:$D,3,FALSE)</f>
        <v/>
      </c>
    </row>
    <row r="326">
      <c r="A326" s="40" t="n">
        <v>29587</v>
      </c>
      <c r="B326" s="21">
        <f>VLOOKUP(A326,'Database Rates'!$A:$D,3,FALSE)</f>
        <v/>
      </c>
    </row>
    <row r="327">
      <c r="A327" s="40" t="n">
        <v>29618</v>
      </c>
      <c r="B327" s="21">
        <f>VLOOKUP(A327,'Database Rates'!$A:$D,3,FALSE)</f>
        <v/>
      </c>
    </row>
    <row r="328">
      <c r="A328" s="40" t="n">
        <v>29646</v>
      </c>
      <c r="B328" s="21">
        <f>VLOOKUP(A328,'Database Rates'!$A:$D,3,FALSE)</f>
        <v/>
      </c>
    </row>
    <row r="329">
      <c r="A329" s="40" t="n">
        <v>29677</v>
      </c>
      <c r="B329" s="21">
        <f>VLOOKUP(A329,'Database Rates'!$A:$D,3,FALSE)</f>
        <v/>
      </c>
    </row>
    <row r="330">
      <c r="A330" s="40" t="n">
        <v>29707</v>
      </c>
      <c r="B330" s="21">
        <f>VLOOKUP(A330,'Database Rates'!$A:$D,3,FALSE)</f>
        <v/>
      </c>
    </row>
    <row r="331">
      <c r="A331" s="40" t="n">
        <v>29738</v>
      </c>
      <c r="B331" s="21">
        <f>VLOOKUP(A331,'Database Rates'!$A:$D,3,FALSE)</f>
        <v/>
      </c>
    </row>
    <row r="332">
      <c r="A332" s="40" t="n">
        <v>29768</v>
      </c>
      <c r="B332" s="21">
        <f>VLOOKUP(A332,'Database Rates'!$A:$D,3,FALSE)</f>
        <v/>
      </c>
    </row>
    <row r="333">
      <c r="A333" s="40" t="n">
        <v>29799</v>
      </c>
      <c r="B333" s="21">
        <f>VLOOKUP(A333,'Database Rates'!$A:$D,3,FALSE)</f>
        <v/>
      </c>
    </row>
    <row r="334">
      <c r="A334" s="40" t="n">
        <v>29830</v>
      </c>
      <c r="B334" s="21">
        <f>VLOOKUP(A334,'Database Rates'!$A:$D,3,FALSE)</f>
        <v/>
      </c>
    </row>
    <row r="335">
      <c r="A335" s="40" t="n">
        <v>29860</v>
      </c>
      <c r="B335" s="21">
        <f>VLOOKUP(A335,'Database Rates'!$A:$D,3,FALSE)</f>
        <v/>
      </c>
    </row>
    <row r="336">
      <c r="A336" s="40" t="n">
        <v>29891</v>
      </c>
      <c r="B336" s="21">
        <f>VLOOKUP(A336,'Database Rates'!$A:$D,3,FALSE)</f>
        <v/>
      </c>
    </row>
    <row r="337">
      <c r="A337" s="40" t="n">
        <v>29921</v>
      </c>
      <c r="B337" s="21">
        <f>VLOOKUP(A337,'Database Rates'!$A:$D,3,FALSE)</f>
        <v/>
      </c>
    </row>
    <row r="338">
      <c r="A338" s="40" t="n">
        <v>29952</v>
      </c>
      <c r="B338" s="21">
        <f>VLOOKUP(A338,'Database Rates'!$A:$D,3,FALSE)</f>
        <v/>
      </c>
    </row>
    <row r="339">
      <c r="A339" s="40" t="n">
        <v>29983</v>
      </c>
      <c r="B339" s="21">
        <f>VLOOKUP(A339,'Database Rates'!$A:$D,3,FALSE)</f>
        <v/>
      </c>
    </row>
    <row r="340">
      <c r="A340" s="40" t="n">
        <v>30011</v>
      </c>
      <c r="B340" s="21">
        <f>VLOOKUP(A340,'Database Rates'!$A:$D,3,FALSE)</f>
        <v/>
      </c>
    </row>
    <row r="341">
      <c r="A341" s="40" t="n">
        <v>30042</v>
      </c>
      <c r="B341" s="21">
        <f>VLOOKUP(A341,'Database Rates'!$A:$D,3,FALSE)</f>
        <v/>
      </c>
    </row>
    <row r="342">
      <c r="A342" s="40" t="n">
        <v>30072</v>
      </c>
      <c r="B342" s="21">
        <f>VLOOKUP(A342,'Database Rates'!$A:$D,3,FALSE)</f>
        <v/>
      </c>
    </row>
    <row r="343">
      <c r="A343" s="40" t="n">
        <v>30103</v>
      </c>
      <c r="B343" s="21">
        <f>VLOOKUP(A343,'Database Rates'!$A:$D,3,FALSE)</f>
        <v/>
      </c>
    </row>
    <row r="344">
      <c r="A344" s="40" t="n">
        <v>30133</v>
      </c>
      <c r="B344" s="21">
        <f>VLOOKUP(A344,'Database Rates'!$A:$D,3,FALSE)</f>
        <v/>
      </c>
    </row>
    <row r="345">
      <c r="A345" s="40" t="n">
        <v>30164</v>
      </c>
      <c r="B345" s="21">
        <f>VLOOKUP(A345,'Database Rates'!$A:$D,3,FALSE)</f>
        <v/>
      </c>
    </row>
    <row r="346">
      <c r="A346" s="40" t="n">
        <v>30195</v>
      </c>
      <c r="B346" s="21">
        <f>VLOOKUP(A346,'Database Rates'!$A:$D,3,FALSE)</f>
        <v/>
      </c>
    </row>
    <row r="347">
      <c r="A347" s="40" t="n">
        <v>30225</v>
      </c>
      <c r="B347" s="21">
        <f>VLOOKUP(A347,'Database Rates'!$A:$D,3,FALSE)</f>
        <v/>
      </c>
    </row>
    <row r="348">
      <c r="A348" s="40" t="n">
        <v>30256</v>
      </c>
      <c r="B348" s="21">
        <f>VLOOKUP(A348,'Database Rates'!$A:$D,3,FALSE)</f>
        <v/>
      </c>
    </row>
    <row r="349">
      <c r="A349" s="40" t="n">
        <v>30286</v>
      </c>
      <c r="B349" s="21">
        <f>VLOOKUP(A349,'Database Rates'!$A:$D,3,FALSE)</f>
        <v/>
      </c>
    </row>
    <row r="350">
      <c r="A350" s="40" t="n">
        <v>30317</v>
      </c>
      <c r="B350" s="21">
        <f>VLOOKUP(A350,'Database Rates'!$A:$D,3,FALSE)</f>
        <v/>
      </c>
    </row>
    <row r="351">
      <c r="A351" s="40" t="n">
        <v>30348</v>
      </c>
      <c r="B351" s="21">
        <f>VLOOKUP(A351,'Database Rates'!$A:$D,3,FALSE)</f>
        <v/>
      </c>
    </row>
    <row r="352">
      <c r="A352" s="40" t="n">
        <v>30376</v>
      </c>
      <c r="B352" s="21">
        <f>VLOOKUP(A352,'Database Rates'!$A:$D,3,FALSE)</f>
        <v/>
      </c>
    </row>
    <row r="353">
      <c r="A353" s="40" t="n">
        <v>30407</v>
      </c>
      <c r="B353" s="21">
        <f>VLOOKUP(A353,'Database Rates'!$A:$D,3,FALSE)</f>
        <v/>
      </c>
    </row>
    <row r="354">
      <c r="A354" s="40" t="n">
        <v>30437</v>
      </c>
      <c r="B354" s="21">
        <f>VLOOKUP(A354,'Database Rates'!$A:$D,3,FALSE)</f>
        <v/>
      </c>
    </row>
    <row r="355">
      <c r="A355" s="40" t="n">
        <v>30468</v>
      </c>
      <c r="B355" s="21">
        <f>VLOOKUP(A355,'Database Rates'!$A:$D,3,FALSE)</f>
        <v/>
      </c>
    </row>
    <row r="356">
      <c r="A356" s="40" t="n">
        <v>30498</v>
      </c>
      <c r="B356" s="21">
        <f>VLOOKUP(A356,'Database Rates'!$A:$D,3,FALSE)</f>
        <v/>
      </c>
    </row>
    <row r="357">
      <c r="A357" s="40" t="n">
        <v>30529</v>
      </c>
      <c r="B357" s="21">
        <f>VLOOKUP(A357,'Database Rates'!$A:$D,3,FALSE)</f>
        <v/>
      </c>
    </row>
    <row r="358">
      <c r="A358" s="40" t="n">
        <v>30560</v>
      </c>
      <c r="B358" s="21">
        <f>VLOOKUP(A358,'Database Rates'!$A:$D,3,FALSE)</f>
        <v/>
      </c>
    </row>
    <row r="359">
      <c r="A359" s="40" t="n">
        <v>30590</v>
      </c>
      <c r="B359" s="21">
        <f>VLOOKUP(A359,'Database Rates'!$A:$D,3,FALSE)</f>
        <v/>
      </c>
    </row>
    <row r="360">
      <c r="A360" s="40" t="n">
        <v>30621</v>
      </c>
      <c r="B360" s="21">
        <f>VLOOKUP(A360,'Database Rates'!$A:$D,3,FALSE)</f>
        <v/>
      </c>
    </row>
    <row r="361">
      <c r="A361" s="40" t="n">
        <v>30651</v>
      </c>
      <c r="B361" s="21">
        <f>VLOOKUP(A361,'Database Rates'!$A:$D,3,FALSE)</f>
        <v/>
      </c>
    </row>
    <row r="362">
      <c r="A362" s="40" t="n">
        <v>30682</v>
      </c>
      <c r="B362" s="21">
        <f>VLOOKUP(A362,'Database Rates'!$A:$D,3,FALSE)</f>
        <v/>
      </c>
    </row>
    <row r="363">
      <c r="A363" s="40" t="n">
        <v>30713</v>
      </c>
      <c r="B363" s="21">
        <f>VLOOKUP(A363,'Database Rates'!$A:$D,3,FALSE)</f>
        <v/>
      </c>
    </row>
    <row r="364">
      <c r="A364" s="40" t="n">
        <v>30742</v>
      </c>
      <c r="B364" s="21">
        <f>VLOOKUP(A364,'Database Rates'!$A:$D,3,FALSE)</f>
        <v/>
      </c>
    </row>
    <row r="365">
      <c r="A365" s="40" t="n">
        <v>30773</v>
      </c>
      <c r="B365" s="21">
        <f>VLOOKUP(A365,'Database Rates'!$A:$D,3,FALSE)</f>
        <v/>
      </c>
    </row>
    <row r="366">
      <c r="A366" s="40" t="n">
        <v>30803</v>
      </c>
      <c r="B366" s="21">
        <f>VLOOKUP(A366,'Database Rates'!$A:$D,3,FALSE)</f>
        <v/>
      </c>
    </row>
    <row r="367">
      <c r="A367" s="40" t="n">
        <v>30834</v>
      </c>
      <c r="B367" s="21">
        <f>VLOOKUP(A367,'Database Rates'!$A:$D,3,FALSE)</f>
        <v/>
      </c>
    </row>
    <row r="368">
      <c r="A368" s="40" t="n">
        <v>30864</v>
      </c>
      <c r="B368" s="21">
        <f>VLOOKUP(A368,'Database Rates'!$A:$D,3,FALSE)</f>
        <v/>
      </c>
    </row>
    <row r="369">
      <c r="A369" s="40" t="n">
        <v>30895</v>
      </c>
      <c r="B369" s="21">
        <f>VLOOKUP(A369,'Database Rates'!$A:$D,3,FALSE)</f>
        <v/>
      </c>
    </row>
    <row r="370">
      <c r="A370" s="40" t="n">
        <v>30926</v>
      </c>
      <c r="B370" s="21">
        <f>VLOOKUP(A370,'Database Rates'!$A:$D,3,FALSE)</f>
        <v/>
      </c>
    </row>
    <row r="371">
      <c r="A371" s="40" t="n">
        <v>30956</v>
      </c>
      <c r="B371" s="21">
        <f>VLOOKUP(A371,'Database Rates'!$A:$D,3,FALSE)</f>
        <v/>
      </c>
    </row>
    <row r="372">
      <c r="A372" s="40" t="n">
        <v>30987</v>
      </c>
      <c r="B372" s="21">
        <f>VLOOKUP(A372,'Database Rates'!$A:$D,3,FALSE)</f>
        <v/>
      </c>
    </row>
    <row r="373">
      <c r="A373" s="40" t="n">
        <v>31017</v>
      </c>
      <c r="B373" s="21">
        <f>VLOOKUP(A373,'Database Rates'!$A:$D,3,FALSE)</f>
        <v/>
      </c>
    </row>
    <row r="374">
      <c r="A374" s="40" t="n">
        <v>31048</v>
      </c>
      <c r="B374" s="21">
        <f>VLOOKUP(A374,'Database Rates'!$A:$D,3,FALSE)</f>
        <v/>
      </c>
    </row>
    <row r="375">
      <c r="A375" s="40" t="n">
        <v>31079</v>
      </c>
      <c r="B375" s="21">
        <f>VLOOKUP(A375,'Database Rates'!$A:$D,3,FALSE)</f>
        <v/>
      </c>
    </row>
    <row r="376">
      <c r="A376" s="40" t="n">
        <v>31107</v>
      </c>
      <c r="B376" s="21">
        <f>VLOOKUP(A376,'Database Rates'!$A:$D,3,FALSE)</f>
        <v/>
      </c>
    </row>
    <row r="377">
      <c r="A377" s="40" t="n">
        <v>31138</v>
      </c>
      <c r="B377" s="21">
        <f>VLOOKUP(A377,'Database Rates'!$A:$D,3,FALSE)</f>
        <v/>
      </c>
    </row>
    <row r="378">
      <c r="A378" s="40" t="n">
        <v>31168</v>
      </c>
      <c r="B378" s="21">
        <f>VLOOKUP(A378,'Database Rates'!$A:$D,3,FALSE)</f>
        <v/>
      </c>
    </row>
    <row r="379">
      <c r="A379" s="40" t="n">
        <v>31199</v>
      </c>
      <c r="B379" s="21">
        <f>VLOOKUP(A379,'Database Rates'!$A:$D,3,FALSE)</f>
        <v/>
      </c>
    </row>
    <row r="380">
      <c r="A380" s="40" t="n">
        <v>31229</v>
      </c>
      <c r="B380" s="21">
        <f>VLOOKUP(A380,'Database Rates'!$A:$D,3,FALSE)</f>
        <v/>
      </c>
    </row>
    <row r="381">
      <c r="A381" s="40" t="n">
        <v>31260</v>
      </c>
      <c r="B381" s="21">
        <f>VLOOKUP(A381,'Database Rates'!$A:$D,3,FALSE)</f>
        <v/>
      </c>
    </row>
    <row r="382">
      <c r="A382" s="40" t="n">
        <v>31291</v>
      </c>
      <c r="B382" s="21">
        <f>VLOOKUP(A382,'Database Rates'!$A:$D,3,FALSE)</f>
        <v/>
      </c>
    </row>
    <row r="383">
      <c r="A383" s="40" t="n">
        <v>31321</v>
      </c>
      <c r="B383" s="21">
        <f>VLOOKUP(A383,'Database Rates'!$A:$D,3,FALSE)</f>
        <v/>
      </c>
    </row>
    <row r="384">
      <c r="A384" s="40" t="n">
        <v>31352</v>
      </c>
      <c r="B384" s="21">
        <f>VLOOKUP(A384,'Database Rates'!$A:$D,3,FALSE)</f>
        <v/>
      </c>
    </row>
    <row r="385">
      <c r="A385" s="40" t="n">
        <v>31382</v>
      </c>
      <c r="B385" s="21">
        <f>VLOOKUP(A385,'Database Rates'!$A:$D,3,FALSE)</f>
        <v/>
      </c>
    </row>
    <row r="386">
      <c r="A386" s="40" t="n">
        <v>31413</v>
      </c>
      <c r="B386" s="21">
        <f>VLOOKUP(A386,'Database Rates'!$A:$D,3,FALSE)</f>
        <v/>
      </c>
    </row>
    <row r="387">
      <c r="A387" s="40" t="n">
        <v>31444</v>
      </c>
      <c r="B387" s="21">
        <f>VLOOKUP(A387,'Database Rates'!$A:$D,3,FALSE)</f>
        <v/>
      </c>
    </row>
    <row r="388">
      <c r="A388" s="40" t="n">
        <v>31472</v>
      </c>
      <c r="B388" s="21">
        <f>VLOOKUP(A388,'Database Rates'!$A:$D,3,FALSE)</f>
        <v/>
      </c>
    </row>
    <row r="389">
      <c r="A389" s="40" t="n">
        <v>31503</v>
      </c>
      <c r="B389" s="21">
        <f>VLOOKUP(A389,'Database Rates'!$A:$D,3,FALSE)</f>
        <v/>
      </c>
    </row>
    <row r="390">
      <c r="A390" s="40" t="n">
        <v>31533</v>
      </c>
      <c r="B390" s="21">
        <f>VLOOKUP(A390,'Database Rates'!$A:$D,3,FALSE)</f>
        <v/>
      </c>
    </row>
    <row r="391">
      <c r="A391" s="40" t="n">
        <v>31564</v>
      </c>
      <c r="B391" s="21">
        <f>VLOOKUP(A391,'Database Rates'!$A:$D,3,FALSE)</f>
        <v/>
      </c>
    </row>
    <row r="392">
      <c r="A392" s="40" t="n">
        <v>31594</v>
      </c>
      <c r="B392" s="21">
        <f>VLOOKUP(A392,'Database Rates'!$A:$D,3,FALSE)</f>
        <v/>
      </c>
    </row>
    <row r="393">
      <c r="A393" s="40" t="n">
        <v>31625</v>
      </c>
      <c r="B393" s="21">
        <f>VLOOKUP(A393,'Database Rates'!$A:$D,3,FALSE)</f>
        <v/>
      </c>
    </row>
    <row r="394">
      <c r="A394" s="40" t="n">
        <v>31656</v>
      </c>
      <c r="B394" s="21">
        <f>VLOOKUP(A394,'Database Rates'!$A:$D,3,FALSE)</f>
        <v/>
      </c>
    </row>
    <row r="395">
      <c r="A395" s="40" t="n">
        <v>31686</v>
      </c>
      <c r="B395" s="21">
        <f>VLOOKUP(A395,'Database Rates'!$A:$D,3,FALSE)</f>
        <v/>
      </c>
    </row>
    <row r="396">
      <c r="A396" s="40" t="n">
        <v>31717</v>
      </c>
      <c r="B396" s="21">
        <f>VLOOKUP(A396,'Database Rates'!$A:$D,3,FALSE)</f>
        <v/>
      </c>
    </row>
    <row r="397">
      <c r="A397" s="40" t="n">
        <v>31747</v>
      </c>
      <c r="B397" s="21">
        <f>VLOOKUP(A397,'Database Rates'!$A:$D,3,FALSE)</f>
        <v/>
      </c>
    </row>
    <row r="398">
      <c r="A398" s="40" t="n">
        <v>31778</v>
      </c>
      <c r="B398" s="21">
        <f>VLOOKUP(A398,'Database Rates'!$A:$D,3,FALSE)</f>
        <v/>
      </c>
    </row>
    <row r="399">
      <c r="A399" s="40" t="n">
        <v>31809</v>
      </c>
      <c r="B399" s="21">
        <f>VLOOKUP(A399,'Database Rates'!$A:$D,3,FALSE)</f>
        <v/>
      </c>
    </row>
    <row r="400">
      <c r="A400" s="40" t="n">
        <v>31837</v>
      </c>
      <c r="B400" s="21">
        <f>VLOOKUP(A400,'Database Rates'!$A:$D,3,FALSE)</f>
        <v/>
      </c>
    </row>
    <row r="401">
      <c r="A401" s="40" t="n">
        <v>31868</v>
      </c>
      <c r="B401" s="21">
        <f>VLOOKUP(A401,'Database Rates'!$A:$D,3,FALSE)</f>
        <v/>
      </c>
    </row>
    <row r="402">
      <c r="A402" s="40" t="n">
        <v>31898</v>
      </c>
      <c r="B402" s="21">
        <f>VLOOKUP(A402,'Database Rates'!$A:$D,3,FALSE)</f>
        <v/>
      </c>
    </row>
    <row r="403">
      <c r="A403" s="40" t="n">
        <v>31929</v>
      </c>
      <c r="B403" s="21">
        <f>VLOOKUP(A403,'Database Rates'!$A:$D,3,FALSE)</f>
        <v/>
      </c>
    </row>
    <row r="404">
      <c r="A404" s="40" t="n">
        <v>31959</v>
      </c>
      <c r="B404" s="21">
        <f>VLOOKUP(A404,'Database Rates'!$A:$D,3,FALSE)</f>
        <v/>
      </c>
    </row>
    <row r="405">
      <c r="A405" s="40" t="n">
        <v>31990</v>
      </c>
      <c r="B405" s="21">
        <f>VLOOKUP(A405,'Database Rates'!$A:$D,3,FALSE)</f>
        <v/>
      </c>
    </row>
    <row r="406">
      <c r="A406" s="40" t="n">
        <v>32021</v>
      </c>
      <c r="B406" s="21">
        <f>VLOOKUP(A406,'Database Rates'!$A:$D,3,FALSE)</f>
        <v/>
      </c>
    </row>
    <row r="407">
      <c r="A407" s="40" t="n">
        <v>32051</v>
      </c>
      <c r="B407" s="21">
        <f>VLOOKUP(A407,'Database Rates'!$A:$D,3,FALSE)</f>
        <v/>
      </c>
    </row>
    <row r="408">
      <c r="A408" s="40" t="n">
        <v>32082</v>
      </c>
      <c r="B408" s="21">
        <f>VLOOKUP(A408,'Database Rates'!$A:$D,3,FALSE)</f>
        <v/>
      </c>
    </row>
    <row r="409">
      <c r="A409" s="40" t="n">
        <v>32112</v>
      </c>
      <c r="B409" s="21">
        <f>VLOOKUP(A409,'Database Rates'!$A:$D,3,FALSE)</f>
        <v/>
      </c>
    </row>
    <row r="410">
      <c r="A410" s="40" t="n">
        <v>32143</v>
      </c>
      <c r="B410" s="21">
        <f>VLOOKUP(A410,'Database Rates'!$A:$D,3,FALSE)</f>
        <v/>
      </c>
    </row>
    <row r="411">
      <c r="A411" s="40" t="n">
        <v>32174</v>
      </c>
      <c r="B411" s="21">
        <f>VLOOKUP(A411,'Database Rates'!$A:$D,3,FALSE)</f>
        <v/>
      </c>
    </row>
    <row r="412">
      <c r="A412" s="40" t="n">
        <v>32203</v>
      </c>
      <c r="B412" s="21">
        <f>VLOOKUP(A412,'Database Rates'!$A:$D,3,FALSE)</f>
        <v/>
      </c>
    </row>
    <row r="413">
      <c r="A413" s="40" t="n">
        <v>32234</v>
      </c>
      <c r="B413" s="21">
        <f>VLOOKUP(A413,'Database Rates'!$A:$D,3,FALSE)</f>
        <v/>
      </c>
    </row>
    <row r="414">
      <c r="A414" s="40" t="n">
        <v>32264</v>
      </c>
      <c r="B414" s="21">
        <f>VLOOKUP(A414,'Database Rates'!$A:$D,3,FALSE)</f>
        <v/>
      </c>
    </row>
    <row r="415">
      <c r="A415" s="40" t="n">
        <v>32295</v>
      </c>
      <c r="B415" s="21">
        <f>VLOOKUP(A415,'Database Rates'!$A:$D,3,FALSE)</f>
        <v/>
      </c>
    </row>
    <row r="416">
      <c r="A416" s="40" t="n">
        <v>32325</v>
      </c>
      <c r="B416" s="21">
        <f>VLOOKUP(A416,'Database Rates'!$A:$D,3,FALSE)</f>
        <v/>
      </c>
    </row>
    <row r="417">
      <c r="A417" s="40" t="n">
        <v>32356</v>
      </c>
      <c r="B417" s="21">
        <f>VLOOKUP(A417,'Database Rates'!$A:$D,3,FALSE)</f>
        <v/>
      </c>
    </row>
    <row r="418">
      <c r="A418" s="40" t="n">
        <v>32387</v>
      </c>
      <c r="B418" s="21">
        <f>VLOOKUP(A418,'Database Rates'!$A:$D,3,FALSE)</f>
        <v/>
      </c>
    </row>
    <row r="419">
      <c r="A419" s="40" t="n">
        <v>32417</v>
      </c>
      <c r="B419" s="21">
        <f>VLOOKUP(A419,'Database Rates'!$A:$D,3,FALSE)</f>
        <v/>
      </c>
    </row>
    <row r="420">
      <c r="A420" s="40" t="n">
        <v>32448</v>
      </c>
      <c r="B420" s="21">
        <f>VLOOKUP(A420,'Database Rates'!$A:$D,3,FALSE)</f>
        <v/>
      </c>
    </row>
    <row r="421">
      <c r="A421" s="40" t="n">
        <v>32478</v>
      </c>
      <c r="B421" s="21">
        <f>VLOOKUP(A421,'Database Rates'!$A:$D,3,FALSE)</f>
        <v/>
      </c>
    </row>
    <row r="422">
      <c r="A422" s="40" t="n">
        <v>32509</v>
      </c>
      <c r="B422" s="21">
        <f>VLOOKUP(A422,'Database Rates'!$A:$D,3,FALSE)</f>
        <v/>
      </c>
    </row>
    <row r="423">
      <c r="A423" s="40" t="n">
        <v>32540</v>
      </c>
      <c r="B423" s="21">
        <f>VLOOKUP(A423,'Database Rates'!$A:$D,3,FALSE)</f>
        <v/>
      </c>
    </row>
    <row r="424">
      <c r="A424" s="40" t="n">
        <v>32568</v>
      </c>
      <c r="B424" s="21">
        <f>VLOOKUP(A424,'Database Rates'!$A:$D,3,FALSE)</f>
        <v/>
      </c>
    </row>
    <row r="425">
      <c r="A425" s="40" t="n">
        <v>32599</v>
      </c>
      <c r="B425" s="21">
        <f>VLOOKUP(A425,'Database Rates'!$A:$D,3,FALSE)</f>
        <v/>
      </c>
    </row>
    <row r="426">
      <c r="A426" s="40" t="n">
        <v>32629</v>
      </c>
      <c r="B426" s="21">
        <f>VLOOKUP(A426,'Database Rates'!$A:$D,3,FALSE)</f>
        <v/>
      </c>
    </row>
    <row r="427">
      <c r="A427" s="40" t="n">
        <v>32660</v>
      </c>
      <c r="B427" s="21">
        <f>VLOOKUP(A427,'Database Rates'!$A:$D,3,FALSE)</f>
        <v/>
      </c>
    </row>
    <row r="428">
      <c r="A428" s="40" t="n">
        <v>32690</v>
      </c>
      <c r="B428" s="21">
        <f>VLOOKUP(A428,'Database Rates'!$A:$D,3,FALSE)</f>
        <v/>
      </c>
    </row>
    <row r="429">
      <c r="A429" s="40" t="n">
        <v>32721</v>
      </c>
      <c r="B429" s="21">
        <f>VLOOKUP(A429,'Database Rates'!$A:$D,3,FALSE)</f>
        <v/>
      </c>
    </row>
    <row r="430">
      <c r="A430" s="40" t="n">
        <v>32752</v>
      </c>
      <c r="B430" s="21">
        <f>VLOOKUP(A430,'Database Rates'!$A:$D,3,FALSE)</f>
        <v/>
      </c>
    </row>
    <row r="431">
      <c r="A431" s="40" t="n">
        <v>32782</v>
      </c>
      <c r="B431" s="21">
        <f>VLOOKUP(A431,'Database Rates'!$A:$D,3,FALSE)</f>
        <v/>
      </c>
    </row>
    <row r="432">
      <c r="A432" s="40" t="n">
        <v>32813</v>
      </c>
      <c r="B432" s="21">
        <f>VLOOKUP(A432,'Database Rates'!$A:$D,3,FALSE)</f>
        <v/>
      </c>
    </row>
    <row r="433">
      <c r="A433" s="40" t="n">
        <v>32843</v>
      </c>
      <c r="B433" s="21">
        <f>VLOOKUP(A433,'Database Rates'!$A:$D,3,FALSE)</f>
        <v/>
      </c>
    </row>
    <row r="434">
      <c r="A434" s="40" t="n">
        <v>32874</v>
      </c>
      <c r="B434" s="21">
        <f>VLOOKUP(A434,'Database Rates'!$A:$D,3,FALSE)</f>
        <v/>
      </c>
    </row>
    <row r="435">
      <c r="A435" s="40" t="n">
        <v>32905</v>
      </c>
      <c r="B435" s="21">
        <f>VLOOKUP(A435,'Database Rates'!$A:$D,3,FALSE)</f>
        <v/>
      </c>
    </row>
    <row r="436">
      <c r="A436" s="40" t="n">
        <v>32933</v>
      </c>
      <c r="B436" s="21">
        <f>VLOOKUP(A436,'Database Rates'!$A:$D,3,FALSE)</f>
        <v/>
      </c>
    </row>
    <row r="437">
      <c r="A437" s="40" t="n">
        <v>32964</v>
      </c>
      <c r="B437" s="21">
        <f>VLOOKUP(A437,'Database Rates'!$A:$D,3,FALSE)</f>
        <v/>
      </c>
    </row>
    <row r="438">
      <c r="A438" s="40" t="n">
        <v>32994</v>
      </c>
      <c r="B438" s="21">
        <f>VLOOKUP(A438,'Database Rates'!$A:$D,3,FALSE)</f>
        <v/>
      </c>
    </row>
    <row r="439">
      <c r="A439" s="40" t="n">
        <v>33025</v>
      </c>
      <c r="B439" s="21">
        <f>VLOOKUP(A439,'Database Rates'!$A:$D,3,FALSE)</f>
        <v/>
      </c>
    </row>
    <row r="440">
      <c r="A440" s="40" t="n">
        <v>33055</v>
      </c>
      <c r="B440" s="21">
        <f>VLOOKUP(A440,'Database Rates'!$A:$D,3,FALSE)</f>
        <v/>
      </c>
    </row>
    <row r="441">
      <c r="A441" s="40" t="n">
        <v>33086</v>
      </c>
      <c r="B441" s="21">
        <f>VLOOKUP(A441,'Database Rates'!$A:$D,3,FALSE)</f>
        <v/>
      </c>
    </row>
    <row r="442">
      <c r="A442" s="40" t="n">
        <v>33117</v>
      </c>
      <c r="B442" s="21">
        <f>VLOOKUP(A442,'Database Rates'!$A:$D,3,FALSE)</f>
        <v/>
      </c>
    </row>
    <row r="443">
      <c r="A443" s="40" t="n">
        <v>33147</v>
      </c>
      <c r="B443" s="21">
        <f>VLOOKUP(A443,'Database Rates'!$A:$D,3,FALSE)</f>
        <v/>
      </c>
    </row>
    <row r="444">
      <c r="A444" s="40" t="n">
        <v>33178</v>
      </c>
      <c r="B444" s="21">
        <f>VLOOKUP(A444,'Database Rates'!$A:$D,3,FALSE)</f>
        <v/>
      </c>
    </row>
    <row r="445">
      <c r="A445" s="40" t="n">
        <v>33208</v>
      </c>
      <c r="B445" s="21">
        <f>VLOOKUP(A445,'Database Rates'!$A:$D,3,FALSE)</f>
        <v/>
      </c>
    </row>
    <row r="446">
      <c r="A446" s="40" t="n">
        <v>33239</v>
      </c>
      <c r="B446" s="21">
        <f>VLOOKUP(A446,'Database Rates'!$A:$D,3,FALSE)</f>
        <v/>
      </c>
    </row>
    <row r="447">
      <c r="A447" s="40" t="n">
        <v>33270</v>
      </c>
      <c r="B447" s="21">
        <f>VLOOKUP(A447,'Database Rates'!$A:$D,3,FALSE)</f>
        <v/>
      </c>
    </row>
    <row r="448">
      <c r="A448" s="40" t="n">
        <v>33298</v>
      </c>
      <c r="B448" s="21">
        <f>VLOOKUP(A448,'Database Rates'!$A:$D,3,FALSE)</f>
        <v/>
      </c>
    </row>
    <row r="449">
      <c r="A449" s="40" t="n">
        <v>33329</v>
      </c>
      <c r="B449" s="21">
        <f>VLOOKUP(A449,'Database Rates'!$A:$D,3,FALSE)</f>
        <v/>
      </c>
    </row>
    <row r="450">
      <c r="A450" s="40" t="n">
        <v>33359</v>
      </c>
      <c r="B450" s="21">
        <f>VLOOKUP(A450,'Database Rates'!$A:$D,3,FALSE)</f>
        <v/>
      </c>
    </row>
    <row r="451">
      <c r="A451" s="40" t="n">
        <v>33390</v>
      </c>
      <c r="B451" s="21">
        <f>VLOOKUP(A451,'Database Rates'!$A:$D,3,FALSE)</f>
        <v/>
      </c>
    </row>
    <row r="452">
      <c r="A452" s="40" t="n">
        <v>33420</v>
      </c>
      <c r="B452" s="21">
        <f>VLOOKUP(A452,'Database Rates'!$A:$D,3,FALSE)</f>
        <v/>
      </c>
    </row>
    <row r="453">
      <c r="A453" s="40" t="n">
        <v>33451</v>
      </c>
      <c r="B453" s="21">
        <f>VLOOKUP(A453,'Database Rates'!$A:$D,3,FALSE)</f>
        <v/>
      </c>
    </row>
    <row r="454">
      <c r="A454" s="40" t="n">
        <v>33482</v>
      </c>
      <c r="B454" s="21">
        <f>VLOOKUP(A454,'Database Rates'!$A:$D,3,FALSE)</f>
        <v/>
      </c>
    </row>
    <row r="455">
      <c r="A455" s="40" t="n">
        <v>33512</v>
      </c>
      <c r="B455" s="21">
        <f>VLOOKUP(A455,'Database Rates'!$A:$D,3,FALSE)</f>
        <v/>
      </c>
    </row>
    <row r="456">
      <c r="A456" s="40" t="n">
        <v>33543</v>
      </c>
      <c r="B456" s="21">
        <f>VLOOKUP(A456,'Database Rates'!$A:$D,3,FALSE)</f>
        <v/>
      </c>
    </row>
    <row r="457">
      <c r="A457" s="40" t="n">
        <v>33573</v>
      </c>
      <c r="B457" s="21">
        <f>VLOOKUP(A457,'Database Rates'!$A:$D,3,FALSE)</f>
        <v/>
      </c>
    </row>
    <row r="458">
      <c r="A458" s="40" t="n">
        <v>33604</v>
      </c>
      <c r="B458" s="21">
        <f>VLOOKUP(A458,'Database Rates'!$A:$D,3,FALSE)</f>
        <v/>
      </c>
    </row>
    <row r="459">
      <c r="A459" s="40" t="n">
        <v>33635</v>
      </c>
      <c r="B459" s="21">
        <f>VLOOKUP(A459,'Database Rates'!$A:$D,3,FALSE)</f>
        <v/>
      </c>
    </row>
    <row r="460">
      <c r="A460" s="40" t="n">
        <v>33664</v>
      </c>
      <c r="B460" s="21">
        <f>VLOOKUP(A460,'Database Rates'!$A:$D,3,FALSE)</f>
        <v/>
      </c>
    </row>
    <row r="461">
      <c r="A461" s="40" t="n">
        <v>33695</v>
      </c>
      <c r="B461" s="21">
        <f>VLOOKUP(A461,'Database Rates'!$A:$D,3,FALSE)</f>
        <v/>
      </c>
    </row>
    <row r="462">
      <c r="A462" s="40" t="n">
        <v>33725</v>
      </c>
      <c r="B462" s="21">
        <f>VLOOKUP(A462,'Database Rates'!$A:$D,3,FALSE)</f>
        <v/>
      </c>
    </row>
    <row r="463">
      <c r="A463" s="40" t="n">
        <v>33756</v>
      </c>
      <c r="B463" s="21">
        <f>VLOOKUP(A463,'Database Rates'!$A:$D,3,FALSE)</f>
        <v/>
      </c>
    </row>
    <row r="464">
      <c r="A464" s="40" t="n">
        <v>33786</v>
      </c>
      <c r="B464" s="21">
        <f>VLOOKUP(A464,'Database Rates'!$A:$D,3,FALSE)</f>
        <v/>
      </c>
    </row>
    <row r="465">
      <c r="A465" s="40" t="n">
        <v>33817</v>
      </c>
      <c r="B465" s="21">
        <f>VLOOKUP(A465,'Database Rates'!$A:$D,3,FALSE)</f>
        <v/>
      </c>
    </row>
    <row r="466">
      <c r="A466" s="40" t="n">
        <v>33848</v>
      </c>
      <c r="B466" s="21">
        <f>VLOOKUP(A466,'Database Rates'!$A:$D,3,FALSE)</f>
        <v/>
      </c>
    </row>
    <row r="467">
      <c r="A467" s="40" t="n">
        <v>33878</v>
      </c>
      <c r="B467" s="21">
        <f>VLOOKUP(A467,'Database Rates'!$A:$D,3,FALSE)</f>
        <v/>
      </c>
    </row>
    <row r="468">
      <c r="A468" s="40" t="n">
        <v>33909</v>
      </c>
      <c r="B468" s="21">
        <f>VLOOKUP(A468,'Database Rates'!$A:$D,3,FALSE)</f>
        <v/>
      </c>
    </row>
    <row r="469">
      <c r="A469" s="40" t="n">
        <v>33939</v>
      </c>
      <c r="B469" s="21">
        <f>VLOOKUP(A469,'Database Rates'!$A:$D,3,FALSE)</f>
        <v/>
      </c>
    </row>
    <row r="470">
      <c r="A470" s="40" t="n">
        <v>33970</v>
      </c>
      <c r="B470" s="21">
        <f>VLOOKUP(A470,'Database Rates'!$A:$D,3,FALSE)</f>
        <v/>
      </c>
    </row>
    <row r="471">
      <c r="A471" s="40" t="n">
        <v>34001</v>
      </c>
      <c r="B471" s="21">
        <f>VLOOKUP(A471,'Database Rates'!$A:$D,3,FALSE)</f>
        <v/>
      </c>
    </row>
    <row r="472">
      <c r="A472" s="40" t="n">
        <v>34029</v>
      </c>
      <c r="B472" s="21">
        <f>VLOOKUP(A472,'Database Rates'!$A:$D,3,FALSE)</f>
        <v/>
      </c>
    </row>
    <row r="473">
      <c r="A473" s="40" t="n">
        <v>34060</v>
      </c>
      <c r="B473" s="21">
        <f>VLOOKUP(A473,'Database Rates'!$A:$D,3,FALSE)</f>
        <v/>
      </c>
    </row>
    <row r="474">
      <c r="A474" s="40" t="n">
        <v>34090</v>
      </c>
      <c r="B474" s="21">
        <f>VLOOKUP(A474,'Database Rates'!$A:$D,3,FALSE)</f>
        <v/>
      </c>
    </row>
    <row r="475">
      <c r="A475" s="40" t="n">
        <v>34121</v>
      </c>
      <c r="B475" s="21">
        <f>VLOOKUP(A475,'Database Rates'!$A:$D,3,FALSE)</f>
        <v/>
      </c>
    </row>
    <row r="476">
      <c r="A476" s="40" t="n">
        <v>34151</v>
      </c>
      <c r="B476" s="21">
        <f>VLOOKUP(A476,'Database Rates'!$A:$D,3,FALSE)</f>
        <v/>
      </c>
    </row>
    <row r="477">
      <c r="A477" s="40" t="n">
        <v>34182</v>
      </c>
      <c r="B477" s="21">
        <f>VLOOKUP(A477,'Database Rates'!$A:$D,3,FALSE)</f>
        <v/>
      </c>
    </row>
    <row r="478">
      <c r="A478" s="40" t="n">
        <v>34213</v>
      </c>
      <c r="B478" s="21">
        <f>VLOOKUP(A478,'Database Rates'!$A:$D,3,FALSE)</f>
        <v/>
      </c>
    </row>
    <row r="479">
      <c r="A479" s="40" t="n">
        <v>34243</v>
      </c>
      <c r="B479" s="21">
        <f>VLOOKUP(A479,'Database Rates'!$A:$D,3,FALSE)</f>
        <v/>
      </c>
    </row>
    <row r="480">
      <c r="A480" s="40" t="n">
        <v>34274</v>
      </c>
      <c r="B480" s="21">
        <f>VLOOKUP(A480,'Database Rates'!$A:$D,3,FALSE)</f>
        <v/>
      </c>
    </row>
    <row r="481">
      <c r="A481" s="40" t="n">
        <v>34304</v>
      </c>
      <c r="B481" s="21">
        <f>VLOOKUP(A481,'Database Rates'!$A:$D,3,FALSE)</f>
        <v/>
      </c>
    </row>
    <row r="482">
      <c r="A482" s="40" t="n">
        <v>34335</v>
      </c>
      <c r="B482" s="21">
        <f>VLOOKUP(A482,'Database Rates'!$A:$D,3,FALSE)</f>
        <v/>
      </c>
    </row>
    <row r="483">
      <c r="A483" s="40" t="n">
        <v>34366</v>
      </c>
      <c r="B483" s="21">
        <f>VLOOKUP(A483,'Database Rates'!$A:$D,3,FALSE)</f>
        <v/>
      </c>
    </row>
    <row r="484">
      <c r="A484" s="40" t="n">
        <v>34394</v>
      </c>
      <c r="B484" s="21">
        <f>VLOOKUP(A484,'Database Rates'!$A:$D,3,FALSE)</f>
        <v/>
      </c>
    </row>
    <row r="485">
      <c r="A485" s="40" t="n">
        <v>34425</v>
      </c>
      <c r="B485" s="21">
        <f>VLOOKUP(A485,'Database Rates'!$A:$D,3,FALSE)</f>
        <v/>
      </c>
    </row>
    <row r="486">
      <c r="A486" s="40" t="n">
        <v>34455</v>
      </c>
      <c r="B486" s="21">
        <f>VLOOKUP(A486,'Database Rates'!$A:$D,3,FALSE)</f>
        <v/>
      </c>
    </row>
    <row r="487">
      <c r="A487" s="40" t="n">
        <v>34486</v>
      </c>
      <c r="B487" s="21">
        <f>VLOOKUP(A487,'Database Rates'!$A:$D,3,FALSE)</f>
        <v/>
      </c>
    </row>
    <row r="488">
      <c r="A488" s="40" t="n">
        <v>34516</v>
      </c>
      <c r="B488" s="21">
        <f>VLOOKUP(A488,'Database Rates'!$A:$D,3,FALSE)</f>
        <v/>
      </c>
    </row>
    <row r="489">
      <c r="A489" s="40" t="n">
        <v>34547</v>
      </c>
      <c r="B489" s="21">
        <f>VLOOKUP(A489,'Database Rates'!$A:$D,3,FALSE)</f>
        <v/>
      </c>
    </row>
    <row r="490">
      <c r="A490" s="40" t="n">
        <v>34578</v>
      </c>
      <c r="B490" s="21">
        <f>VLOOKUP(A490,'Database Rates'!$A:$D,3,FALSE)</f>
        <v/>
      </c>
    </row>
    <row r="491">
      <c r="A491" s="40" t="n">
        <v>34608</v>
      </c>
      <c r="B491" s="21">
        <f>VLOOKUP(A491,'Database Rates'!$A:$D,3,FALSE)</f>
        <v/>
      </c>
    </row>
    <row r="492">
      <c r="A492" s="40" t="n">
        <v>34639</v>
      </c>
      <c r="B492" s="21">
        <f>VLOOKUP(A492,'Database Rates'!$A:$D,3,FALSE)</f>
        <v/>
      </c>
    </row>
    <row r="493">
      <c r="A493" s="40" t="n">
        <v>34669</v>
      </c>
      <c r="B493" s="21">
        <f>VLOOKUP(A493,'Database Rates'!$A:$D,3,FALSE)</f>
        <v/>
      </c>
    </row>
    <row r="494">
      <c r="A494" s="40" t="n">
        <v>34700</v>
      </c>
      <c r="B494" s="21">
        <f>VLOOKUP(A494,'Database Rates'!$A:$D,3,FALSE)</f>
        <v/>
      </c>
    </row>
    <row r="495">
      <c r="A495" s="40" t="n">
        <v>34731</v>
      </c>
      <c r="B495" s="21">
        <f>VLOOKUP(A495,'Database Rates'!$A:$D,3,FALSE)</f>
        <v/>
      </c>
    </row>
    <row r="496">
      <c r="A496" s="40" t="n">
        <v>34759</v>
      </c>
      <c r="B496" s="21">
        <f>VLOOKUP(A496,'Database Rates'!$A:$D,3,FALSE)</f>
        <v/>
      </c>
    </row>
    <row r="497">
      <c r="A497" s="40" t="n">
        <v>34790</v>
      </c>
      <c r="B497" s="21">
        <f>VLOOKUP(A497,'Database Rates'!$A:$D,3,FALSE)</f>
        <v/>
      </c>
    </row>
    <row r="498">
      <c r="A498" s="40" t="n">
        <v>34820</v>
      </c>
      <c r="B498" s="21">
        <f>VLOOKUP(A498,'Database Rates'!$A:$D,3,FALSE)</f>
        <v/>
      </c>
    </row>
    <row r="499">
      <c r="A499" s="40" t="n">
        <v>34851</v>
      </c>
      <c r="B499" s="21">
        <f>VLOOKUP(A499,'Database Rates'!$A:$D,3,FALSE)</f>
        <v/>
      </c>
    </row>
    <row r="500">
      <c r="A500" s="40" t="n">
        <v>34881</v>
      </c>
      <c r="B500" s="21">
        <f>VLOOKUP(A500,'Database Rates'!$A:$D,3,FALSE)</f>
        <v/>
      </c>
    </row>
    <row r="501">
      <c r="A501" s="40" t="n">
        <v>34912</v>
      </c>
      <c r="B501" s="21">
        <f>VLOOKUP(A501,'Database Rates'!$A:$D,3,FALSE)</f>
        <v/>
      </c>
    </row>
    <row r="502">
      <c r="A502" s="40" t="n">
        <v>34943</v>
      </c>
      <c r="B502" s="21">
        <f>VLOOKUP(A502,'Database Rates'!$A:$D,3,FALSE)</f>
        <v/>
      </c>
    </row>
    <row r="503">
      <c r="A503" s="40" t="n">
        <v>34973</v>
      </c>
      <c r="B503" s="21">
        <f>VLOOKUP(A503,'Database Rates'!$A:$D,3,FALSE)</f>
        <v/>
      </c>
    </row>
    <row r="504">
      <c r="A504" s="40" t="n">
        <v>35004</v>
      </c>
      <c r="B504" s="21">
        <f>VLOOKUP(A504,'Database Rates'!$A:$D,3,FALSE)</f>
        <v/>
      </c>
    </row>
    <row r="505">
      <c r="A505" s="40" t="n">
        <v>35034</v>
      </c>
      <c r="B505" s="21">
        <f>VLOOKUP(A505,'Database Rates'!$A:$D,3,FALSE)</f>
        <v/>
      </c>
    </row>
    <row r="506">
      <c r="A506" s="40" t="n">
        <v>35065</v>
      </c>
      <c r="B506" s="21">
        <f>VLOOKUP(A506,'Database Rates'!$A:$D,3,FALSE)</f>
        <v/>
      </c>
    </row>
    <row r="507">
      <c r="A507" s="40" t="n">
        <v>35096</v>
      </c>
      <c r="B507" s="21">
        <f>VLOOKUP(A507,'Database Rates'!$A:$D,3,FALSE)</f>
        <v/>
      </c>
    </row>
    <row r="508">
      <c r="A508" s="40" t="n">
        <v>35125</v>
      </c>
      <c r="B508" s="21">
        <f>VLOOKUP(A508,'Database Rates'!$A:$D,3,FALSE)</f>
        <v/>
      </c>
    </row>
    <row r="509">
      <c r="A509" s="40" t="n">
        <v>35156</v>
      </c>
      <c r="B509" s="21">
        <f>VLOOKUP(A509,'Database Rates'!$A:$D,3,FALSE)</f>
        <v/>
      </c>
    </row>
    <row r="510">
      <c r="A510" s="40" t="n">
        <v>35186</v>
      </c>
      <c r="B510" s="21">
        <f>VLOOKUP(A510,'Database Rates'!$A:$D,3,FALSE)</f>
        <v/>
      </c>
    </row>
    <row r="511">
      <c r="A511" s="40" t="n">
        <v>35217</v>
      </c>
      <c r="B511" s="21">
        <f>VLOOKUP(A511,'Database Rates'!$A:$D,3,FALSE)</f>
        <v/>
      </c>
    </row>
    <row r="512">
      <c r="A512" s="40" t="n">
        <v>35247</v>
      </c>
      <c r="B512" s="21">
        <f>VLOOKUP(A512,'Database Rates'!$A:$D,3,FALSE)</f>
        <v/>
      </c>
    </row>
    <row r="513">
      <c r="A513" s="40" t="n">
        <v>35278</v>
      </c>
      <c r="B513" s="21">
        <f>VLOOKUP(A513,'Database Rates'!$A:$D,3,FALSE)</f>
        <v/>
      </c>
    </row>
    <row r="514">
      <c r="A514" s="40" t="n">
        <v>35309</v>
      </c>
      <c r="B514" s="21">
        <f>VLOOKUP(A514,'Database Rates'!$A:$D,3,FALSE)</f>
        <v/>
      </c>
    </row>
    <row r="515">
      <c r="A515" s="40" t="n">
        <v>35339</v>
      </c>
      <c r="B515" s="21">
        <f>VLOOKUP(A515,'Database Rates'!$A:$D,3,FALSE)</f>
        <v/>
      </c>
    </row>
    <row r="516">
      <c r="A516" s="40" t="n">
        <v>35370</v>
      </c>
      <c r="B516" s="21">
        <f>VLOOKUP(A516,'Database Rates'!$A:$D,3,FALSE)</f>
        <v/>
      </c>
    </row>
    <row r="517">
      <c r="A517" s="40" t="n">
        <v>35400</v>
      </c>
      <c r="B517" s="21">
        <f>VLOOKUP(A517,'Database Rates'!$A:$D,3,FALSE)</f>
        <v/>
      </c>
    </row>
    <row r="518">
      <c r="A518" s="40" t="n">
        <v>35431</v>
      </c>
      <c r="B518" s="21">
        <f>VLOOKUP(A518,'Database Rates'!$A:$D,3,FALSE)</f>
        <v/>
      </c>
    </row>
    <row r="519">
      <c r="A519" s="40" t="n">
        <v>35462</v>
      </c>
      <c r="B519" s="21">
        <f>VLOOKUP(A519,'Database Rates'!$A:$D,3,FALSE)</f>
        <v/>
      </c>
    </row>
    <row r="520">
      <c r="A520" s="40" t="n">
        <v>35490</v>
      </c>
      <c r="B520" s="21">
        <f>VLOOKUP(A520,'Database Rates'!$A:$D,3,FALSE)</f>
        <v/>
      </c>
    </row>
    <row r="521">
      <c r="A521" s="40" t="n">
        <v>35521</v>
      </c>
      <c r="B521" s="21">
        <f>VLOOKUP(A521,'Database Rates'!$A:$D,3,FALSE)</f>
        <v/>
      </c>
    </row>
    <row r="522">
      <c r="A522" s="40" t="n">
        <v>35551</v>
      </c>
      <c r="B522" s="21">
        <f>VLOOKUP(A522,'Database Rates'!$A:$D,3,FALSE)</f>
        <v/>
      </c>
    </row>
    <row r="523">
      <c r="A523" s="40" t="n">
        <v>35582</v>
      </c>
      <c r="B523" s="21">
        <f>VLOOKUP(A523,'Database Rates'!$A:$D,3,FALSE)</f>
        <v/>
      </c>
    </row>
    <row r="524">
      <c r="A524" s="40" t="n">
        <v>35612</v>
      </c>
      <c r="B524" s="21">
        <f>VLOOKUP(A524,'Database Rates'!$A:$D,3,FALSE)</f>
        <v/>
      </c>
    </row>
    <row r="525">
      <c r="A525" s="40" t="n">
        <v>35643</v>
      </c>
      <c r="B525" s="21">
        <f>VLOOKUP(A525,'Database Rates'!$A:$D,3,FALSE)</f>
        <v/>
      </c>
    </row>
    <row r="526">
      <c r="A526" s="40" t="n">
        <v>35674</v>
      </c>
      <c r="B526" s="21">
        <f>VLOOKUP(A526,'Database Rates'!$A:$D,3,FALSE)</f>
        <v/>
      </c>
    </row>
    <row r="527">
      <c r="A527" s="40" t="n">
        <v>35704</v>
      </c>
      <c r="B527" s="21">
        <f>VLOOKUP(A527,'Database Rates'!$A:$D,3,FALSE)</f>
        <v/>
      </c>
    </row>
    <row r="528">
      <c r="A528" s="40" t="n">
        <v>35735</v>
      </c>
      <c r="B528" s="21">
        <f>VLOOKUP(A528,'Database Rates'!$A:$D,3,FALSE)</f>
        <v/>
      </c>
    </row>
    <row r="529">
      <c r="A529" s="40" t="n">
        <v>35765</v>
      </c>
      <c r="B529" s="21">
        <f>VLOOKUP(A529,'Database Rates'!$A:$D,3,FALSE)</f>
        <v/>
      </c>
    </row>
    <row r="530">
      <c r="A530" s="40" t="n">
        <v>35796</v>
      </c>
      <c r="B530" s="21">
        <f>VLOOKUP(A530,'Database Rates'!$A:$D,3,FALSE)</f>
        <v/>
      </c>
    </row>
    <row r="531">
      <c r="A531" s="40" t="n">
        <v>35827</v>
      </c>
      <c r="B531" s="21">
        <f>VLOOKUP(A531,'Database Rates'!$A:$D,3,FALSE)</f>
        <v/>
      </c>
    </row>
    <row r="532">
      <c r="A532" s="40" t="n">
        <v>35855</v>
      </c>
      <c r="B532" s="21">
        <f>VLOOKUP(A532,'Database Rates'!$A:$D,3,FALSE)</f>
        <v/>
      </c>
    </row>
    <row r="533">
      <c r="A533" s="40" t="n">
        <v>35886</v>
      </c>
      <c r="B533" s="21">
        <f>VLOOKUP(A533,'Database Rates'!$A:$D,3,FALSE)</f>
        <v/>
      </c>
    </row>
    <row r="534">
      <c r="A534" s="40" t="n">
        <v>35916</v>
      </c>
      <c r="B534" s="21">
        <f>VLOOKUP(A534,'Database Rates'!$A:$D,3,FALSE)</f>
        <v/>
      </c>
    </row>
    <row r="535">
      <c r="A535" s="40" t="n">
        <v>35947</v>
      </c>
      <c r="B535" s="21">
        <f>VLOOKUP(A535,'Database Rates'!$A:$D,3,FALSE)</f>
        <v/>
      </c>
    </row>
    <row r="536">
      <c r="A536" s="40" t="n">
        <v>35977</v>
      </c>
      <c r="B536" s="21">
        <f>VLOOKUP(A536,'Database Rates'!$A:$D,3,FALSE)</f>
        <v/>
      </c>
    </row>
    <row r="537">
      <c r="A537" s="40" t="n">
        <v>36008</v>
      </c>
      <c r="B537" s="21">
        <f>VLOOKUP(A537,'Database Rates'!$A:$D,3,FALSE)</f>
        <v/>
      </c>
    </row>
    <row r="538">
      <c r="A538" s="40" t="n">
        <v>36039</v>
      </c>
      <c r="B538" s="21">
        <f>VLOOKUP(A538,'Database Rates'!$A:$D,3,FALSE)</f>
        <v/>
      </c>
    </row>
    <row r="539">
      <c r="A539" s="40" t="n">
        <v>36069</v>
      </c>
      <c r="B539" s="21">
        <f>VLOOKUP(A539,'Database Rates'!$A:$D,3,FALSE)</f>
        <v/>
      </c>
    </row>
    <row r="540">
      <c r="A540" s="40" t="n">
        <v>36100</v>
      </c>
      <c r="B540" s="21">
        <f>VLOOKUP(A540,'Database Rates'!$A:$D,3,FALSE)</f>
        <v/>
      </c>
    </row>
    <row r="541">
      <c r="A541" s="40" t="n">
        <v>36130</v>
      </c>
      <c r="B541" s="21">
        <f>VLOOKUP(A541,'Database Rates'!$A:$D,3,FALSE)</f>
        <v/>
      </c>
    </row>
    <row r="542">
      <c r="A542" s="40" t="n">
        <v>36161</v>
      </c>
      <c r="B542" s="21">
        <f>VLOOKUP(A542,'Database Rates'!$A:$D,3,FALSE)</f>
        <v/>
      </c>
    </row>
    <row r="543">
      <c r="A543" s="40" t="n">
        <v>36192</v>
      </c>
      <c r="B543" s="21">
        <f>VLOOKUP(A543,'Database Rates'!$A:$D,3,FALSE)</f>
        <v/>
      </c>
    </row>
    <row r="544">
      <c r="A544" s="40" t="n">
        <v>36220</v>
      </c>
      <c r="B544" s="21">
        <f>VLOOKUP(A544,'Database Rates'!$A:$D,3,FALSE)</f>
        <v/>
      </c>
    </row>
    <row r="545">
      <c r="A545" s="40" t="n">
        <v>36251</v>
      </c>
      <c r="B545" s="21">
        <f>VLOOKUP(A545,'Database Rates'!$A:$D,3,FALSE)</f>
        <v/>
      </c>
    </row>
    <row r="546">
      <c r="A546" s="40" t="n">
        <v>36281</v>
      </c>
      <c r="B546" s="21">
        <f>VLOOKUP(A546,'Database Rates'!$A:$D,3,FALSE)</f>
        <v/>
      </c>
    </row>
    <row r="547">
      <c r="A547" s="40" t="n">
        <v>36312</v>
      </c>
      <c r="B547" s="21">
        <f>VLOOKUP(A547,'Database Rates'!$A:$D,3,FALSE)</f>
        <v/>
      </c>
    </row>
    <row r="548">
      <c r="A548" s="40" t="n">
        <v>36342</v>
      </c>
      <c r="B548" s="21">
        <f>VLOOKUP(A548,'Database Rates'!$A:$D,3,FALSE)</f>
        <v/>
      </c>
    </row>
    <row r="549">
      <c r="A549" s="40" t="n">
        <v>36373</v>
      </c>
      <c r="B549" s="21">
        <f>VLOOKUP(A549,'Database Rates'!$A:$D,3,FALSE)</f>
        <v/>
      </c>
    </row>
    <row r="550">
      <c r="A550" s="40" t="n">
        <v>36404</v>
      </c>
      <c r="B550" s="21">
        <f>VLOOKUP(A550,'Database Rates'!$A:$D,3,FALSE)</f>
        <v/>
      </c>
    </row>
    <row r="551">
      <c r="A551" s="40" t="n">
        <v>36434</v>
      </c>
      <c r="B551" s="21">
        <f>VLOOKUP(A551,'Database Rates'!$A:$D,3,FALSE)</f>
        <v/>
      </c>
    </row>
    <row r="552">
      <c r="A552" s="40" t="n">
        <v>36465</v>
      </c>
      <c r="B552" s="21">
        <f>VLOOKUP(A552,'Database Rates'!$A:$D,3,FALSE)</f>
        <v/>
      </c>
    </row>
    <row r="553">
      <c r="A553" s="40" t="n">
        <v>36495</v>
      </c>
      <c r="B553" s="21">
        <f>VLOOKUP(A553,'Database Rates'!$A:$D,3,FALSE)</f>
        <v/>
      </c>
    </row>
    <row r="554">
      <c r="A554" s="40" t="n">
        <v>36526</v>
      </c>
      <c r="B554" s="21">
        <f>VLOOKUP(A554,'Database Rates'!$A:$D,3,FALSE)</f>
        <v/>
      </c>
    </row>
    <row r="555">
      <c r="A555" s="40" t="n">
        <v>36557</v>
      </c>
      <c r="B555" s="21">
        <f>VLOOKUP(A555,'Database Rates'!$A:$D,3,FALSE)</f>
        <v/>
      </c>
    </row>
    <row r="556">
      <c r="A556" s="40" t="n">
        <v>36586</v>
      </c>
      <c r="B556" s="21">
        <f>VLOOKUP(A556,'Database Rates'!$A:$D,3,FALSE)</f>
        <v/>
      </c>
    </row>
    <row r="557">
      <c r="A557" s="40" t="n">
        <v>36617</v>
      </c>
      <c r="B557" s="21">
        <f>VLOOKUP(A557,'Database Rates'!$A:$D,3,FALSE)</f>
        <v/>
      </c>
    </row>
    <row r="558">
      <c r="A558" s="40" t="n">
        <v>36647</v>
      </c>
      <c r="B558" s="21">
        <f>VLOOKUP(A558,'Database Rates'!$A:$D,3,FALSE)</f>
        <v/>
      </c>
    </row>
    <row r="559">
      <c r="A559" s="40" t="n">
        <v>36678</v>
      </c>
      <c r="B559" s="21">
        <f>VLOOKUP(A559,'Database Rates'!$A:$D,3,FALSE)</f>
        <v/>
      </c>
    </row>
    <row r="560">
      <c r="A560" s="40" t="n">
        <v>36708</v>
      </c>
      <c r="B560" s="21">
        <f>VLOOKUP(A560,'Database Rates'!$A:$D,3,FALSE)</f>
        <v/>
      </c>
    </row>
    <row r="561">
      <c r="A561" s="40" t="n">
        <v>36739</v>
      </c>
      <c r="B561" s="21">
        <f>VLOOKUP(A561,'Database Rates'!$A:$D,3,FALSE)</f>
        <v/>
      </c>
    </row>
    <row r="562">
      <c r="A562" s="40" t="n">
        <v>36770</v>
      </c>
      <c r="B562" s="21">
        <f>VLOOKUP(A562,'Database Rates'!$A:$D,3,FALSE)</f>
        <v/>
      </c>
    </row>
    <row r="563">
      <c r="A563" s="40" t="n">
        <v>36800</v>
      </c>
      <c r="B563" s="21">
        <f>VLOOKUP(A563,'Database Rates'!$A:$D,3,FALSE)</f>
        <v/>
      </c>
    </row>
    <row r="564">
      <c r="A564" s="40" t="n">
        <v>36831</v>
      </c>
      <c r="B564" s="21">
        <f>VLOOKUP(A564,'Database Rates'!$A:$D,3,FALSE)</f>
        <v/>
      </c>
    </row>
    <row r="565">
      <c r="A565" s="40" t="n">
        <v>36861</v>
      </c>
      <c r="B565" s="21">
        <f>VLOOKUP(A565,'Database Rates'!$A:$D,3,FALSE)</f>
        <v/>
      </c>
    </row>
    <row r="566">
      <c r="A566" s="40" t="n">
        <v>36892</v>
      </c>
      <c r="B566" s="21">
        <f>VLOOKUP(A566,'Database Rates'!$A:$D,3,FALSE)</f>
        <v/>
      </c>
    </row>
    <row r="567">
      <c r="A567" s="40" t="n">
        <v>36923</v>
      </c>
      <c r="B567" s="21">
        <f>VLOOKUP(A567,'Database Rates'!$A:$D,3,FALSE)</f>
        <v/>
      </c>
    </row>
    <row r="568">
      <c r="A568" s="40" t="n">
        <v>36951</v>
      </c>
      <c r="B568" s="21">
        <f>VLOOKUP(A568,'Database Rates'!$A:$D,3,FALSE)</f>
        <v/>
      </c>
    </row>
    <row r="569">
      <c r="A569" s="40" t="n">
        <v>36982</v>
      </c>
      <c r="B569" s="21">
        <f>VLOOKUP(A569,'Database Rates'!$A:$D,3,FALSE)</f>
        <v/>
      </c>
    </row>
    <row r="570">
      <c r="A570" s="40" t="n">
        <v>37012</v>
      </c>
      <c r="B570" s="21">
        <f>VLOOKUP(A570,'Database Rates'!$A:$D,3,FALSE)</f>
        <v/>
      </c>
    </row>
    <row r="571">
      <c r="A571" s="40" t="n">
        <v>37043</v>
      </c>
      <c r="B571" s="21">
        <f>VLOOKUP(A571,'Database Rates'!$A:$D,3,FALSE)</f>
        <v/>
      </c>
    </row>
    <row r="572">
      <c r="A572" s="40" t="n">
        <v>37073</v>
      </c>
      <c r="B572" s="21">
        <f>VLOOKUP(A572,'Database Rates'!$A:$D,3,FALSE)</f>
        <v/>
      </c>
    </row>
    <row r="573">
      <c r="A573" s="40" t="n">
        <v>37104</v>
      </c>
      <c r="B573" s="21">
        <f>VLOOKUP(A573,'Database Rates'!$A:$D,3,FALSE)</f>
        <v/>
      </c>
    </row>
    <row r="574">
      <c r="A574" s="40" t="n">
        <v>37135</v>
      </c>
      <c r="B574" s="21">
        <f>VLOOKUP(A574,'Database Rates'!$A:$D,3,FALSE)</f>
        <v/>
      </c>
    </row>
    <row r="575">
      <c r="A575" s="40" t="n">
        <v>37165</v>
      </c>
      <c r="B575" s="21">
        <f>VLOOKUP(A575,'Database Rates'!$A:$D,3,FALSE)</f>
        <v/>
      </c>
    </row>
    <row r="576">
      <c r="A576" s="40" t="n">
        <v>37196</v>
      </c>
      <c r="B576" s="21">
        <f>VLOOKUP(A576,'Database Rates'!$A:$D,3,FALSE)</f>
        <v/>
      </c>
    </row>
    <row r="577">
      <c r="A577" s="40" t="n">
        <v>37226</v>
      </c>
      <c r="B577" s="21">
        <f>VLOOKUP(A577,'Database Rates'!$A:$D,3,FALSE)</f>
        <v/>
      </c>
    </row>
    <row r="578">
      <c r="A578" s="40" t="n">
        <v>37257</v>
      </c>
      <c r="B578" s="21">
        <f>VLOOKUP(A578,'Database Rates'!$A:$D,3,FALSE)</f>
        <v/>
      </c>
    </row>
    <row r="579">
      <c r="A579" s="40" t="n">
        <v>37288</v>
      </c>
      <c r="B579" s="21">
        <f>VLOOKUP(A579,'Database Rates'!$A:$D,3,FALSE)</f>
        <v/>
      </c>
    </row>
    <row r="580">
      <c r="A580" s="40" t="n">
        <v>37316</v>
      </c>
      <c r="B580" s="21">
        <f>VLOOKUP(A580,'Database Rates'!$A:$D,3,FALSE)</f>
        <v/>
      </c>
    </row>
    <row r="581">
      <c r="A581" s="40" t="n">
        <v>37347</v>
      </c>
      <c r="B581" s="21">
        <f>VLOOKUP(A581,'Database Rates'!$A:$D,3,FALSE)</f>
        <v/>
      </c>
    </row>
    <row r="582">
      <c r="A582" s="40" t="n">
        <v>37377</v>
      </c>
      <c r="B582" s="21">
        <f>VLOOKUP(A582,'Database Rates'!$A:$D,3,FALSE)</f>
        <v/>
      </c>
    </row>
    <row r="583">
      <c r="A583" s="40" t="n">
        <v>37408</v>
      </c>
      <c r="B583" s="21">
        <f>VLOOKUP(A583,'Database Rates'!$A:$D,3,FALSE)</f>
        <v/>
      </c>
    </row>
    <row r="584">
      <c r="A584" s="40" t="n">
        <v>37438</v>
      </c>
      <c r="B584" s="21">
        <f>VLOOKUP(A584,'Database Rates'!$A:$D,3,FALSE)</f>
        <v/>
      </c>
    </row>
    <row r="585">
      <c r="A585" s="40" t="n">
        <v>37469</v>
      </c>
      <c r="B585" s="21">
        <f>VLOOKUP(A585,'Database Rates'!$A:$D,3,FALSE)</f>
        <v/>
      </c>
    </row>
    <row r="586">
      <c r="A586" s="40" t="n">
        <v>37500</v>
      </c>
      <c r="B586" s="21">
        <f>VLOOKUP(A586,'Database Rates'!$A:$D,3,FALSE)</f>
        <v/>
      </c>
    </row>
    <row r="587">
      <c r="A587" s="40" t="n">
        <v>37530</v>
      </c>
      <c r="B587" s="21">
        <f>VLOOKUP(A587,'Database Rates'!$A:$D,3,FALSE)</f>
        <v/>
      </c>
    </row>
    <row r="588">
      <c r="A588" s="40" t="n">
        <v>37561</v>
      </c>
      <c r="B588" s="21">
        <f>VLOOKUP(A588,'Database Rates'!$A:$D,3,FALSE)</f>
        <v/>
      </c>
    </row>
    <row r="589">
      <c r="A589" s="40" t="n">
        <v>37591</v>
      </c>
      <c r="B589" s="21">
        <f>VLOOKUP(A589,'Database Rates'!$A:$D,3,FALSE)</f>
        <v/>
      </c>
    </row>
    <row r="590">
      <c r="A590" s="40" t="n">
        <v>37622</v>
      </c>
      <c r="B590" s="21">
        <f>VLOOKUP(A590,'Database Rates'!$A:$D,3,FALSE)</f>
        <v/>
      </c>
    </row>
    <row r="591">
      <c r="A591" s="40" t="n">
        <v>37653</v>
      </c>
      <c r="B591" s="21">
        <f>VLOOKUP(A591,'Database Rates'!$A:$D,3,FALSE)</f>
        <v/>
      </c>
    </row>
    <row r="592">
      <c r="A592" s="40" t="n">
        <v>37681</v>
      </c>
      <c r="B592" s="21">
        <f>VLOOKUP(A592,'Database Rates'!$A:$D,3,FALSE)</f>
        <v/>
      </c>
    </row>
    <row r="593">
      <c r="A593" s="40" t="n">
        <v>37712</v>
      </c>
      <c r="B593" s="21">
        <f>VLOOKUP(A593,'Database Rates'!$A:$D,3,FALSE)</f>
        <v/>
      </c>
    </row>
    <row r="594">
      <c r="A594" s="40" t="n">
        <v>37742</v>
      </c>
      <c r="B594" s="21">
        <f>VLOOKUP(A594,'Database Rates'!$A:$D,3,FALSE)</f>
        <v/>
      </c>
    </row>
    <row r="595">
      <c r="A595" s="40" t="n">
        <v>37773</v>
      </c>
      <c r="B595" s="21">
        <f>VLOOKUP(A595,'Database Rates'!$A:$D,3,FALSE)</f>
        <v/>
      </c>
    </row>
    <row r="596">
      <c r="A596" s="40" t="n">
        <v>37803</v>
      </c>
      <c r="B596" s="21">
        <f>VLOOKUP(A596,'Database Rates'!$A:$D,3,FALSE)</f>
        <v/>
      </c>
    </row>
    <row r="597">
      <c r="A597" s="40" t="n">
        <v>37834</v>
      </c>
      <c r="B597" s="21">
        <f>VLOOKUP(A597,'Database Rates'!$A:$D,3,FALSE)</f>
        <v/>
      </c>
    </row>
    <row r="598">
      <c r="A598" s="40" t="n">
        <v>37865</v>
      </c>
      <c r="B598" s="21">
        <f>VLOOKUP(A598,'Database Rates'!$A:$D,3,FALSE)</f>
        <v/>
      </c>
    </row>
    <row r="599">
      <c r="A599" s="40" t="n">
        <v>37895</v>
      </c>
      <c r="B599" s="21">
        <f>VLOOKUP(A599,'Database Rates'!$A:$D,3,FALSE)</f>
        <v/>
      </c>
    </row>
    <row r="600">
      <c r="A600" s="40" t="n">
        <v>37926</v>
      </c>
      <c r="B600" s="21">
        <f>VLOOKUP(A600,'Database Rates'!$A:$D,3,FALSE)</f>
        <v/>
      </c>
    </row>
    <row r="601">
      <c r="A601" s="40" t="n">
        <v>37956</v>
      </c>
      <c r="B601" s="21">
        <f>VLOOKUP(A601,'Database Rates'!$A:$D,3,FALSE)</f>
        <v/>
      </c>
    </row>
    <row r="602">
      <c r="A602" s="40" t="n">
        <v>37987</v>
      </c>
      <c r="B602" s="21">
        <f>VLOOKUP(A602,'Database Rates'!$A:$D,3,FALSE)</f>
        <v/>
      </c>
    </row>
    <row r="603">
      <c r="A603" s="40" t="n">
        <v>38018</v>
      </c>
      <c r="B603" s="21">
        <f>VLOOKUP(A603,'Database Rates'!$A:$D,3,FALSE)</f>
        <v/>
      </c>
    </row>
    <row r="604">
      <c r="A604" s="40" t="n">
        <v>38047</v>
      </c>
      <c r="B604" s="21">
        <f>VLOOKUP(A604,'Database Rates'!$A:$D,3,FALSE)</f>
        <v/>
      </c>
    </row>
    <row r="605">
      <c r="A605" s="40" t="n">
        <v>38078</v>
      </c>
      <c r="B605" s="21">
        <f>VLOOKUP(A605,'Database Rates'!$A:$D,3,FALSE)</f>
        <v/>
      </c>
    </row>
    <row r="606">
      <c r="A606" s="40" t="n">
        <v>38108</v>
      </c>
      <c r="B606" s="21">
        <f>VLOOKUP(A606,'Database Rates'!$A:$D,3,FALSE)</f>
        <v/>
      </c>
    </row>
    <row r="607">
      <c r="A607" s="40" t="n">
        <v>38139</v>
      </c>
      <c r="B607" s="21">
        <f>VLOOKUP(A607,'Database Rates'!$A:$D,3,FALSE)</f>
        <v/>
      </c>
    </row>
    <row r="608">
      <c r="A608" s="40" t="n">
        <v>38169</v>
      </c>
      <c r="B608" s="21">
        <f>VLOOKUP(A608,'Database Rates'!$A:$D,3,FALSE)</f>
        <v/>
      </c>
    </row>
    <row r="609">
      <c r="A609" s="40" t="n">
        <v>38200</v>
      </c>
      <c r="B609" s="21">
        <f>VLOOKUP(A609,'Database Rates'!$A:$D,3,FALSE)</f>
        <v/>
      </c>
    </row>
    <row r="610">
      <c r="A610" s="40" t="n">
        <v>38231</v>
      </c>
      <c r="B610" s="21">
        <f>VLOOKUP(A610,'Database Rates'!$A:$D,3,FALSE)</f>
        <v/>
      </c>
    </row>
    <row r="611">
      <c r="A611" s="40" t="n">
        <v>38261</v>
      </c>
      <c r="B611" s="21">
        <f>VLOOKUP(A611,'Database Rates'!$A:$D,3,FALSE)</f>
        <v/>
      </c>
    </row>
    <row r="612">
      <c r="A612" s="40" t="n">
        <v>38292</v>
      </c>
      <c r="B612" s="21">
        <f>VLOOKUP(A612,'Database Rates'!$A:$D,3,FALSE)</f>
        <v/>
      </c>
    </row>
    <row r="613">
      <c r="A613" s="40" t="n">
        <v>38322</v>
      </c>
      <c r="B613" s="21">
        <f>VLOOKUP(A613,'Database Rates'!$A:$D,3,FALSE)</f>
        <v/>
      </c>
    </row>
    <row r="614">
      <c r="A614" s="40" t="n">
        <v>38353</v>
      </c>
      <c r="B614" s="21">
        <f>VLOOKUP(A614,'Database Rates'!$A:$D,3,FALSE)</f>
        <v/>
      </c>
    </row>
    <row r="615">
      <c r="A615" s="40" t="n">
        <v>38384</v>
      </c>
      <c r="B615" s="21">
        <f>VLOOKUP(A615,'Database Rates'!$A:$D,3,FALSE)</f>
        <v/>
      </c>
    </row>
    <row r="616">
      <c r="A616" s="40" t="n">
        <v>38412</v>
      </c>
      <c r="B616" s="21">
        <f>VLOOKUP(A616,'Database Rates'!$A:$D,3,FALSE)</f>
        <v/>
      </c>
    </row>
    <row r="617">
      <c r="A617" s="40" t="n">
        <v>38443</v>
      </c>
      <c r="B617" s="21">
        <f>VLOOKUP(A617,'Database Rates'!$A:$D,3,FALSE)</f>
        <v/>
      </c>
    </row>
    <row r="618">
      <c r="A618" s="40" t="n">
        <v>38473</v>
      </c>
      <c r="B618" s="21">
        <f>VLOOKUP(A618,'Database Rates'!$A:$D,3,FALSE)</f>
        <v/>
      </c>
    </row>
    <row r="619">
      <c r="A619" s="40" t="n">
        <v>38504</v>
      </c>
      <c r="B619" s="21">
        <f>VLOOKUP(A619,'Database Rates'!$A:$D,3,FALSE)</f>
        <v/>
      </c>
    </row>
    <row r="620">
      <c r="A620" s="40" t="n">
        <v>38534</v>
      </c>
      <c r="B620" s="21">
        <f>VLOOKUP(A620,'Database Rates'!$A:$D,3,FALSE)</f>
        <v/>
      </c>
    </row>
    <row r="621">
      <c r="A621" s="40" t="n">
        <v>38565</v>
      </c>
      <c r="B621" s="21">
        <f>VLOOKUP(A621,'Database Rates'!$A:$D,3,FALSE)</f>
        <v/>
      </c>
    </row>
    <row r="622">
      <c r="A622" s="40" t="n">
        <v>38596</v>
      </c>
      <c r="B622" s="21">
        <f>VLOOKUP(A622,'Database Rates'!$A:$D,3,FALSE)</f>
        <v/>
      </c>
    </row>
    <row r="623">
      <c r="A623" s="40" t="n">
        <v>38626</v>
      </c>
      <c r="B623" s="21">
        <f>VLOOKUP(A623,'Database Rates'!$A:$D,3,FALSE)</f>
        <v/>
      </c>
    </row>
    <row r="624">
      <c r="A624" s="40" t="n">
        <v>38657</v>
      </c>
      <c r="B624" s="21">
        <f>VLOOKUP(A624,'Database Rates'!$A:$D,3,FALSE)</f>
        <v/>
      </c>
    </row>
    <row r="625">
      <c r="A625" s="40" t="n">
        <v>38687</v>
      </c>
      <c r="B625" s="21">
        <f>VLOOKUP(A625,'Database Rates'!$A:$D,3,FALSE)</f>
        <v/>
      </c>
    </row>
    <row r="626">
      <c r="A626" s="40" t="n">
        <v>38718</v>
      </c>
      <c r="B626" s="21">
        <f>VLOOKUP(A626,'Database Rates'!$A:$D,3,FALSE)</f>
        <v/>
      </c>
    </row>
    <row r="627">
      <c r="A627" s="40" t="n">
        <v>38749</v>
      </c>
      <c r="B627" s="21">
        <f>VLOOKUP(A627,'Database Rates'!$A:$D,3,FALSE)</f>
        <v/>
      </c>
    </row>
    <row r="628">
      <c r="A628" s="40" t="n">
        <v>38777</v>
      </c>
      <c r="B628" s="21">
        <f>VLOOKUP(A628,'Database Rates'!$A:$D,3,FALSE)</f>
        <v/>
      </c>
    </row>
    <row r="629">
      <c r="A629" s="40" t="n">
        <v>38808</v>
      </c>
      <c r="B629" s="21">
        <f>VLOOKUP(A629,'Database Rates'!$A:$D,3,FALSE)</f>
        <v/>
      </c>
    </row>
    <row r="630">
      <c r="A630" s="40" t="n">
        <v>38838</v>
      </c>
      <c r="B630" s="21">
        <f>VLOOKUP(A630,'Database Rates'!$A:$D,3,FALSE)</f>
        <v/>
      </c>
    </row>
    <row r="631">
      <c r="A631" s="40" t="n">
        <v>38869</v>
      </c>
      <c r="B631" s="21">
        <f>VLOOKUP(A631,'Database Rates'!$A:$D,3,FALSE)</f>
        <v/>
      </c>
    </row>
    <row r="632">
      <c r="A632" s="40" t="n">
        <v>38899</v>
      </c>
      <c r="B632" s="21">
        <f>VLOOKUP(A632,'Database Rates'!$A:$D,3,FALSE)</f>
        <v/>
      </c>
    </row>
    <row r="633">
      <c r="A633" s="40" t="n">
        <v>38930</v>
      </c>
      <c r="B633" s="21">
        <f>VLOOKUP(A633,'Database Rates'!$A:$D,3,FALSE)</f>
        <v/>
      </c>
    </row>
    <row r="634">
      <c r="A634" s="40" t="n">
        <v>38961</v>
      </c>
      <c r="B634" s="21">
        <f>VLOOKUP(A634,'Database Rates'!$A:$D,3,FALSE)</f>
        <v/>
      </c>
    </row>
    <row r="635">
      <c r="A635" s="40" t="n">
        <v>38991</v>
      </c>
      <c r="B635" s="21">
        <f>VLOOKUP(A635,'Database Rates'!$A:$D,3,FALSE)</f>
        <v/>
      </c>
    </row>
    <row r="636">
      <c r="A636" s="40" t="n">
        <v>39022</v>
      </c>
      <c r="B636" s="21">
        <f>VLOOKUP(A636,'Database Rates'!$A:$D,3,FALSE)</f>
        <v/>
      </c>
    </row>
    <row r="637">
      <c r="A637" s="40" t="n">
        <v>39052</v>
      </c>
      <c r="B637" s="21">
        <f>VLOOKUP(A637,'Database Rates'!$A:$D,3,FALSE)</f>
        <v/>
      </c>
    </row>
    <row r="638">
      <c r="A638" s="40" t="n">
        <v>39083</v>
      </c>
      <c r="B638" s="21">
        <f>VLOOKUP(A638,'Database Rates'!$A:$D,3,FALSE)</f>
        <v/>
      </c>
    </row>
    <row r="639">
      <c r="A639" s="40" t="n">
        <v>39114</v>
      </c>
      <c r="B639" s="21">
        <f>VLOOKUP(A639,'Database Rates'!$A:$D,3,FALSE)</f>
        <v/>
      </c>
    </row>
    <row r="640">
      <c r="A640" s="40" t="n">
        <v>39142</v>
      </c>
      <c r="B640" s="21">
        <f>VLOOKUP(A640,'Database Rates'!$A:$D,3,FALSE)</f>
        <v/>
      </c>
    </row>
    <row r="641">
      <c r="A641" s="40" t="n">
        <v>39173</v>
      </c>
      <c r="B641" s="21">
        <f>VLOOKUP(A641,'Database Rates'!$A:$D,3,FALSE)</f>
        <v/>
      </c>
    </row>
    <row r="642">
      <c r="A642" s="40" t="n">
        <v>39203</v>
      </c>
      <c r="B642" s="21">
        <f>VLOOKUP(A642,'Database Rates'!$A:$D,3,FALSE)</f>
        <v/>
      </c>
    </row>
    <row r="643">
      <c r="A643" s="40" t="n">
        <v>39234</v>
      </c>
      <c r="B643" s="21">
        <f>VLOOKUP(A643,'Database Rates'!$A:$D,3,FALSE)</f>
        <v/>
      </c>
    </row>
    <row r="644">
      <c r="A644" s="40" t="n">
        <v>39264</v>
      </c>
      <c r="B644" s="21">
        <f>VLOOKUP(A644,'Database Rates'!$A:$D,3,FALSE)</f>
        <v/>
      </c>
    </row>
    <row r="645">
      <c r="A645" s="40" t="n">
        <v>39295</v>
      </c>
      <c r="B645" s="21">
        <f>VLOOKUP(A645,'Database Rates'!$A:$D,3,FALSE)</f>
        <v/>
      </c>
    </row>
    <row r="646">
      <c r="A646" s="40" t="n">
        <v>39326</v>
      </c>
      <c r="B646" s="21">
        <f>VLOOKUP(A646,'Database Rates'!$A:$D,3,FALSE)</f>
        <v/>
      </c>
    </row>
    <row r="647">
      <c r="A647" s="40" t="n">
        <v>39356</v>
      </c>
      <c r="B647" s="21">
        <f>VLOOKUP(A647,'Database Rates'!$A:$D,3,FALSE)</f>
        <v/>
      </c>
    </row>
    <row r="648">
      <c r="A648" s="40" t="n">
        <v>39387</v>
      </c>
      <c r="B648" s="21">
        <f>VLOOKUP(A648,'Database Rates'!$A:$D,3,FALSE)</f>
        <v/>
      </c>
    </row>
    <row r="649">
      <c r="A649" s="40" t="n">
        <v>39417</v>
      </c>
      <c r="B649" s="21">
        <f>VLOOKUP(A649,'Database Rates'!$A:$D,3,FALSE)</f>
        <v/>
      </c>
    </row>
    <row r="650">
      <c r="A650" s="40" t="n">
        <v>39448</v>
      </c>
      <c r="B650" s="21">
        <f>VLOOKUP(A650,'Database Rates'!$A:$D,3,FALSE)</f>
        <v/>
      </c>
    </row>
    <row r="651">
      <c r="A651" s="40" t="n">
        <v>39479</v>
      </c>
      <c r="B651" s="21">
        <f>VLOOKUP(A651,'Database Rates'!$A:$D,3,FALSE)</f>
        <v/>
      </c>
    </row>
    <row r="652">
      <c r="A652" s="40" t="n">
        <v>39508</v>
      </c>
      <c r="B652" s="21">
        <f>VLOOKUP(A652,'Database Rates'!$A:$D,3,FALSE)</f>
        <v/>
      </c>
    </row>
    <row r="653">
      <c r="A653" s="40" t="n">
        <v>39539</v>
      </c>
      <c r="B653" s="21">
        <f>VLOOKUP(A653,'Database Rates'!$A:$D,3,FALSE)</f>
        <v/>
      </c>
    </row>
    <row r="654">
      <c r="A654" s="40" t="n">
        <v>39569</v>
      </c>
      <c r="B654" s="21">
        <f>VLOOKUP(A654,'Database Rates'!$A:$D,3,FALSE)</f>
        <v/>
      </c>
    </row>
    <row r="655">
      <c r="A655" s="40" t="n">
        <v>39600</v>
      </c>
      <c r="B655" s="21">
        <f>VLOOKUP(A655,'Database Rates'!$A:$D,3,FALSE)</f>
        <v/>
      </c>
    </row>
    <row r="656">
      <c r="A656" s="40" t="n">
        <v>39630</v>
      </c>
      <c r="B656" s="21">
        <f>VLOOKUP(A656,'Database Rates'!$A:$D,3,FALSE)</f>
        <v/>
      </c>
    </row>
    <row r="657">
      <c r="A657" s="40" t="n">
        <v>39661</v>
      </c>
      <c r="B657" s="21">
        <f>VLOOKUP(A657,'Database Rates'!$A:$D,3,FALSE)</f>
        <v/>
      </c>
    </row>
    <row r="658">
      <c r="A658" s="40" t="n">
        <v>39692</v>
      </c>
      <c r="B658" s="21">
        <f>VLOOKUP(A658,'Database Rates'!$A:$D,3,FALSE)</f>
        <v/>
      </c>
    </row>
    <row r="659">
      <c r="A659" s="40" t="n">
        <v>39722</v>
      </c>
      <c r="B659" s="21">
        <f>VLOOKUP(A659,'Database Rates'!$A:$D,3,FALSE)</f>
        <v/>
      </c>
    </row>
    <row r="660">
      <c r="A660" s="40" t="n">
        <v>39753</v>
      </c>
      <c r="B660" s="21">
        <f>VLOOKUP(A660,'Database Rates'!$A:$D,3,FALSE)</f>
        <v/>
      </c>
    </row>
    <row r="661">
      <c r="A661" s="40" t="n">
        <v>39783</v>
      </c>
      <c r="B661" s="21">
        <f>VLOOKUP(A661,'Database Rates'!$A:$D,3,FALSE)</f>
        <v/>
      </c>
    </row>
    <row r="662">
      <c r="A662" s="40" t="n">
        <v>39814</v>
      </c>
      <c r="B662" s="21">
        <f>VLOOKUP(A662,'Database Rates'!$A:$D,3,FALSE)</f>
        <v/>
      </c>
    </row>
    <row r="663">
      <c r="A663" s="40" t="n">
        <v>39845</v>
      </c>
      <c r="B663" s="21">
        <f>VLOOKUP(A663,'Database Rates'!$A:$D,3,FALSE)</f>
        <v/>
      </c>
    </row>
    <row r="664">
      <c r="A664" s="40" t="n">
        <v>39873</v>
      </c>
      <c r="B664" s="21">
        <f>VLOOKUP(A664,'Database Rates'!$A:$D,3,FALSE)</f>
        <v/>
      </c>
    </row>
    <row r="665">
      <c r="A665" s="40" t="n">
        <v>39904</v>
      </c>
      <c r="B665" s="21">
        <f>VLOOKUP(A665,'Database Rates'!$A:$D,3,FALSE)</f>
        <v/>
      </c>
    </row>
    <row r="666">
      <c r="A666" s="40" t="n">
        <v>39934</v>
      </c>
      <c r="B666" s="21">
        <f>VLOOKUP(A666,'Database Rates'!$A:$D,3,FALSE)</f>
        <v/>
      </c>
    </row>
    <row r="667">
      <c r="A667" s="40" t="n">
        <v>39965</v>
      </c>
      <c r="B667" s="21">
        <f>VLOOKUP(A667,'Database Rates'!$A:$D,3,FALSE)</f>
        <v/>
      </c>
    </row>
    <row r="668">
      <c r="A668" s="40" t="n">
        <v>39995</v>
      </c>
      <c r="B668" s="21">
        <f>VLOOKUP(A668,'Database Rates'!$A:$D,3,FALSE)</f>
        <v/>
      </c>
    </row>
    <row r="669">
      <c r="A669" s="40" t="n">
        <v>40026</v>
      </c>
      <c r="B669" s="21">
        <f>VLOOKUP(A669,'Database Rates'!$A:$D,3,FALSE)</f>
        <v/>
      </c>
    </row>
    <row r="670">
      <c r="A670" s="40" t="n">
        <v>40057</v>
      </c>
      <c r="B670" s="21">
        <f>VLOOKUP(A670,'Database Rates'!$A:$D,3,FALSE)</f>
        <v/>
      </c>
    </row>
    <row r="671">
      <c r="A671" s="40" t="n">
        <v>40087</v>
      </c>
      <c r="B671" s="21">
        <f>VLOOKUP(A671,'Database Rates'!$A:$D,3,FALSE)</f>
        <v/>
      </c>
    </row>
    <row r="672">
      <c r="A672" s="40" t="n">
        <v>40118</v>
      </c>
      <c r="B672" s="21">
        <f>VLOOKUP(A672,'Database Rates'!$A:$D,3,FALSE)</f>
        <v/>
      </c>
    </row>
    <row r="673">
      <c r="A673" s="40" t="n">
        <v>40148</v>
      </c>
      <c r="B673" s="21">
        <f>VLOOKUP(A673,'Database Rates'!$A:$D,3,FALSE)</f>
        <v/>
      </c>
    </row>
    <row r="674">
      <c r="A674" s="40" t="n">
        <v>40179</v>
      </c>
      <c r="B674" s="21">
        <f>VLOOKUP(A674,'Database Rates'!$A:$D,3,FALSE)</f>
        <v/>
      </c>
    </row>
    <row r="675">
      <c r="A675" s="40" t="n">
        <v>40210</v>
      </c>
      <c r="B675" s="21">
        <f>VLOOKUP(A675,'Database Rates'!$A:$D,3,FALSE)</f>
        <v/>
      </c>
    </row>
    <row r="676">
      <c r="A676" s="40" t="n">
        <v>40238</v>
      </c>
      <c r="B676" s="21">
        <f>VLOOKUP(A676,'Database Rates'!$A:$D,3,FALSE)</f>
        <v/>
      </c>
    </row>
    <row r="677">
      <c r="A677" s="40" t="n">
        <v>40269</v>
      </c>
      <c r="B677" s="21">
        <f>VLOOKUP(A677,'Database Rates'!$A:$D,3,FALSE)</f>
        <v/>
      </c>
    </row>
    <row r="678">
      <c r="A678" s="40" t="n">
        <v>40299</v>
      </c>
      <c r="B678" s="21">
        <f>VLOOKUP(A678,'Database Rates'!$A:$D,3,FALSE)</f>
        <v/>
      </c>
    </row>
    <row r="679">
      <c r="A679" s="40" t="n">
        <v>40330</v>
      </c>
      <c r="B679" s="21">
        <f>VLOOKUP(A679,'Database Rates'!$A:$D,3,FALSE)</f>
        <v/>
      </c>
    </row>
    <row r="680">
      <c r="A680" s="40" t="n">
        <v>40360</v>
      </c>
      <c r="B680" s="21">
        <f>VLOOKUP(A680,'Database Rates'!$A:$D,3,FALSE)</f>
        <v/>
      </c>
    </row>
    <row r="681">
      <c r="A681" s="40" t="n">
        <v>40391</v>
      </c>
      <c r="B681" s="21">
        <f>VLOOKUP(A681,'Database Rates'!$A:$D,3,FALSE)</f>
        <v/>
      </c>
    </row>
    <row r="682">
      <c r="A682" s="40" t="n">
        <v>40422</v>
      </c>
      <c r="B682" s="21">
        <f>VLOOKUP(A682,'Database Rates'!$A:$D,3,FALSE)</f>
        <v/>
      </c>
    </row>
    <row r="683">
      <c r="A683" s="40" t="n">
        <v>40452</v>
      </c>
      <c r="B683" s="21">
        <f>VLOOKUP(A683,'Database Rates'!$A:$D,3,FALSE)</f>
        <v/>
      </c>
    </row>
    <row r="684">
      <c r="A684" s="40" t="n">
        <v>40483</v>
      </c>
      <c r="B684" s="21">
        <f>VLOOKUP(A684,'Database Rates'!$A:$D,3,FALSE)</f>
        <v/>
      </c>
    </row>
    <row r="685">
      <c r="A685" s="40" t="n">
        <v>40513</v>
      </c>
      <c r="B685" s="21">
        <f>VLOOKUP(A685,'Database Rates'!$A:$D,3,FALSE)</f>
        <v/>
      </c>
    </row>
    <row r="686">
      <c r="A686" s="40" t="n">
        <v>40544</v>
      </c>
      <c r="B686" s="21">
        <f>VLOOKUP(A686,'Database Rates'!$A:$D,3,FALSE)</f>
        <v/>
      </c>
    </row>
    <row r="687">
      <c r="A687" s="40" t="n">
        <v>40575</v>
      </c>
      <c r="B687" s="21">
        <f>VLOOKUP(A687,'Database Rates'!$A:$D,3,FALSE)</f>
        <v/>
      </c>
    </row>
    <row r="688">
      <c r="A688" s="40" t="n">
        <v>40603</v>
      </c>
      <c r="B688" s="21">
        <f>VLOOKUP(A688,'Database Rates'!$A:$D,3,FALSE)</f>
        <v/>
      </c>
    </row>
    <row r="689">
      <c r="A689" s="40" t="n">
        <v>40634</v>
      </c>
      <c r="B689" s="21">
        <f>VLOOKUP(A689,'Database Rates'!$A:$D,3,FALSE)</f>
        <v/>
      </c>
    </row>
    <row r="690">
      <c r="A690" s="40" t="n">
        <v>40664</v>
      </c>
      <c r="B690" s="21">
        <f>VLOOKUP(A690,'Database Rates'!$A:$D,3,FALSE)</f>
        <v/>
      </c>
    </row>
    <row r="691">
      <c r="A691" s="40" t="n">
        <v>40695</v>
      </c>
      <c r="B691" s="21">
        <f>VLOOKUP(A691,'Database Rates'!$A:$D,3,FALSE)</f>
        <v/>
      </c>
    </row>
    <row r="692">
      <c r="A692" s="40" t="n">
        <v>40725</v>
      </c>
      <c r="B692" s="21">
        <f>VLOOKUP(A692,'Database Rates'!$A:$D,3,FALSE)</f>
        <v/>
      </c>
    </row>
    <row r="693">
      <c r="A693" s="40" t="n">
        <v>40756</v>
      </c>
      <c r="B693" s="21">
        <f>VLOOKUP(A693,'Database Rates'!$A:$D,3,FALSE)</f>
        <v/>
      </c>
    </row>
    <row r="694">
      <c r="A694" s="40" t="n">
        <v>40787</v>
      </c>
      <c r="B694" s="21">
        <f>VLOOKUP(A694,'Database Rates'!$A:$D,3,FALSE)</f>
        <v/>
      </c>
    </row>
    <row r="695">
      <c r="A695" s="40" t="n">
        <v>40817</v>
      </c>
      <c r="B695" s="21">
        <f>VLOOKUP(A695,'Database Rates'!$A:$D,3,FALSE)</f>
        <v/>
      </c>
    </row>
    <row r="696">
      <c r="A696" s="40" t="n">
        <v>40848</v>
      </c>
      <c r="B696" s="21">
        <f>VLOOKUP(A696,'Database Rates'!$A:$D,3,FALSE)</f>
        <v/>
      </c>
    </row>
    <row r="697">
      <c r="A697" s="40" t="n">
        <v>40878</v>
      </c>
      <c r="B697" s="21">
        <f>VLOOKUP(A697,'Database Rates'!$A:$D,3,FALSE)</f>
        <v/>
      </c>
    </row>
    <row r="698">
      <c r="A698" s="40" t="n">
        <v>40909</v>
      </c>
      <c r="B698" s="21">
        <f>VLOOKUP(A698,'Database Rates'!$A:$D,3,FALSE)</f>
        <v/>
      </c>
    </row>
    <row r="699">
      <c r="A699" s="40" t="n">
        <v>40940</v>
      </c>
      <c r="B699" s="21">
        <f>VLOOKUP(A699,'Database Rates'!$A:$D,3,FALSE)</f>
        <v/>
      </c>
    </row>
    <row r="700">
      <c r="A700" s="40" t="n">
        <v>40969</v>
      </c>
      <c r="B700" s="21">
        <f>VLOOKUP(A700,'Database Rates'!$A:$D,3,FALSE)</f>
        <v/>
      </c>
    </row>
    <row r="701">
      <c r="A701" s="40" t="n">
        <v>41000</v>
      </c>
      <c r="B701" s="21">
        <f>VLOOKUP(A701,'Database Rates'!$A:$D,3,FALSE)</f>
        <v/>
      </c>
    </row>
    <row r="702">
      <c r="A702" s="40" t="n">
        <v>41030</v>
      </c>
      <c r="B702" s="21">
        <f>VLOOKUP(A702,'Database Rates'!$A:$D,3,FALSE)</f>
        <v/>
      </c>
    </row>
    <row r="703">
      <c r="A703" s="40" t="n">
        <v>41061</v>
      </c>
      <c r="B703" s="21">
        <f>VLOOKUP(A703,'Database Rates'!$A:$D,3,FALSE)</f>
        <v/>
      </c>
    </row>
    <row r="704">
      <c r="A704" s="40" t="n">
        <v>41091</v>
      </c>
      <c r="B704" s="21">
        <f>VLOOKUP(A704,'Database Rates'!$A:$D,3,FALSE)</f>
        <v/>
      </c>
    </row>
    <row r="705">
      <c r="A705" s="40" t="n">
        <v>41122</v>
      </c>
      <c r="B705" s="21">
        <f>VLOOKUP(A705,'Database Rates'!$A:$D,3,FALSE)</f>
        <v/>
      </c>
    </row>
    <row r="706">
      <c r="A706" s="40" t="n">
        <v>41153</v>
      </c>
      <c r="B706" s="21">
        <f>VLOOKUP(A706,'Database Rates'!$A:$D,3,FALSE)</f>
        <v/>
      </c>
    </row>
    <row r="707">
      <c r="A707" s="40" t="n">
        <v>41183</v>
      </c>
      <c r="B707" s="21">
        <f>VLOOKUP(A707,'Database Rates'!$A:$D,3,FALSE)</f>
        <v/>
      </c>
    </row>
    <row r="708">
      <c r="A708" s="40" t="n">
        <v>41214</v>
      </c>
      <c r="B708" s="21">
        <f>VLOOKUP(A708,'Database Rates'!$A:$D,3,FALSE)</f>
        <v/>
      </c>
    </row>
    <row r="709">
      <c r="A709" s="40" t="n">
        <v>41244</v>
      </c>
      <c r="B709" s="21">
        <f>VLOOKUP(A709,'Database Rates'!$A:$D,3,FALSE)</f>
        <v/>
      </c>
    </row>
    <row r="710">
      <c r="A710" s="40" t="n">
        <v>41275</v>
      </c>
      <c r="B710" s="21">
        <f>VLOOKUP(A710,'Database Rates'!$A:$D,3,FALSE)</f>
        <v/>
      </c>
    </row>
    <row r="711">
      <c r="A711" s="40" t="n">
        <v>41306</v>
      </c>
      <c r="B711" s="21">
        <f>VLOOKUP(A711,'Database Rates'!$A:$D,3,FALSE)</f>
        <v/>
      </c>
    </row>
    <row r="712">
      <c r="A712" s="40" t="n">
        <v>41334</v>
      </c>
      <c r="B712" s="21">
        <f>VLOOKUP(A712,'Database Rates'!$A:$D,3,FALSE)</f>
        <v/>
      </c>
    </row>
    <row r="713">
      <c r="A713" s="40" t="n">
        <v>41365</v>
      </c>
      <c r="B713" s="21">
        <f>VLOOKUP(A713,'Database Rates'!$A:$D,3,FALSE)</f>
        <v/>
      </c>
    </row>
    <row r="714">
      <c r="A714" s="40" t="n">
        <v>41395</v>
      </c>
      <c r="B714" s="21">
        <f>VLOOKUP(A714,'Database Rates'!$A:$D,3,FALSE)</f>
        <v/>
      </c>
    </row>
    <row r="715">
      <c r="A715" s="40" t="n">
        <v>41426</v>
      </c>
      <c r="B715" s="21">
        <f>VLOOKUP(A715,'Database Rates'!$A:$D,3,FALSE)</f>
        <v/>
      </c>
    </row>
    <row r="716">
      <c r="A716" s="40" t="n">
        <v>41456</v>
      </c>
      <c r="B716" s="21">
        <f>VLOOKUP(A716,'Database Rates'!$A:$D,3,FALSE)</f>
        <v/>
      </c>
    </row>
    <row r="717">
      <c r="A717" s="40" t="n">
        <v>41487</v>
      </c>
      <c r="B717" s="21">
        <f>VLOOKUP(A717,'Database Rates'!$A:$D,3,FALSE)</f>
        <v/>
      </c>
    </row>
    <row r="718">
      <c r="A718" s="40" t="n">
        <v>41518</v>
      </c>
      <c r="B718" s="21">
        <f>VLOOKUP(A718,'Database Rates'!$A:$D,3,FALSE)</f>
        <v/>
      </c>
    </row>
    <row r="719">
      <c r="A719" s="40" t="n">
        <v>41548</v>
      </c>
      <c r="B719" s="21">
        <f>VLOOKUP(A719,'Database Rates'!$A:$D,3,FALSE)</f>
        <v/>
      </c>
    </row>
    <row r="720">
      <c r="A720" s="40" t="n">
        <v>41579</v>
      </c>
      <c r="B720" s="21">
        <f>VLOOKUP(A720,'Database Rates'!$A:$D,3,FALSE)</f>
        <v/>
      </c>
    </row>
    <row r="721">
      <c r="A721" s="40" t="n">
        <v>41609</v>
      </c>
      <c r="B721" s="21">
        <f>VLOOKUP(A721,'Database Rates'!$A:$D,3,FALSE)</f>
        <v/>
      </c>
    </row>
    <row r="722">
      <c r="A722" s="40" t="n">
        <v>41640</v>
      </c>
      <c r="B722" s="21">
        <f>VLOOKUP(A722,'Database Rates'!$A:$D,3,FALSE)</f>
        <v/>
      </c>
    </row>
    <row r="723">
      <c r="A723" s="40" t="n">
        <v>41671</v>
      </c>
      <c r="B723" s="21">
        <f>VLOOKUP(A723,'Database Rates'!$A:$D,3,FALSE)</f>
        <v/>
      </c>
    </row>
    <row r="724">
      <c r="A724" s="40" t="n">
        <v>41699</v>
      </c>
      <c r="B724" s="21">
        <f>VLOOKUP(A724,'Database Rates'!$A:$D,3,FALSE)</f>
        <v/>
      </c>
    </row>
    <row r="725">
      <c r="A725" s="40" t="n">
        <v>41730</v>
      </c>
      <c r="B725" s="21">
        <f>VLOOKUP(A725,'Database Rates'!$A:$D,3,FALSE)</f>
        <v/>
      </c>
    </row>
    <row r="726">
      <c r="A726" s="40" t="n">
        <v>41760</v>
      </c>
      <c r="B726" s="21">
        <f>VLOOKUP(A726,'Database Rates'!$A:$D,3,FALSE)</f>
        <v/>
      </c>
    </row>
    <row r="727">
      <c r="A727" s="40" t="n">
        <v>41791</v>
      </c>
      <c r="B727" s="21">
        <f>VLOOKUP(A727,'Database Rates'!$A:$D,3,FALSE)</f>
        <v/>
      </c>
    </row>
    <row r="728">
      <c r="A728" s="40" t="n">
        <v>41821</v>
      </c>
      <c r="B728" s="21">
        <f>VLOOKUP(A728,'Database Rates'!$A:$D,3,FALSE)</f>
        <v/>
      </c>
    </row>
    <row r="729">
      <c r="A729" s="40" t="n">
        <v>41852</v>
      </c>
      <c r="B729" s="21">
        <f>VLOOKUP(A729,'Database Rates'!$A:$D,3,FALSE)</f>
        <v/>
      </c>
    </row>
    <row r="730">
      <c r="A730" s="40" t="n">
        <v>41883</v>
      </c>
      <c r="B730" s="21">
        <f>VLOOKUP(A730,'Database Rates'!$A:$D,3,FALSE)</f>
        <v/>
      </c>
    </row>
    <row r="731">
      <c r="A731" s="40" t="n">
        <v>41913</v>
      </c>
      <c r="B731" s="21">
        <f>VLOOKUP(A731,'Database Rates'!$A:$D,3,FALSE)</f>
        <v/>
      </c>
    </row>
    <row r="732">
      <c r="A732" s="40" t="n">
        <v>41944</v>
      </c>
      <c r="B732" s="21">
        <f>VLOOKUP(A732,'Database Rates'!$A:$D,3,FALSE)</f>
        <v/>
      </c>
    </row>
    <row r="733">
      <c r="A733" s="40" t="n">
        <v>41974</v>
      </c>
      <c r="B733" s="21">
        <f>VLOOKUP(A733,'Database Rates'!$A:$D,3,FALSE)</f>
        <v/>
      </c>
    </row>
    <row r="734">
      <c r="A734" s="40" t="n">
        <v>42005</v>
      </c>
      <c r="B734" s="21">
        <f>VLOOKUP(A734,'Database Rates'!$A:$D,3,FALSE)</f>
        <v/>
      </c>
    </row>
    <row r="735">
      <c r="A735" s="40" t="n">
        <v>42036</v>
      </c>
      <c r="B735" s="21">
        <f>VLOOKUP(A735,'Database Rates'!$A:$D,3,FALSE)</f>
        <v/>
      </c>
    </row>
    <row r="736">
      <c r="A736" s="40" t="n">
        <v>42064</v>
      </c>
      <c r="B736" s="21">
        <f>VLOOKUP(A736,'Database Rates'!$A:$D,3,FALSE)</f>
        <v/>
      </c>
    </row>
    <row r="737">
      <c r="A737" s="40" t="n">
        <v>42095</v>
      </c>
      <c r="B737" s="21">
        <f>VLOOKUP(A737,'Database Rates'!$A:$D,3,FALSE)</f>
        <v/>
      </c>
    </row>
    <row r="738">
      <c r="A738" s="40" t="n">
        <v>42125</v>
      </c>
      <c r="B738" s="21">
        <f>VLOOKUP(A738,'Database Rates'!$A:$D,3,FALSE)</f>
        <v/>
      </c>
    </row>
    <row r="739">
      <c r="A739" s="40" t="n">
        <v>42156</v>
      </c>
      <c r="B739" s="21">
        <f>VLOOKUP(A739,'Database Rates'!$A:$D,3,FALSE)</f>
        <v/>
      </c>
    </row>
    <row r="740">
      <c r="A740" s="40" t="n">
        <v>42186</v>
      </c>
      <c r="B740" s="21">
        <f>VLOOKUP(A740,'Database Rates'!$A:$D,3,FALSE)</f>
        <v/>
      </c>
    </row>
    <row r="741">
      <c r="A741" s="40" t="n">
        <v>42217</v>
      </c>
      <c r="B741" s="21">
        <f>VLOOKUP(A741,'Database Rates'!$A:$D,3,FALSE)</f>
        <v/>
      </c>
    </row>
    <row r="742">
      <c r="A742" s="40" t="n">
        <v>42248</v>
      </c>
      <c r="B742" s="21">
        <f>VLOOKUP(A742,'Database Rates'!$A:$D,3,FALSE)</f>
        <v/>
      </c>
    </row>
    <row r="743">
      <c r="A743" s="40" t="n">
        <v>42278</v>
      </c>
      <c r="B743" s="21">
        <f>VLOOKUP(A743,'Database Rates'!$A:$D,3,FALSE)</f>
        <v/>
      </c>
    </row>
    <row r="744">
      <c r="A744" s="40" t="n">
        <v>42309</v>
      </c>
      <c r="B744" s="21">
        <f>VLOOKUP(A744,'Database Rates'!$A:$D,3,FALSE)</f>
        <v/>
      </c>
    </row>
    <row r="745">
      <c r="A745" s="40" t="n">
        <v>42339</v>
      </c>
      <c r="B745" s="21">
        <f>VLOOKUP(A745,'Database Rates'!$A:$D,3,FALSE)</f>
        <v/>
      </c>
    </row>
    <row r="746">
      <c r="A746" s="40" t="n">
        <v>42370</v>
      </c>
      <c r="B746" s="21">
        <f>VLOOKUP(A746,'Database Rates'!$A:$D,3,FALSE)</f>
        <v/>
      </c>
    </row>
    <row r="747">
      <c r="A747" s="40" t="n">
        <v>42401</v>
      </c>
      <c r="B747" s="21">
        <f>VLOOKUP(A747,'Database Rates'!$A:$D,3,FALSE)</f>
        <v/>
      </c>
    </row>
    <row r="748">
      <c r="A748" s="40" t="n">
        <v>42430</v>
      </c>
      <c r="B748" s="21">
        <f>VLOOKUP(A748,'Database Rates'!$A:$D,3,FALSE)</f>
        <v/>
      </c>
    </row>
    <row r="749">
      <c r="A749" s="40" t="n">
        <v>42461</v>
      </c>
      <c r="B749" s="21">
        <f>VLOOKUP(A749,'Database Rates'!$A:$D,3,FALSE)</f>
        <v/>
      </c>
    </row>
    <row r="750">
      <c r="A750" s="40" t="n">
        <v>42491</v>
      </c>
      <c r="B750" s="21">
        <f>VLOOKUP(A750,'Database Rates'!$A:$D,3,FALSE)</f>
        <v/>
      </c>
    </row>
    <row r="751">
      <c r="A751" s="40" t="n">
        <v>42522</v>
      </c>
      <c r="B751" s="21">
        <f>VLOOKUP(A751,'Database Rates'!$A:$D,3,FALSE)</f>
        <v/>
      </c>
    </row>
    <row r="752">
      <c r="A752" s="40" t="n">
        <v>42552</v>
      </c>
      <c r="B752" s="21">
        <f>VLOOKUP(A752,'Database Rates'!$A:$D,3,FALSE)</f>
        <v/>
      </c>
    </row>
    <row r="753">
      <c r="A753" s="40" t="n">
        <v>42583</v>
      </c>
      <c r="B753" s="21">
        <f>VLOOKUP(A753,'Database Rates'!$A:$D,3,FALSE)</f>
        <v/>
      </c>
    </row>
    <row r="754">
      <c r="A754" s="40" t="n">
        <v>42614</v>
      </c>
      <c r="B754" s="21">
        <f>VLOOKUP(A754,'Database Rates'!$A:$D,3,FALSE)</f>
        <v/>
      </c>
    </row>
    <row r="755">
      <c r="A755" s="40" t="n">
        <v>42644</v>
      </c>
      <c r="B755" s="21">
        <f>VLOOKUP(A755,'Database Rates'!$A:$D,3,FALSE)</f>
        <v/>
      </c>
    </row>
    <row r="756">
      <c r="A756" s="40" t="n">
        <v>42675</v>
      </c>
      <c r="B756" s="21">
        <f>VLOOKUP(A756,'Database Rates'!$A:$D,3,FALSE)</f>
        <v/>
      </c>
    </row>
    <row r="757">
      <c r="A757" s="40" t="n">
        <v>42705</v>
      </c>
      <c r="B757" s="21">
        <f>VLOOKUP(A757,'Database Rates'!$A:$D,3,FALSE)</f>
        <v/>
      </c>
    </row>
    <row r="758">
      <c r="A758" s="40" t="n">
        <v>42736</v>
      </c>
      <c r="B758" s="21">
        <f>VLOOKUP(A758,'Database Rates'!$A:$D,3,FALSE)</f>
        <v/>
      </c>
    </row>
    <row r="759">
      <c r="A759" s="40" t="n">
        <v>42767</v>
      </c>
      <c r="B759" s="21">
        <f>VLOOKUP(A759,'Database Rates'!$A:$D,3,FALSE)</f>
        <v/>
      </c>
    </row>
    <row r="760">
      <c r="A760" s="40" t="n">
        <v>42795</v>
      </c>
      <c r="B760" s="21">
        <f>VLOOKUP(A760,'Database Rates'!$A:$D,3,FALSE)</f>
        <v/>
      </c>
    </row>
    <row r="761">
      <c r="A761" s="40" t="n">
        <v>42826</v>
      </c>
      <c r="B761" s="21">
        <f>VLOOKUP(A761,'Database Rates'!$A:$D,3,FALSE)</f>
        <v/>
      </c>
    </row>
    <row r="762">
      <c r="A762" s="40" t="n">
        <v>42856</v>
      </c>
      <c r="B762" s="21">
        <f>VLOOKUP(A762,'Database Rates'!$A:$D,3,FALSE)</f>
        <v/>
      </c>
    </row>
    <row r="763">
      <c r="A763" s="40" t="n">
        <v>42887</v>
      </c>
      <c r="B763" s="21">
        <f>VLOOKUP(A763,'Database Rates'!$A:$D,3,FALSE)</f>
        <v/>
      </c>
    </row>
    <row r="764">
      <c r="A764" s="40" t="n">
        <v>42917</v>
      </c>
      <c r="B764" s="21">
        <f>VLOOKUP(A764,'Database Rates'!$A:$D,3,FALSE)</f>
        <v/>
      </c>
    </row>
    <row r="765">
      <c r="A765" s="40" t="n">
        <v>42948</v>
      </c>
      <c r="B765" s="21">
        <f>VLOOKUP(A765,'Database Rates'!$A:$D,3,FALSE)</f>
        <v/>
      </c>
    </row>
    <row r="766">
      <c r="A766" s="40" t="n">
        <v>42979</v>
      </c>
      <c r="B766" s="21">
        <f>VLOOKUP(A766,'Database Rates'!$A:$D,3,FALSE)</f>
        <v/>
      </c>
    </row>
    <row r="767">
      <c r="A767" s="40" t="n">
        <v>43009</v>
      </c>
      <c r="B767" s="21">
        <f>VLOOKUP(A767,'Database Rates'!$A:$D,3,FALSE)</f>
        <v/>
      </c>
    </row>
    <row r="768">
      <c r="A768" s="40" t="n">
        <v>43040</v>
      </c>
      <c r="B768" s="21">
        <f>VLOOKUP(A768,'Database Rates'!$A:$D,3,FALSE)</f>
        <v/>
      </c>
    </row>
    <row r="769">
      <c r="A769" s="40" t="n">
        <v>43070</v>
      </c>
      <c r="B769" s="21">
        <f>VLOOKUP(A769,'Database Rates'!$A:$D,3,FALSE)</f>
        <v/>
      </c>
    </row>
    <row r="770">
      <c r="A770" s="40" t="n">
        <v>43101</v>
      </c>
      <c r="B770" s="21">
        <f>VLOOKUP(A770,'Database Rates'!$A:$D,3,FALSE)</f>
        <v/>
      </c>
    </row>
    <row r="771">
      <c r="A771" s="40" t="n">
        <v>43132</v>
      </c>
      <c r="B771" s="21">
        <f>VLOOKUP(A771,'Database Rates'!$A:$D,3,FALSE)</f>
        <v/>
      </c>
    </row>
    <row r="772">
      <c r="A772" s="40" t="n">
        <v>43160</v>
      </c>
      <c r="B772" s="21">
        <f>VLOOKUP(A772,'Database Rates'!$A:$D,3,FALSE)</f>
        <v/>
      </c>
    </row>
    <row r="773">
      <c r="A773" s="40" t="n">
        <v>43191</v>
      </c>
      <c r="B773" s="21">
        <f>VLOOKUP(A773,'Database Rates'!$A:$D,3,FALSE)</f>
        <v/>
      </c>
    </row>
    <row r="774">
      <c r="A774" s="40" t="n">
        <v>43221</v>
      </c>
      <c r="B774" s="21">
        <f>VLOOKUP(A774,'Database Rates'!$A:$D,3,FALSE)</f>
        <v/>
      </c>
    </row>
    <row r="775">
      <c r="A775" s="40" t="n">
        <v>43252</v>
      </c>
      <c r="B775" s="21">
        <f>VLOOKUP(A775,'Database Rates'!$A:$D,3,FALSE)</f>
        <v/>
      </c>
    </row>
    <row r="776">
      <c r="A776" s="40" t="n">
        <v>43282</v>
      </c>
      <c r="B776" s="21">
        <f>VLOOKUP(A776,'Database Rates'!$A:$D,3,FALSE)</f>
        <v/>
      </c>
    </row>
    <row r="777">
      <c r="A777" s="40" t="n">
        <v>43313</v>
      </c>
      <c r="B777" s="21">
        <f>VLOOKUP(A777,'Database Rates'!$A:$D,3,FALSE)</f>
        <v/>
      </c>
    </row>
    <row r="778">
      <c r="A778" s="40" t="n">
        <v>43344</v>
      </c>
      <c r="B778" s="21">
        <f>VLOOKUP(A778,'Database Rates'!$A:$D,3,FALSE)</f>
        <v/>
      </c>
    </row>
    <row r="779">
      <c r="A779" s="40" t="n">
        <v>43374</v>
      </c>
      <c r="B779" s="21">
        <f>VLOOKUP(A779,'Database Rates'!$A:$D,3,FALSE)</f>
        <v/>
      </c>
    </row>
    <row r="780">
      <c r="A780" s="40" t="n">
        <v>43405</v>
      </c>
      <c r="B780" s="21">
        <f>VLOOKUP(A780,'Database Rates'!$A:$D,3,FALSE)</f>
        <v/>
      </c>
    </row>
    <row r="781">
      <c r="A781" s="40" t="n">
        <v>43435</v>
      </c>
      <c r="B781" s="21">
        <f>VLOOKUP(A781,'Database Rates'!$A:$D,3,FALSE)</f>
        <v/>
      </c>
    </row>
    <row r="782">
      <c r="A782" s="40" t="n">
        <v>43466</v>
      </c>
      <c r="B782" s="21">
        <f>VLOOKUP(A782,'Database Rates'!$A:$D,3,FALSE)</f>
        <v/>
      </c>
    </row>
    <row r="783">
      <c r="A783" s="40" t="n">
        <v>43497</v>
      </c>
      <c r="B783" s="21">
        <f>VLOOKUP(A783,'Database Rates'!$A:$D,3,FALSE)</f>
        <v/>
      </c>
    </row>
    <row r="784">
      <c r="A784" s="40" t="n">
        <v>43525</v>
      </c>
      <c r="B784" s="21">
        <f>VLOOKUP(A784,'Database Rates'!$A:$D,3,FALSE)</f>
        <v/>
      </c>
    </row>
    <row r="785">
      <c r="A785" s="42" t="n">
        <v>43556</v>
      </c>
      <c r="B785" s="21">
        <f>VLOOKUP(A785,'Database Rates'!$A:$D,3,FALSE)</f>
        <v/>
      </c>
    </row>
    <row r="786">
      <c r="A786" s="40" t="n">
        <v>43586</v>
      </c>
      <c r="B786" s="21">
        <f>VLOOKUP(A786,'Database Rates'!$A:$D,3,FALSE)</f>
        <v/>
      </c>
    </row>
    <row r="787">
      <c r="A787" s="40" t="n">
        <v>43617</v>
      </c>
      <c r="B787" s="21">
        <f>VLOOKUP(A787,'Database Rates'!$A:$D,3,FALSE)</f>
        <v/>
      </c>
    </row>
    <row r="788">
      <c r="A788" s="40" t="n">
        <v>43647</v>
      </c>
      <c r="B788" s="21">
        <f>VLOOKUP(A788,'Database Rates'!$A:$D,3,FALSE)</f>
        <v/>
      </c>
    </row>
    <row r="789">
      <c r="A789" s="40" t="n">
        <v>43678</v>
      </c>
      <c r="B789" s="21">
        <f>VLOOKUP(A789,'Database Rates'!$A:$D,3,FALSE)</f>
        <v/>
      </c>
    </row>
    <row r="790">
      <c r="A790" s="40" t="n">
        <v>43709</v>
      </c>
      <c r="B790" s="21">
        <f>VLOOKUP(A790,'Database Rates'!$A:$D,3,FALSE)</f>
        <v/>
      </c>
    </row>
    <row r="791">
      <c r="A791" s="40" t="n">
        <v>43739</v>
      </c>
      <c r="B791" s="21">
        <f>VLOOKUP(A791,'Database Rates'!$A:$D,3,FALSE)</f>
        <v/>
      </c>
    </row>
    <row r="792">
      <c r="A792" s="40" t="n">
        <v>43770</v>
      </c>
      <c r="B792" s="21">
        <f>VLOOKUP(A792,'Database Rates'!$A:$D,3,FALSE)</f>
        <v/>
      </c>
    </row>
    <row r="793">
      <c r="A793" s="40" t="n">
        <v>43800</v>
      </c>
      <c r="B793" s="21">
        <f>VLOOKUP(A793,'Database Rates'!$A:$D,3,FALSE)</f>
        <v/>
      </c>
    </row>
    <row r="794">
      <c r="A794" s="40" t="n">
        <v>43831</v>
      </c>
      <c r="B794" s="21">
        <f>VLOOKUP(A794,'Database Rates'!$A:$D,3,FALSE)</f>
        <v/>
      </c>
    </row>
    <row r="795">
      <c r="A795" s="40" t="n">
        <v>43862</v>
      </c>
      <c r="B795" s="21">
        <f>VLOOKUP(A795,'Database Rates'!$A:$D,3,FALSE)</f>
        <v/>
      </c>
    </row>
    <row r="796">
      <c r="A796" s="41" t="n">
        <v>43891</v>
      </c>
      <c r="B796" s="21">
        <f>VLOOKUP(A796,'Database Rates'!$A:$D,3,FALSE)</f>
        <v/>
      </c>
    </row>
    <row r="797">
      <c r="A797" s="40" t="n">
        <v>43922</v>
      </c>
      <c r="B797" s="21">
        <f>VLOOKUP(A797,'Database Rates'!$A:$D,3,FALSE)</f>
        <v/>
      </c>
    </row>
    <row r="798">
      <c r="A798" s="41" t="n">
        <v>43952</v>
      </c>
      <c r="B798" s="21">
        <f>VLOOKUP(A798,'Database Rates'!$A:$D,3,FALSE)</f>
        <v/>
      </c>
    </row>
    <row r="799">
      <c r="A799" s="40" t="n">
        <v>43983</v>
      </c>
      <c r="B799" s="21">
        <f>VLOOKUP(A799,'Database Rates'!$A:$D,3,FALSE)</f>
        <v/>
      </c>
    </row>
    <row r="800">
      <c r="A800" s="41" t="n">
        <v>44013</v>
      </c>
      <c r="B800" s="21">
        <f>VLOOKUP(A800,'Database Rates'!$A:$D,3,FALSE)</f>
        <v/>
      </c>
    </row>
    <row r="801">
      <c r="A801" s="40" t="n">
        <v>44044</v>
      </c>
      <c r="B801" s="21">
        <f>VLOOKUP(A801,'Database Rates'!$A:$D,3,FALSE)</f>
        <v/>
      </c>
    </row>
    <row r="802">
      <c r="A802" s="41" t="n">
        <v>44075</v>
      </c>
      <c r="B802" s="21">
        <f>VLOOKUP(A802,'Database Rates'!$A:$D,3,FALSE)</f>
        <v/>
      </c>
    </row>
    <row r="803">
      <c r="A803" s="40" t="n">
        <v>44105</v>
      </c>
      <c r="B803" s="21">
        <f>VLOOKUP(A803,'Database Rates'!$A:$D,3,FALSE)</f>
        <v/>
      </c>
    </row>
    <row r="804">
      <c r="A804" s="41" t="n">
        <v>44136</v>
      </c>
      <c r="B804" s="21">
        <f>VLOOKUP(A804,'Database Rates'!$A:$D,3,FALSE)</f>
        <v/>
      </c>
    </row>
    <row r="805">
      <c r="A805" s="40" t="n">
        <v>44166</v>
      </c>
      <c r="B805" s="21">
        <f>VLOOKUP(A805,'Database Rates'!$A:$D,3,FALSE)</f>
        <v/>
      </c>
    </row>
    <row r="806">
      <c r="A806" s="41" t="n">
        <v>44197</v>
      </c>
      <c r="B806" s="21">
        <f>VLOOKUP(A806,'Database Rates'!$A:$D,3,FALSE)</f>
        <v/>
      </c>
    </row>
    <row r="807">
      <c r="A807" s="40" t="n">
        <v>44228</v>
      </c>
      <c r="B807" s="21">
        <f>VLOOKUP(A807,'Database Rates'!$A:$D,3,FALSE)</f>
        <v/>
      </c>
    </row>
    <row r="808">
      <c r="A808" s="41" t="n">
        <v>44256</v>
      </c>
      <c r="B808" s="21">
        <f>VLOOKUP(A808,'Database Rates'!$A:$D,3,FALSE)</f>
        <v/>
      </c>
    </row>
    <row r="809">
      <c r="A809" s="40" t="n">
        <v>44287</v>
      </c>
      <c r="B809" s="21">
        <f>VLOOKUP(A809,'Database Rates'!$A:$D,3,FALSE)</f>
        <v/>
      </c>
    </row>
    <row r="810">
      <c r="A810" s="41" t="n">
        <v>44317</v>
      </c>
      <c r="B810" s="21">
        <f>VLOOKUP(A810,'Database Rates'!$A:$D,3,FALSE)</f>
        <v/>
      </c>
    </row>
    <row r="811">
      <c r="A811" s="40" t="n">
        <v>44348</v>
      </c>
      <c r="B811" s="21">
        <f>VLOOKUP(A811,'Database Rates'!$A:$D,3,FALSE)</f>
        <v/>
      </c>
    </row>
    <row r="812">
      <c r="A812" s="41" t="n">
        <v>44378</v>
      </c>
      <c r="B812" s="21">
        <f>VLOOKUP(A812,'Database Rates'!$A:$D,3,FALSE)</f>
        <v/>
      </c>
    </row>
    <row r="813">
      <c r="A813" s="40" t="n">
        <v>44409</v>
      </c>
      <c r="B813" s="21">
        <f>VLOOKUP(A813,'Database Rates'!$A:$D,3,FALSE)</f>
        <v/>
      </c>
    </row>
    <row r="814">
      <c r="A814" s="40" t="n">
        <v>44440</v>
      </c>
      <c r="B814" s="21">
        <f>VLOOKUP(A814,'Database Rates'!$A:$D,3,FALSE)</f>
        <v/>
      </c>
    </row>
    <row r="815">
      <c r="A815" s="41" t="n">
        <v>44470</v>
      </c>
      <c r="B815" s="21">
        <f>VLOOKUP(A815,'Database Rates'!$A:$D,3,FALSE)</f>
        <v/>
      </c>
    </row>
    <row r="816">
      <c r="A816" s="40" t="n">
        <v>44501</v>
      </c>
      <c r="B816" s="21">
        <f>VLOOKUP(A816,'Database Rates'!$A:$D,3,FALSE)</f>
        <v/>
      </c>
    </row>
    <row r="817">
      <c r="A817" s="40" t="n">
        <v>44531</v>
      </c>
      <c r="B817" s="21">
        <f>VLOOKUP(A817,'Database Rates'!$A:$D,3,FALSE)</f>
        <v/>
      </c>
    </row>
    <row r="818">
      <c r="A818" s="41" t="n">
        <v>44562</v>
      </c>
      <c r="B818" s="21">
        <f>VLOOKUP(A818,'Database Rates'!$A:$D,3,FALSE)</f>
        <v/>
      </c>
    </row>
    <row r="819">
      <c r="A819" s="41" t="n">
        <v>44593</v>
      </c>
      <c r="B819" s="21">
        <f>VLOOKUP(A819,'Database Rates'!$A:$D,3,FALSE)</f>
        <v/>
      </c>
    </row>
    <row r="820">
      <c r="A820" s="40" t="n">
        <v>44621</v>
      </c>
      <c r="B820" s="21">
        <f>VLOOKUP(A820,'Database Rates'!$A:$D,3,FALSE)</f>
        <v/>
      </c>
    </row>
    <row r="821">
      <c r="A821" s="40" t="n">
        <v>44652</v>
      </c>
      <c r="B821" s="21">
        <f>VLOOKUP(A821,'Database Rates'!$A:$D,3,FALSE)</f>
        <v/>
      </c>
    </row>
    <row r="822">
      <c r="A822" s="40" t="n">
        <v>44682</v>
      </c>
      <c r="B822" s="21">
        <f>VLOOKUP(A822,'Database Rates'!$A:$D,3,FALSE)</f>
        <v/>
      </c>
    </row>
    <row r="823">
      <c r="A823" s="40" t="n">
        <v>44713</v>
      </c>
      <c r="B823" s="21">
        <f>VLOOKUP(A823,'Database Rates'!$A:$D,3,FALSE)</f>
        <v/>
      </c>
    </row>
    <row r="824">
      <c r="A824" s="40" t="n">
        <v>44743</v>
      </c>
      <c r="B824" s="21">
        <f>VLOOKUP(A824,'Database Rates'!$A:$D,3,FALSE)</f>
        <v/>
      </c>
    </row>
    <row r="825">
      <c r="A825" s="40" t="n">
        <v>44774</v>
      </c>
      <c r="B825" s="21">
        <f>VLOOKUP(A825,'Database Rates'!$A:$D,3,FALSE)</f>
        <v/>
      </c>
    </row>
    <row r="826">
      <c r="A826" s="41" t="n">
        <v>44805</v>
      </c>
      <c r="B826" s="21">
        <f>VLOOKUP(A826,'Database Rates'!$A:$D,3,FALSE)</f>
        <v/>
      </c>
    </row>
    <row r="827">
      <c r="A827" s="40" t="n">
        <v>44835</v>
      </c>
      <c r="B827" s="21">
        <f>VLOOKUP(A827,'Database Rates'!$A:$D,3,FALSE)</f>
        <v/>
      </c>
    </row>
    <row r="828">
      <c r="A828" s="40" t="n">
        <v>44866</v>
      </c>
      <c r="B828" s="21">
        <f>VLOOKUP(A828,'Database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2"/>
  <sheetViews>
    <sheetView zoomScaleNormal="100" workbookViewId="0">
      <pane ySplit="6" topLeftCell="A741" activePane="bottomLeft" state="frozen"/>
      <selection pane="bottomLeft" activeCell="I785" sqref="I785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5" min="4" max="4"/>
    <col width="18.1796875" customWidth="1" style="55" min="5" max="5"/>
    <col width="9.1796875" customWidth="1" style="55" min="6" max="39"/>
    <col width="9.1796875" customWidth="1" style="55" min="40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thickBot="1"/>
    <row r="6" ht="39.75" customHeight="1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3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3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3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3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3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3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3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3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3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3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3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3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3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3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3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3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3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3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3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3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3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3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3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3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3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3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3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3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3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3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3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3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3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3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3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3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3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3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3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3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3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3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3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3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3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3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3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3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3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3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3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3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3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3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3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3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3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3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3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3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3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3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3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3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3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3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3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3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3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3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3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3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3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3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3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3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3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3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3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3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3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3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3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3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3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3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3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3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3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3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3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3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3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3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3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3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3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3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3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3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3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3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3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3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3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3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3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3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3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3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3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3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3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3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3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3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3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3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3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3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3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3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3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3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3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3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3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3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3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3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3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3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3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3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3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3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3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3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3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3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3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3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3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3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3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3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3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3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3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3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3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3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3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3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3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3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3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3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3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3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3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3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3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3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3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3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3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3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3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3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3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3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3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3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3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3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3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3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3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3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3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3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3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3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3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3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3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3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3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3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3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3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3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3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3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3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3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3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3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3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3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3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3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3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3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3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3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3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3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3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3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3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3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3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3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3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3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3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3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3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3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3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3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3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3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3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3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3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3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3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3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3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3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3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3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3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3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3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3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3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3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3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3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3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3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3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3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3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3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3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3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3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3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3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3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3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3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3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3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3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3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3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3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3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3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3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3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3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3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3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3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3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3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3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3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3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3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3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3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3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3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3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3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3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3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3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3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3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3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3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3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3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3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3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3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3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3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3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3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3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3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3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3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3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3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3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3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3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3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3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3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3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3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3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3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3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3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3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3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3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3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3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3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3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3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3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3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3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3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3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3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3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3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3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3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3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3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3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3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3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3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3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3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3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3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3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3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3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3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3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3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3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3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3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3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3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3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3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3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3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3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3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3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3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3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3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3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3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3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3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3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3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3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3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3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3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3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3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3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3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3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3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3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3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3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3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3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3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3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3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3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3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3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3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3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3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3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3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3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3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3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3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3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3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3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3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3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3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3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3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3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3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3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3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3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3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3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3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3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3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3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3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3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3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3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3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3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3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3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3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3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3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3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3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3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3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3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3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3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3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3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3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3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3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3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3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3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3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3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3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3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3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3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3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3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3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3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3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3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3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3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3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3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3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3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3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3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3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3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3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3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3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3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3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3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3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3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3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3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3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3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3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3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3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3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3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3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3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3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3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3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3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3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3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3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3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3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3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3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3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3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3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3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3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3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3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3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3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3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3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3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3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3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3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3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3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3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3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3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3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3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3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3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3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3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3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3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3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3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3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3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3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3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3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3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3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3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3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3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3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3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3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3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3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3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3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3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3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3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3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3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3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3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3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3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3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3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3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3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3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3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3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3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3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3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3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3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3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3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3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3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3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3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3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3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3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3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3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3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3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3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3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3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3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3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3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3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3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3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3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3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3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3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3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3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3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3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3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3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3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3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3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3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3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3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3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3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3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3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3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3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3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3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3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3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3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3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3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3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3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3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3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3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3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3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3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3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3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3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3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3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3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3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3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3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3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3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3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3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3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3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3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3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3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3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3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3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3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3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3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3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3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3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3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3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3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3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3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3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3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3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3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3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3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3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3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3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3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3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3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3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3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3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3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3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3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3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3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3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3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3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3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3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3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3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3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3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3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3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3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3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3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3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3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3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3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3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3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3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3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3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3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3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3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3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3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3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3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3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3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3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3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3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3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3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3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3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3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3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3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3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3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3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3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3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3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3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3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3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3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3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3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3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3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3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3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3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3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3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3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3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3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3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3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3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3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3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3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3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3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3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3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3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3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3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3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3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3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3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3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3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3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3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3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3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3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54"/>
  <sheetViews>
    <sheetView zoomScale="80" zoomScaleNormal="80" workbookViewId="0">
      <pane ySplit="11" topLeftCell="A1021" activePane="bottomLeft" state="frozen"/>
      <selection pane="bottomLeft" activeCell="X1069" sqref="X1069"/>
    </sheetView>
  </sheetViews>
  <sheetFormatPr baseColWidth="8" defaultColWidth="9.1796875" defaultRowHeight="14.5"/>
  <cols>
    <col width="20.6328125" customWidth="1" style="55" min="1" max="2"/>
    <col width="13.6328125" customWidth="1" style="55" min="3" max="3"/>
    <col width="9.1796875" customWidth="1" style="55" min="4" max="37"/>
    <col width="9.1796875" customWidth="1" style="55" min="38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thickBot="1">
      <c r="A10" s="55" t="inlineStr">
        <is>
          <t>Frequency: Weekly, As of Wednesday</t>
        </is>
      </c>
    </row>
    <row r="11" ht="16" customHeight="1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  <row r="1054">
      <c r="A1054" s="34">
        <f>'Database FED'!$A1044</f>
        <v/>
      </c>
      <c r="B1054" s="35">
        <f>VLOOKUP(A1054,'Database FED'!$A$1:$D$1100,2,FALSE)</f>
        <v/>
      </c>
      <c r="C1054" s="35">
        <f>Table9[[#This Row],[WALCL]]-B1053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53"/>
  <sheetViews>
    <sheetView showGridLines="0" zoomScale="70" zoomScaleNormal="70" workbookViewId="0">
      <pane ySplit="11" topLeftCell="A1024" activePane="bottomLeft" state="frozen"/>
      <selection activeCell="G33" sqref="G33"/>
      <selection pane="bottomLeft" activeCell="E1080" sqref="E1080"/>
    </sheetView>
  </sheetViews>
  <sheetFormatPr baseColWidth="8" defaultColWidth="9.1796875" defaultRowHeight="14.5"/>
  <cols>
    <col width="20.6328125" customWidth="1" min="1" max="2"/>
    <col width="17" customWidth="1" style="55" min="3" max="3"/>
    <col width="9.1796875" customWidth="1" style="55" min="4" max="4"/>
    <col width="17.81640625" customWidth="1" style="55" min="5" max="5"/>
    <col width="12.36328125" customWidth="1" style="55" min="6" max="6"/>
    <col width="9.1796875" customWidth="1" style="55" min="7" max="15"/>
    <col width="36.1796875" customWidth="1" style="55" min="16" max="16"/>
    <col width="9.1796875" customWidth="1" style="55" min="17" max="17"/>
    <col width="29.6328125" customWidth="1" style="55" min="18" max="18"/>
    <col width="37.6328125" customWidth="1" style="55" min="19" max="19"/>
    <col width="9.1796875" customWidth="1" style="55" min="20" max="53"/>
    <col width="9.1796875" customWidth="1" style="55" min="54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0">
      <c r="A11" s="48" t="inlineStr">
        <is>
          <t>Date</t>
        </is>
      </c>
      <c r="B11" s="48" t="inlineStr">
        <is>
          <t>WALCL</t>
        </is>
      </c>
      <c r="C11" s="49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4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01"/>
  <sheetViews>
    <sheetView zoomScale="120" zoomScaleNormal="120" workbookViewId="0">
      <pane ySplit="5" topLeftCell="A276" activePane="bottomLeft" state="frozen"/>
      <selection activeCell="A1206" sqref="A1206"/>
      <selection pane="bottomLeft" activeCell="A295" sqref="A295:D301"/>
    </sheetView>
  </sheetViews>
  <sheetFormatPr baseColWidth="8" defaultColWidth="9.1796875" defaultRowHeight="14.5"/>
  <cols>
    <col width="20.1796875" customWidth="1" style="55" min="1" max="1"/>
    <col width="14.1796875" customWidth="1" style="55" min="2" max="2"/>
    <col width="9.1796875" customWidth="1" style="55" min="3" max="3"/>
    <col width="10.1796875" bestFit="1" customWidth="1" style="55" min="4" max="4"/>
    <col width="9.1796875" customWidth="1" style="55" min="5" max="36"/>
    <col width="9.1796875" customWidth="1" style="55" min="37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thickBot="1">
      <c r="A4" s="13" t="inlineStr">
        <is>
          <t>Frequency: Monthly, End of Period</t>
        </is>
      </c>
      <c r="B4" s="13" t="n"/>
    </row>
    <row r="5" ht="86" customHeight="1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39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5">
        <f>IFERROR(VLOOKUP(A6,'Database BOJ'!$A$1:$C$1058,2,FALSE)/VLOOKUP(A6,'Database BOJ'!$A$1:$C$1058,3,FALSE),#N/A)</f>
        <v/>
      </c>
    </row>
    <row r="7">
      <c r="A7" s="40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5">
        <f>IFERROR(VLOOKUP(A7,'Database BOJ'!$A$1:$C$1058,2,FALSE)/VLOOKUP(A7,'Database BOJ'!$A$1:$C$1058,3,FALSE),#N/A)</f>
        <v/>
      </c>
    </row>
    <row r="8">
      <c r="A8" s="40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5">
        <f>IFERROR(VLOOKUP(A8,'Database BOJ'!$A$1:$C$1058,2,FALSE)/VLOOKUP(A8,'Database BOJ'!$A$1:$C$1058,3,FALSE),#N/A)</f>
        <v/>
      </c>
    </row>
    <row r="9">
      <c r="A9" s="40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5">
        <f>IFERROR(VLOOKUP(A9,'Database BOJ'!$A$1:$C$1058,2,FALSE)/VLOOKUP(A9,'Database BOJ'!$A$1:$C$1058,3,FALSE),#N/A)</f>
        <v/>
      </c>
    </row>
    <row r="10">
      <c r="A10" s="40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5">
        <f>IFERROR(VLOOKUP(A10,'Database BOJ'!$A$1:$C$1058,2,FALSE)/VLOOKUP(A10,'Database BOJ'!$A$1:$C$1058,3,FALSE),#N/A)</f>
        <v/>
      </c>
    </row>
    <row r="11">
      <c r="A11" s="40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5">
        <f>IFERROR(VLOOKUP(A11,'Database BOJ'!$A$1:$C$1058,2,FALSE)/VLOOKUP(A11,'Database BOJ'!$A$1:$C$1058,3,FALSE),#N/A)</f>
        <v/>
      </c>
    </row>
    <row r="12">
      <c r="A12" s="40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5">
        <f>IFERROR(VLOOKUP(A12,'Database BOJ'!$A$1:$C$1058,2,FALSE)/VLOOKUP(A12,'Database BOJ'!$A$1:$C$1058,3,FALSE),#N/A)</f>
        <v/>
      </c>
    </row>
    <row r="13">
      <c r="A13" s="40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5">
        <f>IFERROR(VLOOKUP(A13,'Database BOJ'!$A$1:$C$1058,2,FALSE)/VLOOKUP(A13,'Database BOJ'!$A$1:$C$1058,3,FALSE),#N/A)</f>
        <v/>
      </c>
    </row>
    <row r="14">
      <c r="A14" s="40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5">
        <f>IFERROR(VLOOKUP(A14,'Database BOJ'!$A$1:$C$1058,2,FALSE)/VLOOKUP(A14,'Database BOJ'!$A$1:$C$1058,3,FALSE),#N/A)</f>
        <v/>
      </c>
    </row>
    <row r="15">
      <c r="A15" s="40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5">
        <f>IFERROR(VLOOKUP(A15,'Database BOJ'!$A$1:$C$1058,2,FALSE)/VLOOKUP(A15,'Database BOJ'!$A$1:$C$1058,3,FALSE),#N/A)</f>
        <v/>
      </c>
    </row>
    <row r="16">
      <c r="A16" s="40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5">
        <f>IFERROR(VLOOKUP(A16,'Database BOJ'!$A$1:$C$1058,2,FALSE)/VLOOKUP(A16,'Database BOJ'!$A$1:$C$1058,3,FALSE),#N/A)</f>
        <v/>
      </c>
    </row>
    <row r="17">
      <c r="A17" s="40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5">
        <f>IFERROR(VLOOKUP(A17,'Database BOJ'!$A$1:$C$1058,2,FALSE)/VLOOKUP(A17,'Database BOJ'!$A$1:$C$1058,3,FALSE),#N/A)</f>
        <v/>
      </c>
    </row>
    <row r="18">
      <c r="A18" s="40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5">
        <f>IFERROR(VLOOKUP(A18,'Database BOJ'!$A$1:$C$1058,2,FALSE)/VLOOKUP(A18,'Database BOJ'!$A$1:$C$1058,3,FALSE),#N/A)</f>
        <v/>
      </c>
    </row>
    <row r="19">
      <c r="A19" s="40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5">
        <f>IFERROR(VLOOKUP(A19,'Database BOJ'!$A$1:$C$1058,2,FALSE)/VLOOKUP(A19,'Database BOJ'!$A$1:$C$1058,3,FALSE),#N/A)</f>
        <v/>
      </c>
    </row>
    <row r="20">
      <c r="A20" s="40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5">
        <f>IFERROR(VLOOKUP(A20,'Database BOJ'!$A$1:$C$1058,2,FALSE)/VLOOKUP(A20,'Database BOJ'!$A$1:$C$1058,3,FALSE),#N/A)</f>
        <v/>
      </c>
    </row>
    <row r="21">
      <c r="A21" s="40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5">
        <f>IFERROR(VLOOKUP(A21,'Database BOJ'!$A$1:$C$1058,2,FALSE)/VLOOKUP(A21,'Database BOJ'!$A$1:$C$1058,3,FALSE),#N/A)</f>
        <v/>
      </c>
    </row>
    <row r="22">
      <c r="A22" s="40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5">
        <f>IFERROR(VLOOKUP(A22,'Database BOJ'!$A$1:$C$1058,2,FALSE)/VLOOKUP(A22,'Database BOJ'!$A$1:$C$1058,3,FALSE),#N/A)</f>
        <v/>
      </c>
    </row>
    <row r="23">
      <c r="A23" s="40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5">
        <f>IFERROR(VLOOKUP(A23,'Database BOJ'!$A$1:$C$1058,2,FALSE)/VLOOKUP(A23,'Database BOJ'!$A$1:$C$1058,3,FALSE),#N/A)</f>
        <v/>
      </c>
    </row>
    <row r="24">
      <c r="A24" s="40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5">
        <f>IFERROR(VLOOKUP(A24,'Database BOJ'!$A$1:$C$1058,2,FALSE)/VLOOKUP(A24,'Database BOJ'!$A$1:$C$1058,3,FALSE),#N/A)</f>
        <v/>
      </c>
    </row>
    <row r="25">
      <c r="A25" s="40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5">
        <f>IFERROR(VLOOKUP(A25,'Database BOJ'!$A$1:$C$1058,2,FALSE)/VLOOKUP(A25,'Database BOJ'!$A$1:$C$1058,3,FALSE),#N/A)</f>
        <v/>
      </c>
    </row>
    <row r="26">
      <c r="A26" s="40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5">
        <f>IFERROR(VLOOKUP(A26,'Database BOJ'!$A$1:$C$1058,2,FALSE)/VLOOKUP(A26,'Database BOJ'!$A$1:$C$1058,3,FALSE),#N/A)</f>
        <v/>
      </c>
    </row>
    <row r="27">
      <c r="A27" s="40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5">
        <f>IFERROR(VLOOKUP(A27,'Database BOJ'!$A$1:$C$1058,2,FALSE)/VLOOKUP(A27,'Database BOJ'!$A$1:$C$1058,3,FALSE),#N/A)</f>
        <v/>
      </c>
    </row>
    <row r="28">
      <c r="A28" s="40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5">
        <f>IFERROR(VLOOKUP(A28,'Database BOJ'!$A$1:$C$1058,2,FALSE)/VLOOKUP(A28,'Database BOJ'!$A$1:$C$1058,3,FALSE),#N/A)</f>
        <v/>
      </c>
    </row>
    <row r="29">
      <c r="A29" s="40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5">
        <f>IFERROR(VLOOKUP(A29,'Database BOJ'!$A$1:$C$1058,2,FALSE)/VLOOKUP(A29,'Database BOJ'!$A$1:$C$1058,3,FALSE),#N/A)</f>
        <v/>
      </c>
    </row>
    <row r="30">
      <c r="A30" s="40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5">
        <f>IFERROR(VLOOKUP(A30,'Database BOJ'!$A$1:$C$1058,2,FALSE)/VLOOKUP(A30,'Database BOJ'!$A$1:$C$1058,3,FALSE),#N/A)</f>
        <v/>
      </c>
    </row>
    <row r="31">
      <c r="A31" s="40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5">
        <f>IFERROR(VLOOKUP(A31,'Database BOJ'!$A$1:$C$1058,2,FALSE)/VLOOKUP(A31,'Database BOJ'!$A$1:$C$1058,3,FALSE),#N/A)</f>
        <v/>
      </c>
    </row>
    <row r="32">
      <c r="A32" s="40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5">
        <f>IFERROR(VLOOKUP(A32,'Database BOJ'!$A$1:$C$1058,2,FALSE)/VLOOKUP(A32,'Database BOJ'!$A$1:$C$1058,3,FALSE),#N/A)</f>
        <v/>
      </c>
    </row>
    <row r="33">
      <c r="A33" s="40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5">
        <f>IFERROR(VLOOKUP(A33,'Database BOJ'!$A$1:$C$1058,2,FALSE)/VLOOKUP(A33,'Database BOJ'!$A$1:$C$1058,3,FALSE),#N/A)</f>
        <v/>
      </c>
    </row>
    <row r="34">
      <c r="A34" s="40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5">
        <f>IFERROR(VLOOKUP(A34,'Database BOJ'!$A$1:$C$1058,2,FALSE)/VLOOKUP(A34,'Database BOJ'!$A$1:$C$1058,3,FALSE),#N/A)</f>
        <v/>
      </c>
    </row>
    <row r="35">
      <c r="A35" s="40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5">
        <f>IFERROR(VLOOKUP(A35,'Database BOJ'!$A$1:$C$1058,2,FALSE)/VLOOKUP(A35,'Database BOJ'!$A$1:$C$1058,3,FALSE),#N/A)</f>
        <v/>
      </c>
    </row>
    <row r="36">
      <c r="A36" s="40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5">
        <f>IFERROR(VLOOKUP(A36,'Database BOJ'!$A$1:$C$1058,2,FALSE)/VLOOKUP(A36,'Database BOJ'!$A$1:$C$1058,3,FALSE),#N/A)</f>
        <v/>
      </c>
    </row>
    <row r="37">
      <c r="A37" s="40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5">
        <f>IFERROR(VLOOKUP(A37,'Database BOJ'!$A$1:$C$1058,2,FALSE)/VLOOKUP(A37,'Database BOJ'!$A$1:$C$1058,3,FALSE),#N/A)</f>
        <v/>
      </c>
    </row>
    <row r="38">
      <c r="A38" s="40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5">
        <f>IFERROR(VLOOKUP(A38,'Database BOJ'!$A$1:$C$1058,2,FALSE)/VLOOKUP(A38,'Database BOJ'!$A$1:$C$1058,3,FALSE),#N/A)</f>
        <v/>
      </c>
    </row>
    <row r="39">
      <c r="A39" s="40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5">
        <f>IFERROR(VLOOKUP(A39,'Database BOJ'!$A$1:$C$1058,2,FALSE)/VLOOKUP(A39,'Database BOJ'!$A$1:$C$1058,3,FALSE),#N/A)</f>
        <v/>
      </c>
    </row>
    <row r="40">
      <c r="A40" s="40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5">
        <f>IFERROR(VLOOKUP(A40,'Database BOJ'!$A$1:$C$1058,2,FALSE)/VLOOKUP(A40,'Database BOJ'!$A$1:$C$1058,3,FALSE),#N/A)</f>
        <v/>
      </c>
    </row>
    <row r="41">
      <c r="A41" s="40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5">
        <f>IFERROR(VLOOKUP(A41,'Database BOJ'!$A$1:$C$1058,2,FALSE)/VLOOKUP(A41,'Database BOJ'!$A$1:$C$1058,3,FALSE),#N/A)</f>
        <v/>
      </c>
    </row>
    <row r="42">
      <c r="A42" s="40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5">
        <f>IFERROR(VLOOKUP(A42,'Database BOJ'!$A$1:$C$1058,2,FALSE)/VLOOKUP(A42,'Database BOJ'!$A$1:$C$1058,3,FALSE),#N/A)</f>
        <v/>
      </c>
    </row>
    <row r="43">
      <c r="A43" s="40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5">
        <f>IFERROR(VLOOKUP(A43,'Database BOJ'!$A$1:$C$1058,2,FALSE)/VLOOKUP(A43,'Database BOJ'!$A$1:$C$1058,3,FALSE),#N/A)</f>
        <v/>
      </c>
    </row>
    <row r="44">
      <c r="A44" s="40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5">
        <f>IFERROR(VLOOKUP(A44,'Database BOJ'!$A$1:$C$1058,2,FALSE)/VLOOKUP(A44,'Database BOJ'!$A$1:$C$1058,3,FALSE),#N/A)</f>
        <v/>
      </c>
    </row>
    <row r="45">
      <c r="A45" s="40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5">
        <f>IFERROR(VLOOKUP(A45,'Database BOJ'!$A$1:$C$1058,2,FALSE)/VLOOKUP(A45,'Database BOJ'!$A$1:$C$1058,3,FALSE),#N/A)</f>
        <v/>
      </c>
    </row>
    <row r="46">
      <c r="A46" s="40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5">
        <f>IFERROR(VLOOKUP(A46,'Database BOJ'!$A$1:$C$1058,2,FALSE)/VLOOKUP(A46,'Database BOJ'!$A$1:$C$1058,3,FALSE),#N/A)</f>
        <v/>
      </c>
    </row>
    <row r="47">
      <c r="A47" s="40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5">
        <f>IFERROR(VLOOKUP(A47,'Database BOJ'!$A$1:$C$1058,2,FALSE)/VLOOKUP(A47,'Database BOJ'!$A$1:$C$1058,3,FALSE),#N/A)</f>
        <v/>
      </c>
    </row>
    <row r="48">
      <c r="A48" s="40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5">
        <f>IFERROR(VLOOKUP(A48,'Database BOJ'!$A$1:$C$1058,2,FALSE)/VLOOKUP(A48,'Database BOJ'!$A$1:$C$1058,3,FALSE),#N/A)</f>
        <v/>
      </c>
    </row>
    <row r="49">
      <c r="A49" s="40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5">
        <f>IFERROR(VLOOKUP(A49,'Database BOJ'!$A$1:$C$1058,2,FALSE)/VLOOKUP(A49,'Database BOJ'!$A$1:$C$1058,3,FALSE),#N/A)</f>
        <v/>
      </c>
    </row>
    <row r="50">
      <c r="A50" s="40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5">
        <f>IFERROR(VLOOKUP(A50,'Database BOJ'!$A$1:$C$1058,2,FALSE)/VLOOKUP(A50,'Database BOJ'!$A$1:$C$1058,3,FALSE),#N/A)</f>
        <v/>
      </c>
    </row>
    <row r="51">
      <c r="A51" s="40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5">
        <f>IFERROR(VLOOKUP(A51,'Database BOJ'!$A$1:$C$1058,2,FALSE)/VLOOKUP(A51,'Database BOJ'!$A$1:$C$1058,3,FALSE),#N/A)</f>
        <v/>
      </c>
    </row>
    <row r="52">
      <c r="A52" s="40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5">
        <f>IFERROR(VLOOKUP(A52,'Database BOJ'!$A$1:$C$1058,2,FALSE)/VLOOKUP(A52,'Database BOJ'!$A$1:$C$1058,3,FALSE),#N/A)</f>
        <v/>
      </c>
    </row>
    <row r="53">
      <c r="A53" s="40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5">
        <f>IFERROR(VLOOKUP(A53,'Database BOJ'!$A$1:$C$1058,2,FALSE)/VLOOKUP(A53,'Database BOJ'!$A$1:$C$1058,3,FALSE),#N/A)</f>
        <v/>
      </c>
    </row>
    <row r="54">
      <c r="A54" s="40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5">
        <f>IFERROR(VLOOKUP(A54,'Database BOJ'!$A$1:$C$1058,2,FALSE)/VLOOKUP(A54,'Database BOJ'!$A$1:$C$1058,3,FALSE),#N/A)</f>
        <v/>
      </c>
    </row>
    <row r="55">
      <c r="A55" s="40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5">
        <f>IFERROR(VLOOKUP(A55,'Database BOJ'!$A$1:$C$1058,2,FALSE)/VLOOKUP(A55,'Database BOJ'!$A$1:$C$1058,3,FALSE),#N/A)</f>
        <v/>
      </c>
    </row>
    <row r="56">
      <c r="A56" s="40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5">
        <f>IFERROR(VLOOKUP(A56,'Database BOJ'!$A$1:$C$1058,2,FALSE)/VLOOKUP(A56,'Database BOJ'!$A$1:$C$1058,3,FALSE),#N/A)</f>
        <v/>
      </c>
    </row>
    <row r="57">
      <c r="A57" s="40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5">
        <f>IFERROR(VLOOKUP(A57,'Database BOJ'!$A$1:$C$1058,2,FALSE)/VLOOKUP(A57,'Database BOJ'!$A$1:$C$1058,3,FALSE),#N/A)</f>
        <v/>
      </c>
    </row>
    <row r="58">
      <c r="A58" s="40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5">
        <f>IFERROR(VLOOKUP(A58,'Database BOJ'!$A$1:$C$1058,2,FALSE)/VLOOKUP(A58,'Database BOJ'!$A$1:$C$1058,3,FALSE),#N/A)</f>
        <v/>
      </c>
    </row>
    <row r="59">
      <c r="A59" s="40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5">
        <f>IFERROR(VLOOKUP(A59,'Database BOJ'!$A$1:$C$1058,2,FALSE)/VLOOKUP(A59,'Database BOJ'!$A$1:$C$1058,3,FALSE),#N/A)</f>
        <v/>
      </c>
    </row>
    <row r="60">
      <c r="A60" s="40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5">
        <f>IFERROR(VLOOKUP(A60,'Database BOJ'!$A$1:$C$1058,2,FALSE)/VLOOKUP(A60,'Database BOJ'!$A$1:$C$1058,3,FALSE),#N/A)</f>
        <v/>
      </c>
    </row>
    <row r="61">
      <c r="A61" s="40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5">
        <f>IFERROR(VLOOKUP(A61,'Database BOJ'!$A$1:$C$1058,2,FALSE)/VLOOKUP(A61,'Database BOJ'!$A$1:$C$1058,3,FALSE),#N/A)</f>
        <v/>
      </c>
    </row>
    <row r="62">
      <c r="A62" s="40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5">
        <f>IFERROR(VLOOKUP(A62,'Database BOJ'!$A$1:$C$1058,2,FALSE)/VLOOKUP(A62,'Database BOJ'!$A$1:$C$1058,3,FALSE),#N/A)</f>
        <v/>
      </c>
    </row>
    <row r="63">
      <c r="A63" s="40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5">
        <f>IFERROR(VLOOKUP(A63,'Database BOJ'!$A$1:$C$1058,2,FALSE)/VLOOKUP(A63,'Database BOJ'!$A$1:$C$1058,3,FALSE),#N/A)</f>
        <v/>
      </c>
    </row>
    <row r="64">
      <c r="A64" s="40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5">
        <f>IFERROR(VLOOKUP(A64,'Database BOJ'!$A$1:$C$1058,2,FALSE)/VLOOKUP(A64,'Database BOJ'!$A$1:$C$1058,3,FALSE),#N/A)</f>
        <v/>
      </c>
    </row>
    <row r="65">
      <c r="A65" s="40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5">
        <f>IFERROR(VLOOKUP(A65,'Database BOJ'!$A$1:$C$1058,2,FALSE)/VLOOKUP(A65,'Database BOJ'!$A$1:$C$1058,3,FALSE),#N/A)</f>
        <v/>
      </c>
    </row>
    <row r="66">
      <c r="A66" s="40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5">
        <f>IFERROR(VLOOKUP(A66,'Database BOJ'!$A$1:$C$1058,2,FALSE)/VLOOKUP(A66,'Database BOJ'!$A$1:$C$1058,3,FALSE),#N/A)</f>
        <v/>
      </c>
    </row>
    <row r="67">
      <c r="A67" s="40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5">
        <f>IFERROR(VLOOKUP(A67,'Database BOJ'!$A$1:$C$1058,2,FALSE)/VLOOKUP(A67,'Database BOJ'!$A$1:$C$1058,3,FALSE),#N/A)</f>
        <v/>
      </c>
    </row>
    <row r="68">
      <c r="A68" s="40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5">
        <f>IFERROR(VLOOKUP(A68,'Database BOJ'!$A$1:$C$1058,2,FALSE)/VLOOKUP(A68,'Database BOJ'!$A$1:$C$1058,3,FALSE),#N/A)</f>
        <v/>
      </c>
    </row>
    <row r="69">
      <c r="A69" s="40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5">
        <f>IFERROR(VLOOKUP(A69,'Database BOJ'!$A$1:$C$1058,2,FALSE)/VLOOKUP(A69,'Database BOJ'!$A$1:$C$1058,3,FALSE),#N/A)</f>
        <v/>
      </c>
    </row>
    <row r="70">
      <c r="A70" s="40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5">
        <f>IFERROR(VLOOKUP(A70,'Database BOJ'!$A$1:$C$1058,2,FALSE)/VLOOKUP(A70,'Database BOJ'!$A$1:$C$1058,3,FALSE),#N/A)</f>
        <v/>
      </c>
    </row>
    <row r="71">
      <c r="A71" s="40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5">
        <f>IFERROR(VLOOKUP(A71,'Database BOJ'!$A$1:$C$1058,2,FALSE)/VLOOKUP(A71,'Database BOJ'!$A$1:$C$1058,3,FALSE),#N/A)</f>
        <v/>
      </c>
    </row>
    <row r="72">
      <c r="A72" s="40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5">
        <f>IFERROR(VLOOKUP(A72,'Database BOJ'!$A$1:$C$1058,2,FALSE)/VLOOKUP(A72,'Database BOJ'!$A$1:$C$1058,3,FALSE),#N/A)</f>
        <v/>
      </c>
    </row>
    <row r="73">
      <c r="A73" s="40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5">
        <f>IFERROR(VLOOKUP(A73,'Database BOJ'!$A$1:$C$1058,2,FALSE)/VLOOKUP(A73,'Database BOJ'!$A$1:$C$1058,3,FALSE),#N/A)</f>
        <v/>
      </c>
    </row>
    <row r="74">
      <c r="A74" s="40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5">
        <f>IFERROR(VLOOKUP(A74,'Database BOJ'!$A$1:$C$1058,2,FALSE)/VLOOKUP(A74,'Database BOJ'!$A$1:$C$1058,3,FALSE),#N/A)</f>
        <v/>
      </c>
    </row>
    <row r="75">
      <c r="A75" s="40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5">
        <f>IFERROR(VLOOKUP(A75,'Database BOJ'!$A$1:$C$1058,2,FALSE)/VLOOKUP(A75,'Database BOJ'!$A$1:$C$1058,3,FALSE),#N/A)</f>
        <v/>
      </c>
    </row>
    <row r="76">
      <c r="A76" s="40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5">
        <f>IFERROR(VLOOKUP(A76,'Database BOJ'!$A$1:$C$1058,2,FALSE)/VLOOKUP(A76,'Database BOJ'!$A$1:$C$1058,3,FALSE),#N/A)</f>
        <v/>
      </c>
    </row>
    <row r="77">
      <c r="A77" s="40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5">
        <f>IFERROR(VLOOKUP(A77,'Database BOJ'!$A$1:$C$1058,2,FALSE)/VLOOKUP(A77,'Database BOJ'!$A$1:$C$1058,3,FALSE),#N/A)</f>
        <v/>
      </c>
    </row>
    <row r="78">
      <c r="A78" s="40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5">
        <f>IFERROR(VLOOKUP(A78,'Database BOJ'!$A$1:$C$1058,2,FALSE)/VLOOKUP(A78,'Database BOJ'!$A$1:$C$1058,3,FALSE),#N/A)</f>
        <v/>
      </c>
    </row>
    <row r="79">
      <c r="A79" s="40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5">
        <f>IFERROR(VLOOKUP(A79,'Database BOJ'!$A$1:$C$1058,2,FALSE)/VLOOKUP(A79,'Database BOJ'!$A$1:$C$1058,3,FALSE),#N/A)</f>
        <v/>
      </c>
    </row>
    <row r="80">
      <c r="A80" s="40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5">
        <f>IFERROR(VLOOKUP(A80,'Database BOJ'!$A$1:$C$1058,2,FALSE)/VLOOKUP(A80,'Database BOJ'!$A$1:$C$1058,3,FALSE),#N/A)</f>
        <v/>
      </c>
    </row>
    <row r="81">
      <c r="A81" s="40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5">
        <f>IFERROR(VLOOKUP(A81,'Database BOJ'!$A$1:$C$1058,2,FALSE)/VLOOKUP(A81,'Database BOJ'!$A$1:$C$1058,3,FALSE),#N/A)</f>
        <v/>
      </c>
    </row>
    <row r="82">
      <c r="A82" s="40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5">
        <f>IFERROR(VLOOKUP(A82,'Database BOJ'!$A$1:$C$1058,2,FALSE)/VLOOKUP(A82,'Database BOJ'!$A$1:$C$1058,3,FALSE),#N/A)</f>
        <v/>
      </c>
    </row>
    <row r="83">
      <c r="A83" s="40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5">
        <f>IFERROR(VLOOKUP(A83,'Database BOJ'!$A$1:$C$1058,2,FALSE)/VLOOKUP(A83,'Database BOJ'!$A$1:$C$1058,3,FALSE),#N/A)</f>
        <v/>
      </c>
    </row>
    <row r="84">
      <c r="A84" s="40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5">
        <f>IFERROR(VLOOKUP(A84,'Database BOJ'!$A$1:$C$1058,2,FALSE)/VLOOKUP(A84,'Database BOJ'!$A$1:$C$1058,3,FALSE),#N/A)</f>
        <v/>
      </c>
    </row>
    <row r="85">
      <c r="A85" s="40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5">
        <f>IFERROR(VLOOKUP(A85,'Database BOJ'!$A$1:$C$1058,2,FALSE)/VLOOKUP(A85,'Database BOJ'!$A$1:$C$1058,3,FALSE),#N/A)</f>
        <v/>
      </c>
    </row>
    <row r="86">
      <c r="A86" s="40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5">
        <f>IFERROR(VLOOKUP(A86,'Database BOJ'!$A$1:$C$1058,2,FALSE)/VLOOKUP(A86,'Database BOJ'!$A$1:$C$1058,3,FALSE),#N/A)</f>
        <v/>
      </c>
    </row>
    <row r="87">
      <c r="A87" s="40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5">
        <f>IFERROR(VLOOKUP(A87,'Database BOJ'!$A$1:$C$1058,2,FALSE)/VLOOKUP(A87,'Database BOJ'!$A$1:$C$1058,3,FALSE),#N/A)</f>
        <v/>
      </c>
    </row>
    <row r="88">
      <c r="A88" s="40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5">
        <f>IFERROR(VLOOKUP(A88,'Database BOJ'!$A$1:$C$1058,2,FALSE)/VLOOKUP(A88,'Database BOJ'!$A$1:$C$1058,3,FALSE),#N/A)</f>
        <v/>
      </c>
    </row>
    <row r="89">
      <c r="A89" s="40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5">
        <f>IFERROR(VLOOKUP(A89,'Database BOJ'!$A$1:$C$1058,2,FALSE)/VLOOKUP(A89,'Database BOJ'!$A$1:$C$1058,3,FALSE),#N/A)</f>
        <v/>
      </c>
    </row>
    <row r="90">
      <c r="A90" s="40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5">
        <f>IFERROR(VLOOKUP(A90,'Database BOJ'!$A$1:$C$1058,2,FALSE)/VLOOKUP(A90,'Database BOJ'!$A$1:$C$1058,3,FALSE),#N/A)</f>
        <v/>
      </c>
    </row>
    <row r="91">
      <c r="A91" s="40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5">
        <f>IFERROR(VLOOKUP(A91,'Database BOJ'!$A$1:$C$1058,2,FALSE)/VLOOKUP(A91,'Database BOJ'!$A$1:$C$1058,3,FALSE),#N/A)</f>
        <v/>
      </c>
    </row>
    <row r="92">
      <c r="A92" s="40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5">
        <f>IFERROR(VLOOKUP(A92,'Database BOJ'!$A$1:$C$1058,2,FALSE)/VLOOKUP(A92,'Database BOJ'!$A$1:$C$1058,3,FALSE),#N/A)</f>
        <v/>
      </c>
    </row>
    <row r="93">
      <c r="A93" s="40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5">
        <f>IFERROR(VLOOKUP(A93,'Database BOJ'!$A$1:$C$1058,2,FALSE)/VLOOKUP(A93,'Database BOJ'!$A$1:$C$1058,3,FALSE),#N/A)</f>
        <v/>
      </c>
    </row>
    <row r="94">
      <c r="A94" s="40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5">
        <f>IFERROR(VLOOKUP(A94,'Database BOJ'!$A$1:$C$1058,2,FALSE)/VLOOKUP(A94,'Database BOJ'!$A$1:$C$1058,3,FALSE),#N/A)</f>
        <v/>
      </c>
    </row>
    <row r="95">
      <c r="A95" s="40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5">
        <f>IFERROR(VLOOKUP(A95,'Database BOJ'!$A$1:$C$1058,2,FALSE)/VLOOKUP(A95,'Database BOJ'!$A$1:$C$1058,3,FALSE),#N/A)</f>
        <v/>
      </c>
    </row>
    <row r="96">
      <c r="A96" s="40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5">
        <f>IFERROR(VLOOKUP(A96,'Database BOJ'!$A$1:$C$1058,2,FALSE)/VLOOKUP(A96,'Database BOJ'!$A$1:$C$1058,3,FALSE),#N/A)</f>
        <v/>
      </c>
    </row>
    <row r="97">
      <c r="A97" s="40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5">
        <f>IFERROR(VLOOKUP(A97,'Database BOJ'!$A$1:$C$1058,2,FALSE)/VLOOKUP(A97,'Database BOJ'!$A$1:$C$1058,3,FALSE),#N/A)</f>
        <v/>
      </c>
    </row>
    <row r="98">
      <c r="A98" s="40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5">
        <f>IFERROR(VLOOKUP(A98,'Database BOJ'!$A$1:$C$1058,2,FALSE)/VLOOKUP(A98,'Database BOJ'!$A$1:$C$1058,3,FALSE),#N/A)</f>
        <v/>
      </c>
    </row>
    <row r="99">
      <c r="A99" s="40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5">
        <f>IFERROR(VLOOKUP(A99,'Database BOJ'!$A$1:$C$1058,2,FALSE)/VLOOKUP(A99,'Database BOJ'!$A$1:$C$1058,3,FALSE),#N/A)</f>
        <v/>
      </c>
    </row>
    <row r="100">
      <c r="A100" s="40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5">
        <f>IFERROR(VLOOKUP(A100,'Database BOJ'!$A$1:$C$1058,2,FALSE)/VLOOKUP(A100,'Database BOJ'!$A$1:$C$1058,3,FALSE),#N/A)</f>
        <v/>
      </c>
    </row>
    <row r="101">
      <c r="A101" s="40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5">
        <f>IFERROR(VLOOKUP(A101,'Database BOJ'!$A$1:$C$1058,2,FALSE)/VLOOKUP(A101,'Database BOJ'!$A$1:$C$1058,3,FALSE),#N/A)</f>
        <v/>
      </c>
    </row>
    <row r="102">
      <c r="A102" s="40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5">
        <f>IFERROR(VLOOKUP(A102,'Database BOJ'!$A$1:$C$1058,2,FALSE)/VLOOKUP(A102,'Database BOJ'!$A$1:$C$1058,3,FALSE),#N/A)</f>
        <v/>
      </c>
    </row>
    <row r="103">
      <c r="A103" s="40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5">
        <f>IFERROR(VLOOKUP(A103,'Database BOJ'!$A$1:$C$1058,2,FALSE)/VLOOKUP(A103,'Database BOJ'!$A$1:$C$1058,3,FALSE),#N/A)</f>
        <v/>
      </c>
    </row>
    <row r="104">
      <c r="A104" s="40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5">
        <f>IFERROR(VLOOKUP(A104,'Database BOJ'!$A$1:$C$1058,2,FALSE)/VLOOKUP(A104,'Database BOJ'!$A$1:$C$1058,3,FALSE),#N/A)</f>
        <v/>
      </c>
    </row>
    <row r="105">
      <c r="A105" s="40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5">
        <f>IFERROR(VLOOKUP(A105,'Database BOJ'!$A$1:$C$1058,2,FALSE)/VLOOKUP(A105,'Database BOJ'!$A$1:$C$1058,3,FALSE),#N/A)</f>
        <v/>
      </c>
    </row>
    <row r="106">
      <c r="A106" s="40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5">
        <f>IFERROR(VLOOKUP(A106,'Database BOJ'!$A$1:$C$1058,2,FALSE)/VLOOKUP(A106,'Database BOJ'!$A$1:$C$1058,3,FALSE),#N/A)</f>
        <v/>
      </c>
    </row>
    <row r="107">
      <c r="A107" s="40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5">
        <f>IFERROR(VLOOKUP(A107,'Database BOJ'!$A$1:$C$1058,2,FALSE)/VLOOKUP(A107,'Database BOJ'!$A$1:$C$1058,3,FALSE),#N/A)</f>
        <v/>
      </c>
    </row>
    <row r="108">
      <c r="A108" s="40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5">
        <f>IFERROR(VLOOKUP(A108,'Database BOJ'!$A$1:$C$1058,2,FALSE)/VLOOKUP(A108,'Database BOJ'!$A$1:$C$1058,3,FALSE),#N/A)</f>
        <v/>
      </c>
    </row>
    <row r="109">
      <c r="A109" s="40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5">
        <f>IFERROR(VLOOKUP(A109,'Database BOJ'!$A$1:$C$1058,2,FALSE)/VLOOKUP(A109,'Database BOJ'!$A$1:$C$1058,3,FALSE),#N/A)</f>
        <v/>
      </c>
    </row>
    <row r="110">
      <c r="A110" s="40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5">
        <f>IFERROR(VLOOKUP(A110,'Database BOJ'!$A$1:$C$1058,2,FALSE)/VLOOKUP(A110,'Database BOJ'!$A$1:$C$1058,3,FALSE),#N/A)</f>
        <v/>
      </c>
    </row>
    <row r="111">
      <c r="A111" s="40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5">
        <f>IFERROR(VLOOKUP(A111,'Database BOJ'!$A$1:$C$1058,2,FALSE)/VLOOKUP(A111,'Database BOJ'!$A$1:$C$1058,3,FALSE),#N/A)</f>
        <v/>
      </c>
    </row>
    <row r="112">
      <c r="A112" s="40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5">
        <f>IFERROR(VLOOKUP(A112,'Database BOJ'!$A$1:$C$1058,2,FALSE)/VLOOKUP(A112,'Database BOJ'!$A$1:$C$1058,3,FALSE),#N/A)</f>
        <v/>
      </c>
    </row>
    <row r="113">
      <c r="A113" s="40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5">
        <f>IFERROR(VLOOKUP(A113,'Database BOJ'!$A$1:$C$1058,2,FALSE)/VLOOKUP(A113,'Database BOJ'!$A$1:$C$1058,3,FALSE),#N/A)</f>
        <v/>
      </c>
    </row>
    <row r="114">
      <c r="A114" s="40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5">
        <f>IFERROR(VLOOKUP(A114,'Database BOJ'!$A$1:$C$1058,2,FALSE)/VLOOKUP(A114,'Database BOJ'!$A$1:$C$1058,3,FALSE),#N/A)</f>
        <v/>
      </c>
    </row>
    <row r="115">
      <c r="A115" s="40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5">
        <f>IFERROR(VLOOKUP(A115,'Database BOJ'!$A$1:$C$1058,2,FALSE)/VLOOKUP(A115,'Database BOJ'!$A$1:$C$1058,3,FALSE),#N/A)</f>
        <v/>
      </c>
    </row>
    <row r="116">
      <c r="A116" s="40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5">
        <f>IFERROR(VLOOKUP(A116,'Database BOJ'!$A$1:$C$1058,2,FALSE)/VLOOKUP(A116,'Database BOJ'!$A$1:$C$1058,3,FALSE),#N/A)</f>
        <v/>
      </c>
    </row>
    <row r="117">
      <c r="A117" s="40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5">
        <f>IFERROR(VLOOKUP(A117,'Database BOJ'!$A$1:$C$1058,2,FALSE)/VLOOKUP(A117,'Database BOJ'!$A$1:$C$1058,3,FALSE),#N/A)</f>
        <v/>
      </c>
    </row>
    <row r="118">
      <c r="A118" s="40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5">
        <f>IFERROR(VLOOKUP(A118,'Database BOJ'!$A$1:$C$1058,2,FALSE)/VLOOKUP(A118,'Database BOJ'!$A$1:$C$1058,3,FALSE),#N/A)</f>
        <v/>
      </c>
    </row>
    <row r="119">
      <c r="A119" s="40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5">
        <f>IFERROR(VLOOKUP(A119,'Database BOJ'!$A$1:$C$1058,2,FALSE)/VLOOKUP(A119,'Database BOJ'!$A$1:$C$1058,3,FALSE),#N/A)</f>
        <v/>
      </c>
    </row>
    <row r="120">
      <c r="A120" s="40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5">
        <f>IFERROR(VLOOKUP(A120,'Database BOJ'!$A$1:$C$1058,2,FALSE)/VLOOKUP(A120,'Database BOJ'!$A$1:$C$1058,3,FALSE),#N/A)</f>
        <v/>
      </c>
    </row>
    <row r="121">
      <c r="A121" s="40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5">
        <f>IFERROR(VLOOKUP(A121,'Database BOJ'!$A$1:$C$1058,2,FALSE)/VLOOKUP(A121,'Database BOJ'!$A$1:$C$1058,3,FALSE),#N/A)</f>
        <v/>
      </c>
    </row>
    <row r="122">
      <c r="A122" s="40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5">
        <f>IFERROR(VLOOKUP(A122,'Database BOJ'!$A$1:$C$1058,2,FALSE)/VLOOKUP(A122,'Database BOJ'!$A$1:$C$1058,3,FALSE),#N/A)</f>
        <v/>
      </c>
    </row>
    <row r="123">
      <c r="A123" s="40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5">
        <f>IFERROR(VLOOKUP(A123,'Database BOJ'!$A$1:$C$1058,2,FALSE)/VLOOKUP(A123,'Database BOJ'!$A$1:$C$1058,3,FALSE),#N/A)</f>
        <v/>
      </c>
    </row>
    <row r="124">
      <c r="A124" s="40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5">
        <f>IFERROR(VLOOKUP(A124,'Database BOJ'!$A$1:$C$1058,2,FALSE)/VLOOKUP(A124,'Database BOJ'!$A$1:$C$1058,3,FALSE),#N/A)</f>
        <v/>
      </c>
    </row>
    <row r="125">
      <c r="A125" s="40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5">
        <f>IFERROR(VLOOKUP(A125,'Database BOJ'!$A$1:$C$1058,2,FALSE)/VLOOKUP(A125,'Database BOJ'!$A$1:$C$1058,3,FALSE),#N/A)</f>
        <v/>
      </c>
    </row>
    <row r="126">
      <c r="A126" s="40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5">
        <f>IFERROR(VLOOKUP(A126,'Database BOJ'!$A$1:$C$1058,2,FALSE)/VLOOKUP(A126,'Database BOJ'!$A$1:$C$1058,3,FALSE),#N/A)</f>
        <v/>
      </c>
    </row>
    <row r="127">
      <c r="A127" s="40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5">
        <f>IFERROR(VLOOKUP(A127,'Database BOJ'!$A$1:$C$1058,2,FALSE)/VLOOKUP(A127,'Database BOJ'!$A$1:$C$1058,3,FALSE),#N/A)</f>
        <v/>
      </c>
    </row>
    <row r="128">
      <c r="A128" s="40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5">
        <f>IFERROR(VLOOKUP(A128,'Database BOJ'!$A$1:$C$1058,2,FALSE)/VLOOKUP(A128,'Database BOJ'!$A$1:$C$1058,3,FALSE),#N/A)</f>
        <v/>
      </c>
    </row>
    <row r="129">
      <c r="A129" s="40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5">
        <f>IFERROR(VLOOKUP(A129,'Database BOJ'!$A$1:$C$1058,2,FALSE)/VLOOKUP(A129,'Database BOJ'!$A$1:$C$1058,3,FALSE),#N/A)</f>
        <v/>
      </c>
    </row>
    <row r="130">
      <c r="A130" s="40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5">
        <f>IFERROR(VLOOKUP(A130,'Database BOJ'!$A$1:$C$1058,2,FALSE)/VLOOKUP(A130,'Database BOJ'!$A$1:$C$1058,3,FALSE),#N/A)</f>
        <v/>
      </c>
    </row>
    <row r="131">
      <c r="A131" s="40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5">
        <f>IFERROR(VLOOKUP(A131,'Database BOJ'!$A$1:$C$1058,2,FALSE)/VLOOKUP(A131,'Database BOJ'!$A$1:$C$1058,3,FALSE),#N/A)</f>
        <v/>
      </c>
    </row>
    <row r="132">
      <c r="A132" s="40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5">
        <f>IFERROR(VLOOKUP(A132,'Database BOJ'!$A$1:$C$1058,2,FALSE)/VLOOKUP(A132,'Database BOJ'!$A$1:$C$1058,3,FALSE),#N/A)</f>
        <v/>
      </c>
    </row>
    <row r="133">
      <c r="A133" s="40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5">
        <f>IFERROR(VLOOKUP(A133,'Database BOJ'!$A$1:$C$1058,2,FALSE)/VLOOKUP(A133,'Database BOJ'!$A$1:$C$1058,3,FALSE),#N/A)</f>
        <v/>
      </c>
    </row>
    <row r="134">
      <c r="A134" s="40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5">
        <f>IFERROR(VLOOKUP(A134,'Database BOJ'!$A$1:$C$1058,2,FALSE)/VLOOKUP(A134,'Database BOJ'!$A$1:$C$1058,3,FALSE),#N/A)</f>
        <v/>
      </c>
    </row>
    <row r="135">
      <c r="A135" s="40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5">
        <f>IFERROR(VLOOKUP(A135,'Database BOJ'!$A$1:$C$1058,2,FALSE)/VLOOKUP(A135,'Database BOJ'!$A$1:$C$1058,3,FALSE),#N/A)</f>
        <v/>
      </c>
    </row>
    <row r="136">
      <c r="A136" s="40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5">
        <f>IFERROR(VLOOKUP(A136,'Database BOJ'!$A$1:$C$1058,2,FALSE)/VLOOKUP(A136,'Database BOJ'!$A$1:$C$1058,3,FALSE),#N/A)</f>
        <v/>
      </c>
    </row>
    <row r="137">
      <c r="A137" s="40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5">
        <f>IFERROR(VLOOKUP(A137,'Database BOJ'!$A$1:$C$1058,2,FALSE)/VLOOKUP(A137,'Database BOJ'!$A$1:$C$1058,3,FALSE),#N/A)</f>
        <v/>
      </c>
    </row>
    <row r="138">
      <c r="A138" s="40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5">
        <f>IFERROR(VLOOKUP(A138,'Database BOJ'!$A$1:$C$1058,2,FALSE)/VLOOKUP(A138,'Database BOJ'!$A$1:$C$1058,3,FALSE),#N/A)</f>
        <v/>
      </c>
    </row>
    <row r="139">
      <c r="A139" s="40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5">
        <f>IFERROR(VLOOKUP(A139,'Database BOJ'!$A$1:$C$1058,2,FALSE)/VLOOKUP(A139,'Database BOJ'!$A$1:$C$1058,3,FALSE),#N/A)</f>
        <v/>
      </c>
    </row>
    <row r="140">
      <c r="A140" s="40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5">
        <f>IFERROR(VLOOKUP(A140,'Database BOJ'!$A$1:$C$1058,2,FALSE)/VLOOKUP(A140,'Database BOJ'!$A$1:$C$1058,3,FALSE),#N/A)</f>
        <v/>
      </c>
    </row>
    <row r="141">
      <c r="A141" s="40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5">
        <f>IFERROR(VLOOKUP(A141,'Database BOJ'!$A$1:$C$1058,2,FALSE)/VLOOKUP(A141,'Database BOJ'!$A$1:$C$1058,3,FALSE),#N/A)</f>
        <v/>
      </c>
    </row>
    <row r="142">
      <c r="A142" s="40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5">
        <f>IFERROR(VLOOKUP(A142,'Database BOJ'!$A$1:$C$1058,2,FALSE)/VLOOKUP(A142,'Database BOJ'!$A$1:$C$1058,3,FALSE),#N/A)</f>
        <v/>
      </c>
    </row>
    <row r="143">
      <c r="A143" s="40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5">
        <f>IFERROR(VLOOKUP(A143,'Database BOJ'!$A$1:$C$1058,2,FALSE)/VLOOKUP(A143,'Database BOJ'!$A$1:$C$1058,3,FALSE),#N/A)</f>
        <v/>
      </c>
    </row>
    <row r="144">
      <c r="A144" s="40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5">
        <f>IFERROR(VLOOKUP(A144,'Database BOJ'!$A$1:$C$1058,2,FALSE)/VLOOKUP(A144,'Database BOJ'!$A$1:$C$1058,3,FALSE),#N/A)</f>
        <v/>
      </c>
    </row>
    <row r="145">
      <c r="A145" s="40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5">
        <f>IFERROR(VLOOKUP(A145,'Database BOJ'!$A$1:$C$1058,2,FALSE)/VLOOKUP(A145,'Database BOJ'!$A$1:$C$1058,3,FALSE),#N/A)</f>
        <v/>
      </c>
    </row>
    <row r="146">
      <c r="A146" s="40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5">
        <f>IFERROR(VLOOKUP(A146,'Database BOJ'!$A$1:$C$1058,2,FALSE)/VLOOKUP(A146,'Database BOJ'!$A$1:$C$1058,3,FALSE),#N/A)</f>
        <v/>
      </c>
    </row>
    <row r="147">
      <c r="A147" s="40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5">
        <f>IFERROR(VLOOKUP(A147,'Database BOJ'!$A$1:$C$1058,2,FALSE)/VLOOKUP(A147,'Database BOJ'!$A$1:$C$1058,3,FALSE),#N/A)</f>
        <v/>
      </c>
    </row>
    <row r="148">
      <c r="A148" s="40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5">
        <f>IFERROR(VLOOKUP(A148,'Database BOJ'!$A$1:$C$1058,2,FALSE)/VLOOKUP(A148,'Database BOJ'!$A$1:$C$1058,3,FALSE),#N/A)</f>
        <v/>
      </c>
    </row>
    <row r="149">
      <c r="A149" s="40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5">
        <f>IFERROR(VLOOKUP(A149,'Database BOJ'!$A$1:$C$1058,2,FALSE)/VLOOKUP(A149,'Database BOJ'!$A$1:$C$1058,3,FALSE),#N/A)</f>
        <v/>
      </c>
    </row>
    <row r="150">
      <c r="A150" s="40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5">
        <f>IFERROR(VLOOKUP(A150,'Database BOJ'!$A$1:$C$1058,2,FALSE)/VLOOKUP(A150,'Database BOJ'!$A$1:$C$1058,3,FALSE),#N/A)</f>
        <v/>
      </c>
    </row>
    <row r="151">
      <c r="A151" s="40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5">
        <f>IFERROR(VLOOKUP(A151,'Database BOJ'!$A$1:$C$1058,2,FALSE)/VLOOKUP(A151,'Database BOJ'!$A$1:$C$1058,3,FALSE),#N/A)</f>
        <v/>
      </c>
    </row>
    <row r="152">
      <c r="A152" s="40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5">
        <f>IFERROR(VLOOKUP(A152,'Database BOJ'!$A$1:$C$1058,2,FALSE)/VLOOKUP(A152,'Database BOJ'!$A$1:$C$1058,3,FALSE),#N/A)</f>
        <v/>
      </c>
    </row>
    <row r="153">
      <c r="A153" s="40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5">
        <f>IFERROR(VLOOKUP(A153,'Database BOJ'!$A$1:$C$1058,2,FALSE)/VLOOKUP(A153,'Database BOJ'!$A$1:$C$1058,3,FALSE),#N/A)</f>
        <v/>
      </c>
    </row>
    <row r="154">
      <c r="A154" s="40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5">
        <f>IFERROR(VLOOKUP(A154,'Database BOJ'!$A$1:$C$1058,2,FALSE)/VLOOKUP(A154,'Database BOJ'!$A$1:$C$1058,3,FALSE),#N/A)</f>
        <v/>
      </c>
    </row>
    <row r="155">
      <c r="A155" s="40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5">
        <f>IFERROR(VLOOKUP(A155,'Database BOJ'!$A$1:$C$1058,2,FALSE)/VLOOKUP(A155,'Database BOJ'!$A$1:$C$1058,3,FALSE),#N/A)</f>
        <v/>
      </c>
    </row>
    <row r="156">
      <c r="A156" s="40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5">
        <f>IFERROR(VLOOKUP(A156,'Database BOJ'!$A$1:$C$1058,2,FALSE)/VLOOKUP(A156,'Database BOJ'!$A$1:$C$1058,3,FALSE),#N/A)</f>
        <v/>
      </c>
    </row>
    <row r="157">
      <c r="A157" s="40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5">
        <f>IFERROR(VLOOKUP(A157,'Database BOJ'!$A$1:$C$1058,2,FALSE)/VLOOKUP(A157,'Database BOJ'!$A$1:$C$1058,3,FALSE),#N/A)</f>
        <v/>
      </c>
    </row>
    <row r="158">
      <c r="A158" s="40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5">
        <f>IFERROR(VLOOKUP(A158,'Database BOJ'!$A$1:$C$1058,2,FALSE)/VLOOKUP(A158,'Database BOJ'!$A$1:$C$1058,3,FALSE),#N/A)</f>
        <v/>
      </c>
    </row>
    <row r="159">
      <c r="A159" s="40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5">
        <f>IFERROR(VLOOKUP(A159,'Database BOJ'!$A$1:$C$1058,2,FALSE)/VLOOKUP(A159,'Database BOJ'!$A$1:$C$1058,3,FALSE),#N/A)</f>
        <v/>
      </c>
    </row>
    <row r="160">
      <c r="A160" s="40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5">
        <f>IFERROR(VLOOKUP(A160,'Database BOJ'!$A$1:$C$1058,2,FALSE)/VLOOKUP(A160,'Database BOJ'!$A$1:$C$1058,3,FALSE),#N/A)</f>
        <v/>
      </c>
    </row>
    <row r="161">
      <c r="A161" s="40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5">
        <f>IFERROR(VLOOKUP(A161,'Database BOJ'!$A$1:$C$1058,2,FALSE)/VLOOKUP(A161,'Database BOJ'!$A$1:$C$1058,3,FALSE),#N/A)</f>
        <v/>
      </c>
    </row>
    <row r="162">
      <c r="A162" s="40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5">
        <f>IFERROR(VLOOKUP(A162,'Database BOJ'!$A$1:$C$1058,2,FALSE)/VLOOKUP(A162,'Database BOJ'!$A$1:$C$1058,3,FALSE),#N/A)</f>
        <v/>
      </c>
    </row>
    <row r="163">
      <c r="A163" s="40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5">
        <f>IFERROR(VLOOKUP(A163,'Database BOJ'!$A$1:$C$1058,2,FALSE)/VLOOKUP(A163,'Database BOJ'!$A$1:$C$1058,3,FALSE),#N/A)</f>
        <v/>
      </c>
    </row>
    <row r="164">
      <c r="A164" s="40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5">
        <f>IFERROR(VLOOKUP(A164,'Database BOJ'!$A$1:$C$1058,2,FALSE)/VLOOKUP(A164,'Database BOJ'!$A$1:$C$1058,3,FALSE),#N/A)</f>
        <v/>
      </c>
    </row>
    <row r="165">
      <c r="A165" s="40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5">
        <f>IFERROR(VLOOKUP(A165,'Database BOJ'!$A$1:$C$1058,2,FALSE)/VLOOKUP(A165,'Database BOJ'!$A$1:$C$1058,3,FALSE),#N/A)</f>
        <v/>
      </c>
    </row>
    <row r="166">
      <c r="A166" s="40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5">
        <f>IFERROR(VLOOKUP(A166,'Database BOJ'!$A$1:$C$1058,2,FALSE)/VLOOKUP(A166,'Database BOJ'!$A$1:$C$1058,3,FALSE),#N/A)</f>
        <v/>
      </c>
    </row>
    <row r="167">
      <c r="A167" s="40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5">
        <f>IFERROR(VLOOKUP(A167,'Database BOJ'!$A$1:$C$1058,2,FALSE)/VLOOKUP(A167,'Database BOJ'!$A$1:$C$1058,3,FALSE),#N/A)</f>
        <v/>
      </c>
    </row>
    <row r="168">
      <c r="A168" s="40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5">
        <f>IFERROR(VLOOKUP(A168,'Database BOJ'!$A$1:$C$1058,2,FALSE)/VLOOKUP(A168,'Database BOJ'!$A$1:$C$1058,3,FALSE),#N/A)</f>
        <v/>
      </c>
    </row>
    <row r="169">
      <c r="A169" s="40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5">
        <f>IFERROR(VLOOKUP(A169,'Database BOJ'!$A$1:$C$1058,2,FALSE)/VLOOKUP(A169,'Database BOJ'!$A$1:$C$1058,3,FALSE),#N/A)</f>
        <v/>
      </c>
    </row>
    <row r="170">
      <c r="A170" s="40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5">
        <f>IFERROR(VLOOKUP(A170,'Database BOJ'!$A$1:$C$1058,2,FALSE)/VLOOKUP(A170,'Database BOJ'!$A$1:$C$1058,3,FALSE),#N/A)</f>
        <v/>
      </c>
    </row>
    <row r="171">
      <c r="A171" s="40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5">
        <f>IFERROR(VLOOKUP(A171,'Database BOJ'!$A$1:$C$1058,2,FALSE)/VLOOKUP(A171,'Database BOJ'!$A$1:$C$1058,3,FALSE),#N/A)</f>
        <v/>
      </c>
    </row>
    <row r="172">
      <c r="A172" s="40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5">
        <f>IFERROR(VLOOKUP(A172,'Database BOJ'!$A$1:$C$1058,2,FALSE)/VLOOKUP(A172,'Database BOJ'!$A$1:$C$1058,3,FALSE),#N/A)</f>
        <v/>
      </c>
    </row>
    <row r="173">
      <c r="A173" s="40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5">
        <f>IFERROR(VLOOKUP(A173,'Database BOJ'!$A$1:$C$1058,2,FALSE)/VLOOKUP(A173,'Database BOJ'!$A$1:$C$1058,3,FALSE),#N/A)</f>
        <v/>
      </c>
    </row>
    <row r="174">
      <c r="A174" s="40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5">
        <f>IFERROR(VLOOKUP(A174,'Database BOJ'!$A$1:$C$1058,2,FALSE)/VLOOKUP(A174,'Database BOJ'!$A$1:$C$1058,3,FALSE),#N/A)</f>
        <v/>
      </c>
    </row>
    <row r="175">
      <c r="A175" s="40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5">
        <f>IFERROR(VLOOKUP(A175,'Database BOJ'!$A$1:$C$1058,2,FALSE)/VLOOKUP(A175,'Database BOJ'!$A$1:$C$1058,3,FALSE),#N/A)</f>
        <v/>
      </c>
    </row>
    <row r="176">
      <c r="A176" s="40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5">
        <f>IFERROR(VLOOKUP(A176,'Database BOJ'!$A$1:$C$1058,2,FALSE)/VLOOKUP(A176,'Database BOJ'!$A$1:$C$1058,3,FALSE),#N/A)</f>
        <v/>
      </c>
    </row>
    <row r="177">
      <c r="A177" s="40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5">
        <f>IFERROR(VLOOKUP(A177,'Database BOJ'!$A$1:$C$1058,2,FALSE)/VLOOKUP(A177,'Database BOJ'!$A$1:$C$1058,3,FALSE),#N/A)</f>
        <v/>
      </c>
    </row>
    <row r="178">
      <c r="A178" s="40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5">
        <f>IFERROR(VLOOKUP(A178,'Database BOJ'!$A$1:$C$1058,2,FALSE)/VLOOKUP(A178,'Database BOJ'!$A$1:$C$1058,3,FALSE),#N/A)</f>
        <v/>
      </c>
    </row>
    <row r="179">
      <c r="A179" s="40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5">
        <f>IFERROR(VLOOKUP(A179,'Database BOJ'!$A$1:$C$1058,2,FALSE)/VLOOKUP(A179,'Database BOJ'!$A$1:$C$1058,3,FALSE),#N/A)</f>
        <v/>
      </c>
    </row>
    <row r="180">
      <c r="A180" s="40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5">
        <f>IFERROR(VLOOKUP(A180,'Database BOJ'!$A$1:$C$1058,2,FALSE)/VLOOKUP(A180,'Database BOJ'!$A$1:$C$1058,3,FALSE),#N/A)</f>
        <v/>
      </c>
    </row>
    <row r="181">
      <c r="A181" s="40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5">
        <f>IFERROR(VLOOKUP(A181,'Database BOJ'!$A$1:$C$1058,2,FALSE)/VLOOKUP(A181,'Database BOJ'!$A$1:$C$1058,3,FALSE),#N/A)</f>
        <v/>
      </c>
    </row>
    <row r="182">
      <c r="A182" s="40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5">
        <f>IFERROR(VLOOKUP(A182,'Database BOJ'!$A$1:$C$1058,2,FALSE)/VLOOKUP(A182,'Database BOJ'!$A$1:$C$1058,3,FALSE),#N/A)</f>
        <v/>
      </c>
    </row>
    <row r="183">
      <c r="A183" s="40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5">
        <f>IFERROR(VLOOKUP(A183,'Database BOJ'!$A$1:$C$1058,2,FALSE)/VLOOKUP(A183,'Database BOJ'!$A$1:$C$1058,3,FALSE),#N/A)</f>
        <v/>
      </c>
    </row>
    <row r="184">
      <c r="A184" s="40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5">
        <f>IFERROR(VLOOKUP(A184,'Database BOJ'!$A$1:$C$1058,2,FALSE)/VLOOKUP(A184,'Database BOJ'!$A$1:$C$1058,3,FALSE),#N/A)</f>
        <v/>
      </c>
    </row>
    <row r="185">
      <c r="A185" s="40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5">
        <f>IFERROR(VLOOKUP(A185,'Database BOJ'!$A$1:$C$1058,2,FALSE)/VLOOKUP(A185,'Database BOJ'!$A$1:$C$1058,3,FALSE),#N/A)</f>
        <v/>
      </c>
    </row>
    <row r="186">
      <c r="A186" s="40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5">
        <f>IFERROR(VLOOKUP(A186,'Database BOJ'!$A$1:$C$1058,2,FALSE)/VLOOKUP(A186,'Database BOJ'!$A$1:$C$1058,3,FALSE),#N/A)</f>
        <v/>
      </c>
    </row>
    <row r="187">
      <c r="A187" s="40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5">
        <f>IFERROR(VLOOKUP(A187,'Database BOJ'!$A$1:$C$1058,2,FALSE)/VLOOKUP(A187,'Database BOJ'!$A$1:$C$1058,3,FALSE),#N/A)</f>
        <v/>
      </c>
    </row>
    <row r="188">
      <c r="A188" s="40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5">
        <f>IFERROR(VLOOKUP(A188,'Database BOJ'!$A$1:$C$1058,2,FALSE)/VLOOKUP(A188,'Database BOJ'!$A$1:$C$1058,3,FALSE),#N/A)</f>
        <v/>
      </c>
    </row>
    <row r="189">
      <c r="A189" s="40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5">
        <f>IFERROR(VLOOKUP(A189,'Database BOJ'!$A$1:$C$1058,2,FALSE)/VLOOKUP(A189,'Database BOJ'!$A$1:$C$1058,3,FALSE),#N/A)</f>
        <v/>
      </c>
    </row>
    <row r="190">
      <c r="A190" s="40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5">
        <f>IFERROR(VLOOKUP(A190,'Database BOJ'!$A$1:$C$1058,2,FALSE)/VLOOKUP(A190,'Database BOJ'!$A$1:$C$1058,3,FALSE),#N/A)</f>
        <v/>
      </c>
    </row>
    <row r="191">
      <c r="A191" s="40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5">
        <f>IFERROR(VLOOKUP(A191,'Database BOJ'!$A$1:$C$1058,2,FALSE)/VLOOKUP(A191,'Database BOJ'!$A$1:$C$1058,3,FALSE),#N/A)</f>
        <v/>
      </c>
    </row>
    <row r="192">
      <c r="A192" s="40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5">
        <f>IFERROR(VLOOKUP(A192,'Database BOJ'!$A$1:$C$1058,2,FALSE)/VLOOKUP(A192,'Database BOJ'!$A$1:$C$1058,3,FALSE),#N/A)</f>
        <v/>
      </c>
    </row>
    <row r="193">
      <c r="A193" s="40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5">
        <f>IFERROR(VLOOKUP(A193,'Database BOJ'!$A$1:$C$1058,2,FALSE)/VLOOKUP(A193,'Database BOJ'!$A$1:$C$1058,3,FALSE),#N/A)</f>
        <v/>
      </c>
    </row>
    <row r="194">
      <c r="A194" s="40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5">
        <f>IFERROR(VLOOKUP(A194,'Database BOJ'!$A$1:$C$1058,2,FALSE)/VLOOKUP(A194,'Database BOJ'!$A$1:$C$1058,3,FALSE),#N/A)</f>
        <v/>
      </c>
    </row>
    <row r="195">
      <c r="A195" s="40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5">
        <f>IFERROR(VLOOKUP(A195,'Database BOJ'!$A$1:$C$1058,2,FALSE)/VLOOKUP(A195,'Database BOJ'!$A$1:$C$1058,3,FALSE),#N/A)</f>
        <v/>
      </c>
    </row>
    <row r="196">
      <c r="A196" s="40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5">
        <f>IFERROR(VLOOKUP(A196,'Database BOJ'!$A$1:$C$1058,2,FALSE)/VLOOKUP(A196,'Database BOJ'!$A$1:$C$1058,3,FALSE),#N/A)</f>
        <v/>
      </c>
    </row>
    <row r="197">
      <c r="A197" s="40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5">
        <f>IFERROR(VLOOKUP(A197,'Database BOJ'!$A$1:$C$1058,2,FALSE)/VLOOKUP(A197,'Database BOJ'!$A$1:$C$1058,3,FALSE),#N/A)</f>
        <v/>
      </c>
    </row>
    <row r="198">
      <c r="A198" s="40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5">
        <f>IFERROR(VLOOKUP(A198,'Database BOJ'!$A$1:$C$1058,2,FALSE)/VLOOKUP(A198,'Database BOJ'!$A$1:$C$1058,3,FALSE),#N/A)</f>
        <v/>
      </c>
    </row>
    <row r="199">
      <c r="A199" s="40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5">
        <f>IFERROR(VLOOKUP(A199,'Database BOJ'!$A$1:$C$1058,2,FALSE)/VLOOKUP(A199,'Database BOJ'!$A$1:$C$1058,3,FALSE),#N/A)</f>
        <v/>
      </c>
    </row>
    <row r="200">
      <c r="A200" s="40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5">
        <f>IFERROR(VLOOKUP(A200,'Database BOJ'!$A$1:$C$1058,2,FALSE)/VLOOKUP(A200,'Database BOJ'!$A$1:$C$1058,3,FALSE),#N/A)</f>
        <v/>
      </c>
    </row>
    <row r="201">
      <c r="A201" s="40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5">
        <f>IFERROR(VLOOKUP(A201,'Database BOJ'!$A$1:$C$1058,2,FALSE)/VLOOKUP(A201,'Database BOJ'!$A$1:$C$1058,3,FALSE),#N/A)</f>
        <v/>
      </c>
    </row>
    <row r="202">
      <c r="A202" s="40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5">
        <f>IFERROR(VLOOKUP(A202,'Database BOJ'!$A$1:$C$1058,2,FALSE)/VLOOKUP(A202,'Database BOJ'!$A$1:$C$1058,3,FALSE),#N/A)</f>
        <v/>
      </c>
    </row>
    <row r="203">
      <c r="A203" s="40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5">
        <f>IFERROR(VLOOKUP(A203,'Database BOJ'!$A$1:$C$1058,2,FALSE)/VLOOKUP(A203,'Database BOJ'!$A$1:$C$1058,3,FALSE),#N/A)</f>
        <v/>
      </c>
    </row>
    <row r="204">
      <c r="A204" s="40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5">
        <f>IFERROR(VLOOKUP(A204,'Database BOJ'!$A$1:$C$1058,2,FALSE)/VLOOKUP(A204,'Database BOJ'!$A$1:$C$1058,3,FALSE),#N/A)</f>
        <v/>
      </c>
    </row>
    <row r="205">
      <c r="A205" s="40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5">
        <f>IFERROR(VLOOKUP(A205,'Database BOJ'!$A$1:$C$1058,2,FALSE)/VLOOKUP(A205,'Database BOJ'!$A$1:$C$1058,3,FALSE),#N/A)</f>
        <v/>
      </c>
    </row>
    <row r="206">
      <c r="A206" s="40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5">
        <f>IFERROR(VLOOKUP(A206,'Database BOJ'!$A$1:$C$1058,2,FALSE)/VLOOKUP(A206,'Database BOJ'!$A$1:$C$1058,3,FALSE),#N/A)</f>
        <v/>
      </c>
    </row>
    <row r="207">
      <c r="A207" s="40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5">
        <f>IFERROR(VLOOKUP(A207,'Database BOJ'!$A$1:$C$1058,2,FALSE)/VLOOKUP(A207,'Database BOJ'!$A$1:$C$1058,3,FALSE),#N/A)</f>
        <v/>
      </c>
    </row>
    <row r="208">
      <c r="A208" s="40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5">
        <f>IFERROR(VLOOKUP(A208,'Database BOJ'!$A$1:$C$1058,2,FALSE)/VLOOKUP(A208,'Database BOJ'!$A$1:$C$1058,3,FALSE),#N/A)</f>
        <v/>
      </c>
    </row>
    <row r="209">
      <c r="A209" s="40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5">
        <f>IFERROR(VLOOKUP(A209,'Database BOJ'!$A$1:$C$1058,2,FALSE)/VLOOKUP(A209,'Database BOJ'!$A$1:$C$1058,3,FALSE),#N/A)</f>
        <v/>
      </c>
    </row>
    <row r="210">
      <c r="A210" s="40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5">
        <f>IFERROR(VLOOKUP(A210,'Database BOJ'!$A$1:$C$1058,2,FALSE)/VLOOKUP(A210,'Database BOJ'!$A$1:$C$1058,3,FALSE),#N/A)</f>
        <v/>
      </c>
    </row>
    <row r="211">
      <c r="A211" s="40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5">
        <f>IFERROR(VLOOKUP(A211,'Database BOJ'!$A$1:$C$1058,2,FALSE)/VLOOKUP(A211,'Database BOJ'!$A$1:$C$1058,3,FALSE),#N/A)</f>
        <v/>
      </c>
    </row>
    <row r="212">
      <c r="A212" s="40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5">
        <f>IFERROR(VLOOKUP(A212,'Database BOJ'!$A$1:$C$1058,2,FALSE)/VLOOKUP(A212,'Database BOJ'!$A$1:$C$1058,3,FALSE),#N/A)</f>
        <v/>
      </c>
    </row>
    <row r="213">
      <c r="A213" s="40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5">
        <f>IFERROR(VLOOKUP(A213,'Database BOJ'!$A$1:$C$1058,2,FALSE)/VLOOKUP(A213,'Database BOJ'!$A$1:$C$1058,3,FALSE),#N/A)</f>
        <v/>
      </c>
    </row>
    <row r="214">
      <c r="A214" s="40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5">
        <f>IFERROR(VLOOKUP(A214,'Database BOJ'!$A$1:$C$1058,2,FALSE)/VLOOKUP(A214,'Database BOJ'!$A$1:$C$1058,3,FALSE),#N/A)</f>
        <v/>
      </c>
    </row>
    <row r="215">
      <c r="A215" s="40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5">
        <f>IFERROR(VLOOKUP(A215,'Database BOJ'!$A$1:$C$1058,2,FALSE)/VLOOKUP(A215,'Database BOJ'!$A$1:$C$1058,3,FALSE),#N/A)</f>
        <v/>
      </c>
    </row>
    <row r="216">
      <c r="A216" s="40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5">
        <f>IFERROR(VLOOKUP(A216,'Database BOJ'!$A$1:$C$1058,2,FALSE)/VLOOKUP(A216,'Database BOJ'!$A$1:$C$1058,3,FALSE),#N/A)</f>
        <v/>
      </c>
    </row>
    <row r="217">
      <c r="A217" s="40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5">
        <f>IFERROR(VLOOKUP(A217,'Database BOJ'!$A$1:$C$1058,2,FALSE)/VLOOKUP(A217,'Database BOJ'!$A$1:$C$1058,3,FALSE),#N/A)</f>
        <v/>
      </c>
    </row>
    <row r="218">
      <c r="A218" s="40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5">
        <f>IFERROR(VLOOKUP(A218,'Database BOJ'!$A$1:$C$1058,2,FALSE)/VLOOKUP(A218,'Database BOJ'!$A$1:$C$1058,3,FALSE),#N/A)</f>
        <v/>
      </c>
    </row>
    <row r="219">
      <c r="A219" s="40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5">
        <f>IFERROR(VLOOKUP(A219,'Database BOJ'!$A$1:$C$1058,2,FALSE)/VLOOKUP(A219,'Database BOJ'!$A$1:$C$1058,3,FALSE),#N/A)</f>
        <v/>
      </c>
    </row>
    <row r="220">
      <c r="A220" s="40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5">
        <f>IFERROR(VLOOKUP(A220,'Database BOJ'!$A$1:$C$1058,2,FALSE)/VLOOKUP(A220,'Database BOJ'!$A$1:$C$1058,3,FALSE),#N/A)</f>
        <v/>
      </c>
    </row>
    <row r="221">
      <c r="A221" s="40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5">
        <f>IFERROR(VLOOKUP(A221,'Database BOJ'!$A$1:$C$1058,2,FALSE)/VLOOKUP(A221,'Database BOJ'!$A$1:$C$1058,3,FALSE),#N/A)</f>
        <v/>
      </c>
    </row>
    <row r="222">
      <c r="A222" s="40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5">
        <f>IFERROR(VLOOKUP(A222,'Database BOJ'!$A$1:$C$1058,2,FALSE)/VLOOKUP(A222,'Database BOJ'!$A$1:$C$1058,3,FALSE),#N/A)</f>
        <v/>
      </c>
    </row>
    <row r="223">
      <c r="A223" s="40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5">
        <f>IFERROR(VLOOKUP(A223,'Database BOJ'!$A$1:$C$1058,2,FALSE)/VLOOKUP(A223,'Database BOJ'!$A$1:$C$1058,3,FALSE),#N/A)</f>
        <v/>
      </c>
    </row>
    <row r="224">
      <c r="A224" s="40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5">
        <f>IFERROR(VLOOKUP(A224,'Database BOJ'!$A$1:$C$1058,2,FALSE)/VLOOKUP(A224,'Database BOJ'!$A$1:$C$1058,3,FALSE),#N/A)</f>
        <v/>
      </c>
    </row>
    <row r="225">
      <c r="A225" s="40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5">
        <f>IFERROR(VLOOKUP(A225,'Database BOJ'!$A$1:$C$1058,2,FALSE)/VLOOKUP(A225,'Database BOJ'!$A$1:$C$1058,3,FALSE),#N/A)</f>
        <v/>
      </c>
    </row>
    <row r="226">
      <c r="A226" s="40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5">
        <f>IFERROR(VLOOKUP(A226,'Database BOJ'!$A$1:$C$1058,2,FALSE)/VLOOKUP(A226,'Database BOJ'!$A$1:$C$1058,3,FALSE),#N/A)</f>
        <v/>
      </c>
    </row>
    <row r="227">
      <c r="A227" s="40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5">
        <f>IFERROR(VLOOKUP(A227,'Database BOJ'!$A$1:$C$1058,2,FALSE)/VLOOKUP(A227,'Database BOJ'!$A$1:$C$1058,3,FALSE),#N/A)</f>
        <v/>
      </c>
    </row>
    <row r="228">
      <c r="A228" s="40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5">
        <f>IFERROR(VLOOKUP(A228,'Database BOJ'!$A$1:$C$1058,2,FALSE)/VLOOKUP(A228,'Database BOJ'!$A$1:$C$1058,3,FALSE),#N/A)</f>
        <v/>
      </c>
    </row>
    <row r="229">
      <c r="A229" s="40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5">
        <f>IFERROR(VLOOKUP(A229,'Database BOJ'!$A$1:$C$1058,2,FALSE)/VLOOKUP(A229,'Database BOJ'!$A$1:$C$1058,3,FALSE),#N/A)</f>
        <v/>
      </c>
    </row>
    <row r="230">
      <c r="A230" s="40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5">
        <f>IFERROR(VLOOKUP(A230,'Database BOJ'!$A$1:$C$1058,2,FALSE)/VLOOKUP(A230,'Database BOJ'!$A$1:$C$1058,3,FALSE),#N/A)</f>
        <v/>
      </c>
    </row>
    <row r="231">
      <c r="A231" s="40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5">
        <f>IFERROR(VLOOKUP(A231,'Database BOJ'!$A$1:$C$1058,2,FALSE)/VLOOKUP(A231,'Database BOJ'!$A$1:$C$1058,3,FALSE),#N/A)</f>
        <v/>
      </c>
    </row>
    <row r="232">
      <c r="A232" s="40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5">
        <f>IFERROR(VLOOKUP(A232,'Database BOJ'!$A$1:$C$1058,2,FALSE)/VLOOKUP(A232,'Database BOJ'!$A$1:$C$1058,3,FALSE),#N/A)</f>
        <v/>
      </c>
    </row>
    <row r="233">
      <c r="A233" s="40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5">
        <f>IFERROR(VLOOKUP(A233,'Database BOJ'!$A$1:$C$1058,2,FALSE)/VLOOKUP(A233,'Database BOJ'!$A$1:$C$1058,3,FALSE),#N/A)</f>
        <v/>
      </c>
    </row>
    <row r="234">
      <c r="A234" s="40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5">
        <f>IFERROR(VLOOKUP(A234,'Database BOJ'!$A$1:$C$1058,2,FALSE)/VLOOKUP(A234,'Database BOJ'!$A$1:$C$1058,3,FALSE),#N/A)</f>
        <v/>
      </c>
    </row>
    <row r="235">
      <c r="A235" s="40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5">
        <f>IFERROR(VLOOKUP(A235,'Database BOJ'!$A$1:$C$1058,2,FALSE)/VLOOKUP(A235,'Database BOJ'!$A$1:$C$1058,3,FALSE),#N/A)</f>
        <v/>
      </c>
    </row>
    <row r="236">
      <c r="A236" s="40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5">
        <f>IFERROR(VLOOKUP(A236,'Database BOJ'!$A$1:$C$1058,2,FALSE)/VLOOKUP(A236,'Database BOJ'!$A$1:$C$1058,3,FALSE),#N/A)</f>
        <v/>
      </c>
    </row>
    <row r="237">
      <c r="A237" s="40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5">
        <f>IFERROR(VLOOKUP(A237,'Database BOJ'!$A$1:$C$1058,2,FALSE)/VLOOKUP(A237,'Database BOJ'!$A$1:$C$1058,3,FALSE),#N/A)</f>
        <v/>
      </c>
    </row>
    <row r="238">
      <c r="A238" s="40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5">
        <f>IFERROR(VLOOKUP(A238,'Database BOJ'!$A$1:$C$1058,2,FALSE)/VLOOKUP(A238,'Database BOJ'!$A$1:$C$1058,3,FALSE),#N/A)</f>
        <v/>
      </c>
    </row>
    <row r="239">
      <c r="A239" s="40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5">
        <f>IFERROR(VLOOKUP(A239,'Database BOJ'!$A$1:$C$1058,2,FALSE)/VLOOKUP(A239,'Database BOJ'!$A$1:$C$1058,3,FALSE),#N/A)</f>
        <v/>
      </c>
    </row>
    <row r="240">
      <c r="A240" s="40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5">
        <f>IFERROR(VLOOKUP(A240,'Database BOJ'!$A$1:$C$1058,2,FALSE)/VLOOKUP(A240,'Database BOJ'!$A$1:$C$1058,3,FALSE),#N/A)</f>
        <v/>
      </c>
    </row>
    <row r="241">
      <c r="A241" s="40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5">
        <f>IFERROR(VLOOKUP(A241,'Database BOJ'!$A$1:$C$1058,2,FALSE)/VLOOKUP(A241,'Database BOJ'!$A$1:$C$1058,3,FALSE),#N/A)</f>
        <v/>
      </c>
    </row>
    <row r="242">
      <c r="A242" s="40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5">
        <f>IFERROR(VLOOKUP(A242,'Database BOJ'!$A$1:$C$1058,2,FALSE)/VLOOKUP(A242,'Database BOJ'!$A$1:$C$1058,3,FALSE),#N/A)</f>
        <v/>
      </c>
    </row>
    <row r="243">
      <c r="A243" s="40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5">
        <f>IFERROR(VLOOKUP(A243,'Database BOJ'!$A$1:$C$1058,2,FALSE)/VLOOKUP(A243,'Database BOJ'!$A$1:$C$1058,3,FALSE),#N/A)</f>
        <v/>
      </c>
    </row>
    <row r="244">
      <c r="A244" s="40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5">
        <f>IFERROR(VLOOKUP(A244,'Database BOJ'!$A$1:$C$1058,2,FALSE)/VLOOKUP(A244,'Database BOJ'!$A$1:$C$1058,3,FALSE),#N/A)</f>
        <v/>
      </c>
    </row>
    <row r="245">
      <c r="A245" s="40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5">
        <f>IFERROR(VLOOKUP(A245,'Database BOJ'!$A$1:$C$1058,2,FALSE)/VLOOKUP(A245,'Database BOJ'!$A$1:$C$1058,3,FALSE),#N/A)</f>
        <v/>
      </c>
    </row>
    <row r="246">
      <c r="A246" s="40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5">
        <f>IFERROR(VLOOKUP(A246,'Database BOJ'!$A$1:$C$1058,2,FALSE)/VLOOKUP(A246,'Database BOJ'!$A$1:$C$1058,3,FALSE),#N/A)</f>
        <v/>
      </c>
    </row>
    <row r="247">
      <c r="A247" s="40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5">
        <f>IFERROR(VLOOKUP(A247,'Database BOJ'!$A$1:$C$1058,2,FALSE)/VLOOKUP(A247,'Database BOJ'!$A$1:$C$1058,3,FALSE),#N/A)</f>
        <v/>
      </c>
    </row>
    <row r="248">
      <c r="A248" s="40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5">
        <f>IFERROR(VLOOKUP(A248,'Database BOJ'!$A$1:$C$1058,2,FALSE)/VLOOKUP(A248,'Database BOJ'!$A$1:$C$1058,3,FALSE),#N/A)</f>
        <v/>
      </c>
    </row>
    <row r="249">
      <c r="A249" s="40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5">
        <f>IFERROR(VLOOKUP(A249,'Database BOJ'!$A$1:$C$1058,2,FALSE)/VLOOKUP(A249,'Database BOJ'!$A$1:$C$1058,3,FALSE),#N/A)</f>
        <v/>
      </c>
    </row>
    <row r="250">
      <c r="A250" s="40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5">
        <f>IFERROR(VLOOKUP(A250,'Database BOJ'!$A$1:$C$1058,2,FALSE)/VLOOKUP(A250,'Database BOJ'!$A$1:$C$1058,3,FALSE),#N/A)</f>
        <v/>
      </c>
    </row>
    <row r="251">
      <c r="A251" s="40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5">
        <f>IFERROR(VLOOKUP(A251,'Database BOJ'!$A$1:$C$1058,2,FALSE)/VLOOKUP(A251,'Database BOJ'!$A$1:$C$1058,3,FALSE),#N/A)</f>
        <v/>
      </c>
    </row>
    <row r="252">
      <c r="A252" s="40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5">
        <f>IFERROR(VLOOKUP(A252,'Database BOJ'!$A$1:$C$1058,2,FALSE)/VLOOKUP(A252,'Database BOJ'!$A$1:$C$1058,3,FALSE),#N/A)</f>
        <v/>
      </c>
    </row>
    <row r="253">
      <c r="A253" s="40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5">
        <f>IFERROR(VLOOKUP(A253,'Database BOJ'!$A$1:$C$1058,2,FALSE)/VLOOKUP(A253,'Database BOJ'!$A$1:$C$1058,3,FALSE),#N/A)</f>
        <v/>
      </c>
    </row>
    <row r="254">
      <c r="A254" s="40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5">
        <f>IFERROR(VLOOKUP(A254,'Database BOJ'!$A$1:$C$1058,2,FALSE)/VLOOKUP(A254,'Database BOJ'!$A$1:$C$1058,3,FALSE),#N/A)</f>
        <v/>
      </c>
    </row>
    <row r="255">
      <c r="A255" s="40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5">
        <f>IFERROR(VLOOKUP(A255,'Database BOJ'!$A$1:$C$1058,2,FALSE)/VLOOKUP(A255,'Database BOJ'!$A$1:$C$1058,3,FALSE),#N/A)</f>
        <v/>
      </c>
    </row>
    <row r="256">
      <c r="A256" s="40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5">
        <f>IFERROR(VLOOKUP(A256,'Database BOJ'!$A$1:$C$1058,2,FALSE)/VLOOKUP(A256,'Database BOJ'!$A$1:$C$1058,3,FALSE),#N/A)</f>
        <v/>
      </c>
    </row>
    <row r="257">
      <c r="A257" s="40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5">
        <f>IFERROR(VLOOKUP(A257,'Database BOJ'!$A$1:$C$1058,2,FALSE)/VLOOKUP(A257,'Database BOJ'!$A$1:$C$1058,3,FALSE),#N/A)</f>
        <v/>
      </c>
    </row>
    <row r="258">
      <c r="A258" s="40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5">
        <f>IFERROR(VLOOKUP(A258,'Database BOJ'!$A$1:$C$1058,2,FALSE)/VLOOKUP(A258,'Database BOJ'!$A$1:$C$1058,3,FALSE),#N/A)</f>
        <v/>
      </c>
    </row>
    <row r="259">
      <c r="A259" s="40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5">
        <f>IFERROR(VLOOKUP(A259,'Database BOJ'!$A$1:$C$1058,2,FALSE)/VLOOKUP(A259,'Database BOJ'!$A$1:$C$1058,3,FALSE),#N/A)</f>
        <v/>
      </c>
    </row>
    <row r="260">
      <c r="A260" s="40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5">
        <f>IFERROR(VLOOKUP(A260,'Database BOJ'!$A$1:$C$1058,2,FALSE)/VLOOKUP(A260,'Database BOJ'!$A$1:$C$1058,3,FALSE),#N/A)</f>
        <v/>
      </c>
    </row>
    <row r="261">
      <c r="A261" s="40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5">
        <f>IFERROR(VLOOKUP(A261,'Database BOJ'!$A$1:$C$1058,2,FALSE)/VLOOKUP(A261,'Database BOJ'!$A$1:$C$1058,3,FALSE),#N/A)</f>
        <v/>
      </c>
    </row>
    <row r="262">
      <c r="A262" s="40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5">
        <f>IFERROR(VLOOKUP(A262,'Database BOJ'!$A$1:$C$1058,2,FALSE)/VLOOKUP(A262,'Database BOJ'!$A$1:$C$1058,3,FALSE),#N/A)</f>
        <v/>
      </c>
    </row>
    <row r="263">
      <c r="A263" s="40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5">
        <f>IFERROR(VLOOKUP(A263,'Database BOJ'!$A$1:$C$1058,2,FALSE)/VLOOKUP(A263,'Database BOJ'!$A$1:$C$1058,3,FALSE),#N/A)</f>
        <v/>
      </c>
    </row>
    <row r="264">
      <c r="A264" s="40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5">
        <f>IFERROR(VLOOKUP(A264,'Database BOJ'!$A$1:$C$1058,2,FALSE)/VLOOKUP(A264,'Database BOJ'!$A$1:$C$1058,3,FALSE),#N/A)</f>
        <v/>
      </c>
    </row>
    <row r="265">
      <c r="A265" s="40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5">
        <f>IFERROR(VLOOKUP(A265,'Database BOJ'!$A$1:$C$1058,2,FALSE)/VLOOKUP(A265,'Database BOJ'!$A$1:$C$1058,3,FALSE),#N/A)</f>
        <v/>
      </c>
    </row>
    <row r="266">
      <c r="A266" s="40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5">
        <f>IFERROR(VLOOKUP(A266,'Database BOJ'!$A$1:$C$1058,2,FALSE)/VLOOKUP(A266,'Database BOJ'!$A$1:$C$1058,3,FALSE),#N/A)</f>
        <v/>
      </c>
    </row>
    <row r="267">
      <c r="A267" s="40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5">
        <f>IFERROR(VLOOKUP(A267,'Database BOJ'!$A$1:$C$1058,2,FALSE)/VLOOKUP(A267,'Database BOJ'!$A$1:$C$1058,3,FALSE),#N/A)</f>
        <v/>
      </c>
    </row>
    <row r="268">
      <c r="A268" s="41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5">
        <f>IFERROR(VLOOKUP(A268,'Database BOJ'!$A$1:$C$1058,2,FALSE)/VLOOKUP(A268,'Database BOJ'!$A$1:$C$1058,3,FALSE),#N/A)</f>
        <v/>
      </c>
    </row>
    <row r="269">
      <c r="A269" s="40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5">
        <f>IFERROR(VLOOKUP(A269,'Database BOJ'!$A$1:$C$1058,2,FALSE)/VLOOKUP(A269,'Database BOJ'!$A$1:$C$1058,3,FALSE),#N/A)</f>
        <v/>
      </c>
    </row>
    <row r="270">
      <c r="A270" s="41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5">
        <f>IFERROR(VLOOKUP(A270,'Database BOJ'!$A$1:$C$1058,2,FALSE)/VLOOKUP(A270,'Database BOJ'!$A$1:$C$1058,3,FALSE),#N/A)</f>
        <v/>
      </c>
    </row>
    <row r="271">
      <c r="A271" s="40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5">
        <f>IFERROR(VLOOKUP(A271,'Database BOJ'!$A$1:$C$1058,2,FALSE)/VLOOKUP(A271,'Database BOJ'!$A$1:$C$1058,3,FALSE),#N/A)</f>
        <v/>
      </c>
    </row>
    <row r="272">
      <c r="A272" s="41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5">
        <f>IFERROR(VLOOKUP(A272,'Database BOJ'!$A$1:$C$1058,2,FALSE)/VLOOKUP(A272,'Database BOJ'!$A$1:$C$1058,3,FALSE),#N/A)</f>
        <v/>
      </c>
    </row>
    <row r="273">
      <c r="A273" s="40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5">
        <f>IFERROR(VLOOKUP(A273,'Database BOJ'!$A$1:$C$1058,2,FALSE)/VLOOKUP(A273,'Database BOJ'!$A$1:$C$1058,3,FALSE),#N/A)</f>
        <v/>
      </c>
    </row>
    <row r="274">
      <c r="A274" s="41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5">
        <f>IFERROR(VLOOKUP(A274,'Database BOJ'!$A$1:$C$1058,2,FALSE)/VLOOKUP(A274,'Database BOJ'!$A$1:$C$1058,3,FALSE),#N/A)</f>
        <v/>
      </c>
    </row>
    <row r="275">
      <c r="A275" s="40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5">
        <f>IFERROR(VLOOKUP(A275,'Database BOJ'!$A$1:$C$1058,2,FALSE)/VLOOKUP(A275,'Database BOJ'!$A$1:$C$1058,3,FALSE),#N/A)</f>
        <v/>
      </c>
    </row>
    <row r="276">
      <c r="A276" s="41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5">
        <f>IFERROR(VLOOKUP(A276,'Database BOJ'!$A$1:$C$1058,2,FALSE)/VLOOKUP(A276,'Database BOJ'!$A$1:$C$1058,3,FALSE),#N/A)</f>
        <v/>
      </c>
    </row>
    <row r="277">
      <c r="A277" s="40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5">
        <f>IFERROR(VLOOKUP(A277,'Database BOJ'!$A$1:$C$1058,2,FALSE)/VLOOKUP(A277,'Database BOJ'!$A$1:$C$1058,3,FALSE),#N/A)</f>
        <v/>
      </c>
    </row>
    <row r="278">
      <c r="A278" s="41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5">
        <f>IFERROR(VLOOKUP(A278,'Database BOJ'!$A$1:$C$1058,2,FALSE)/VLOOKUP(A278,'Database BOJ'!$A$1:$C$1058,3,FALSE),#N/A)</f>
        <v/>
      </c>
    </row>
    <row r="279">
      <c r="A279" s="40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5">
        <f>IFERROR(VLOOKUP(A279,'Database BOJ'!$A$1:$C$1058,2,FALSE)/VLOOKUP(A279,'Database BOJ'!$A$1:$C$1058,3,FALSE),#N/A)</f>
        <v/>
      </c>
    </row>
    <row r="280">
      <c r="A280" s="40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5">
        <f>IFERROR(VLOOKUP(A280,'Database BOJ'!$A$1:$C$1058,2,FALSE)/VLOOKUP(A280,'Database BOJ'!$A$1:$C$1058,3,FALSE),#N/A)</f>
        <v/>
      </c>
    </row>
    <row r="281">
      <c r="A281" s="41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5">
        <f>IFERROR(VLOOKUP(A281,'Database BOJ'!$A$1:$C$1058,2,FALSE)/VLOOKUP(A281,'Database BOJ'!$A$1:$C$1058,3,FALSE),#N/A)</f>
        <v/>
      </c>
    </row>
    <row r="282">
      <c r="A282" s="40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5">
        <f>IFERROR(VLOOKUP(A282,'Database BOJ'!$A$1:$C$1058,2,FALSE)/VLOOKUP(A282,'Database BOJ'!$A$1:$C$1058,3,FALSE),#N/A)</f>
        <v/>
      </c>
    </row>
    <row r="283">
      <c r="A283" s="41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5">
        <f>IFERROR(VLOOKUP(A283,'Database BOJ'!$A$1:$C$1058,2,FALSE)/VLOOKUP(A283,'Database BOJ'!$A$1:$C$1058,3,FALSE),#N/A)</f>
        <v/>
      </c>
    </row>
    <row r="284">
      <c r="A284" s="40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5">
        <f>IFERROR(VLOOKUP(A284,'Database BOJ'!$A$1:$C$1058,2,FALSE)/VLOOKUP(A284,'Database BOJ'!$A$1:$C$1058,3,FALSE),#N/A)</f>
        <v/>
      </c>
    </row>
    <row r="285">
      <c r="A285" s="41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5">
        <f>IFERROR(VLOOKUP(A285,'Database BOJ'!$A$1:$C$1058,2,FALSE)/VLOOKUP(A285,'Database BOJ'!$A$1:$C$1058,3,FALSE),#N/A)</f>
        <v/>
      </c>
    </row>
    <row r="286">
      <c r="A286" s="41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5">
        <f>IFERROR(VLOOKUP(A286,'Database BOJ'!$A$1:$C$1058,2,FALSE)/VLOOKUP(A286,'Database BOJ'!$A$1:$C$1058,3,FALSE),#N/A)</f>
        <v/>
      </c>
    </row>
    <row r="287">
      <c r="A287" s="41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5">
        <f>IFERROR(VLOOKUP(A287,'Database BOJ'!$A$1:$C$1058,2,FALSE)/VLOOKUP(A287,'Database BOJ'!$A$1:$C$1058,3,FALSE),#N/A)</f>
        <v/>
      </c>
    </row>
    <row r="288">
      <c r="A288" s="40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5">
        <f>IFERROR(VLOOKUP(A288,'Database BOJ'!$A$1:$C$1058,2,FALSE)/VLOOKUP(A288,'Database BOJ'!$A$1:$C$1058,3,FALSE),#N/A)</f>
        <v/>
      </c>
    </row>
    <row r="289">
      <c r="A289" s="40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5">
        <f>IFERROR(VLOOKUP(A289,'Database BOJ'!$A$1:$C$1058,2,FALSE)/VLOOKUP(A289,'Database BOJ'!$A$1:$C$1058,3,FALSE),#N/A)</f>
        <v/>
      </c>
    </row>
    <row r="290">
      <c r="A290" s="40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5">
        <f>IFERROR(VLOOKUP(A290,'Database BOJ'!$A$1:$C$1058,2,FALSE)/VLOOKUP(A290,'Database BOJ'!$A$1:$C$1058,3,FALSE),#N/A)</f>
        <v/>
      </c>
    </row>
    <row r="291">
      <c r="A291" s="40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5">
        <f>IFERROR(VLOOKUP(A291,'Database BOJ'!$A$1:$C$1058,2,FALSE)/VLOOKUP(A291,'Database BOJ'!$A$1:$C$1058,3,FALSE),#N/A)</f>
        <v/>
      </c>
    </row>
    <row r="292">
      <c r="A292" s="40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5">
        <f>IFERROR(VLOOKUP(A292,'Database BOJ'!$A$1:$C$1058,2,FALSE)/VLOOKUP(A292,'Database BOJ'!$A$1:$C$1058,3,FALSE),#N/A)</f>
        <v/>
      </c>
    </row>
    <row r="293">
      <c r="A293" s="40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5">
        <f>IFERROR(VLOOKUP(A293,'Database BOJ'!$A$1:$C$1058,2,FALSE)/VLOOKUP(A293,'Database BOJ'!$A$1:$C$1058,3,FALSE),#N/A)</f>
        <v/>
      </c>
    </row>
    <row r="294">
      <c r="A294" s="40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5">
        <f>IFERROR(VLOOKUP(A294,'Database BOJ'!$A$1:$C$1058,2,FALSE)/VLOOKUP(A294,'Database BOJ'!$A$1:$C$1058,3,FALSE),#N/A)</f>
        <v/>
      </c>
    </row>
    <row r="295">
      <c r="A295" s="41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5">
        <f>IFERROR(VLOOKUP(A295,'Database BOJ'!$A$1:$C$1058,2,FALSE)/VLOOKUP(A295,'Database BOJ'!$A$1:$C$1058,3,FALSE),#N/A)</f>
        <v/>
      </c>
    </row>
    <row r="296">
      <c r="A296" s="40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5">
        <f>IFERROR(VLOOKUP(A296,'Database BOJ'!$A$1:$C$1058,2,FALSE)/VLOOKUP(A296,'Database BOJ'!$A$1:$C$1058,3,FALSE),#N/A)</f>
        <v/>
      </c>
    </row>
    <row r="297">
      <c r="A297" s="41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5">
        <f>IFERROR(VLOOKUP(A297,'Database BOJ'!$A$1:$C$1058,2,FALSE)/VLOOKUP(A297,'Database BOJ'!$A$1:$C$1058,3,FALSE),#N/A)</f>
        <v/>
      </c>
    </row>
    <row r="298">
      <c r="A298" s="40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5">
        <f>IFERROR(VLOOKUP(A298,'Database BOJ'!$A$1:$C$1058,2,FALSE)/VLOOKUP(A298,'Database BOJ'!$A$1:$C$1058,3,FALSE),#N/A)</f>
        <v/>
      </c>
    </row>
    <row r="299">
      <c r="A299" s="40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5">
        <f>IFERROR(VLOOKUP(A299,'Database BOJ'!$A$1:$C$1058,2,FALSE)/VLOOKUP(A299,'Database BOJ'!$A$1:$C$1058,3,FALSE),#N/A)</f>
        <v/>
      </c>
    </row>
    <row r="300">
      <c r="A300" s="40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5">
        <f>IFERROR(VLOOKUP(A300,'Database BOJ'!$A$1:$C$1058,2,FALSE)/VLOOKUP(A300,'Database BOJ'!$A$1:$C$1058,3,FALSE),#N/A)</f>
        <v/>
      </c>
    </row>
    <row r="301">
      <c r="A301" s="41" t="n">
        <v>44866</v>
      </c>
      <c r="B301" s="18">
        <f>VLOOKUP(A301,'Database BOJ'!$A$1:$C$1058,2,FALSE)</f>
        <v/>
      </c>
      <c r="C301" s="29">
        <f>VLOOKUP(A301,'Database BOJ'!$A$1:$D$1058,4,FALSE)</f>
        <v/>
      </c>
      <c r="D301" s="45">
        <f>IFERROR(VLOOKUP(A301,'Database BOJ'!$A$1:$C$1058,2,FALSE)/VLOOKUP(A301,'Database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8"/>
  <sheetViews>
    <sheetView zoomScale="110" zoomScaleNormal="110" workbookViewId="0">
      <pane ySplit="6" topLeftCell="A374" activePane="bottomLeft" state="frozen"/>
      <selection activeCell="D400" sqref="D400"/>
      <selection pane="bottomLeft" activeCell="K376" sqref="K376"/>
    </sheetView>
  </sheetViews>
  <sheetFormatPr baseColWidth="8" defaultColWidth="9.1796875" defaultRowHeight="14.5"/>
  <cols>
    <col width="20.1796875" customWidth="1" style="55" min="1" max="1"/>
    <col width="22.81640625" customWidth="1" style="55" min="2" max="2"/>
    <col width="9.1796875" customWidth="1" style="55" min="3" max="36"/>
    <col width="9.1796875" customWidth="1" style="55" min="37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6" t="n">
        <v>36130</v>
      </c>
      <c r="B7" s="14" t="n">
        <v>697160</v>
      </c>
    </row>
    <row r="8">
      <c r="A8" s="46" t="n">
        <v>36161</v>
      </c>
      <c r="B8" s="14">
        <f>VLOOKUP(A8,'Database ECB'!$A$1:$B$2000,2,FALSE)</f>
        <v/>
      </c>
    </row>
    <row r="9">
      <c r="A9" s="46" t="n">
        <v>36192</v>
      </c>
      <c r="B9" s="14" t="n">
        <v>692641</v>
      </c>
    </row>
    <row r="10">
      <c r="A10" s="46" t="n">
        <v>36220</v>
      </c>
      <c r="B10" s="14" t="n">
        <v>699396</v>
      </c>
    </row>
    <row r="11">
      <c r="A11" s="46" t="n">
        <v>36251</v>
      </c>
      <c r="B11" s="14" t="n">
        <v>698296</v>
      </c>
    </row>
    <row r="12">
      <c r="A12" s="46" t="n">
        <v>36281</v>
      </c>
      <c r="B12" s="14" t="n">
        <v>705060</v>
      </c>
    </row>
    <row r="13">
      <c r="A13" s="46" t="n">
        <v>36312</v>
      </c>
      <c r="B13" s="14" t="n">
        <v>695644</v>
      </c>
    </row>
    <row r="14">
      <c r="A14" s="46" t="n">
        <v>36342</v>
      </c>
      <c r="B14" s="14" t="n">
        <v>739725</v>
      </c>
    </row>
    <row r="15">
      <c r="A15" s="46" t="n">
        <v>36373</v>
      </c>
      <c r="B15" s="14" t="n">
        <v>733966</v>
      </c>
    </row>
    <row r="16">
      <c r="A16" s="46" t="n">
        <v>36404</v>
      </c>
      <c r="B16" s="14" t="n">
        <v>728600</v>
      </c>
    </row>
    <row r="17">
      <c r="A17" s="46" t="n">
        <v>36434</v>
      </c>
      <c r="B17" s="14" t="n">
        <v>742624</v>
      </c>
    </row>
    <row r="18">
      <c r="A18" s="46" t="n">
        <v>36465</v>
      </c>
      <c r="B18" s="14" t="n">
        <v>743495</v>
      </c>
    </row>
    <row r="19">
      <c r="A19" s="46" t="n">
        <v>36495</v>
      </c>
      <c r="B19" s="14" t="n">
        <v>806304</v>
      </c>
    </row>
    <row r="20">
      <c r="A20" s="46" t="n">
        <v>36526</v>
      </c>
      <c r="B20" s="14" t="n">
        <v>772749</v>
      </c>
    </row>
    <row r="21">
      <c r="A21" s="46" t="n">
        <v>36557</v>
      </c>
      <c r="B21" s="14" t="n">
        <v>752207</v>
      </c>
    </row>
    <row r="22">
      <c r="A22" s="46" t="n">
        <v>36586</v>
      </c>
      <c r="B22" s="14" t="n">
        <v>774421</v>
      </c>
    </row>
    <row r="23">
      <c r="A23" s="46" t="n">
        <v>36617</v>
      </c>
      <c r="B23" s="14" t="n">
        <v>782962</v>
      </c>
    </row>
    <row r="24">
      <c r="A24" s="46" t="n">
        <v>36647</v>
      </c>
      <c r="B24" s="14" t="n">
        <v>779222</v>
      </c>
    </row>
    <row r="25">
      <c r="A25" s="46" t="n">
        <v>36678</v>
      </c>
      <c r="B25" s="14" t="n">
        <v>812468</v>
      </c>
    </row>
    <row r="26">
      <c r="A26" s="46" t="n">
        <v>36708</v>
      </c>
      <c r="B26" s="14" t="n">
        <v>800725</v>
      </c>
    </row>
    <row r="27">
      <c r="A27" s="46" t="n">
        <v>36739</v>
      </c>
      <c r="B27" s="14" t="n">
        <v>796968</v>
      </c>
    </row>
    <row r="28">
      <c r="A28" s="46" t="n">
        <v>36770</v>
      </c>
      <c r="B28" s="14" t="n">
        <v>826310</v>
      </c>
    </row>
    <row r="29">
      <c r="A29" s="46" t="n">
        <v>36800</v>
      </c>
      <c r="B29" s="14" t="n">
        <v>822086</v>
      </c>
    </row>
    <row r="30">
      <c r="A30" s="46" t="n">
        <v>36831</v>
      </c>
      <c r="B30" s="14" t="n">
        <v>833103</v>
      </c>
    </row>
    <row r="31">
      <c r="A31" s="46" t="n">
        <v>36861</v>
      </c>
      <c r="B31" s="14" t="n">
        <v>836078</v>
      </c>
    </row>
    <row r="32">
      <c r="A32" s="46" t="n">
        <v>36892</v>
      </c>
      <c r="B32" s="14" t="n">
        <v>853462</v>
      </c>
    </row>
    <row r="33">
      <c r="A33" s="46" t="n">
        <v>36923</v>
      </c>
      <c r="B33" s="14" t="n">
        <v>871589</v>
      </c>
    </row>
    <row r="34">
      <c r="A34" s="46" t="n">
        <v>36951</v>
      </c>
      <c r="B34" s="14" t="n">
        <v>847959</v>
      </c>
    </row>
    <row r="35">
      <c r="A35" s="46" t="n">
        <v>36982</v>
      </c>
      <c r="B35" s="14" t="n">
        <v>839272</v>
      </c>
    </row>
    <row r="36">
      <c r="A36" s="46" t="n">
        <v>37012</v>
      </c>
      <c r="B36" s="14" t="n">
        <v>825427</v>
      </c>
    </row>
    <row r="37">
      <c r="A37" s="46" t="n">
        <v>37043</v>
      </c>
      <c r="B37" s="14" t="n">
        <v>862767</v>
      </c>
    </row>
    <row r="38">
      <c r="A38" s="46" t="n">
        <v>37073</v>
      </c>
      <c r="B38" s="14" t="n">
        <v>862061</v>
      </c>
    </row>
    <row r="39">
      <c r="A39" s="46" t="n">
        <v>37104</v>
      </c>
      <c r="B39" s="14" t="n">
        <v>833389</v>
      </c>
    </row>
    <row r="40">
      <c r="A40" s="46" t="n">
        <v>37135</v>
      </c>
      <c r="B40" s="14" t="n">
        <v>817364</v>
      </c>
    </row>
    <row r="41">
      <c r="A41" s="46" t="n">
        <v>37165</v>
      </c>
      <c r="B41" s="14" t="n">
        <v>809996</v>
      </c>
    </row>
    <row r="42">
      <c r="A42" s="46" t="n">
        <v>37196</v>
      </c>
      <c r="B42" s="14" t="n">
        <v>810690</v>
      </c>
    </row>
    <row r="43">
      <c r="A43" s="46" t="n">
        <v>37226</v>
      </c>
      <c r="B43" s="14" t="n">
        <v>813762</v>
      </c>
    </row>
    <row r="44">
      <c r="A44" s="46" t="n">
        <v>37257</v>
      </c>
      <c r="B44" s="14" t="n">
        <v>839687</v>
      </c>
    </row>
    <row r="45">
      <c r="A45" s="46" t="n">
        <v>37288</v>
      </c>
      <c r="B45" s="14" t="n">
        <v>777402</v>
      </c>
    </row>
    <row r="46">
      <c r="A46" s="46" t="n">
        <v>37316</v>
      </c>
      <c r="B46" s="14" t="n">
        <v>814901</v>
      </c>
    </row>
    <row r="47">
      <c r="A47" s="46" t="n">
        <v>37347</v>
      </c>
      <c r="B47" s="14" t="n">
        <v>788835</v>
      </c>
    </row>
    <row r="48">
      <c r="A48" s="46" t="n">
        <v>37377</v>
      </c>
      <c r="B48" s="14" t="n">
        <v>793333</v>
      </c>
    </row>
    <row r="49">
      <c r="A49" s="46" t="n">
        <v>37408</v>
      </c>
      <c r="B49" s="14" t="n">
        <v>780845</v>
      </c>
    </row>
    <row r="50">
      <c r="A50" s="46" t="n">
        <v>37438</v>
      </c>
      <c r="B50" s="14" t="n">
        <v>783540</v>
      </c>
    </row>
    <row r="51">
      <c r="A51" s="46" t="n">
        <v>37469</v>
      </c>
      <c r="B51" s="14" t="n">
        <v>770838</v>
      </c>
    </row>
    <row r="52">
      <c r="A52" s="46" t="n">
        <v>37500</v>
      </c>
      <c r="B52" s="14" t="n">
        <v>772822</v>
      </c>
    </row>
    <row r="53">
      <c r="A53" s="46" t="n">
        <v>37530</v>
      </c>
      <c r="B53" s="14" t="n">
        <v>798028</v>
      </c>
    </row>
    <row r="54">
      <c r="A54" s="46" t="n">
        <v>37561</v>
      </c>
      <c r="B54" s="14" t="n">
        <v>796464</v>
      </c>
    </row>
    <row r="55">
      <c r="A55" s="46" t="n">
        <v>37591</v>
      </c>
      <c r="B55" s="14" t="n">
        <v>795161</v>
      </c>
    </row>
    <row r="56">
      <c r="A56" s="46" t="n">
        <v>37622</v>
      </c>
      <c r="B56" s="14" t="n">
        <v>786730</v>
      </c>
    </row>
    <row r="57">
      <c r="A57" s="46" t="n">
        <v>37653</v>
      </c>
      <c r="B57" s="14" t="n">
        <v>790649</v>
      </c>
    </row>
    <row r="58">
      <c r="A58" s="46" t="n">
        <v>37681</v>
      </c>
      <c r="B58" s="14" t="n">
        <v>798674</v>
      </c>
    </row>
    <row r="59">
      <c r="A59" s="46" t="n">
        <v>37712</v>
      </c>
      <c r="B59" s="14" t="n">
        <v>800643</v>
      </c>
    </row>
    <row r="60">
      <c r="A60" s="46" t="n">
        <v>37742</v>
      </c>
      <c r="B60" s="14" t="n">
        <v>801435</v>
      </c>
    </row>
    <row r="61">
      <c r="A61" s="46" t="n">
        <v>37773</v>
      </c>
      <c r="B61" s="14" t="n">
        <v>813568</v>
      </c>
    </row>
    <row r="62">
      <c r="A62" s="46" t="n">
        <v>37803</v>
      </c>
      <c r="B62" s="14" t="n">
        <v>828475</v>
      </c>
    </row>
    <row r="63">
      <c r="A63" s="46" t="n">
        <v>37834</v>
      </c>
      <c r="B63" s="14" t="n">
        <v>814810</v>
      </c>
    </row>
    <row r="64">
      <c r="A64" s="46" t="n">
        <v>37865</v>
      </c>
      <c r="B64" s="14" t="n">
        <v>829239</v>
      </c>
    </row>
    <row r="65">
      <c r="A65" s="46" t="n">
        <v>37895</v>
      </c>
      <c r="B65" s="14" t="n">
        <v>818606</v>
      </c>
    </row>
    <row r="66">
      <c r="A66" s="46" t="n">
        <v>37926</v>
      </c>
      <c r="B66" s="14" t="n">
        <v>833339</v>
      </c>
    </row>
    <row r="67">
      <c r="A67" s="46" t="n">
        <v>37956</v>
      </c>
      <c r="B67" s="14" t="n">
        <v>834796</v>
      </c>
    </row>
    <row r="68">
      <c r="A68" s="46" t="n">
        <v>37987</v>
      </c>
      <c r="B68" s="14" t="n">
        <v>824392</v>
      </c>
    </row>
    <row r="69">
      <c r="A69" s="46" t="n">
        <v>38018</v>
      </c>
      <c r="B69" s="14" t="n">
        <v>824024</v>
      </c>
    </row>
    <row r="70">
      <c r="A70" s="46" t="n">
        <v>38047</v>
      </c>
      <c r="B70" s="14" t="n">
        <v>830349</v>
      </c>
    </row>
    <row r="71">
      <c r="A71" s="46" t="n">
        <v>38078</v>
      </c>
      <c r="B71" s="14" t="n">
        <v>853538</v>
      </c>
    </row>
    <row r="72">
      <c r="A72" s="46" t="n">
        <v>38108</v>
      </c>
      <c r="B72" s="14" t="n">
        <v>867250</v>
      </c>
    </row>
    <row r="73">
      <c r="A73" s="46" t="n">
        <v>38139</v>
      </c>
      <c r="B73" s="14" t="n">
        <v>895838</v>
      </c>
    </row>
    <row r="74">
      <c r="A74" s="46" t="n">
        <v>38169</v>
      </c>
      <c r="B74" s="14" t="n">
        <v>883749</v>
      </c>
    </row>
    <row r="75">
      <c r="A75" s="46" t="n">
        <v>38200</v>
      </c>
      <c r="B75" s="14" t="n">
        <v>881876</v>
      </c>
    </row>
    <row r="76">
      <c r="A76" s="46" t="n">
        <v>38231</v>
      </c>
      <c r="B76" s="14" t="n">
        <v>885811</v>
      </c>
    </row>
    <row r="77">
      <c r="A77" s="46" t="n">
        <v>38261</v>
      </c>
      <c r="B77" s="14" t="n">
        <v>893778</v>
      </c>
    </row>
    <row r="78">
      <c r="A78" s="46" t="n">
        <v>38292</v>
      </c>
      <c r="B78" s="14" t="n">
        <v>899065</v>
      </c>
    </row>
    <row r="79">
      <c r="A79" s="46" t="n">
        <v>38322</v>
      </c>
      <c r="B79" s="14" t="n">
        <v>884324</v>
      </c>
    </row>
    <row r="80">
      <c r="A80" s="46" t="n">
        <v>38353</v>
      </c>
      <c r="B80" s="14" t="n">
        <v>894782</v>
      </c>
    </row>
    <row r="81">
      <c r="A81" s="46" t="n">
        <v>38384</v>
      </c>
      <c r="B81" s="14" t="n">
        <v>913849</v>
      </c>
    </row>
    <row r="82">
      <c r="A82" s="46" t="n">
        <v>38412</v>
      </c>
      <c r="B82" s="14" t="n">
        <v>926434</v>
      </c>
    </row>
    <row r="83">
      <c r="A83" s="46" t="n">
        <v>38443</v>
      </c>
      <c r="B83" s="14" t="n">
        <v>934479</v>
      </c>
    </row>
    <row r="84">
      <c r="A84" s="46" t="n">
        <v>38473</v>
      </c>
      <c r="B84" s="14" t="n">
        <v>927781</v>
      </c>
    </row>
    <row r="85">
      <c r="A85" s="46" t="n">
        <v>38504</v>
      </c>
      <c r="B85" s="14" t="n">
        <v>967868</v>
      </c>
    </row>
    <row r="86">
      <c r="A86" s="46" t="n">
        <v>38534</v>
      </c>
      <c r="B86" s="14" t="n">
        <v>996796</v>
      </c>
    </row>
    <row r="87">
      <c r="A87" s="46" t="n">
        <v>38565</v>
      </c>
      <c r="B87" s="14" t="n">
        <v>992270</v>
      </c>
    </row>
    <row r="88">
      <c r="A88" s="46" t="n">
        <v>38596</v>
      </c>
      <c r="B88" s="14" t="n">
        <v>996044</v>
      </c>
    </row>
    <row r="89">
      <c r="A89" s="46" t="n">
        <v>38626</v>
      </c>
      <c r="B89" s="14" t="n">
        <v>1003504</v>
      </c>
    </row>
    <row r="90">
      <c r="A90" s="46" t="n">
        <v>38657</v>
      </c>
      <c r="B90" s="14" t="n">
        <v>1017239</v>
      </c>
    </row>
    <row r="91">
      <c r="A91" s="46" t="n">
        <v>38687</v>
      </c>
      <c r="B91" s="14" t="n">
        <v>1038616</v>
      </c>
    </row>
    <row r="92">
      <c r="A92" s="46" t="n">
        <v>38718</v>
      </c>
      <c r="B92" s="14" t="n">
        <v>1055186</v>
      </c>
    </row>
    <row r="93">
      <c r="A93" s="46" t="n">
        <v>38749</v>
      </c>
      <c r="B93" s="14" t="n">
        <v>1062732</v>
      </c>
    </row>
    <row r="94">
      <c r="A94" s="46" t="n">
        <v>38777</v>
      </c>
      <c r="B94" s="14" t="n">
        <v>1067477</v>
      </c>
    </row>
    <row r="95">
      <c r="A95" s="46" t="n">
        <v>38808</v>
      </c>
      <c r="B95" s="14" t="n">
        <v>1080389</v>
      </c>
    </row>
    <row r="96">
      <c r="A96" s="46" t="n">
        <v>38838</v>
      </c>
      <c r="B96" s="14" t="n">
        <v>1084094</v>
      </c>
    </row>
    <row r="97">
      <c r="A97" s="46" t="n">
        <v>38869</v>
      </c>
      <c r="B97" s="14" t="n">
        <v>1112770</v>
      </c>
    </row>
    <row r="98">
      <c r="A98" s="46" t="n">
        <v>38899</v>
      </c>
      <c r="B98" s="14" t="n">
        <v>1128285</v>
      </c>
    </row>
    <row r="99">
      <c r="A99" s="46" t="n">
        <v>38930</v>
      </c>
      <c r="B99" s="14" t="n">
        <v>1113025</v>
      </c>
    </row>
    <row r="100">
      <c r="A100" s="46" t="n">
        <v>38961</v>
      </c>
      <c r="B100" s="14" t="n">
        <v>1118315</v>
      </c>
    </row>
    <row r="101">
      <c r="A101" s="46" t="n">
        <v>38991</v>
      </c>
      <c r="B101" s="14" t="n">
        <v>1118736</v>
      </c>
    </row>
    <row r="102">
      <c r="A102" s="46" t="n">
        <v>39022</v>
      </c>
      <c r="B102" s="14" t="n">
        <v>1133314</v>
      </c>
    </row>
    <row r="103">
      <c r="A103" s="46" t="n">
        <v>39052</v>
      </c>
      <c r="B103" s="14" t="n">
        <v>1150030</v>
      </c>
    </row>
    <row r="104">
      <c r="A104" s="46" t="n">
        <v>39083</v>
      </c>
      <c r="B104" s="14" t="n">
        <v>1148148</v>
      </c>
    </row>
    <row r="105">
      <c r="A105" s="46" t="n">
        <v>39114</v>
      </c>
      <c r="B105" s="14" t="n">
        <v>1150396</v>
      </c>
    </row>
    <row r="106">
      <c r="A106" s="46" t="n">
        <v>39142</v>
      </c>
      <c r="B106" s="14" t="n">
        <v>1162604</v>
      </c>
    </row>
    <row r="107">
      <c r="A107" s="46" t="n">
        <v>39173</v>
      </c>
      <c r="B107" s="14" t="n">
        <v>1176308</v>
      </c>
    </row>
    <row r="108">
      <c r="A108" s="46" t="n">
        <v>39203</v>
      </c>
      <c r="B108" s="14" t="n">
        <v>1187052</v>
      </c>
    </row>
    <row r="109">
      <c r="A109" s="46" t="n">
        <v>39234</v>
      </c>
      <c r="B109" s="14" t="n">
        <v>1208453</v>
      </c>
    </row>
    <row r="110">
      <c r="A110" s="46" t="n">
        <v>39264</v>
      </c>
      <c r="B110" s="14" t="n">
        <v>1212584</v>
      </c>
    </row>
    <row r="111">
      <c r="A111" s="46" t="n">
        <v>39295</v>
      </c>
      <c r="B111" s="14" t="n">
        <v>1157534</v>
      </c>
    </row>
    <row r="112">
      <c r="A112" s="46" t="n">
        <v>39326</v>
      </c>
      <c r="B112" s="14" t="n">
        <v>1250396</v>
      </c>
    </row>
    <row r="113">
      <c r="A113" s="46" t="n">
        <v>39356</v>
      </c>
      <c r="B113" s="14" t="n">
        <v>1263504</v>
      </c>
    </row>
    <row r="114">
      <c r="A114" s="46" t="n">
        <v>39387</v>
      </c>
      <c r="B114" s="14" t="n">
        <v>1297266</v>
      </c>
    </row>
    <row r="115">
      <c r="A115" s="46" t="n">
        <v>39417</v>
      </c>
      <c r="B115" s="14" t="n">
        <v>1507981</v>
      </c>
    </row>
    <row r="116">
      <c r="A116" s="46" t="n">
        <v>39448</v>
      </c>
      <c r="B116" s="14" t="n">
        <v>1337542</v>
      </c>
    </row>
    <row r="117">
      <c r="A117" s="46" t="n">
        <v>39479</v>
      </c>
      <c r="B117" s="14" t="n">
        <v>1336758</v>
      </c>
    </row>
    <row r="118">
      <c r="A118" s="46" t="n">
        <v>39508</v>
      </c>
      <c r="B118" s="14" t="n">
        <v>1390804</v>
      </c>
    </row>
    <row r="119">
      <c r="A119" s="46" t="n">
        <v>39539</v>
      </c>
      <c r="B119" s="14" t="n">
        <v>1405859</v>
      </c>
    </row>
    <row r="120">
      <c r="A120" s="46" t="n">
        <v>39569</v>
      </c>
      <c r="B120" s="14" t="n">
        <v>1423245</v>
      </c>
    </row>
    <row r="121">
      <c r="A121" s="46" t="n">
        <v>39600</v>
      </c>
      <c r="B121" s="14" t="n">
        <v>1462710</v>
      </c>
    </row>
    <row r="122">
      <c r="A122" s="46" t="n">
        <v>39630</v>
      </c>
      <c r="B122" s="14" t="n">
        <v>1450899</v>
      </c>
    </row>
    <row r="123">
      <c r="A123" s="46" t="n">
        <v>39661</v>
      </c>
      <c r="B123" s="14" t="n">
        <v>1449139</v>
      </c>
    </row>
    <row r="124">
      <c r="A124" s="46" t="n">
        <v>39692</v>
      </c>
      <c r="B124" s="14" t="n">
        <v>1518548</v>
      </c>
    </row>
    <row r="125">
      <c r="A125" s="46" t="n">
        <v>39722</v>
      </c>
      <c r="B125" s="14" t="n">
        <v>2031447</v>
      </c>
    </row>
    <row r="126">
      <c r="A126" s="46" t="n">
        <v>39753</v>
      </c>
      <c r="B126" s="14" t="n">
        <v>1979051</v>
      </c>
    </row>
    <row r="127">
      <c r="A127" s="46" t="n">
        <v>39783</v>
      </c>
      <c r="B127" s="14" t="n">
        <v>2075107</v>
      </c>
    </row>
    <row r="128">
      <c r="A128" s="46" t="n">
        <v>39814</v>
      </c>
      <c r="B128" s="14" t="n">
        <v>1906979</v>
      </c>
    </row>
    <row r="129">
      <c r="A129" s="46" t="n">
        <v>39845</v>
      </c>
      <c r="B129" s="14" t="n">
        <v>1820268</v>
      </c>
    </row>
    <row r="130">
      <c r="A130" s="46" t="n">
        <v>39873</v>
      </c>
      <c r="B130" s="14" t="n">
        <v>1803083</v>
      </c>
    </row>
    <row r="131">
      <c r="A131" s="46" t="n">
        <v>39904</v>
      </c>
      <c r="B131" s="14" t="n">
        <v>1823963</v>
      </c>
    </row>
    <row r="132">
      <c r="A132" s="46" t="n">
        <v>39934</v>
      </c>
      <c r="B132" s="14" t="n">
        <v>1799610</v>
      </c>
    </row>
    <row r="133">
      <c r="A133" s="46" t="n">
        <v>39965</v>
      </c>
      <c r="B133" s="14" t="n">
        <v>1997319</v>
      </c>
    </row>
    <row r="134">
      <c r="A134" s="46" t="n">
        <v>39995</v>
      </c>
      <c r="B134" s="14" t="n">
        <v>1854093</v>
      </c>
    </row>
    <row r="135">
      <c r="A135" s="46" t="n">
        <v>40026</v>
      </c>
      <c r="B135" s="14" t="n">
        <v>1821371</v>
      </c>
    </row>
    <row r="136">
      <c r="A136" s="46" t="n">
        <v>40057</v>
      </c>
      <c r="B136" s="14" t="n">
        <v>1790242</v>
      </c>
    </row>
    <row r="137">
      <c r="A137" s="46" t="n">
        <v>40087</v>
      </c>
      <c r="B137" s="14" t="n">
        <v>1779000</v>
      </c>
    </row>
    <row r="138">
      <c r="A138" s="46" t="n">
        <v>40118</v>
      </c>
      <c r="B138" s="14" t="n">
        <v>1759186</v>
      </c>
    </row>
    <row r="139">
      <c r="A139" s="46" t="n">
        <v>40148</v>
      </c>
      <c r="B139" s="14" t="n">
        <v>1903024</v>
      </c>
    </row>
    <row r="140">
      <c r="A140" s="46" t="n">
        <v>40179</v>
      </c>
      <c r="B140" s="14" t="n">
        <v>1877655</v>
      </c>
    </row>
    <row r="141">
      <c r="A141" s="46" t="n">
        <v>40210</v>
      </c>
      <c r="B141" s="14" t="n">
        <v>1889017</v>
      </c>
    </row>
    <row r="142">
      <c r="A142" s="46" t="n">
        <v>40238</v>
      </c>
      <c r="B142" s="14" t="n">
        <v>1894898</v>
      </c>
    </row>
    <row r="143">
      <c r="A143" s="46" t="n">
        <v>40269</v>
      </c>
      <c r="B143" s="14" t="n">
        <v>1956819</v>
      </c>
    </row>
    <row r="144">
      <c r="A144" s="46" t="n">
        <v>40299</v>
      </c>
      <c r="B144" s="14" t="n">
        <v>2088450</v>
      </c>
    </row>
    <row r="145">
      <c r="A145" s="46" t="n">
        <v>40330</v>
      </c>
      <c r="B145" s="14" t="n">
        <v>2154245</v>
      </c>
    </row>
    <row r="146">
      <c r="A146" s="46" t="n">
        <v>40360</v>
      </c>
      <c r="B146" s="14" t="n">
        <v>2001660</v>
      </c>
    </row>
    <row r="147">
      <c r="A147" s="46" t="n">
        <v>40391</v>
      </c>
      <c r="B147" s="14" t="n">
        <v>1957926</v>
      </c>
    </row>
    <row r="148">
      <c r="A148" s="46" t="n">
        <v>40422</v>
      </c>
      <c r="B148" s="14" t="n">
        <v>1971356</v>
      </c>
    </row>
    <row r="149">
      <c r="A149" s="46" t="n">
        <v>40452</v>
      </c>
      <c r="B149" s="14" t="n">
        <v>1895679</v>
      </c>
    </row>
    <row r="150">
      <c r="A150" s="46" t="n">
        <v>40483</v>
      </c>
      <c r="B150" s="14" t="n">
        <v>1915961</v>
      </c>
    </row>
    <row r="151">
      <c r="A151" s="46" t="n">
        <v>40513</v>
      </c>
      <c r="B151" s="14" t="n">
        <v>2004432</v>
      </c>
    </row>
    <row r="152">
      <c r="A152" s="46" t="n">
        <v>40544</v>
      </c>
      <c r="B152" s="14" t="n">
        <v>1965568</v>
      </c>
    </row>
    <row r="153">
      <c r="A153" s="46" t="n">
        <v>40575</v>
      </c>
      <c r="B153" s="14" t="n">
        <v>1952278</v>
      </c>
    </row>
    <row r="154">
      <c r="A154" s="46" t="n">
        <v>40603</v>
      </c>
      <c r="B154" s="14" t="n">
        <v>1928055</v>
      </c>
    </row>
    <row r="155">
      <c r="A155" s="46" t="n">
        <v>40634</v>
      </c>
      <c r="B155" s="14" t="n">
        <v>1894101</v>
      </c>
    </row>
    <row r="156">
      <c r="A156" s="46" t="n">
        <v>40664</v>
      </c>
      <c r="B156" s="14" t="n">
        <v>1900610</v>
      </c>
    </row>
    <row r="157">
      <c r="A157" s="46" t="n">
        <v>40695</v>
      </c>
      <c r="B157" s="14" t="n">
        <v>1972174</v>
      </c>
    </row>
    <row r="158">
      <c r="A158" s="46" t="n">
        <v>40725</v>
      </c>
      <c r="B158" s="14" t="n">
        <v>2000471</v>
      </c>
    </row>
    <row r="159">
      <c r="A159" s="46" t="n">
        <v>40756</v>
      </c>
      <c r="B159" s="14" t="n">
        <v>2071633</v>
      </c>
    </row>
    <row r="160">
      <c r="A160" s="46" t="n">
        <v>40787</v>
      </c>
      <c r="B160" s="14" t="n">
        <v>2288571</v>
      </c>
    </row>
    <row r="161">
      <c r="A161" s="46" t="n">
        <v>40817</v>
      </c>
      <c r="B161" s="14" t="n">
        <v>2333373</v>
      </c>
    </row>
    <row r="162">
      <c r="A162" s="46" t="n">
        <v>40848</v>
      </c>
      <c r="B162" s="14" t="n">
        <v>2419548</v>
      </c>
    </row>
    <row r="163">
      <c r="A163" s="46" t="n">
        <v>40878</v>
      </c>
      <c r="B163" s="14" t="n">
        <v>2733270</v>
      </c>
    </row>
    <row r="164">
      <c r="A164" s="46" t="n">
        <v>40909</v>
      </c>
      <c r="B164" s="14" t="n">
        <v>2682576</v>
      </c>
    </row>
    <row r="165">
      <c r="A165" s="46" t="n">
        <v>40940</v>
      </c>
      <c r="B165" s="14" t="n">
        <v>2692598</v>
      </c>
    </row>
    <row r="166">
      <c r="A166" s="46" t="n">
        <v>40969</v>
      </c>
      <c r="B166" s="14" t="n">
        <v>2964427</v>
      </c>
    </row>
    <row r="167">
      <c r="A167" s="46" t="n">
        <v>41000</v>
      </c>
      <c r="B167" s="14" t="n">
        <v>2962103</v>
      </c>
    </row>
    <row r="168">
      <c r="A168" s="46" t="n">
        <v>41030</v>
      </c>
      <c r="B168" s="14" t="n">
        <v>2980310</v>
      </c>
    </row>
    <row r="169">
      <c r="A169" s="46" t="n">
        <v>41061</v>
      </c>
      <c r="B169" s="14" t="n">
        <v>3102227</v>
      </c>
    </row>
    <row r="170">
      <c r="A170" s="46" t="n">
        <v>41091</v>
      </c>
      <c r="B170" s="14" t="n">
        <v>3094144</v>
      </c>
    </row>
    <row r="171">
      <c r="A171" s="46" t="n">
        <v>41122</v>
      </c>
      <c r="B171" s="14" t="n">
        <v>3084769</v>
      </c>
    </row>
    <row r="172">
      <c r="A172" s="46" t="n">
        <v>41153</v>
      </c>
      <c r="B172" s="14" t="n">
        <v>3082432</v>
      </c>
    </row>
    <row r="173">
      <c r="A173" s="46" t="n">
        <v>41183</v>
      </c>
      <c r="B173" s="14" t="n">
        <v>3046543</v>
      </c>
    </row>
    <row r="174">
      <c r="A174" s="46" t="n">
        <v>41214</v>
      </c>
      <c r="B174" s="14" t="n">
        <v>3033294</v>
      </c>
    </row>
    <row r="175">
      <c r="A175" s="46" t="n">
        <v>41244</v>
      </c>
      <c r="B175" s="14" t="n">
        <v>2962613</v>
      </c>
    </row>
    <row r="176">
      <c r="A176" s="46" t="n">
        <v>41275</v>
      </c>
      <c r="B176" s="14" t="n">
        <v>2928781</v>
      </c>
    </row>
    <row r="177">
      <c r="A177" s="46" t="n">
        <v>41306</v>
      </c>
      <c r="B177" s="14" t="n">
        <v>2748823</v>
      </c>
    </row>
    <row r="178">
      <c r="A178" s="46" t="n">
        <v>41334</v>
      </c>
      <c r="B178" s="14" t="n">
        <v>2648126</v>
      </c>
    </row>
    <row r="179">
      <c r="A179" s="46" t="n">
        <v>41365</v>
      </c>
      <c r="B179" s="14" t="n">
        <v>2611252</v>
      </c>
    </row>
    <row r="180">
      <c r="A180" s="46" t="n">
        <v>41395</v>
      </c>
      <c r="B180" s="14" t="n">
        <v>2549449</v>
      </c>
    </row>
    <row r="181">
      <c r="A181" s="46" t="n">
        <v>41426</v>
      </c>
      <c r="B181" s="14" t="n">
        <v>2430423</v>
      </c>
    </row>
    <row r="182">
      <c r="A182" s="46" t="n">
        <v>41456</v>
      </c>
      <c r="B182" s="14" t="n">
        <v>2396181</v>
      </c>
    </row>
    <row r="183">
      <c r="A183" s="46" t="n">
        <v>41487</v>
      </c>
      <c r="B183" s="14" t="n">
        <v>2360639</v>
      </c>
    </row>
    <row r="184">
      <c r="A184" s="46" t="n">
        <v>41518</v>
      </c>
      <c r="B184" s="14" t="n">
        <v>2338044</v>
      </c>
    </row>
    <row r="185">
      <c r="A185" s="46" t="n">
        <v>41548</v>
      </c>
      <c r="B185" s="14" t="n">
        <v>2318744</v>
      </c>
    </row>
    <row r="186">
      <c r="A186" s="46" t="n">
        <v>41579</v>
      </c>
      <c r="B186" s="14" t="n">
        <v>2290956</v>
      </c>
    </row>
    <row r="187">
      <c r="A187" s="46" t="n">
        <v>41609</v>
      </c>
      <c r="B187" s="14" t="n">
        <v>2273267</v>
      </c>
    </row>
    <row r="188">
      <c r="A188" s="46" t="n">
        <v>41640</v>
      </c>
      <c r="B188" s="14" t="n">
        <v>2217061</v>
      </c>
    </row>
    <row r="189">
      <c r="A189" s="46" t="n">
        <v>41671</v>
      </c>
      <c r="B189" s="14" t="n">
        <v>2181079</v>
      </c>
    </row>
    <row r="190">
      <c r="A190" s="46" t="n">
        <v>41699</v>
      </c>
      <c r="B190" s="14" t="n">
        <v>2152103</v>
      </c>
    </row>
    <row r="191">
      <c r="A191" s="46" t="n">
        <v>41730</v>
      </c>
      <c r="B191" s="14" t="n">
        <v>2169061</v>
      </c>
    </row>
    <row r="192">
      <c r="A192" s="46" t="n">
        <v>41760</v>
      </c>
      <c r="B192" s="14" t="n">
        <v>2197095</v>
      </c>
    </row>
    <row r="193">
      <c r="A193" s="46" t="n">
        <v>41791</v>
      </c>
      <c r="B193" s="14" t="n">
        <v>2088099</v>
      </c>
    </row>
    <row r="194">
      <c r="A194" s="46" t="n">
        <v>41821</v>
      </c>
      <c r="B194" s="14" t="n">
        <v>2044312</v>
      </c>
    </row>
    <row r="195">
      <c r="A195" s="46" t="n">
        <v>41852</v>
      </c>
      <c r="B195" s="14" t="n">
        <v>2038716</v>
      </c>
    </row>
    <row r="196">
      <c r="A196" s="46" t="n">
        <v>41883</v>
      </c>
      <c r="B196" s="14" t="n">
        <v>2038235</v>
      </c>
    </row>
    <row r="197">
      <c r="A197" s="46" t="n">
        <v>41913</v>
      </c>
      <c r="B197" s="14" t="n">
        <v>2052070</v>
      </c>
    </row>
    <row r="198">
      <c r="A198" s="46" t="n">
        <v>41944</v>
      </c>
      <c r="B198" s="14" t="n">
        <v>2053892</v>
      </c>
    </row>
    <row r="199">
      <c r="A199" s="46" t="n">
        <v>41974</v>
      </c>
      <c r="B199" s="14" t="n">
        <v>2150247</v>
      </c>
    </row>
    <row r="200">
      <c r="A200" s="46" t="n">
        <v>42005</v>
      </c>
      <c r="B200" s="14" t="n">
        <v>2181954</v>
      </c>
    </row>
    <row r="201">
      <c r="A201" s="46" t="n">
        <v>42036</v>
      </c>
      <c r="B201" s="14" t="n">
        <v>2155836</v>
      </c>
    </row>
    <row r="202">
      <c r="A202" s="46" t="n">
        <v>42064</v>
      </c>
      <c r="B202" s="14" t="n">
        <v>2250801</v>
      </c>
    </row>
    <row r="203">
      <c r="A203" s="46" t="n">
        <v>42095</v>
      </c>
      <c r="B203" s="14" t="n">
        <v>2360790</v>
      </c>
    </row>
    <row r="204">
      <c r="A204" s="46" t="n">
        <v>42125</v>
      </c>
      <c r="B204" s="14" t="n">
        <v>2416664</v>
      </c>
    </row>
    <row r="205">
      <c r="A205" s="46" t="n">
        <v>42156</v>
      </c>
      <c r="B205" s="14" t="n">
        <v>2539544</v>
      </c>
    </row>
    <row r="206">
      <c r="A206" s="46" t="n">
        <v>42186</v>
      </c>
      <c r="B206" s="14" t="n">
        <v>2536592</v>
      </c>
    </row>
    <row r="207">
      <c r="A207" s="46" t="n">
        <v>42217</v>
      </c>
      <c r="B207" s="14" t="n">
        <v>2558780</v>
      </c>
    </row>
    <row r="208">
      <c r="A208" s="46" t="n">
        <v>42248</v>
      </c>
      <c r="B208" s="14" t="n">
        <v>2620631</v>
      </c>
    </row>
    <row r="209">
      <c r="A209" s="46" t="n">
        <v>42278</v>
      </c>
      <c r="B209" s="14" t="n">
        <v>2664996</v>
      </c>
    </row>
    <row r="210">
      <c r="A210" s="46" t="n">
        <v>42309</v>
      </c>
      <c r="B210" s="14" t="n">
        <v>2706740</v>
      </c>
    </row>
    <row r="211">
      <c r="A211" s="46" t="n">
        <v>42339</v>
      </c>
      <c r="B211" s="14" t="n">
        <v>2767815</v>
      </c>
    </row>
    <row r="212">
      <c r="A212" s="46" t="n">
        <v>42370</v>
      </c>
      <c r="B212" s="14" t="n">
        <v>2808331</v>
      </c>
    </row>
    <row r="213">
      <c r="A213" s="46" t="n">
        <v>42401</v>
      </c>
      <c r="B213" s="14" t="n">
        <v>2850299</v>
      </c>
    </row>
    <row r="214">
      <c r="A214" s="46" t="n">
        <v>42430</v>
      </c>
      <c r="B214" s="14" t="n">
        <v>2897696</v>
      </c>
    </row>
    <row r="215">
      <c r="A215" s="46" t="n">
        <v>42461</v>
      </c>
      <c r="B215" s="14" t="n">
        <v>3000759</v>
      </c>
    </row>
    <row r="216">
      <c r="A216" s="46" t="n">
        <v>42491</v>
      </c>
      <c r="B216" s="14" t="n">
        <v>3067481</v>
      </c>
    </row>
    <row r="217">
      <c r="A217" s="46" t="n">
        <v>42522</v>
      </c>
      <c r="B217" s="14" t="n">
        <v>3131095</v>
      </c>
    </row>
    <row r="218">
      <c r="A218" s="46" t="n">
        <v>42552</v>
      </c>
      <c r="B218" s="14" t="n">
        <v>3284309</v>
      </c>
    </row>
    <row r="219">
      <c r="A219" s="46" t="n">
        <v>42583</v>
      </c>
      <c r="B219" s="14" t="n">
        <v>3330487</v>
      </c>
    </row>
    <row r="220">
      <c r="A220" s="46" t="n">
        <v>42614</v>
      </c>
      <c r="B220" s="14" t="n">
        <v>3438145</v>
      </c>
    </row>
    <row r="221">
      <c r="A221" s="46" t="n">
        <v>42644</v>
      </c>
      <c r="B221" s="14" t="n">
        <v>3507401</v>
      </c>
    </row>
    <row r="222">
      <c r="A222" s="46" t="n">
        <v>42675</v>
      </c>
      <c r="B222" s="14" t="n">
        <v>3566230</v>
      </c>
    </row>
    <row r="223">
      <c r="A223" s="46" t="n">
        <v>42705</v>
      </c>
      <c r="B223" s="14" t="n">
        <v>3662901</v>
      </c>
    </row>
    <row r="224">
      <c r="A224" s="46" t="n">
        <v>42736</v>
      </c>
      <c r="B224" s="14" t="n">
        <v>3740766</v>
      </c>
    </row>
    <row r="225">
      <c r="A225" s="46" t="n">
        <v>42767</v>
      </c>
      <c r="B225" s="14" t="n">
        <v>3808242</v>
      </c>
    </row>
    <row r="226">
      <c r="A226" s="46" t="n">
        <v>42795</v>
      </c>
      <c r="B226" s="14" t="n">
        <v>4100730</v>
      </c>
    </row>
    <row r="227">
      <c r="A227" s="46" t="n">
        <v>42826</v>
      </c>
      <c r="B227" s="14" t="n">
        <v>4148032</v>
      </c>
    </row>
    <row r="228">
      <c r="A228" s="46" t="n">
        <v>42856</v>
      </c>
      <c r="B228" s="14" t="n">
        <v>4195685</v>
      </c>
    </row>
    <row r="229">
      <c r="A229" s="46" t="n">
        <v>42887</v>
      </c>
      <c r="B229" s="14" t="n">
        <v>4209510</v>
      </c>
    </row>
    <row r="230">
      <c r="A230" s="46" t="n">
        <v>42917</v>
      </c>
      <c r="B230" s="14" t="n">
        <v>4248280</v>
      </c>
    </row>
    <row r="231">
      <c r="A231" s="46" t="n">
        <v>42948</v>
      </c>
      <c r="B231" s="14" t="n">
        <v>4278881</v>
      </c>
    </row>
    <row r="232">
      <c r="A232" s="46" t="n">
        <v>42979</v>
      </c>
      <c r="B232" s="14" t="n">
        <v>4318624</v>
      </c>
    </row>
    <row r="233">
      <c r="A233" s="46" t="n">
        <v>43009</v>
      </c>
      <c r="B233" s="14" t="n">
        <v>4371222</v>
      </c>
    </row>
    <row r="234">
      <c r="A234" s="46" t="n">
        <v>43040</v>
      </c>
      <c r="B234" s="14" t="n">
        <v>4440791</v>
      </c>
    </row>
    <row r="235">
      <c r="A235" s="46" t="n">
        <v>43070</v>
      </c>
      <c r="B235" s="14" t="n">
        <v>4471689</v>
      </c>
    </row>
    <row r="236">
      <c r="A236" s="46" t="n">
        <v>43101</v>
      </c>
      <c r="B236" s="14" t="n">
        <v>4491151</v>
      </c>
    </row>
    <row r="237">
      <c r="A237" s="46" t="n">
        <v>43132</v>
      </c>
      <c r="B237" s="14" t="n">
        <v>4519360</v>
      </c>
    </row>
    <row r="238">
      <c r="A238" s="46" t="n">
        <v>43160</v>
      </c>
      <c r="B238" s="14" t="n">
        <v>4529579</v>
      </c>
    </row>
    <row r="239">
      <c r="A239" s="46" t="n">
        <v>43191</v>
      </c>
      <c r="B239" s="14" t="n">
        <v>4554344</v>
      </c>
    </row>
    <row r="240">
      <c r="A240" s="46" t="n">
        <v>43221</v>
      </c>
      <c r="B240" s="14" t="n">
        <v>4567744</v>
      </c>
    </row>
    <row r="241">
      <c r="A241" s="46" t="n">
        <v>43252</v>
      </c>
      <c r="B241" s="14" t="n">
        <v>4592518</v>
      </c>
    </row>
    <row r="242">
      <c r="A242" s="46" t="n">
        <v>43282</v>
      </c>
      <c r="B242" s="14" t="n">
        <v>4602258</v>
      </c>
    </row>
    <row r="243">
      <c r="A243" s="46" t="n">
        <v>43313</v>
      </c>
      <c r="B243" s="14" t="n">
        <v>4621355</v>
      </c>
    </row>
    <row r="244">
      <c r="A244" s="46" t="n">
        <v>43344</v>
      </c>
      <c r="B244" s="14" t="n">
        <v>4619792</v>
      </c>
    </row>
    <row r="245">
      <c r="A245" s="46" t="n">
        <v>43374</v>
      </c>
      <c r="B245" s="14" t="n">
        <v>4622163</v>
      </c>
    </row>
    <row r="246">
      <c r="A246" s="46" t="n">
        <v>43405</v>
      </c>
      <c r="B246" s="14" t="n">
        <v>4660299</v>
      </c>
    </row>
    <row r="247">
      <c r="A247" s="46" t="n">
        <v>43435</v>
      </c>
      <c r="B247" s="14" t="n">
        <v>4669003</v>
      </c>
    </row>
    <row r="248">
      <c r="A248" s="46" t="n">
        <v>43466</v>
      </c>
      <c r="B248" s="14" t="n">
        <v>4695505</v>
      </c>
    </row>
    <row r="249">
      <c r="A249" s="46" t="n">
        <v>43497</v>
      </c>
      <c r="B249" s="14" t="n">
        <v>4686299</v>
      </c>
    </row>
    <row r="250">
      <c r="A250" s="46" t="n">
        <v>43525</v>
      </c>
      <c r="B250" s="14" t="n">
        <v>4695785</v>
      </c>
    </row>
    <row r="251">
      <c r="A251" s="46" t="n">
        <v>43556</v>
      </c>
      <c r="B251" s="14" t="n">
        <v>4683918</v>
      </c>
    </row>
    <row r="252">
      <c r="A252" s="46" t="n">
        <v>43586</v>
      </c>
      <c r="B252" s="14" t="n">
        <v>4685961</v>
      </c>
    </row>
    <row r="253">
      <c r="A253" s="46" t="n">
        <v>43617</v>
      </c>
      <c r="B253" s="14" t="n">
        <v>4692614</v>
      </c>
    </row>
    <row r="254">
      <c r="A254" s="46" t="n">
        <v>43647</v>
      </c>
      <c r="B254" s="14" t="n">
        <v>4679180</v>
      </c>
    </row>
    <row r="255">
      <c r="A255" s="46" t="n">
        <v>43678</v>
      </c>
      <c r="B255" s="14" t="n">
        <v>4683714</v>
      </c>
    </row>
    <row r="256">
      <c r="A256" s="46" t="n">
        <v>43709</v>
      </c>
      <c r="B256" s="14" t="n">
        <v>4638104</v>
      </c>
    </row>
    <row r="257">
      <c r="A257" s="46" t="n">
        <v>43739</v>
      </c>
      <c r="B257" s="14" t="n">
        <v>4676258</v>
      </c>
    </row>
    <row r="258">
      <c r="A258" s="46" t="n">
        <v>43770</v>
      </c>
      <c r="B258" s="14" t="n">
        <v>4698291</v>
      </c>
    </row>
    <row r="259">
      <c r="A259" s="46" t="n">
        <v>43800</v>
      </c>
      <c r="B259" s="14" t="n">
        <v>4691998</v>
      </c>
    </row>
    <row r="260">
      <c r="A260" s="46" t="n">
        <v>43831</v>
      </c>
      <c r="B260" s="14" t="n">
        <v>4671365</v>
      </c>
    </row>
    <row r="261">
      <c r="A261" s="40" t="n">
        <v>43868</v>
      </c>
      <c r="B261" s="15">
        <f>VLOOKUP(A261,'Database ECB'!$A$1:$B$2000,2,FALSE)</f>
        <v/>
      </c>
    </row>
    <row r="262">
      <c r="A262" s="40" t="n">
        <v>43875</v>
      </c>
      <c r="B262" s="15">
        <f>VLOOKUP(A262,'Database ECB'!$A$1:$B$2000,2,FALSE)</f>
        <v/>
      </c>
    </row>
    <row r="263">
      <c r="A263" s="40" t="n">
        <v>43882</v>
      </c>
      <c r="B263" s="15">
        <f>VLOOKUP(A263,'Database ECB'!$A$1:$B$2000,2,FALSE)</f>
        <v/>
      </c>
    </row>
    <row r="264">
      <c r="A264" s="40" t="n">
        <v>43889</v>
      </c>
      <c r="B264" s="15">
        <f>VLOOKUP(A264,'Database ECB'!$A$1:$B$2000,2,FALSE)</f>
        <v/>
      </c>
    </row>
    <row r="265">
      <c r="A265" s="40" t="n">
        <v>43896</v>
      </c>
      <c r="B265" s="15">
        <f>VLOOKUP(A265,'Database ECB'!$A$1:$B$2000,2,FALSE)</f>
        <v/>
      </c>
    </row>
    <row r="266">
      <c r="A266" s="40" t="n">
        <v>43903</v>
      </c>
      <c r="B266" s="15">
        <f>VLOOKUP(A266,'Database ECB'!$A$1:$B$2000,2,FALSE)</f>
        <v/>
      </c>
    </row>
    <row r="267">
      <c r="A267" s="46" t="n">
        <v>43910</v>
      </c>
      <c r="B267" s="15">
        <f>VLOOKUP(A267,'Database ECB'!$A$1:$B$2000,2,FALSE)</f>
        <v/>
      </c>
    </row>
    <row r="268">
      <c r="A268" s="46" t="n">
        <v>43917</v>
      </c>
      <c r="B268" s="15">
        <f>VLOOKUP(A268,'Database ECB'!$A$1:$B$2000,2,FALSE)</f>
        <v/>
      </c>
    </row>
    <row r="269">
      <c r="A269" s="46" t="n">
        <v>43924</v>
      </c>
      <c r="B269" s="15">
        <f>VLOOKUP(A269,'Database ECB'!$A$1:$B$2000,2,FALSE)</f>
        <v/>
      </c>
    </row>
    <row r="270">
      <c r="A270" s="46" t="n">
        <v>43931</v>
      </c>
      <c r="B270" s="15">
        <f>VLOOKUP(A270,'Database ECB'!$A$1:$B$2000,2,FALSE)</f>
        <v/>
      </c>
    </row>
    <row r="271">
      <c r="A271" s="46" t="n">
        <v>43938</v>
      </c>
      <c r="B271" s="15">
        <f>VLOOKUP(A271,'Database ECB'!$A$1:$B$2000,2,FALSE)</f>
        <v/>
      </c>
    </row>
    <row r="272">
      <c r="A272" s="47" t="n">
        <v>43945</v>
      </c>
      <c r="B272" s="15">
        <f>VLOOKUP(A272,'Database ECB'!$A$1:$B$2000,2,FALSE)</f>
        <v/>
      </c>
    </row>
    <row r="273">
      <c r="A273" s="46" t="n">
        <v>43952</v>
      </c>
      <c r="B273" s="15">
        <f>VLOOKUP(A273,'Database ECB'!$A$1:$B$2000,2,FALSE)</f>
        <v/>
      </c>
    </row>
    <row r="274">
      <c r="A274" s="47" t="n">
        <v>43959</v>
      </c>
      <c r="B274" s="15">
        <f>VLOOKUP(A274,'Database ECB'!$A$1:$B$2000,2,FALSE)</f>
        <v/>
      </c>
    </row>
    <row r="275">
      <c r="A275" s="46" t="n">
        <v>43966</v>
      </c>
      <c r="B275" s="15">
        <f>VLOOKUP(A275,'Database ECB'!$A$1:$B$2000,2,FALSE)</f>
        <v/>
      </c>
    </row>
    <row r="276">
      <c r="A276" s="47" t="n">
        <v>43973</v>
      </c>
      <c r="B276" s="15">
        <f>VLOOKUP(A276,'Database ECB'!$A$1:$B$2000,2,FALSE)</f>
        <v/>
      </c>
    </row>
    <row r="277">
      <c r="A277" s="46" t="n">
        <v>43980</v>
      </c>
      <c r="B277" s="15">
        <f>VLOOKUP(A277,'Database ECB'!$A$1:$B$2000,2,FALSE)</f>
        <v/>
      </c>
    </row>
    <row r="278">
      <c r="A278" s="47" t="n">
        <v>43987</v>
      </c>
      <c r="B278" s="15">
        <f>VLOOKUP(A278,'Database ECB'!$A$1:$B$2000,2,FALSE)</f>
        <v/>
      </c>
    </row>
    <row r="279">
      <c r="A279" s="46" t="n">
        <v>43994</v>
      </c>
      <c r="B279" s="15">
        <f>VLOOKUP(A279,'Database ECB'!$A$1:$B$2000,2,FALSE)</f>
        <v/>
      </c>
    </row>
    <row r="280">
      <c r="A280" s="47" t="n">
        <v>44001</v>
      </c>
      <c r="B280" s="15">
        <f>VLOOKUP(A280,'Database ECB'!$A$1:$B$2000,2,FALSE)</f>
        <v/>
      </c>
    </row>
    <row r="281">
      <c r="A281" s="46" t="n">
        <v>44008</v>
      </c>
      <c r="B281" s="15">
        <f>VLOOKUP(A281,'Database ECB'!$A$1:$B$2000,2,FALSE)</f>
        <v/>
      </c>
    </row>
    <row r="282">
      <c r="A282" s="47" t="n">
        <v>44015</v>
      </c>
      <c r="B282" s="15">
        <f>VLOOKUP(A282,'Database ECB'!$A$1:$B$2000,2,FALSE)</f>
        <v/>
      </c>
    </row>
    <row r="283">
      <c r="A283" s="46" t="n">
        <v>44022</v>
      </c>
      <c r="B283" s="15">
        <f>VLOOKUP(A283,'Database ECB'!$A$1:$B$2000,2,FALSE)</f>
        <v/>
      </c>
    </row>
    <row r="284">
      <c r="A284" s="46" t="n">
        <v>44029</v>
      </c>
      <c r="B284" s="15">
        <f>VLOOKUP(A284,'Database ECB'!$A$1:$B$2000,2,FALSE)</f>
        <v/>
      </c>
    </row>
    <row r="285">
      <c r="A285" s="47" t="n">
        <v>44036</v>
      </c>
      <c r="B285" s="15">
        <f>VLOOKUP(A285,'Database ECB'!$A$1:$B$2000,2,FALSE)</f>
        <v/>
      </c>
    </row>
    <row r="286">
      <c r="A286" s="46" t="n">
        <v>44043</v>
      </c>
      <c r="B286" s="15">
        <f>VLOOKUP(A286,'Database ECB'!$A$1:$B$2000,2,FALSE)</f>
        <v/>
      </c>
    </row>
    <row r="287">
      <c r="A287" s="47" t="n">
        <v>44050</v>
      </c>
      <c r="B287" s="15">
        <f>VLOOKUP(A287,'Database ECB'!$A$1:$B$2000,2,FALSE)</f>
        <v/>
      </c>
    </row>
    <row r="288">
      <c r="A288" s="46" t="n">
        <v>44057</v>
      </c>
      <c r="B288" s="15">
        <f>VLOOKUP(A288,'Database ECB'!$A$1:$B$2000,2,FALSE)</f>
        <v/>
      </c>
    </row>
    <row r="289">
      <c r="A289" s="47" t="n">
        <v>44064</v>
      </c>
      <c r="B289" s="15">
        <f>VLOOKUP(A289,'Database ECB'!$A$1:$B$2000,2,FALSE)</f>
        <v/>
      </c>
    </row>
    <row r="290">
      <c r="A290" s="46" t="n">
        <v>44071</v>
      </c>
      <c r="B290" s="15">
        <f>VLOOKUP(A290,'Database ECB'!$A$1:$B$2000,2,FALSE)</f>
        <v/>
      </c>
    </row>
    <row r="291">
      <c r="A291" s="47" t="n">
        <v>44078</v>
      </c>
      <c r="B291" s="15">
        <f>VLOOKUP(A291,'Database ECB'!$A$1:$B$2000,2,FALSE)</f>
        <v/>
      </c>
    </row>
    <row r="292">
      <c r="A292" s="46" t="n">
        <v>44085</v>
      </c>
      <c r="B292" s="15">
        <f>VLOOKUP(A292,'Database ECB'!$A$1:$B$2000,2,FALSE)</f>
        <v/>
      </c>
    </row>
    <row r="293">
      <c r="A293" s="47" t="n">
        <v>44092</v>
      </c>
      <c r="B293" s="15">
        <f>VLOOKUP(A293,'Database ECB'!$A$1:$B$2000,2,FALSE)</f>
        <v/>
      </c>
    </row>
    <row r="294">
      <c r="A294" s="46" t="n">
        <v>44099</v>
      </c>
      <c r="B294" s="15">
        <f>VLOOKUP(A294,'Database ECB'!$A$1:$B$2000,2,FALSE)</f>
        <v/>
      </c>
    </row>
    <row r="295">
      <c r="A295" s="47" t="n">
        <v>44106</v>
      </c>
      <c r="B295" s="15">
        <f>VLOOKUP(A295,'Database ECB'!$A$1:$B$2000,2,FALSE)</f>
        <v/>
      </c>
    </row>
    <row r="296">
      <c r="A296" s="46" t="n">
        <v>44113</v>
      </c>
      <c r="B296" s="15">
        <f>VLOOKUP(A296,'Database ECB'!$A$1:$B$2000,2,FALSE)</f>
        <v/>
      </c>
    </row>
    <row r="297">
      <c r="A297" s="47" t="n">
        <v>44120</v>
      </c>
      <c r="B297" s="15">
        <f>VLOOKUP(A297,'Database ECB'!$A$1:$B$2000,2,FALSE)</f>
        <v/>
      </c>
    </row>
    <row r="298">
      <c r="A298" s="46" t="n">
        <v>44127</v>
      </c>
      <c r="B298" s="15">
        <f>VLOOKUP(A298,'Database ECB'!$A$1:$B$2000,2,FALSE)</f>
        <v/>
      </c>
    </row>
    <row r="299">
      <c r="A299" s="47" t="n">
        <v>44134</v>
      </c>
      <c r="B299" s="15">
        <f>VLOOKUP(A299,'Database ECB'!$A$1:$B$2000,2,FALSE)</f>
        <v/>
      </c>
    </row>
    <row r="300">
      <c r="A300" s="46" t="n">
        <v>44141</v>
      </c>
      <c r="B300" s="15">
        <f>VLOOKUP(A300,'Database ECB'!$A$1:$B$2000,2,FALSE)</f>
        <v/>
      </c>
    </row>
    <row r="301">
      <c r="A301" s="47" t="n">
        <v>44148</v>
      </c>
      <c r="B301" s="15">
        <f>VLOOKUP(A301,'Database ECB'!$A$1:$B$2000,2,FALSE)</f>
        <v/>
      </c>
    </row>
    <row r="302">
      <c r="A302" s="46" t="n">
        <v>44155</v>
      </c>
      <c r="B302" s="15">
        <f>VLOOKUP(A302,'Database ECB'!$A$1:$B$2000,2,FALSE)</f>
        <v/>
      </c>
    </row>
    <row r="303">
      <c r="A303" s="47" t="n">
        <v>44162</v>
      </c>
      <c r="B303" s="15">
        <f>VLOOKUP(A303,'Database ECB'!$A$1:$B$2000,2,FALSE)</f>
        <v/>
      </c>
    </row>
    <row r="304">
      <c r="A304" s="46" t="n">
        <v>44169</v>
      </c>
      <c r="B304" s="15">
        <f>VLOOKUP(A304,'Database ECB'!$A$1:$B$2000,2,FALSE)</f>
        <v/>
      </c>
    </row>
    <row r="305">
      <c r="A305" s="47" t="n">
        <v>44176</v>
      </c>
      <c r="B305" s="15">
        <f>VLOOKUP(A305,'Database ECB'!$A$1:$B$2000,2,FALSE)</f>
        <v/>
      </c>
    </row>
    <row r="306">
      <c r="A306" s="46" t="n">
        <v>44183</v>
      </c>
      <c r="B306" s="15">
        <f>VLOOKUP(A306,'Database ECB'!$A$1:$B$2000,2,FALSE)</f>
        <v/>
      </c>
    </row>
    <row r="307">
      <c r="A307" s="47" t="n">
        <v>44190</v>
      </c>
      <c r="B307" s="15">
        <f>VLOOKUP(A307,'Database ECB'!$A$1:$B$2000,2,FALSE)</f>
        <v/>
      </c>
    </row>
    <row r="308">
      <c r="A308" s="46" t="n">
        <v>44197</v>
      </c>
      <c r="B308" s="15">
        <f>VLOOKUP(A308,'Database ECB'!$A$1:$B$2000,2,FALSE)</f>
        <v/>
      </c>
    </row>
    <row r="309">
      <c r="A309" s="47" t="n">
        <v>44204</v>
      </c>
      <c r="B309" s="15">
        <f>VLOOKUP(A309,'Database ECB'!$A$1:$B$2000,2,FALSE)</f>
        <v/>
      </c>
    </row>
    <row r="310">
      <c r="A310" s="46" t="n">
        <v>44211</v>
      </c>
      <c r="B310" s="15">
        <f>VLOOKUP(A310,'Database ECB'!$A$1:$B$2000,2,FALSE)</f>
        <v/>
      </c>
    </row>
    <row r="311">
      <c r="A311" s="47" t="n">
        <v>44218</v>
      </c>
      <c r="B311" s="15">
        <f>VLOOKUP(A311,'Database ECB'!$A$1:$B$2000,2,FALSE)</f>
        <v/>
      </c>
    </row>
    <row r="312">
      <c r="A312" s="46" t="n">
        <v>44225</v>
      </c>
      <c r="B312" s="15">
        <f>VLOOKUP(A312,'Database ECB'!$A$1:$B$2000,2,FALSE)</f>
        <v/>
      </c>
    </row>
    <row r="313">
      <c r="A313" s="47" t="n">
        <v>44232</v>
      </c>
      <c r="B313" s="15">
        <f>VLOOKUP(A313,'Database ECB'!$A$1:$B$2000,2,FALSE)</f>
        <v/>
      </c>
    </row>
    <row r="314">
      <c r="A314" s="46" t="n">
        <v>44239</v>
      </c>
      <c r="B314" s="15">
        <f>VLOOKUP(A314,'Database ECB'!$A$1:$B$2000,2,FALSE)</f>
        <v/>
      </c>
    </row>
    <row r="315">
      <c r="A315" s="47" t="n">
        <v>44246</v>
      </c>
      <c r="B315" s="15">
        <f>VLOOKUP(A315,'Database ECB'!$A$1:$B$2000,2,FALSE)</f>
        <v/>
      </c>
    </row>
    <row r="316">
      <c r="A316" s="46" t="n">
        <v>44253</v>
      </c>
      <c r="B316" s="15">
        <f>VLOOKUP(A316,'Database ECB'!$A$1:$B$2000,2,FALSE)</f>
        <v/>
      </c>
    </row>
    <row r="317">
      <c r="A317" s="47" t="n">
        <v>44260</v>
      </c>
      <c r="B317" s="15">
        <f>VLOOKUP(A317,'Database ECB'!$A$1:$B$2000,2,FALSE)</f>
        <v/>
      </c>
    </row>
    <row r="318">
      <c r="A318" s="46" t="n">
        <v>44267</v>
      </c>
      <c r="B318" s="15">
        <f>VLOOKUP(A318,'Database ECB'!$A$1:$B$2000,2,FALSE)</f>
        <v/>
      </c>
    </row>
    <row r="319">
      <c r="A319" s="47" t="n">
        <v>44274</v>
      </c>
      <c r="B319" s="15">
        <f>VLOOKUP(A319,'Database ECB'!$A$1:$B$2000,2,FALSE)</f>
        <v/>
      </c>
    </row>
    <row r="320">
      <c r="A320" s="46" t="n">
        <v>44281</v>
      </c>
      <c r="B320" s="15">
        <f>VLOOKUP(A320,'Database ECB'!$A$1:$B$2000,2,FALSE)</f>
        <v/>
      </c>
    </row>
    <row r="321">
      <c r="A321" s="47" t="n">
        <v>44288</v>
      </c>
      <c r="B321" s="15">
        <f>VLOOKUP(A321,'Database ECB'!$A$1:$B$2000,2,FALSE)</f>
        <v/>
      </c>
    </row>
    <row r="322">
      <c r="A322" s="46" t="n">
        <v>44295</v>
      </c>
      <c r="B322" s="15">
        <f>VLOOKUP(A322,'Database ECB'!$A$1:$B$2000,2,FALSE)</f>
        <v/>
      </c>
    </row>
    <row r="323">
      <c r="A323" s="47" t="n">
        <v>44302</v>
      </c>
      <c r="B323" s="15">
        <f>VLOOKUP(A323,'Database ECB'!$A$1:$B$2000,2,FALSE)</f>
        <v/>
      </c>
    </row>
    <row r="324">
      <c r="A324" s="46" t="n">
        <v>44309</v>
      </c>
      <c r="B324" s="15">
        <f>VLOOKUP(A324,'Database ECB'!$A$1:$B$2000,2,FALSE)</f>
        <v/>
      </c>
    </row>
    <row r="325">
      <c r="A325" s="47" t="n">
        <v>44316</v>
      </c>
      <c r="B325" s="15">
        <f>VLOOKUP(A325,'Database ECB'!$A$1:$B$2000,2,FALSE)</f>
        <v/>
      </c>
    </row>
    <row r="326">
      <c r="A326" s="46" t="n">
        <v>44323</v>
      </c>
      <c r="B326" s="15">
        <f>VLOOKUP(A326,'Database ECB'!$A$1:$B$2000,2,FALSE)</f>
        <v/>
      </c>
    </row>
    <row r="327">
      <c r="A327" s="47" t="n">
        <v>44330</v>
      </c>
      <c r="B327" s="15">
        <f>VLOOKUP(A327,'Database ECB'!$A$1:$B$2000,2,FALSE)</f>
        <v/>
      </c>
    </row>
    <row r="328">
      <c r="A328" s="47" t="n">
        <v>44337</v>
      </c>
      <c r="B328" s="15">
        <f>VLOOKUP(A328,'Database ECB'!$A$1:$B$2000,2,FALSE)</f>
        <v/>
      </c>
    </row>
    <row r="329">
      <c r="A329" s="46" t="n">
        <v>44344</v>
      </c>
      <c r="B329" s="15">
        <f>VLOOKUP(A329,'Database ECB'!$A$1:$B$2000,2,FALSE)</f>
        <v/>
      </c>
    </row>
    <row r="330">
      <c r="A330" s="47" t="n">
        <v>44351</v>
      </c>
      <c r="B330" s="15">
        <f>VLOOKUP(A330,'Database ECB'!$A$1:$B$2000,2,FALSE)</f>
        <v/>
      </c>
    </row>
    <row r="331">
      <c r="A331" s="46" t="n">
        <v>44358</v>
      </c>
      <c r="B331" s="15">
        <f>VLOOKUP(A331,'Database ECB'!$A$1:$B$2000,2,FALSE)</f>
        <v/>
      </c>
    </row>
    <row r="332">
      <c r="A332" s="47" t="n">
        <v>44365</v>
      </c>
      <c r="B332" s="15">
        <f>VLOOKUP(A332,'Database ECB'!$A$1:$B$2000,2,FALSE)</f>
        <v/>
      </c>
    </row>
    <row r="333">
      <c r="A333" s="46" t="n">
        <v>44372</v>
      </c>
      <c r="B333" s="15">
        <f>VLOOKUP(A333,'Database ECB'!$A$1:$B$2000,2,FALSE)</f>
        <v/>
      </c>
    </row>
    <row r="334">
      <c r="A334" s="47" t="n">
        <v>44379</v>
      </c>
      <c r="B334" s="15">
        <f>VLOOKUP(A334,'Database ECB'!$A$1:$B$2000,2,FALSE)</f>
        <v/>
      </c>
    </row>
    <row r="335">
      <c r="A335" s="46" t="n">
        <v>44386</v>
      </c>
      <c r="B335" s="15">
        <f>VLOOKUP(A335,'Database ECB'!$A$1:$B$2000,2,FALSE)</f>
        <v/>
      </c>
    </row>
    <row r="336">
      <c r="A336" s="47" t="n">
        <v>44393</v>
      </c>
      <c r="B336" s="15">
        <f>VLOOKUP(A336,'Database ECB'!$A$1:$B$2000,2,FALSE)</f>
        <v/>
      </c>
    </row>
    <row r="337">
      <c r="A337" s="46" t="n">
        <v>44400</v>
      </c>
      <c r="B337" s="15">
        <f>VLOOKUP(A337,'Database ECB'!$A$1:$B$2000,2,FALSE)</f>
        <v/>
      </c>
    </row>
    <row r="338">
      <c r="A338" s="47" t="n">
        <v>44407</v>
      </c>
      <c r="B338" s="15">
        <f>VLOOKUP(A338,'Database ECB'!$A$1:$B$2000,2,FALSE)</f>
        <v/>
      </c>
    </row>
    <row r="339">
      <c r="A339" s="46" t="n">
        <v>44414</v>
      </c>
      <c r="B339" s="15">
        <f>VLOOKUP(A339,'Database ECB'!$A$1:$B$2000,2,FALSE)</f>
        <v/>
      </c>
    </row>
    <row r="340">
      <c r="A340" s="47" t="n">
        <v>44421</v>
      </c>
      <c r="B340" s="15">
        <f>VLOOKUP(A340,'Database ECB'!$A$1:$B$2000,2,FALSE)</f>
        <v/>
      </c>
    </row>
    <row r="341">
      <c r="A341" s="46" t="n">
        <v>44428</v>
      </c>
      <c r="B341" s="15">
        <f>VLOOKUP(A341,'Database ECB'!$A$1:$B$2000,2,FALSE)</f>
        <v/>
      </c>
    </row>
    <row r="342">
      <c r="A342" s="47" t="n">
        <v>44435</v>
      </c>
      <c r="B342" s="15">
        <f>VLOOKUP(A342,'Database ECB'!$A$1:$B$2000,2,FALSE)</f>
        <v/>
      </c>
    </row>
    <row r="343">
      <c r="A343" s="46" t="n">
        <v>44442</v>
      </c>
      <c r="B343" s="15">
        <f>VLOOKUP(A343,'Database ECB'!$A$1:$B$2000,2,FALSE)</f>
        <v/>
      </c>
    </row>
    <row r="344">
      <c r="A344" s="47" t="n">
        <v>44449</v>
      </c>
      <c r="B344" s="15">
        <f>VLOOKUP(A344,'Database ECB'!$A$1:$B$2000,2,FALSE)</f>
        <v/>
      </c>
    </row>
    <row r="345">
      <c r="A345" s="46" t="n">
        <v>44456</v>
      </c>
      <c r="B345" s="15">
        <f>VLOOKUP(A345,'Database ECB'!$A$1:$B$2000,2,FALSE)</f>
        <v/>
      </c>
    </row>
    <row r="346">
      <c r="A346" s="47" t="n">
        <v>44463</v>
      </c>
      <c r="B346" s="15">
        <f>VLOOKUP(A346,'Database ECB'!$A$1:$B$2000,2,FALSE)</f>
        <v/>
      </c>
    </row>
    <row r="347">
      <c r="A347" s="46" t="n">
        <v>44470</v>
      </c>
      <c r="B347" s="15">
        <f>VLOOKUP(A347,'Database ECB'!$A$1:$B$2000,2,FALSE)</f>
        <v/>
      </c>
    </row>
    <row r="348">
      <c r="A348" s="47" t="n">
        <v>44477</v>
      </c>
      <c r="B348" s="15">
        <f>VLOOKUP(A348,'Database ECB'!$A$1:$B$2000,2,FALSE)</f>
        <v/>
      </c>
    </row>
    <row r="349">
      <c r="A349" s="46" t="n">
        <v>44484</v>
      </c>
      <c r="B349" s="15">
        <f>VLOOKUP(A349,'Database ECB'!$A$1:$B$2000,2,FALSE)</f>
        <v/>
      </c>
    </row>
    <row r="350">
      <c r="A350" s="47" t="n">
        <v>44491</v>
      </c>
      <c r="B350" s="15">
        <f>VLOOKUP(A350,'Database ECB'!$A$1:$B$2000,2,FALSE)</f>
        <v/>
      </c>
    </row>
    <row r="351">
      <c r="A351" s="46" t="n">
        <v>44498</v>
      </c>
      <c r="B351" s="15">
        <f>VLOOKUP(A351,'Database ECB'!$A$1:$B$2000,2,FALSE)</f>
        <v/>
      </c>
    </row>
    <row r="352">
      <c r="A352" s="47" t="n">
        <v>44505</v>
      </c>
      <c r="B352" s="15">
        <f>VLOOKUP(A352,'Database ECB'!$A$1:$B$2000,2,FALSE)</f>
        <v/>
      </c>
    </row>
    <row r="353">
      <c r="A353" s="46" t="n">
        <v>44512</v>
      </c>
      <c r="B353" s="15">
        <f>VLOOKUP(A353,'Database ECB'!$A$1:$B$2000,2,FALSE)</f>
        <v/>
      </c>
    </row>
    <row r="354">
      <c r="A354" s="47" t="n">
        <v>44519</v>
      </c>
      <c r="B354" s="15">
        <f>VLOOKUP(A354,'Database ECB'!$A$1:$B$2000,2,FALSE)</f>
        <v/>
      </c>
    </row>
    <row r="355">
      <c r="A355" s="46" t="n">
        <v>44526</v>
      </c>
      <c r="B355" s="15">
        <f>VLOOKUP(A355,'Database ECB'!$A$1:$B$2000,2,FALSE)</f>
        <v/>
      </c>
    </row>
    <row r="356">
      <c r="A356" s="47" t="n">
        <v>44533</v>
      </c>
      <c r="B356" s="15">
        <f>VLOOKUP(A356,'Database ECB'!$A$1:$B$2000,2,FALSE)</f>
        <v/>
      </c>
    </row>
    <row r="357">
      <c r="A357" s="46" t="n">
        <v>44540</v>
      </c>
      <c r="B357" s="15">
        <f>VLOOKUP(A357,'Database ECB'!$A$1:$B$2000,2,FALSE)</f>
        <v/>
      </c>
    </row>
    <row r="358">
      <c r="A358" s="47">
        <f>'Database ECB'!$A1200</f>
        <v/>
      </c>
      <c r="B358" s="15">
        <f>VLOOKUP(A358,'Database ECB'!$A$1:$B$2000,2,FALSE)</f>
        <v/>
      </c>
    </row>
    <row r="359">
      <c r="A359" s="47">
        <f>'Database ECB'!$A1201</f>
        <v/>
      </c>
      <c r="B359" s="15">
        <f>VLOOKUP(A359,'Database ECB'!$A$1:$B$2000,2,FALSE)</f>
        <v/>
      </c>
    </row>
    <row r="360">
      <c r="A360" s="47">
        <f>'Database ECB'!$A1202</f>
        <v/>
      </c>
      <c r="B360" s="15">
        <f>VLOOKUP(A360,'Database ECB'!$A$1:$B$2000,2,FALSE)</f>
        <v/>
      </c>
    </row>
    <row r="361">
      <c r="A361" s="47">
        <f>'Database ECB'!$A1203</f>
        <v/>
      </c>
      <c r="B361" s="15">
        <f>VLOOKUP(A361,'Database ECB'!$A$1:$B$2000,2,FALSE)</f>
        <v/>
      </c>
    </row>
    <row r="362">
      <c r="A362" s="47">
        <f>'Database ECB'!$A1204</f>
        <v/>
      </c>
      <c r="B362" s="15">
        <f>VLOOKUP(A362,'Database ECB'!$A$1:$B$2000,2,FALSE)</f>
        <v/>
      </c>
    </row>
    <row r="363">
      <c r="A363" s="47">
        <f>'Database ECB'!$A1205</f>
        <v/>
      </c>
      <c r="B363" s="15">
        <f>VLOOKUP(A363,'Database ECB'!$A$1:$B$2000,2,FALSE)</f>
        <v/>
      </c>
    </row>
    <row r="364">
      <c r="A364" s="47">
        <f>'Database ECB'!$A1206</f>
        <v/>
      </c>
      <c r="B364" s="15">
        <f>VLOOKUP(A364,'Database ECB'!$A$1:$B$2000,2,FALSE)</f>
        <v/>
      </c>
    </row>
    <row r="365">
      <c r="A365" s="47">
        <f>'Database ECB'!$A1207</f>
        <v/>
      </c>
      <c r="B365" s="15">
        <f>VLOOKUP(A365,'Database ECB'!$A$1:$B$2000,2,FALSE)</f>
        <v/>
      </c>
    </row>
    <row r="366">
      <c r="A366" s="47">
        <f>'Database ECB'!$A1208</f>
        <v/>
      </c>
      <c r="B366" s="15">
        <f>VLOOKUP(A366,'Database ECB'!$A$1:$B$2000,2,FALSE)</f>
        <v/>
      </c>
    </row>
    <row r="367">
      <c r="A367" s="47">
        <f>'Database ECB'!$A1209</f>
        <v/>
      </c>
      <c r="B367" s="15">
        <f>VLOOKUP(A367,'Database ECB'!$A$1:$B$2000,2,FALSE)</f>
        <v/>
      </c>
    </row>
    <row r="368">
      <c r="A368" s="47">
        <f>'Database ECB'!$A1210</f>
        <v/>
      </c>
      <c r="B368" s="15">
        <f>VLOOKUP(A368,'Database ECB'!$A$1:$B$2000,2,FALSE)</f>
        <v/>
      </c>
    </row>
    <row r="369">
      <c r="A369" s="47">
        <f>'Database ECB'!$A1211</f>
        <v/>
      </c>
      <c r="B369" s="15">
        <f>VLOOKUP(A369,'Database ECB'!$A$1:$B$2000,2,FALSE)</f>
        <v/>
      </c>
    </row>
    <row r="370">
      <c r="A370" s="47">
        <f>'Database ECB'!$A1212</f>
        <v/>
      </c>
      <c r="B370" s="15">
        <f>VLOOKUP(A370,'Database ECB'!$A$1:$B$2000,2,FALSE)</f>
        <v/>
      </c>
    </row>
    <row r="371">
      <c r="A371" s="47">
        <f>'Database ECB'!$A1213</f>
        <v/>
      </c>
      <c r="B371" s="15">
        <f>VLOOKUP(A371,'Database ECB'!$A$1:$B$2000,2,FALSE)</f>
        <v/>
      </c>
    </row>
    <row r="372">
      <c r="A372" s="47">
        <f>'Database ECB'!$A1214</f>
        <v/>
      </c>
      <c r="B372" s="15">
        <f>VLOOKUP(A372,'Database ECB'!$A$1:$B$2000,2,FALSE)</f>
        <v/>
      </c>
    </row>
    <row r="373">
      <c r="A373" s="47">
        <f>'Database ECB'!$A1215</f>
        <v/>
      </c>
      <c r="B373" s="15">
        <f>VLOOKUP(A373,'Database ECB'!$A$1:$B$2000,2,FALSE)</f>
        <v/>
      </c>
    </row>
    <row r="374">
      <c r="A374" s="47">
        <f>'Database ECB'!$A1216</f>
        <v/>
      </c>
      <c r="B374" s="15">
        <f>VLOOKUP(A374,'Database ECB'!$A$1:$B$2000,2,FALSE)</f>
        <v/>
      </c>
    </row>
    <row r="375">
      <c r="A375" s="47">
        <f>'Database ECB'!$A1217</f>
        <v/>
      </c>
      <c r="B375" s="15">
        <f>VLOOKUP(A375,'Database ECB'!$A$1:$B$2000,2,FALSE)</f>
        <v/>
      </c>
    </row>
    <row r="376">
      <c r="A376" s="47">
        <f>'Database ECB'!$A1218</f>
        <v/>
      </c>
      <c r="B376" s="15">
        <f>VLOOKUP(A376,'Database ECB'!$A$1:$B$2000,2,FALSE)</f>
        <v/>
      </c>
    </row>
    <row r="377">
      <c r="A377" s="47">
        <f>'Database ECB'!$A1219</f>
        <v/>
      </c>
      <c r="B377" s="15">
        <f>VLOOKUP(A377,'Database ECB'!$A$1:$B$2000,2,FALSE)</f>
        <v/>
      </c>
    </row>
    <row r="378">
      <c r="A378" s="47">
        <f>'Database ECB'!$A1220</f>
        <v/>
      </c>
      <c r="B378" s="15">
        <f>VLOOKUP(A378,'Database ECB'!$A$1:$B$2000,2,FALSE)</f>
        <v/>
      </c>
    </row>
    <row r="379">
      <c r="A379" s="47">
        <f>'Database ECB'!$A1221</f>
        <v/>
      </c>
      <c r="B379" s="15">
        <f>VLOOKUP(A379,'Database ECB'!$A$1:$B$2000,2,FALSE)</f>
        <v/>
      </c>
    </row>
    <row r="380">
      <c r="A380" s="47">
        <f>'Database ECB'!$A1222</f>
        <v/>
      </c>
      <c r="B380" s="15">
        <f>VLOOKUP(A380,'Database ECB'!$A$1:$B$2000,2,FALSE)</f>
        <v/>
      </c>
    </row>
    <row r="381">
      <c r="A381" s="47">
        <f>'Database ECB'!$A1223</f>
        <v/>
      </c>
      <c r="B381" s="15">
        <f>VLOOKUP(A381,'Database ECB'!$A$1:$B$2000,2,FALSE)</f>
        <v/>
      </c>
    </row>
    <row r="382">
      <c r="A382" s="47">
        <f>'Database ECB'!$A1224</f>
        <v/>
      </c>
      <c r="B382" s="15">
        <f>VLOOKUP(A382,'Database ECB'!$A$1:$B$2000,2,FALSE)</f>
        <v/>
      </c>
    </row>
    <row r="383">
      <c r="A383" s="47">
        <f>'Database ECB'!$A1225</f>
        <v/>
      </c>
      <c r="B383" s="15">
        <f>VLOOKUP(A383,'Database ECB'!$A$1:$B$2000,2,FALSE)</f>
        <v/>
      </c>
    </row>
    <row r="384">
      <c r="A384" s="47">
        <f>'Database ECB'!$A1226</f>
        <v/>
      </c>
      <c r="B384" s="15">
        <f>VLOOKUP(A384,'Database ECB'!$A$1:$B$2000,2,FALSE)</f>
        <v/>
      </c>
    </row>
    <row r="385">
      <c r="A385" s="47">
        <f>'Database ECB'!$A1227</f>
        <v/>
      </c>
      <c r="B385" s="15">
        <f>VLOOKUP(A385,'Database ECB'!$A$1:$B$2000,2,FALSE)</f>
        <v/>
      </c>
    </row>
    <row r="386">
      <c r="A386" s="47">
        <f>'Database ECB'!$A1228</f>
        <v/>
      </c>
      <c r="B386" s="15">
        <f>VLOOKUP(A386,'Database ECB'!$A$1:$B$2000,2,FALSE)</f>
        <v/>
      </c>
    </row>
    <row r="387">
      <c r="A387" s="47">
        <f>'Database ECB'!$A1229</f>
        <v/>
      </c>
      <c r="B387" s="15">
        <f>VLOOKUP(A387,'Database ECB'!$A$1:$B$2000,2,FALSE)</f>
        <v/>
      </c>
    </row>
    <row r="388">
      <c r="A388" s="47">
        <f>'Database ECB'!$A1230</f>
        <v/>
      </c>
      <c r="B388" s="15">
        <f>VLOOKUP(A388,'Database ECB'!$A$1:$B$2000,2,FALSE)</f>
        <v/>
      </c>
    </row>
    <row r="389">
      <c r="A389" s="47">
        <f>'Database ECB'!$A1231</f>
        <v/>
      </c>
      <c r="B389" s="15">
        <f>VLOOKUP(A389,'Database ECB'!$A$1:$B$2000,2,FALSE)</f>
        <v/>
      </c>
    </row>
    <row r="390">
      <c r="A390" s="47">
        <f>'Database ECB'!$A1232</f>
        <v/>
      </c>
      <c r="B390" s="15">
        <f>VLOOKUP(A390,'Database ECB'!$A$1:$B$2000,2,FALSE)</f>
        <v/>
      </c>
    </row>
    <row r="391">
      <c r="A391" s="47">
        <f>'Database ECB'!$A1233</f>
        <v/>
      </c>
      <c r="B391" s="15">
        <f>VLOOKUP(A391,'Database ECB'!$A$1:$B$2000,2,FALSE)</f>
        <v/>
      </c>
    </row>
    <row r="392">
      <c r="A392" s="47">
        <f>'Database ECB'!$A1234</f>
        <v/>
      </c>
      <c r="B392" s="15">
        <f>VLOOKUP(A392,'Database ECB'!$A$1:$B$2000,2,FALSE)</f>
        <v/>
      </c>
    </row>
    <row r="393">
      <c r="A393" s="47">
        <f>'Database ECB'!$A1235</f>
        <v/>
      </c>
      <c r="B393" s="15">
        <f>VLOOKUP(A393,'Database ECB'!$A$1:$B$2000,2,FALSE)</f>
        <v/>
      </c>
    </row>
    <row r="394">
      <c r="A394" s="47">
        <f>'Database ECB'!$A1236</f>
        <v/>
      </c>
      <c r="B394" s="15">
        <f>VLOOKUP(A394,'Database ECB'!$A$1:$B$2000,2,FALSE)</f>
        <v/>
      </c>
    </row>
    <row r="395">
      <c r="A395" s="47">
        <f>'Database ECB'!$A1237</f>
        <v/>
      </c>
      <c r="B395" s="15">
        <f>VLOOKUP(A395,'Database ECB'!$A$1:$B$2000,2,FALSE)</f>
        <v/>
      </c>
    </row>
    <row r="396">
      <c r="A396" s="47">
        <f>'Database ECB'!$A1238</f>
        <v/>
      </c>
      <c r="B396" s="15">
        <f>VLOOKUP(A396,'Database ECB'!$A$1:$B$2000,2,FALSE)</f>
        <v/>
      </c>
    </row>
    <row r="397">
      <c r="A397" s="47">
        <f>'Database ECB'!$A1239</f>
        <v/>
      </c>
      <c r="B397" s="15">
        <f>VLOOKUP(A397,'Database ECB'!$A$1:$B$2000,2,FALSE)</f>
        <v/>
      </c>
    </row>
    <row r="398">
      <c r="A398" s="47">
        <f>'Database ECB'!$A1240</f>
        <v/>
      </c>
      <c r="B398" s="15">
        <f>VLOOKUP(A398,'Database ECB'!$A$1:$B$2000,2,FALSE)</f>
        <v/>
      </c>
    </row>
    <row r="399">
      <c r="A399" s="47">
        <f>'Database ECB'!$A1241</f>
        <v/>
      </c>
      <c r="B399" s="15">
        <f>VLOOKUP(A399,'Database ECB'!$A$1:$B$2000,2,FALSE)</f>
        <v/>
      </c>
    </row>
    <row r="400">
      <c r="A400" s="47">
        <f>'Database ECB'!$A1242</f>
        <v/>
      </c>
      <c r="B400" s="15">
        <f>VLOOKUP(A400,'Database ECB'!$A$1:$B$2000,2,FALSE)</f>
        <v/>
      </c>
    </row>
    <row r="401">
      <c r="A401" s="47">
        <f>'Database ECB'!$A1243</f>
        <v/>
      </c>
      <c r="B401" s="15">
        <f>VLOOKUP(A401,'Database ECB'!$A$1:$B$2000,2,FALSE)</f>
        <v/>
      </c>
    </row>
    <row r="402">
      <c r="A402" s="47">
        <f>'Database ECB'!$A1244</f>
        <v/>
      </c>
      <c r="B402" s="15">
        <f>VLOOKUP(A402,'Database ECB'!$A$1:$B$2000,2,FALSE)</f>
        <v/>
      </c>
    </row>
    <row r="403">
      <c r="A403" s="47">
        <f>'Database ECB'!$A1245</f>
        <v/>
      </c>
      <c r="B403" s="15">
        <f>VLOOKUP(A403,'Database ECB'!$A$1:$B$2000,2,FALSE)</f>
        <v/>
      </c>
    </row>
    <row r="404">
      <c r="A404" s="47">
        <f>'Database ECB'!$A1246</f>
        <v/>
      </c>
      <c r="B404" s="15">
        <f>VLOOKUP(A404,'Database ECB'!$A$1:$B$2000,2,FALSE)</f>
        <v/>
      </c>
    </row>
    <row r="405">
      <c r="A405" s="47">
        <f>'Database ECB'!$A1247</f>
        <v/>
      </c>
      <c r="B405" s="15">
        <f>VLOOKUP(A405,'Database ECB'!$A$1:$B$2000,2,FALSE)</f>
        <v/>
      </c>
    </row>
    <row r="406">
      <c r="A406" s="47">
        <f>'Database ECB'!$A1248</f>
        <v/>
      </c>
      <c r="B406" s="15">
        <f>VLOOKUP(A406,'Database ECB'!$A$1:$B$2000,2,FALSE)</f>
        <v/>
      </c>
    </row>
    <row r="407">
      <c r="A407" s="47">
        <f>'Database ECB'!$A1249</f>
        <v/>
      </c>
      <c r="B407" s="15">
        <f>VLOOKUP(A407,'Database ECB'!$A$1:$B$2000,2,FALSE)</f>
        <v/>
      </c>
    </row>
    <row r="408">
      <c r="A408" s="47">
        <f>'Database ECB'!$A1250</f>
        <v/>
      </c>
      <c r="B408" s="15">
        <f>VLOOKUP(A408,'Database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2022-12-10T03:42:17Z</dcterms:modified>
  <cp:lastModifiedBy>Mark Mukherjee</cp:lastModifiedBy>
</cp:coreProperties>
</file>