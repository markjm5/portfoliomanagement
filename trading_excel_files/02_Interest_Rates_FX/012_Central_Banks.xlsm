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500" windowWidth="28800" windowHeight="17500" tabRatio="600" firstSheet="2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4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0" fillId="2" borderId="0" pivotButton="0" quotePrefix="0" xfId="0"/>
    <xf numFmtId="0" fontId="4" fillId="2" borderId="0" applyAlignment="1" pivotButton="0" quotePrefix="0" xfId="2">
      <alignment horizontal="left"/>
    </xf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Rate'!$A$8:$A$867</f>
              <numCache>
                <formatCode>yyyy\-mm\-dd</formatCode>
                <ptCount val="860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</numCache>
            </numRef>
          </cat>
          <val>
            <numRef>
              <f>'Discount Rate'!$B$8:$B$867</f>
              <numCache>
                <formatCode>0.00</formatCode>
                <ptCount val="860"/>
                <pt idx="0">
                  <v>1.5</v>
                </pt>
                <pt idx="1">
                  <v>1.5</v>
                </pt>
                <pt idx="2">
                  <v>1.5</v>
                </pt>
                <pt idx="3">
                  <v>1.5</v>
                </pt>
                <pt idx="4">
                  <v>1.5</v>
                </pt>
                <pt idx="5">
                  <v>1.5</v>
                </pt>
                <pt idx="6">
                  <v>1.5</v>
                </pt>
                <pt idx="7">
                  <v>1.59</v>
                </pt>
                <pt idx="8">
                  <v>1.75</v>
                </pt>
                <pt idx="9">
                  <v>1.75</v>
                </pt>
                <pt idx="10">
                  <v>1.75</v>
                </pt>
                <pt idx="11">
                  <v>1.75</v>
                </pt>
                <pt idx="12">
                  <v>1.75</v>
                </pt>
                <pt idx="13">
                  <v>1.75</v>
                </pt>
                <pt idx="14">
                  <v>1.75</v>
                </pt>
                <pt idx="15">
                  <v>1.75</v>
                </pt>
                <pt idx="16">
                  <v>1.75</v>
                </pt>
                <pt idx="17">
                  <v>1.75</v>
                </pt>
                <pt idx="18">
                  <v>1.75</v>
                </pt>
                <pt idx="19">
                  <v>1.75</v>
                </pt>
                <pt idx="20">
                  <v>1.75</v>
                </pt>
                <pt idx="21">
                  <v>1.75</v>
                </pt>
                <pt idx="22">
                  <v>1.75</v>
                </pt>
                <pt idx="23">
                  <v>1.75</v>
                </pt>
                <pt idx="24">
                  <v>1.75</v>
                </pt>
                <pt idx="25">
                  <v>1.75</v>
                </pt>
                <pt idx="26">
                  <v>1.75</v>
                </pt>
                <pt idx="27">
                  <v>1.75</v>
                </pt>
                <pt idx="28">
                  <v>1.75</v>
                </pt>
                <pt idx="29">
                  <v>1.75</v>
                </pt>
                <pt idx="30">
                  <v>1.75</v>
                </pt>
                <pt idx="31">
                  <v>1.75</v>
                </pt>
                <pt idx="32">
                  <v>1.75</v>
                </pt>
                <pt idx="33">
                  <v>1.75</v>
                </pt>
                <pt idx="34">
                  <v>1.75</v>
                </pt>
                <pt idx="35">
                  <v>1.75</v>
                </pt>
                <pt idx="36">
                  <v>1.88</v>
                </pt>
                <pt idx="37">
                  <v>2</v>
                </pt>
                <pt idx="38">
                  <v>2</v>
                </pt>
                <pt idx="39">
                  <v>2</v>
                </pt>
                <pt idx="40">
                  <v>2</v>
                </pt>
                <pt idx="41">
                  <v>2</v>
                </pt>
                <pt idx="42">
                  <v>2</v>
                </pt>
                <pt idx="43">
                  <v>2</v>
                </pt>
                <pt idx="44">
                  <v>2</v>
                </pt>
                <pt idx="45">
                  <v>2</v>
                </pt>
                <pt idx="46">
                  <v>2</v>
                </pt>
                <pt idx="47">
                  <v>2</v>
                </pt>
                <pt idx="48">
                  <v>2</v>
                </pt>
                <pt idx="49">
                  <v>1.79</v>
                </pt>
                <pt idx="50">
                  <v>1.75</v>
                </pt>
                <pt idx="51">
                  <v>1.63</v>
                </pt>
                <pt idx="52">
                  <v>1.5</v>
                </pt>
                <pt idx="53">
                  <v>1.5</v>
                </pt>
                <pt idx="54">
                  <v>1.5</v>
                </pt>
                <pt idx="55">
                  <v>1.5</v>
                </pt>
                <pt idx="56">
                  <v>1.5</v>
                </pt>
                <pt idx="57">
                  <v>1.5</v>
                </pt>
                <pt idx="58">
                  <v>1.5</v>
                </pt>
                <pt idx="59">
                  <v>1.5</v>
                </pt>
                <pt idx="60">
                  <v>1.5</v>
                </pt>
                <pt idx="61">
                  <v>1.5</v>
                </pt>
                <pt idx="62">
                  <v>1.5</v>
                </pt>
                <pt idx="63">
                  <v>1.63</v>
                </pt>
                <pt idx="64">
                  <v>1.75</v>
                </pt>
                <pt idx="65">
                  <v>1.75</v>
                </pt>
                <pt idx="66">
                  <v>1.75</v>
                </pt>
                <pt idx="67">
                  <v>1.97</v>
                </pt>
                <pt idx="68">
                  <v>2.18</v>
                </pt>
                <pt idx="69">
                  <v>2.25</v>
                </pt>
                <pt idx="70">
                  <v>2.36</v>
                </pt>
                <pt idx="71">
                  <v>2.5</v>
                </pt>
                <pt idx="72">
                  <v>2.5</v>
                </pt>
                <pt idx="73">
                  <v>2.5</v>
                </pt>
                <pt idx="74">
                  <v>2.5</v>
                </pt>
                <pt idx="75">
                  <v>2.65</v>
                </pt>
                <pt idx="76">
                  <v>2.75</v>
                </pt>
                <pt idx="77">
                  <v>2.75</v>
                </pt>
                <pt idx="78">
                  <v>2.75</v>
                </pt>
                <pt idx="79">
                  <v>2.81</v>
                </pt>
                <pt idx="80">
                  <v>3</v>
                </pt>
                <pt idx="81">
                  <v>3</v>
                </pt>
                <pt idx="82">
                  <v>3</v>
                </pt>
                <pt idx="83">
                  <v>3</v>
                </pt>
                <pt idx="84">
                  <v>3</v>
                </pt>
                <pt idx="85">
                  <v>3</v>
                </pt>
                <pt idx="86">
                  <v>3</v>
                </pt>
                <pt idx="87">
                  <v>3</v>
                </pt>
                <pt idx="88">
                  <v>3</v>
                </pt>
                <pt idx="89">
                  <v>3</v>
                </pt>
                <pt idx="90">
                  <v>3</v>
                </pt>
                <pt idx="91">
                  <v>3.15</v>
                </pt>
                <pt idx="92">
                  <v>3.5</v>
                </pt>
                <pt idx="93">
                  <v>3.5</v>
                </pt>
                <pt idx="94">
                  <v>3.23</v>
                </pt>
                <pt idx="95">
                  <v>3</v>
                </pt>
                <pt idx="96">
                  <v>2.94</v>
                </pt>
                <pt idx="97">
                  <v>2.75</v>
                </pt>
                <pt idx="98">
                  <v>2.35</v>
                </pt>
                <pt idx="99">
                  <v>2.03</v>
                </pt>
                <pt idx="100">
                  <v>1.75</v>
                </pt>
                <pt idx="101">
                  <v>1.75</v>
                </pt>
                <pt idx="102">
                  <v>1.75</v>
                </pt>
                <pt idx="103">
                  <v>1.75</v>
                </pt>
                <pt idx="104">
                  <v>1.91</v>
                </pt>
                <pt idx="105">
                  <v>2</v>
                </pt>
                <pt idx="106">
                  <v>2.4</v>
                </pt>
                <pt idx="107">
                  <v>2.5</v>
                </pt>
                <pt idx="108">
                  <v>2.5</v>
                </pt>
                <pt idx="109">
                  <v>2.5</v>
                </pt>
                <pt idx="110">
                  <v>2.92</v>
                </pt>
                <pt idx="111">
                  <v>3</v>
                </pt>
                <pt idx="112">
                  <v>3.05</v>
                </pt>
                <pt idx="113">
                  <v>3.5</v>
                </pt>
                <pt idx="114">
                  <v>3.5</v>
                </pt>
                <pt idx="115">
                  <v>3.5</v>
                </pt>
                <pt idx="116">
                  <v>3.83</v>
                </pt>
                <pt idx="117">
                  <v>4</v>
                </pt>
                <pt idx="118">
                  <v>4</v>
                </pt>
                <pt idx="119">
                  <v>4</v>
                </pt>
                <pt idx="120">
                  <v>4</v>
                </pt>
                <pt idx="121">
                  <v>4</v>
                </pt>
                <pt idx="122">
                  <v>4</v>
                </pt>
                <pt idx="123">
                  <v>4</v>
                </pt>
                <pt idx="124">
                  <v>4</v>
                </pt>
                <pt idx="125">
                  <v>3.65</v>
                </pt>
                <pt idx="126">
                  <v>3.5</v>
                </pt>
                <pt idx="127">
                  <v>3.18</v>
                </pt>
                <pt idx="128">
                  <v>3</v>
                </pt>
                <pt idx="129">
                  <v>3</v>
                </pt>
                <pt idx="130">
                  <v>3</v>
                </pt>
                <pt idx="131">
                  <v>3</v>
                </pt>
                <pt idx="132">
                  <v>3</v>
                </pt>
                <pt idx="133">
                  <v>3</v>
                </pt>
                <pt idx="134">
                  <v>3</v>
                </pt>
                <pt idx="135">
                  <v>3</v>
                </pt>
                <pt idx="136">
                  <v>3</v>
                </pt>
                <pt idx="137">
                  <v>3</v>
                </pt>
                <pt idx="138">
                  <v>3</v>
                </pt>
                <pt idx="139">
                  <v>3</v>
                </pt>
                <pt idx="140">
                  <v>3</v>
                </pt>
                <pt idx="141">
                  <v>3</v>
                </pt>
                <pt idx="142">
                  <v>3</v>
                </pt>
                <pt idx="143">
                  <v>3</v>
                </pt>
                <pt idx="144">
                  <v>3</v>
                </pt>
                <pt idx="145">
                  <v>3</v>
                </pt>
                <pt idx="146">
                  <v>3</v>
                </pt>
                <pt idx="147">
                  <v>3</v>
                </pt>
                <pt idx="148">
                  <v>3</v>
                </pt>
                <pt idx="149">
                  <v>3</v>
                </pt>
                <pt idx="150">
                  <v>3</v>
                </pt>
                <pt idx="151">
                  <v>3</v>
                </pt>
                <pt idx="152">
                  <v>3</v>
                </pt>
                <pt idx="153">
                  <v>3</v>
                </pt>
                <pt idx="154">
                  <v>3</v>
                </pt>
                <pt idx="155">
                  <v>3</v>
                </pt>
                <pt idx="156">
                  <v>3</v>
                </pt>
                <pt idx="157">
                  <v>3</v>
                </pt>
                <pt idx="158">
                  <v>3</v>
                </pt>
                <pt idx="159">
                  <v>3</v>
                </pt>
                <pt idx="160">
                  <v>3</v>
                </pt>
                <pt idx="161">
                  <v>3</v>
                </pt>
                <pt idx="162">
                  <v>3.24</v>
                </pt>
                <pt idx="163">
                  <v>3.5</v>
                </pt>
                <pt idx="164">
                  <v>3.5</v>
                </pt>
                <pt idx="165">
                  <v>3.5</v>
                </pt>
                <pt idx="166">
                  <v>3.5</v>
                </pt>
                <pt idx="167">
                  <v>3.5</v>
                </pt>
                <pt idx="168">
                  <v>3.5</v>
                </pt>
                <pt idx="169">
                  <v>3.5</v>
                </pt>
                <pt idx="170">
                  <v>3.5</v>
                </pt>
                <pt idx="171">
                  <v>3.5</v>
                </pt>
                <pt idx="172">
                  <v>3.5</v>
                </pt>
                <pt idx="173">
                  <v>3.5</v>
                </pt>
                <pt idx="174">
                  <v>3.5</v>
                </pt>
                <pt idx="175">
                  <v>3.5</v>
                </pt>
                <pt idx="176">
                  <v>3.5</v>
                </pt>
                <pt idx="177">
                  <v>3.5</v>
                </pt>
                <pt idx="178">
                  <v>3.62</v>
                </pt>
                <pt idx="179">
                  <v>4</v>
                </pt>
                <pt idx="180">
                  <v>4</v>
                </pt>
                <pt idx="181">
                  <v>4</v>
                </pt>
                <pt idx="182">
                  <v>4</v>
                </pt>
                <pt idx="183">
                  <v>4</v>
                </pt>
                <pt idx="184">
                  <v>4</v>
                </pt>
                <pt idx="185">
                  <v>4</v>
                </pt>
                <pt idx="186">
                  <v>4</v>
                </pt>
                <pt idx="187">
                  <v>4</v>
                </pt>
                <pt idx="188">
                  <v>4</v>
                </pt>
                <pt idx="189">
                  <v>4</v>
                </pt>
                <pt idx="190">
                  <v>4</v>
                </pt>
                <pt idx="191">
                  <v>4.42</v>
                </pt>
                <pt idx="192">
                  <v>4.5</v>
                </pt>
                <pt idx="193">
                  <v>4.5</v>
                </pt>
                <pt idx="194">
                  <v>4.5</v>
                </pt>
                <pt idx="195">
                  <v>4.5</v>
                </pt>
                <pt idx="196">
                  <v>4.5</v>
                </pt>
                <pt idx="197">
                  <v>4.5</v>
                </pt>
                <pt idx="198">
                  <v>4.5</v>
                </pt>
                <pt idx="199">
                  <v>4.5</v>
                </pt>
                <pt idx="200">
                  <v>4.5</v>
                </pt>
                <pt idx="201">
                  <v>4.5</v>
                </pt>
                <pt idx="202">
                  <v>4.5</v>
                </pt>
                <pt idx="203">
                  <v>4.5</v>
                </pt>
                <pt idx="204">
                  <v>4.5</v>
                </pt>
                <pt idx="205">
                  <v>4.5</v>
                </pt>
                <pt idx="206">
                  <v>4.5</v>
                </pt>
                <pt idx="207">
                  <v>4.1</v>
                </pt>
                <pt idx="208">
                  <v>4</v>
                </pt>
                <pt idx="209">
                  <v>4</v>
                </pt>
                <pt idx="210">
                  <v>4</v>
                </pt>
                <pt idx="211">
                  <v>4</v>
                </pt>
                <pt idx="212">
                  <v>4</v>
                </pt>
                <pt idx="213">
                  <v>4</v>
                </pt>
                <pt idx="214">
                  <v>4.18</v>
                </pt>
                <pt idx="215">
                  <v>4.5</v>
                </pt>
                <pt idx="216">
                  <v>4.5</v>
                </pt>
                <pt idx="217">
                  <v>4.5</v>
                </pt>
                <pt idx="218">
                  <v>4.66</v>
                </pt>
                <pt idx="219">
                  <v>5.2</v>
                </pt>
                <pt idx="220">
                  <v>5.5</v>
                </pt>
                <pt idx="221">
                  <v>5.5</v>
                </pt>
                <pt idx="222">
                  <v>5.5</v>
                </pt>
                <pt idx="223">
                  <v>5.48</v>
                </pt>
                <pt idx="224">
                  <v>5.25</v>
                </pt>
                <pt idx="225">
                  <v>5.25</v>
                </pt>
                <pt idx="226">
                  <v>5.25</v>
                </pt>
                <pt idx="227">
                  <v>5.36</v>
                </pt>
                <pt idx="228">
                  <v>5.5</v>
                </pt>
                <pt idx="229">
                  <v>5.5</v>
                </pt>
                <pt idx="230">
                  <v>5.5</v>
                </pt>
                <pt idx="231">
                  <v>5.95</v>
                </pt>
                <pt idx="232">
                  <v>6</v>
                </pt>
                <pt idx="233">
                  <v>6</v>
                </pt>
                <pt idx="234">
                  <v>6</v>
                </pt>
                <pt idx="235">
                  <v>6</v>
                </pt>
                <pt idx="236">
                  <v>6</v>
                </pt>
                <pt idx="237">
                  <v>6</v>
                </pt>
                <pt idx="238">
                  <v>6</v>
                </pt>
                <pt idx="239">
                  <v>6</v>
                </pt>
                <pt idx="240">
                  <v>6</v>
                </pt>
                <pt idx="241">
                  <v>6</v>
                </pt>
                <pt idx="242">
                  <v>6</v>
                </pt>
                <pt idx="243">
                  <v>6</v>
                </pt>
                <pt idx="244">
                  <v>6</v>
                </pt>
                <pt idx="245">
                  <v>6</v>
                </pt>
                <pt idx="246">
                  <v>6</v>
                </pt>
                <pt idx="247">
                  <v>6</v>
                </pt>
                <pt idx="248">
                  <v>6</v>
                </pt>
                <pt idx="249">
                  <v>6</v>
                </pt>
                <pt idx="250">
                  <v>5.85</v>
                </pt>
                <pt idx="251">
                  <v>5.52</v>
                </pt>
                <pt idx="252">
                  <v>5.23</v>
                </pt>
                <pt idx="253">
                  <v>4.91</v>
                </pt>
                <pt idx="254">
                  <v>4.75</v>
                </pt>
                <pt idx="255">
                  <v>4.75</v>
                </pt>
                <pt idx="256">
                  <v>4.75</v>
                </pt>
                <pt idx="257">
                  <v>4.75</v>
                </pt>
                <pt idx="258">
                  <v>4.88</v>
                </pt>
                <pt idx="259">
                  <v>5</v>
                </pt>
                <pt idx="260">
                  <v>5</v>
                </pt>
                <pt idx="261">
                  <v>5</v>
                </pt>
                <pt idx="262">
                  <v>4.9</v>
                </pt>
                <pt idx="263">
                  <v>4.63</v>
                </pt>
                <pt idx="264">
                  <v>4.5</v>
                </pt>
                <pt idx="265">
                  <v>4.5</v>
                </pt>
                <pt idx="266">
                  <v>4.5</v>
                </pt>
                <pt idx="267">
                  <v>4.5</v>
                </pt>
                <pt idx="268">
                  <v>4.5</v>
                </pt>
                <pt idx="269">
                  <v>4.5</v>
                </pt>
                <pt idx="270">
                  <v>4.5</v>
                </pt>
                <pt idx="271">
                  <v>4.5</v>
                </pt>
                <pt idx="272">
                  <v>4.5</v>
                </pt>
                <pt idx="273">
                  <v>4.5</v>
                </pt>
                <pt idx="274">
                  <v>4.5</v>
                </pt>
                <pt idx="275">
                  <v>4.5</v>
                </pt>
                <pt idx="276">
                  <v>4.77</v>
                </pt>
                <pt idx="277">
                  <v>5.05</v>
                </pt>
                <pt idx="278">
                  <v>5.5</v>
                </pt>
                <pt idx="279">
                  <v>5.5</v>
                </pt>
                <pt idx="280">
                  <v>5.9</v>
                </pt>
                <pt idx="281">
                  <v>6.33</v>
                </pt>
                <pt idx="282">
                  <v>6.98</v>
                </pt>
                <pt idx="283">
                  <v>7.29</v>
                </pt>
                <pt idx="284">
                  <v>7.5</v>
                </pt>
                <pt idx="285">
                  <v>7.5</v>
                </pt>
                <pt idx="286">
                  <v>7.5</v>
                </pt>
                <pt idx="287">
                  <v>7.5</v>
                </pt>
                <pt idx="288">
                  <v>7.5</v>
                </pt>
                <pt idx="289">
                  <v>7.5</v>
                </pt>
                <pt idx="290">
                  <v>7.5</v>
                </pt>
                <pt idx="291">
                  <v>7.6</v>
                </pt>
                <pt idx="292">
                  <v>8</v>
                </pt>
                <pt idx="293">
                  <v>8</v>
                </pt>
                <pt idx="294">
                  <v>8</v>
                </pt>
                <pt idx="295">
                  <v>8</v>
                </pt>
                <pt idx="296">
                  <v>8</v>
                </pt>
                <pt idx="297">
                  <v>8</v>
                </pt>
                <pt idx="298">
                  <v>8</v>
                </pt>
                <pt idx="299">
                  <v>7.81</v>
                </pt>
                <pt idx="300">
                  <v>7.4</v>
                </pt>
                <pt idx="301">
                  <v>6.82</v>
                </pt>
                <pt idx="302">
                  <v>6.4</v>
                </pt>
                <pt idx="303">
                  <v>6.25</v>
                </pt>
                <pt idx="304">
                  <v>6.12</v>
                </pt>
                <pt idx="305">
                  <v>6</v>
                </pt>
                <pt idx="306">
                  <v>6</v>
                </pt>
                <pt idx="307">
                  <v>6</v>
                </pt>
                <pt idx="308">
                  <v>6</v>
                </pt>
                <pt idx="309">
                  <v>6</v>
                </pt>
                <pt idx="310">
                  <v>6</v>
                </pt>
                <pt idx="311">
                  <v>6</v>
                </pt>
                <pt idx="312">
                  <v>5.79</v>
                </pt>
                <pt idx="313">
                  <v>5.5</v>
                </pt>
                <pt idx="314">
                  <v>5.5</v>
                </pt>
                <pt idx="315">
                  <v>5.5</v>
                </pt>
                <pt idx="316">
                  <v>5.5</v>
                </pt>
                <pt idx="317">
                  <v>5.5</v>
                </pt>
                <pt idx="318">
                  <v>5.5</v>
                </pt>
                <pt idx="319">
                  <v>5.5</v>
                </pt>
                <pt idx="320">
                  <v>5.5</v>
                </pt>
                <pt idx="321">
                  <v>5.5</v>
                </pt>
                <pt idx="322">
                  <v>5.43</v>
                </pt>
                <pt idx="323">
                  <v>5.25</v>
                </pt>
                <pt idx="324">
                  <v>5.25</v>
                </pt>
                <pt idx="325">
                  <v>5.25</v>
                </pt>
                <pt idx="326">
                  <v>5.25</v>
                </pt>
                <pt idx="327">
                  <v>5.25</v>
                </pt>
                <pt idx="328">
                  <v>5.25</v>
                </pt>
                <pt idx="329">
                  <v>5.25</v>
                </pt>
                <pt idx="330">
                  <v>5.25</v>
                </pt>
                <pt idx="331">
                  <v>5.27</v>
                </pt>
                <pt idx="332">
                  <v>5.75</v>
                </pt>
                <pt idx="333">
                  <v>5.8</v>
                </pt>
                <pt idx="334">
                  <v>6</v>
                </pt>
                <pt idx="335">
                  <v>6</v>
                </pt>
                <pt idx="336">
                  <v>6.37</v>
                </pt>
                <pt idx="337">
                  <v>6.5</v>
                </pt>
                <pt idx="338">
                  <v>6.5</v>
                </pt>
                <pt idx="339">
                  <v>6.5</v>
                </pt>
                <pt idx="340">
                  <v>6.84</v>
                </pt>
                <pt idx="341">
                  <v>7</v>
                </pt>
                <pt idx="342">
                  <v>7.23</v>
                </pt>
                <pt idx="343">
                  <v>7.43</v>
                </pt>
                <pt idx="344">
                  <v>7.83</v>
                </pt>
                <pt idx="345">
                  <v>8.26</v>
                </pt>
                <pt idx="346">
                  <v>9.5</v>
                </pt>
                <pt idx="347">
                  <v>9.5</v>
                </pt>
                <pt idx="348">
                  <v>9.5</v>
                </pt>
                <pt idx="349">
                  <v>9.5</v>
                </pt>
                <pt idx="350">
                  <v>9.5</v>
                </pt>
                <pt idx="351">
                  <v>9.5</v>
                </pt>
                <pt idx="352">
                  <v>9.5</v>
                </pt>
                <pt idx="353">
                  <v>9.5</v>
                </pt>
                <pt idx="354">
                  <v>9.69</v>
                </pt>
                <pt idx="355">
                  <v>10.24</v>
                </pt>
                <pt idx="356">
                  <v>10.7</v>
                </pt>
                <pt idx="357">
                  <v>11.77</v>
                </pt>
                <pt idx="358">
                  <v>12</v>
                </pt>
                <pt idx="359">
                  <v>12</v>
                </pt>
                <pt idx="360">
                  <v>12</v>
                </pt>
                <pt idx="361">
                  <v>12.52</v>
                </pt>
                <pt idx="362">
                  <v>13</v>
                </pt>
                <pt idx="363">
                  <v>13</v>
                </pt>
                <pt idx="364">
                  <v>12.94</v>
                </pt>
                <pt idx="365">
                  <v>11.4</v>
                </pt>
                <pt idx="366">
                  <v>10.87</v>
                </pt>
                <pt idx="367">
                  <v>10</v>
                </pt>
                <pt idx="368">
                  <v>10.17</v>
                </pt>
                <pt idx="369">
                  <v>11</v>
                </pt>
                <pt idx="370">
                  <v>11.47</v>
                </pt>
                <pt idx="371">
                  <v>12.87</v>
                </pt>
                <pt idx="372">
                  <v>13</v>
                </pt>
                <pt idx="373">
                  <v>13</v>
                </pt>
                <pt idx="374">
                  <v>13</v>
                </pt>
                <pt idx="375">
                  <v>13</v>
                </pt>
                <pt idx="376">
                  <v>13.87</v>
                </pt>
                <pt idx="377">
                  <v>14</v>
                </pt>
                <pt idx="378">
                  <v>14</v>
                </pt>
                <pt idx="379">
                  <v>14</v>
                </pt>
                <pt idx="380">
                  <v>14</v>
                </pt>
                <pt idx="381">
                  <v>14</v>
                </pt>
                <pt idx="382">
                  <v>13.03</v>
                </pt>
                <pt idx="383">
                  <v>12.1</v>
                </pt>
                <pt idx="384">
                  <v>12</v>
                </pt>
                <pt idx="385">
                  <v>12</v>
                </pt>
                <pt idx="386">
                  <v>12</v>
                </pt>
                <pt idx="387">
                  <v>12</v>
                </pt>
                <pt idx="388">
                  <v>12</v>
                </pt>
                <pt idx="389">
                  <v>12</v>
                </pt>
                <pt idx="390">
                  <v>11.81</v>
                </pt>
                <pt idx="391">
                  <v>10.68</v>
                </pt>
                <pt idx="392">
                  <v>10</v>
                </pt>
                <pt idx="393">
                  <v>9.68</v>
                </pt>
                <pt idx="394">
                  <v>9.35</v>
                </pt>
                <pt idx="395">
                  <v>8.73</v>
                </pt>
                <pt idx="396">
                  <v>8.5</v>
                </pt>
                <pt idx="397">
                  <v>8.5</v>
                </pt>
                <pt idx="398">
                  <v>8.5</v>
                </pt>
                <pt idx="399">
                  <v>8.5</v>
                </pt>
                <pt idx="400">
                  <v>8.5</v>
                </pt>
                <pt idx="401">
                  <v>8.5</v>
                </pt>
                <pt idx="402">
                  <v>8.5</v>
                </pt>
                <pt idx="403">
                  <v>8.5</v>
                </pt>
                <pt idx="404">
                  <v>8.5</v>
                </pt>
                <pt idx="405">
                  <v>8.5</v>
                </pt>
                <pt idx="406">
                  <v>8.5</v>
                </pt>
                <pt idx="407">
                  <v>8.5</v>
                </pt>
                <pt idx="408">
                  <v>8.5</v>
                </pt>
                <pt idx="409">
                  <v>8.5</v>
                </pt>
                <pt idx="410">
                  <v>8.5</v>
                </pt>
                <pt idx="411">
                  <v>8.869999999999999</v>
                </pt>
                <pt idx="412">
                  <v>9</v>
                </pt>
                <pt idx="413">
                  <v>9</v>
                </pt>
                <pt idx="414">
                  <v>9</v>
                </pt>
                <pt idx="415">
                  <v>9</v>
                </pt>
                <pt idx="416">
                  <v>9</v>
                </pt>
                <pt idx="417">
                  <v>9</v>
                </pt>
                <pt idx="418">
                  <v>8.83</v>
                </pt>
                <pt idx="419">
                  <v>8.369999999999999</v>
                </pt>
                <pt idx="420">
                  <v>8</v>
                </pt>
                <pt idx="421">
                  <v>8</v>
                </pt>
                <pt idx="422">
                  <v>8</v>
                </pt>
                <pt idx="423">
                  <v>8</v>
                </pt>
                <pt idx="424">
                  <v>7.81</v>
                </pt>
                <pt idx="425">
                  <v>7.5</v>
                </pt>
                <pt idx="426">
                  <v>7.5</v>
                </pt>
                <pt idx="427">
                  <v>7.5</v>
                </pt>
                <pt idx="428">
                  <v>7.5</v>
                </pt>
                <pt idx="429">
                  <v>7.5</v>
                </pt>
                <pt idx="430">
                  <v>7.5</v>
                </pt>
                <pt idx="431">
                  <v>7.5</v>
                </pt>
                <pt idx="432">
                  <v>7.5</v>
                </pt>
                <pt idx="433">
                  <v>7.5</v>
                </pt>
                <pt idx="434">
                  <v>7.1</v>
                </pt>
                <pt idx="435">
                  <v>6.83</v>
                </pt>
                <pt idx="436">
                  <v>6.5</v>
                </pt>
                <pt idx="437">
                  <v>6.5</v>
                </pt>
                <pt idx="438">
                  <v>6.16</v>
                </pt>
                <pt idx="439">
                  <v>5.82</v>
                </pt>
                <pt idx="440">
                  <v>5.5</v>
                </pt>
                <pt idx="441">
                  <v>5.5</v>
                </pt>
                <pt idx="442">
                  <v>5.5</v>
                </pt>
                <pt idx="443">
                  <v>5.5</v>
                </pt>
                <pt idx="444">
                  <v>5.5</v>
                </pt>
                <pt idx="445">
                  <v>5.5</v>
                </pt>
                <pt idx="446">
                  <v>5.5</v>
                </pt>
                <pt idx="447">
                  <v>5.5</v>
                </pt>
                <pt idx="448">
                  <v>5.5</v>
                </pt>
                <pt idx="449">
                  <v>5.5</v>
                </pt>
                <pt idx="450">
                  <v>5.5</v>
                </pt>
                <pt idx="451">
                  <v>5.5</v>
                </pt>
                <pt idx="452">
                  <v>5.95</v>
                </pt>
                <pt idx="453">
                  <v>6</v>
                </pt>
                <pt idx="454">
                  <v>6</v>
                </pt>
                <pt idx="455">
                  <v>6</v>
                </pt>
                <pt idx="456">
                  <v>6</v>
                </pt>
                <pt idx="457">
                  <v>6</v>
                </pt>
                <pt idx="458">
                  <v>6</v>
                </pt>
                <pt idx="459">
                  <v>6</v>
                </pt>
                <pt idx="460">
                  <v>6</v>
                </pt>
                <pt idx="461">
                  <v>6</v>
                </pt>
                <pt idx="462">
                  <v>6</v>
                </pt>
                <pt idx="463">
                  <v>6.37</v>
                </pt>
                <pt idx="464">
                  <v>6.5</v>
                </pt>
                <pt idx="465">
                  <v>6.5</v>
                </pt>
                <pt idx="466">
                  <v>6.5</v>
                </pt>
                <pt idx="467">
                  <v>6.5</v>
                </pt>
                <pt idx="468">
                  <v>6.5</v>
                </pt>
                <pt idx="469">
                  <v>6.59</v>
                </pt>
                <pt idx="470">
                  <v>7</v>
                </pt>
                <pt idx="471">
                  <v>7</v>
                </pt>
                <pt idx="472">
                  <v>7</v>
                </pt>
                <pt idx="473">
                  <v>7</v>
                </pt>
                <pt idx="474">
                  <v>7</v>
                </pt>
                <pt idx="475">
                  <v>7</v>
                </pt>
                <pt idx="476">
                  <v>7</v>
                </pt>
                <pt idx="477">
                  <v>7</v>
                </pt>
                <pt idx="478">
                  <v>7</v>
                </pt>
                <pt idx="479">
                  <v>7</v>
                </pt>
                <pt idx="480">
                  <v>7</v>
                </pt>
                <pt idx="481">
                  <v>7</v>
                </pt>
                <pt idx="482">
                  <v>7</v>
                </pt>
                <pt idx="483">
                  <v>7</v>
                </pt>
                <pt idx="484">
                  <v>7</v>
                </pt>
                <pt idx="485">
                  <v>7</v>
                </pt>
                <pt idx="486">
                  <v>7</v>
                </pt>
                <pt idx="487">
                  <v>7</v>
                </pt>
                <pt idx="488">
                  <v>7</v>
                </pt>
                <pt idx="489">
                  <v>7</v>
                </pt>
                <pt idx="490">
                  <v>7</v>
                </pt>
                <pt idx="491">
                  <v>6.79</v>
                </pt>
                <pt idx="492">
                  <v>6.5</v>
                </pt>
                <pt idx="493">
                  <v>6</v>
                </pt>
                <pt idx="494">
                  <v>6</v>
                </pt>
                <pt idx="495">
                  <v>5.98</v>
                </pt>
                <pt idx="496">
                  <v>5.5</v>
                </pt>
                <pt idx="497">
                  <v>5.5</v>
                </pt>
                <pt idx="498">
                  <v>5.5</v>
                </pt>
                <pt idx="499">
                  <v>5.5</v>
                </pt>
                <pt idx="500">
                  <v>5.2</v>
                </pt>
                <pt idx="501">
                  <v>5</v>
                </pt>
                <pt idx="502">
                  <v>4.58</v>
                </pt>
                <pt idx="503">
                  <v>4.11</v>
                </pt>
                <pt idx="504">
                  <v>3.5</v>
                </pt>
                <pt idx="505">
                  <v>3.5</v>
                </pt>
                <pt idx="506">
                  <v>3.5</v>
                </pt>
                <pt idx="507">
                  <v>3.5</v>
                </pt>
                <pt idx="508">
                  <v>3.5</v>
                </pt>
                <pt idx="509">
                  <v>3.5</v>
                </pt>
                <pt idx="510">
                  <v>3.02</v>
                </pt>
                <pt idx="511">
                  <v>3</v>
                </pt>
                <pt idx="512">
                  <v>3</v>
                </pt>
                <pt idx="513">
                  <v>3</v>
                </pt>
                <pt idx="514">
                  <v>3</v>
                </pt>
                <pt idx="515">
                  <v>3</v>
                </pt>
                <pt idx="516">
                  <v>3</v>
                </pt>
                <pt idx="517">
                  <v>3</v>
                </pt>
                <pt idx="518">
                  <v>3</v>
                </pt>
                <pt idx="519">
                  <v>3</v>
                </pt>
                <pt idx="520">
                  <v>3</v>
                </pt>
                <pt idx="521">
                  <v>3</v>
                </pt>
                <pt idx="522">
                  <v>3</v>
                </pt>
                <pt idx="523">
                  <v>3</v>
                </pt>
                <pt idx="524">
                  <v>3</v>
                </pt>
                <pt idx="525">
                  <v>3</v>
                </pt>
                <pt idx="526">
                  <v>3</v>
                </pt>
                <pt idx="527">
                  <v>3</v>
                </pt>
                <pt idx="528">
                  <v>3</v>
                </pt>
                <pt idx="529">
                  <v>3</v>
                </pt>
                <pt idx="530">
                  <v>3</v>
                </pt>
                <pt idx="531">
                  <v>3</v>
                </pt>
                <pt idx="532">
                  <v>3.24</v>
                </pt>
                <pt idx="533">
                  <v>3.5</v>
                </pt>
                <pt idx="534">
                  <v>3.5</v>
                </pt>
                <pt idx="535">
                  <v>3.76</v>
                </pt>
                <pt idx="536">
                  <v>4</v>
                </pt>
                <pt idx="537">
                  <v>4</v>
                </pt>
                <pt idx="538">
                  <v>4.4</v>
                </pt>
                <pt idx="539">
                  <v>4.75</v>
                </pt>
                <pt idx="540">
                  <v>4.75</v>
                </pt>
                <pt idx="541">
                  <v>5.25</v>
                </pt>
                <pt idx="542">
                  <v>5.25</v>
                </pt>
                <pt idx="543">
                  <v>5.25</v>
                </pt>
                <pt idx="544">
                  <v>5.25</v>
                </pt>
                <pt idx="545">
                  <v>5.25</v>
                </pt>
                <pt idx="546">
                  <v>5.25</v>
                </pt>
                <pt idx="547">
                  <v>5.25</v>
                </pt>
                <pt idx="548">
                  <v>5.25</v>
                </pt>
                <pt idx="549">
                  <v>5.25</v>
                </pt>
                <pt idx="550">
                  <v>5.25</v>
                </pt>
                <pt idx="551">
                  <v>5.25</v>
                </pt>
                <pt idx="552">
                  <v>5.24</v>
                </pt>
                <pt idx="553">
                  <v>5</v>
                </pt>
                <pt idx="554">
                  <v>5</v>
                </pt>
                <pt idx="555">
                  <v>5</v>
                </pt>
                <pt idx="556">
                  <v>5</v>
                </pt>
                <pt idx="557">
                  <v>5</v>
                </pt>
                <pt idx="558">
                  <v>5</v>
                </pt>
                <pt idx="559">
                  <v>5</v>
                </pt>
                <pt idx="560">
                  <v>5</v>
                </pt>
                <pt idx="561">
                  <v>5</v>
                </pt>
                <pt idx="562">
                  <v>5</v>
                </pt>
                <pt idx="563">
                  <v>5</v>
                </pt>
                <pt idx="564">
                  <v>5</v>
                </pt>
                <pt idx="565">
                  <v>5</v>
                </pt>
                <pt idx="566">
                  <v>5</v>
                </pt>
                <pt idx="567">
                  <v>5</v>
                </pt>
                <pt idx="568">
                  <v>5</v>
                </pt>
                <pt idx="569">
                  <v>5</v>
                </pt>
                <pt idx="570">
                  <v>5</v>
                </pt>
                <pt idx="571">
                  <v>5</v>
                </pt>
                <pt idx="572">
                  <v>5</v>
                </pt>
                <pt idx="573">
                  <v>5</v>
                </pt>
                <pt idx="574">
                  <v>5</v>
                </pt>
                <pt idx="575">
                  <v>5</v>
                </pt>
                <pt idx="576">
                  <v>5</v>
                </pt>
                <pt idx="577">
                  <v>5</v>
                </pt>
                <pt idx="578">
                  <v>5</v>
                </pt>
                <pt idx="579">
                  <v>5</v>
                </pt>
                <pt idx="580">
                  <v>5</v>
                </pt>
                <pt idx="581">
                  <v>5</v>
                </pt>
                <pt idx="582">
                  <v>5</v>
                </pt>
                <pt idx="583">
                  <v>5</v>
                </pt>
                <pt idx="584">
                  <v>5</v>
                </pt>
                <pt idx="585">
                  <v>4.86</v>
                </pt>
                <pt idx="586">
                  <v>4.63</v>
                </pt>
                <pt idx="587">
                  <v>4.5</v>
                </pt>
                <pt idx="588">
                  <v>4.5</v>
                </pt>
                <pt idx="589">
                  <v>4.5</v>
                </pt>
                <pt idx="590">
                  <v>4.5</v>
                </pt>
                <pt idx="591">
                  <v>4.5</v>
                </pt>
                <pt idx="592">
                  <v>4.5</v>
                </pt>
                <pt idx="593">
                  <v>4.5</v>
                </pt>
                <pt idx="594">
                  <v>4.5</v>
                </pt>
                <pt idx="595">
                  <v>4.56</v>
                </pt>
                <pt idx="596">
                  <v>4.75</v>
                </pt>
                <pt idx="597">
                  <v>4.75</v>
                </pt>
                <pt idx="598">
                  <v>4.86</v>
                </pt>
                <pt idx="599">
                  <v>5</v>
                </pt>
                <pt idx="600">
                  <v>5</v>
                </pt>
                <pt idx="601">
                  <v>5.24</v>
                </pt>
                <pt idx="602">
                  <v>5.34</v>
                </pt>
                <pt idx="603">
                  <v>5.5</v>
                </pt>
                <pt idx="604">
                  <v>5.71</v>
                </pt>
                <pt idx="605">
                  <v>6</v>
                </pt>
                <pt idx="606">
                  <v>6</v>
                </pt>
                <pt idx="607">
                  <v>6</v>
                </pt>
                <pt idx="608">
                  <v>6</v>
                </pt>
                <pt idx="609">
                  <v>6</v>
                </pt>
                <pt idx="610">
                  <v>6</v>
                </pt>
                <pt idx="611">
                  <v>6</v>
                </pt>
                <pt idx="612">
                  <v>5.52</v>
                </pt>
                <pt idx="613">
                  <v>5</v>
                </pt>
                <pt idx="614">
                  <v>4.81</v>
                </pt>
                <pt idx="615">
                  <v>4.28</v>
                </pt>
                <pt idx="616">
                  <v>3.73</v>
                </pt>
                <pt idx="617">
                  <v>3.47</v>
                </pt>
                <pt idx="618">
                  <v>3.25</v>
                </pt>
                <pt idx="619">
                  <v>3.16</v>
                </pt>
                <pt idx="620">
                  <v>2.77</v>
                </pt>
                <pt idx="621">
                  <v>2.02</v>
                </pt>
                <pt idx="622">
                  <v>1.58</v>
                </pt>
                <pt idx="623">
                  <v>1.33</v>
                </pt>
                <pt idx="624">
                  <v>1.25</v>
                </pt>
                <pt idx="625">
                  <v>1.25</v>
                </pt>
                <pt idx="626">
                  <v>1.25</v>
                </pt>
                <pt idx="627">
                  <v>1.25</v>
                </pt>
                <pt idx="628">
                  <v>1.25</v>
                </pt>
                <pt idx="629">
                  <v>1.25</v>
                </pt>
                <pt idx="630">
                  <v>1.25</v>
                </pt>
                <pt idx="631">
                  <v>1.25</v>
                </pt>
                <pt idx="632">
                  <v>1.25</v>
                </pt>
                <pt idx="633">
                  <v>1.25</v>
                </pt>
                <pt idx="634">
                  <v>0.83</v>
                </pt>
                <pt idx="635">
                  <v>0.75</v>
                </pt>
                <pt idx="636">
                  <v>2.25</v>
                </pt>
                <pt idx="637">
                  <v>2.25</v>
                </pt>
                <pt idx="638">
                  <v>2.25</v>
                </pt>
                <pt idx="639">
                  <v>2.25</v>
                </pt>
                <pt idx="640">
                  <v>2.25</v>
                </pt>
                <pt idx="641">
                  <v>2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2.25</v>
                </pt>
                <pt idx="654">
                  <v>2.25</v>
                </pt>
                <pt idx="655">
                  <v>2.5</v>
                </pt>
                <pt idx="656">
                  <v>2.75</v>
                </pt>
                <pt idx="657">
                  <v>2.75</v>
                </pt>
                <pt idx="658">
                  <v>3</v>
                </pt>
                <pt idx="659">
                  <v>3.25</v>
                </pt>
                <pt idx="660">
                  <v>3.25</v>
                </pt>
                <pt idx="661">
                  <v>3.5</v>
                </pt>
                <pt idx="662">
                  <v>3.75</v>
                </pt>
                <pt idx="663">
                  <v>3.75</v>
                </pt>
                <pt idx="664">
                  <v>4</v>
                </pt>
                <pt idx="665">
                  <v>4.25</v>
                </pt>
                <pt idx="666">
                  <v>4.25</v>
                </pt>
                <pt idx="667">
                  <v>4.5</v>
                </pt>
                <pt idx="668">
                  <v>4.75</v>
                </pt>
                <pt idx="669">
                  <v>4.75</v>
                </pt>
                <pt idx="670">
                  <v>5</v>
                </pt>
                <pt idx="671">
                  <v>5.25</v>
                </pt>
                <pt idx="672">
                  <v>5.5</v>
                </pt>
                <pt idx="673">
                  <v>5.5</v>
                </pt>
                <pt idx="674">
                  <v>5.75</v>
                </pt>
                <pt idx="675">
                  <v>5.75</v>
                </pt>
                <pt idx="676">
                  <v>6</v>
                </pt>
                <pt idx="677">
                  <v>6.25</v>
                </pt>
                <pt idx="678">
                  <v>6.25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5.75</v>
                </pt>
                <pt idx="692">
                  <v>5.25</v>
                </pt>
                <pt idx="693">
                  <v>5</v>
                </pt>
                <pt idx="694">
                  <v>5</v>
                </pt>
                <pt idx="695">
                  <v>4.75</v>
                </pt>
                <pt idx="696">
                  <v>3.5</v>
                </pt>
                <pt idx="697">
                  <v>3.5</v>
                </pt>
                <pt idx="698">
                  <v>2.5</v>
                </pt>
                <pt idx="699">
                  <v>2.25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1.25</v>
                </pt>
                <pt idx="706">
                  <v>1.25</v>
                </pt>
                <pt idx="707">
                  <v>0.5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0.75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1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1.25</v>
                </pt>
                <pt idx="804">
                  <v>1.25</v>
                </pt>
                <pt idx="805">
                  <v>1.25</v>
                </pt>
                <pt idx="806">
                  <v>1.5</v>
                </pt>
                <pt idx="807">
                  <v>1.5</v>
                </pt>
                <pt idx="808">
                  <v>1.5</v>
                </pt>
                <pt idx="809">
                  <v>1.75</v>
                </pt>
                <pt idx="810">
                  <v>1.75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2</v>
                </pt>
                <pt idx="816">
                  <v>2</v>
                </pt>
                <pt idx="817">
                  <v>2</v>
                </pt>
                <pt idx="818">
                  <v>2.25</v>
                </pt>
                <pt idx="819">
                  <v>2.25</v>
                </pt>
                <pt idx="820">
                  <v>2.25</v>
                </pt>
                <pt idx="821">
                  <v>2.5</v>
                </pt>
                <pt idx="822">
                  <v>2.5</v>
                </pt>
                <pt idx="823">
                  <v>2.5</v>
                </pt>
                <pt idx="824">
                  <v>2.75</v>
                </pt>
                <pt idx="825">
                  <v>2.75</v>
                </pt>
                <pt idx="826">
                  <v>2.75</v>
                </pt>
                <pt idx="827">
                  <v>3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2.5</v>
                </pt>
                <pt idx="837">
                  <v>2.25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0.25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06149272"/>
        <axId val="906148944"/>
      </lineChart>
      <dateAx>
        <axId val="9061492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8944"/>
        <crosses val="autoZero"/>
        <lblOffset val="100"/>
        <baseTimeUnit val="months"/>
      </dateAx>
      <valAx>
        <axId val="90614894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9272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Rate'!$A$8:$A$824</f>
              <numCache>
                <formatCode>yyyy\-mm\-dd</formatCode>
                <ptCount val="817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  <pt idx="812">
                  <v>44621</v>
                </pt>
                <pt idx="813">
                  <v>44652</v>
                </pt>
                <pt idx="814">
                  <v>44682</v>
                </pt>
                <pt idx="815">
                  <v>44713</v>
                </pt>
                <pt idx="816">
                  <v>44743</v>
                </pt>
              </numCache>
            </numRef>
          </cat>
          <val>
            <numRef>
              <f>'Fed Funds Rate'!$B$8:$B$824</f>
              <numCache>
                <formatCode>0.00</formatCode>
                <ptCount val="817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0.08</v>
                </pt>
                <pt idx="812">
                  <v>0.2</v>
                </pt>
                <pt idx="813">
                  <v>0.33</v>
                </pt>
                <pt idx="814">
                  <v>0.77</v>
                </pt>
                <pt idx="815">
                  <v>1.21</v>
                </pt>
                <pt idx="816">
                  <v>1.68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new'!$A$7:$A$772</f>
              <numCache>
                <formatCode>m/d/yy</formatCode>
                <ptCount val="766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</numCache>
            </numRef>
          </cat>
          <val>
            <numRef>
              <f>'M2 new'!$B$7:$B$772</f>
              <numCache>
                <formatCode>0.0</formatCode>
                <ptCount val="766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4880.3</v>
                </pt>
                <pt idx="503">
                  <v>4925</v>
                </pt>
                <pt idx="504">
                  <v>4975.7</v>
                </pt>
                <pt idx="505">
                  <v>5014.1</v>
                </pt>
                <pt idx="506">
                  <v>5072</v>
                </pt>
                <pt idx="507">
                  <v>5135.9</v>
                </pt>
                <pt idx="508">
                  <v>5133</v>
                </pt>
                <pt idx="509">
                  <v>5173.5</v>
                </pt>
                <pt idx="510">
                  <v>5203.4</v>
                </pt>
                <pt idx="511">
                  <v>5237.2</v>
                </pt>
                <pt idx="512">
                  <v>5348.4</v>
                </pt>
                <pt idx="513">
                  <v>5337.1</v>
                </pt>
                <pt idx="514">
                  <v>5380.8</v>
                </pt>
                <pt idx="515">
                  <v>5433.8</v>
                </pt>
                <pt idx="516">
                  <v>5454.1</v>
                </pt>
                <pt idx="517">
                  <v>5483.4</v>
                </pt>
                <pt idx="518">
                  <v>5495.2</v>
                </pt>
                <pt idx="519">
                  <v>5495.4</v>
                </pt>
                <pt idx="520">
                  <v>5521.5</v>
                </pt>
                <pt idx="521">
                  <v>5546.5</v>
                </pt>
                <pt idx="522">
                  <v>5589.1</v>
                </pt>
                <pt idx="523">
                  <v>5631.6</v>
                </pt>
                <pt idx="524">
                  <v>5656</v>
                </pt>
                <pt idx="525">
                  <v>5700.4</v>
                </pt>
                <pt idx="526">
                  <v>5750.6</v>
                </pt>
                <pt idx="527">
                  <v>5772</v>
                </pt>
                <pt idx="528">
                  <v>5804.6</v>
                </pt>
                <pt idx="529">
                  <v>5840.7</v>
                </pt>
                <pt idx="530">
                  <v>5861.4</v>
                </pt>
                <pt idx="531">
                  <v>5898.8</v>
                </pt>
                <pt idx="532">
                  <v>5959.3</v>
                </pt>
                <pt idx="533">
                  <v>5996</v>
                </pt>
                <pt idx="534">
                  <v>6042.7</v>
                </pt>
                <pt idx="535">
                  <v>6100.8</v>
                </pt>
                <pt idx="536">
                  <v>6072.8</v>
                </pt>
                <pt idx="537">
                  <v>6063.6</v>
                </pt>
                <pt idx="538">
                  <v>6069.1</v>
                </pt>
                <pt idx="539">
                  <v>6067.3</v>
                </pt>
                <pt idx="540">
                  <v>6075.5</v>
                </pt>
                <pt idx="541">
                  <v>6114.3</v>
                </pt>
                <pt idx="542">
                  <v>6150.1</v>
                </pt>
                <pt idx="543">
                  <v>6191.2</v>
                </pt>
                <pt idx="544">
                  <v>6268.1</v>
                </pt>
                <pt idx="545">
                  <v>6270.5</v>
                </pt>
                <pt idx="546">
                  <v>6284.3</v>
                </pt>
                <pt idx="547">
                  <v>6310.6</v>
                </pt>
                <pt idx="548">
                  <v>6345.3</v>
                </pt>
                <pt idx="549">
                  <v>6373.3</v>
                </pt>
                <pt idx="550">
                  <v>6399.8</v>
                </pt>
                <pt idx="551">
                  <v>6418.3</v>
                </pt>
                <pt idx="552">
                  <v>6424.5</v>
                </pt>
                <pt idx="553">
                  <v>6432.8</v>
                </pt>
                <pt idx="554">
                  <v>6441.9</v>
                </pt>
                <pt idx="555">
                  <v>6455.9</v>
                </pt>
                <pt idx="556">
                  <v>6473.3</v>
                </pt>
                <pt idx="557">
                  <v>6505.8</v>
                </pt>
                <pt idx="558">
                  <v>6537.4</v>
                </pt>
                <pt idx="559">
                  <v>6570.2</v>
                </pt>
                <pt idx="560">
                  <v>6604.3</v>
                </pt>
                <pt idx="561">
                  <v>6638.6</v>
                </pt>
                <pt idx="562">
                  <v>6655</v>
                </pt>
                <pt idx="563">
                  <v>6681.9</v>
                </pt>
                <pt idx="564">
                  <v>6724.3</v>
                </pt>
                <pt idx="565">
                  <v>6748.6</v>
                </pt>
                <pt idx="566">
                  <v>6762.9</v>
                </pt>
                <pt idx="567">
                  <v>6800.1</v>
                </pt>
                <pt idx="568">
                  <v>6806.9</v>
                </pt>
                <pt idx="569">
                  <v>6844.9</v>
                </pt>
                <pt idx="570">
                  <v>6886.3</v>
                </pt>
                <pt idx="571">
                  <v>6917.1</v>
                </pt>
                <pt idx="572">
                  <v>6944.2</v>
                </pt>
                <pt idx="573">
                  <v>6993.3</v>
                </pt>
                <pt idx="574">
                  <v>7028.4</v>
                </pt>
                <pt idx="575">
                  <v>7071.6</v>
                </pt>
                <pt idx="576">
                  <v>7109.6</v>
                </pt>
                <pt idx="577">
                  <v>7125.3</v>
                </pt>
                <pt idx="578">
                  <v>7159.1</v>
                </pt>
                <pt idx="579">
                  <v>7231.3</v>
                </pt>
                <pt idx="580">
                  <v>7245.4</v>
                </pt>
                <pt idx="581">
                  <v>7278.6</v>
                </pt>
                <pt idx="582">
                  <v>7309</v>
                </pt>
                <pt idx="583">
                  <v>7385.1</v>
                </pt>
                <pt idx="584">
                  <v>7403.2</v>
                </pt>
                <pt idx="585">
                  <v>7417.2</v>
                </pt>
                <pt idx="586">
                  <v>7441.8</v>
                </pt>
                <pt idx="587">
                  <v>7471.6</v>
                </pt>
                <pt idx="588">
                  <v>7505.5</v>
                </pt>
                <pt idx="589">
                  <v>7590.6</v>
                </pt>
                <pt idx="590">
                  <v>7656.2</v>
                </pt>
                <pt idx="591">
                  <v>7699.2</v>
                </pt>
                <pt idx="592">
                  <v>7711.2</v>
                </pt>
                <pt idx="593">
                  <v>7728.9</v>
                </pt>
                <pt idx="594">
                  <v>7775.4</v>
                </pt>
                <pt idx="595">
                  <v>7790.2</v>
                </pt>
                <pt idx="596">
                  <v>7859.5</v>
                </pt>
                <pt idx="597">
                  <v>7965.3</v>
                </pt>
                <pt idx="598">
                  <v>8015.8</v>
                </pt>
                <pt idx="599">
                  <v>8192.1</v>
                </pt>
                <pt idx="600">
                  <v>8273.700000000001</v>
                </pt>
                <pt idx="601">
                  <v>8303.1</v>
                </pt>
                <pt idx="602">
                  <v>8369.299999999999</v>
                </pt>
                <pt idx="603">
                  <v>8372.9</v>
                </pt>
                <pt idx="604">
                  <v>8430.700000000001</v>
                </pt>
                <pt idx="605">
                  <v>8440.5</v>
                </pt>
                <pt idx="606">
                  <v>8445.1</v>
                </pt>
                <pt idx="607">
                  <v>8445</v>
                </pt>
                <pt idx="608">
                  <v>8444.200000000001</v>
                </pt>
                <pt idx="609">
                  <v>8471.1</v>
                </pt>
                <pt idx="610">
                  <v>8500.799999999999</v>
                </pt>
                <pt idx="611">
                  <v>8496</v>
                </pt>
                <pt idx="612">
                  <v>8458.1</v>
                </pt>
                <pt idx="613">
                  <v>8507.4</v>
                </pt>
                <pt idx="614">
                  <v>8504.5</v>
                </pt>
                <pt idx="615">
                  <v>8535.200000000001</v>
                </pt>
                <pt idx="616">
                  <v>8589.9</v>
                </pt>
                <pt idx="617">
                  <v>8609</v>
                </pt>
                <pt idx="618">
                  <v>8618.799999999999</v>
                </pt>
                <pt idx="619">
                  <v>8669.1</v>
                </pt>
                <pt idx="620">
                  <v>8700.1</v>
                </pt>
                <pt idx="621">
                  <v>8749.4</v>
                </pt>
                <pt idx="622">
                  <v>8770</v>
                </pt>
                <pt idx="623">
                  <v>8801.799999999999</v>
                </pt>
                <pt idx="624">
                  <v>8823.1</v>
                </pt>
                <pt idx="625">
                  <v>8886.9</v>
                </pt>
                <pt idx="626">
                  <v>8943.5</v>
                </pt>
                <pt idx="627">
                  <v>9004.9</v>
                </pt>
                <pt idx="628">
                  <v>9075.5</v>
                </pt>
                <pt idx="629">
                  <v>9151</v>
                </pt>
                <pt idx="630">
                  <v>9316.6</v>
                </pt>
                <pt idx="631">
                  <v>9507.6</v>
                </pt>
                <pt idx="632">
                  <v>9528.299999999999</v>
                </pt>
                <pt idx="633">
                  <v>9562.1</v>
                </pt>
                <pt idx="634">
                  <v>9612.6</v>
                </pt>
                <pt idx="635">
                  <v>9660.1</v>
                </pt>
                <pt idx="636">
                  <v>9733.299999999999</v>
                </pt>
                <pt idx="637">
                  <v>9785.700000000001</v>
                </pt>
                <pt idx="638">
                  <v>9830.6</v>
                </pt>
                <pt idx="639">
                  <v>9884.6</v>
                </pt>
                <pt idx="640">
                  <v>9928.4</v>
                </pt>
                <pt idx="641">
                  <v>9999.299999999999</v>
                </pt>
                <pt idx="642">
                  <v>10051.8</v>
                </pt>
                <pt idx="643">
                  <v>10121.3</v>
                </pt>
                <pt idx="644">
                  <v>10200.8</v>
                </pt>
                <pt idx="645">
                  <v>10267.3</v>
                </pt>
                <pt idx="646">
                  <v>10337.6</v>
                </pt>
                <pt idx="647">
                  <v>10459.7</v>
                </pt>
                <pt idx="648">
                  <v>10479.5</v>
                </pt>
                <pt idx="649">
                  <v>10482</v>
                </pt>
                <pt idx="650">
                  <v>10550</v>
                </pt>
                <pt idx="651">
                  <v>10585.9</v>
                </pt>
                <pt idx="652">
                  <v>10628.2</v>
                </pt>
                <pt idx="653">
                  <v>10684.9</v>
                </pt>
                <pt idx="654">
                  <v>10730.8</v>
                </pt>
                <pt idx="655">
                  <v>10790.2</v>
                </pt>
                <pt idx="656">
                  <v>10841.3</v>
                </pt>
                <pt idx="657">
                  <v>10956.7</v>
                </pt>
                <pt idx="658">
                  <v>10969</v>
                </pt>
                <pt idx="659">
                  <v>11028.8</v>
                </pt>
                <pt idx="660">
                  <v>11078.9</v>
                </pt>
                <pt idx="661">
                  <v>11161</v>
                </pt>
                <pt idx="662">
                  <v>11200.2</v>
                </pt>
                <pt idx="663">
                  <v>11256.9</v>
                </pt>
                <pt idx="664">
                  <v>11326.3</v>
                </pt>
                <pt idx="665">
                  <v>11380.7</v>
                </pt>
                <pt idx="666">
                  <v>11439.9</v>
                </pt>
                <pt idx="667">
                  <v>11469.4</v>
                </pt>
                <pt idx="668">
                  <v>11502.8</v>
                </pt>
                <pt idx="669">
                  <v>11563.4</v>
                </pt>
                <pt idx="670">
                  <v>11604.7</v>
                </pt>
                <pt idx="671">
                  <v>11681.5</v>
                </pt>
                <pt idx="672">
                  <v>11745.2</v>
                </pt>
                <pt idx="673">
                  <v>11863.9</v>
                </pt>
                <pt idx="674">
                  <v>11879.6</v>
                </pt>
                <pt idx="675">
                  <v>11927.4</v>
                </pt>
                <pt idx="676">
                  <v>11960.3</v>
                </pt>
                <pt idx="677">
                  <v>12005.8</v>
                </pt>
                <pt idx="678">
                  <v>12058.4</v>
                </pt>
                <pt idx="679">
                  <v>12109.5</v>
                </pt>
                <pt idx="680">
                  <v>12164.5</v>
                </pt>
                <pt idx="681">
                  <v>12196.8</v>
                </pt>
                <pt idx="682">
                  <v>12286</v>
                </pt>
                <pt idx="683">
                  <v>12344</v>
                </pt>
                <pt idx="684">
                  <v>12470</v>
                </pt>
                <pt idx="685">
                  <v>12545.6</v>
                </pt>
                <pt idx="686">
                  <v>12609.7</v>
                </pt>
                <pt idx="687">
                  <v>12698.4</v>
                </pt>
                <pt idx="688">
                  <v>12765.6</v>
                </pt>
                <pt idx="689">
                  <v>12831.9</v>
                </pt>
                <pt idx="690">
                  <v>12892</v>
                </pt>
                <pt idx="691">
                  <v>12978.2</v>
                </pt>
                <pt idx="692">
                  <v>13037.9</v>
                </pt>
                <pt idx="693">
                  <v>13105.4</v>
                </pt>
                <pt idx="694">
                  <v>13176.5</v>
                </pt>
                <pt idx="695">
                  <v>13209.6</v>
                </pt>
                <pt idx="696">
                  <v>13282.7</v>
                </pt>
                <pt idx="697">
                  <v>13351.4</v>
                </pt>
                <pt idx="698">
                  <v>13420.6</v>
                </pt>
                <pt idx="699">
                  <v>13482.9</v>
                </pt>
                <pt idx="700">
                  <v>13534.8</v>
                </pt>
                <pt idx="701">
                  <v>13558.9</v>
                </pt>
                <pt idx="702">
                  <v>13621</v>
                </pt>
                <pt idx="703">
                  <v>13679.6</v>
                </pt>
                <pt idx="704">
                  <v>13722.1</v>
                </pt>
                <pt idx="705">
                  <v>13777.4</v>
                </pt>
                <pt idx="706">
                  <v>13804.1</v>
                </pt>
                <pt idx="707">
                  <v>13852.3</v>
                </pt>
                <pt idx="708">
                  <v>13868.2</v>
                </pt>
                <pt idx="709">
                  <v>13910.2</v>
                </pt>
                <pt idx="710">
                  <v>13965.5</v>
                </pt>
                <pt idx="711">
                  <v>13987.7</v>
                </pt>
                <pt idx="712">
                  <v>14041.2</v>
                </pt>
                <pt idx="713">
                  <v>14102.6</v>
                </pt>
                <pt idx="714">
                  <v>14137</v>
                </pt>
                <pt idx="715">
                  <v>14187.4</v>
                </pt>
                <pt idx="716">
                  <v>14214.6</v>
                </pt>
                <pt idx="717">
                  <v>14228.5</v>
                </pt>
                <pt idx="718">
                  <v>14241.6</v>
                </pt>
                <pt idx="719">
                  <v>14358.8</v>
                </pt>
                <pt idx="720">
                  <v>14430.8</v>
                </pt>
                <pt idx="721">
                  <v>14472.3</v>
                </pt>
                <pt idx="722">
                  <v>14510.7</v>
                </pt>
                <pt idx="723">
                  <v>14541</v>
                </pt>
                <pt idx="724">
                  <v>14632.5</v>
                </pt>
                <pt idx="725">
                  <v>14754.8</v>
                </pt>
                <pt idx="726">
                  <v>14833.8</v>
                </pt>
                <pt idx="727">
                  <v>14919.8</v>
                </pt>
                <pt idx="728">
                  <v>15004.8</v>
                </pt>
                <pt idx="729">
                  <v>15144.2</v>
                </pt>
                <pt idx="730">
                  <v>15249.9</v>
                </pt>
                <pt idx="731">
                  <v>15319.1</v>
                </pt>
                <pt idx="732">
                  <v>15401.8</v>
                </pt>
                <pt idx="733">
                  <v>15458.7</v>
                </pt>
                <pt idx="734">
                  <v>15988.6</v>
                </pt>
                <pt idx="735">
                  <v>17002.5</v>
                </pt>
                <pt idx="736">
                  <v>17835.2</v>
                </pt>
                <pt idx="737">
                  <v>18129.3</v>
                </pt>
                <pt idx="738">
                  <v>18277.8</v>
                </pt>
                <pt idx="739">
                  <v>18357.4</v>
                </pt>
                <pt idx="740">
                  <v>18575.2</v>
                </pt>
                <pt idx="741">
                  <v>18735.7</v>
                </pt>
                <pt idx="742">
                  <v>18969.8</v>
                </pt>
                <pt idx="743">
                  <v>19124.8</v>
                </pt>
                <pt idx="744">
                  <v>19372.6</v>
                </pt>
                <pt idx="745">
                  <v>19615.4</v>
                </pt>
                <pt idx="746">
                  <v>19853.6</v>
                </pt>
                <pt idx="747">
                  <v>20110.5</v>
                </pt>
                <pt idx="748">
                  <v>20418.6</v>
                </pt>
                <pt idx="749">
                  <v>20460.2</v>
                </pt>
                <pt idx="750">
                  <v>20620.8</v>
                </pt>
                <pt idx="751">
                  <v>20853.3</v>
                </pt>
                <pt idx="752">
                  <v>20992.3</v>
                </pt>
                <pt idx="753">
                  <v>21144</v>
                </pt>
                <pt idx="754">
                  <v>21349.3</v>
                </pt>
                <pt idx="755">
                  <v>21490</v>
                </pt>
                <pt idx="756">
                  <v>21649.6</v>
                </pt>
                <pt idx="757">
                  <v>21708.6</v>
                </pt>
                <pt idx="758">
                  <v>21739.9</v>
                </pt>
                <pt idx="759">
                  <v>21655.5</v>
                </pt>
                <pt idx="760">
                  <v>21684.4</v>
                </pt>
                <pt idx="761">
                  <v>21667.5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  <max val="44713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new'!$A$692:$A$774</f>
              <numCache>
                <formatCode>m/d/yy</formatCode>
                <ptCount val="83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  <pt idx="72">
                  <v>44593</v>
                </pt>
                <pt idx="73">
                  <v>44621</v>
                </pt>
                <pt idx="74">
                  <v>44652</v>
                </pt>
                <pt idx="75">
                  <v>44682</v>
                </pt>
                <pt idx="76">
                  <v>44713</v>
                </pt>
              </numCache>
            </numRef>
          </cat>
          <val>
            <numRef>
              <f>'M2 new'!$D$692:$D$774</f>
              <numCache>
                <formatCode>0.00%</formatCode>
                <ptCount val="83"/>
                <pt idx="0">
                  <v>0.07522609632832511</v>
                </pt>
                <pt idx="1">
                  <v>0.06306498458336063</v>
                </pt>
                <pt idx="2">
                  <v>0.08775474703221531</v>
                </pt>
                <pt idx="3">
                  <v>0.06538541110621354</v>
                </pt>
                <pt idx="4">
                  <v>0.06413520961005648</v>
                </pt>
                <pt idx="5">
                  <v>0.05767433117039666</v>
                </pt>
                <pt idx="6">
                  <v>0.08325321966956167</v>
                </pt>
                <pt idx="7">
                  <v>0.05661846949542615</v>
                </pt>
                <pt idx="8">
                  <v>0.06392649098306591</v>
                </pt>
                <pt idx="9">
                  <v>0.06708109382328509</v>
                </pt>
                <pt idx="10">
                  <v>0.03056456820702347</v>
                </pt>
                <pt idx="11">
                  <v>0.06846515468376069</v>
                </pt>
                <pt idx="12">
                  <v>0.06386205984211069</v>
                </pt>
                <pt idx="13">
                  <v>0.06399969052111687</v>
                </pt>
                <pt idx="14">
                  <v>0.05714989792520742</v>
                </pt>
                <pt idx="15">
                  <v>0.04718243994179905</v>
                </pt>
                <pt idx="16">
                  <v>0.02157764373081528</v>
                </pt>
                <pt idx="17">
                  <v>0.05636601912473505</v>
                </pt>
                <pt idx="18">
                  <v>0.05286543233054641</v>
                </pt>
                <pt idx="19">
                  <v>0.03792548772803106</v>
                </pt>
                <pt idx="20">
                  <v>0.04944637240665495</v>
                </pt>
                <pt idx="21">
                  <v>0.02350495913820239</v>
                </pt>
                <pt idx="22">
                  <v>0.04271471185477305</v>
                </pt>
                <pt idx="23">
                  <v>0.01386117445201518</v>
                </pt>
                <pt idx="24">
                  <v>0.03695363217378356</v>
                </pt>
                <pt idx="25">
                  <v>0.04876305082170895</v>
                </pt>
                <pt idx="26">
                  <v>0.01924324327679749</v>
                </pt>
                <pt idx="27">
                  <v>0.04687539795779827</v>
                </pt>
                <pt idx="28">
                  <v>0.053754762828915</v>
                </pt>
                <pt idx="29">
                  <v>0.02966711021863944</v>
                </pt>
                <pt idx="30">
                  <v>0.0436302650521474</v>
                </pt>
                <pt idx="31">
                  <v>0.02325047838668381</v>
                </pt>
                <pt idx="32">
                  <v>0.01179773096146919</v>
                </pt>
                <pt idx="33">
                  <v>0.01110436618930843</v>
                </pt>
                <pt idx="34">
                  <v>0.1033475936038371</v>
                </pt>
                <pt idx="35">
                  <v>0.06185969444102435</v>
                </pt>
                <pt idx="36">
                  <v>0.03506062005418475</v>
                </pt>
                <pt idx="37">
                  <v>0.03230892596440271</v>
                </pt>
                <pt idx="38">
                  <v>0.02534715852451241</v>
                </pt>
                <pt idx="39">
                  <v>0.07817957454328828</v>
                </pt>
                <pt idx="40">
                  <v>0.1050388102056972</v>
                </pt>
                <pt idx="41">
                  <v>0.06617650108723416</v>
                </pt>
                <pt idx="42">
                  <v>0.07183266043156933</v>
                </pt>
                <pt idx="43">
                  <v>0.07054891396411089</v>
                </pt>
                <pt idx="44">
                  <v>0.1173609893894672</v>
                </pt>
                <pt idx="45">
                  <v>0.08704597593751351</v>
                </pt>
                <pt idx="46">
                  <v>0.05583259193000423</v>
                </pt>
                <pt idx="47">
                  <v>0.06674039415373967</v>
                </pt>
                <pt idx="48">
                  <v>0.04524446032372564</v>
                </pt>
                <pt idx="49">
                  <v>0.4984754126052957</v>
                </pt>
                <pt idx="50">
                  <v>1.091356890703144</v>
                </pt>
                <pt idx="51">
                  <v>0.7749347949741336</v>
                </pt>
                <pt idx="52">
                  <v>0.2168488116839209</v>
                </pt>
                <pt idx="53">
                  <v>0.1028453658535091</v>
                </pt>
                <pt idx="54">
                  <v>0.0535302329530416</v>
                </pt>
                <pt idx="55">
                  <v>0.1520409827039657</v>
                </pt>
                <pt idx="56">
                  <v>0.1087588591086874</v>
                </pt>
                <pt idx="57">
                  <v>0.1606838460631184</v>
                </pt>
                <pt idx="58">
                  <v>0.1025792132973868</v>
                </pt>
                <pt idx="59">
                  <v>0.167057114593423</v>
                </pt>
                <pt idx="60">
                  <v>0.1612108593226533</v>
                </pt>
                <pt idx="61">
                  <v>0.1558598739163597</v>
                </pt>
                <pt idx="62">
                  <v>0.1668182384264596</v>
                </pt>
                <pt idx="63">
                  <v>0.2001543830757904</v>
                </pt>
                <pt idx="64">
                  <v>0.02472412082481812</v>
                </pt>
                <pt idx="65">
                  <v>0.09836737604061341</v>
                </pt>
                <pt idx="66">
                  <v>0.1440140882452099</v>
                </pt>
                <pt idx="67">
                  <v>0.08298588705540411</v>
                </pt>
                <pt idx="68">
                  <v>0.09024853259638776</v>
                </pt>
                <pt idx="69">
                  <v>0.1229434287754307</v>
                </pt>
                <pt idx="70">
                  <v>0.08201506198424213</v>
                </pt>
                <pt idx="71">
                  <v>0.09285246072921005</v>
                </pt>
                <pt idx="72">
                  <v>0.03319733457720808</v>
                </pt>
                <pt idx="73">
                  <v>0.01743976504455702</v>
                </pt>
                <pt idx="74">
                  <v>-0.04560516245893598</v>
                </pt>
                <pt idx="75">
                  <v>0.01613247662766404</v>
                </pt>
                <pt idx="76">
                  <v>-0.009312360677114495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  <max val="44713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Change'!$A$12:$A$1045</f>
              <numCache>
                <formatCode>m/d/yy</formatCode>
                <ptCount val="1034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</numCache>
            </numRef>
          </cat>
          <val>
            <numRef>
              <f>'Fed Weekly Change'!$C$12:$C$1045</f>
              <numCache>
                <formatCode>0</formatCode>
                <ptCount val="1034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  <pt idx="1002">
                  <v>-23674</v>
                </pt>
                <pt idx="1003">
                  <v>6293</v>
                </pt>
                <pt idx="1004">
                  <v>43558</v>
                </pt>
                <pt idx="1005">
                  <v>8168</v>
                </pt>
                <pt idx="1006">
                  <v>-25332</v>
                </pt>
                <pt idx="1007">
                  <v>450</v>
                </pt>
                <pt idx="1008">
                  <v>27895</v>
                </pt>
                <pt idx="1009">
                  <v>-9636</v>
                </pt>
                <pt idx="1010">
                  <v>-16652</v>
                </pt>
                <pt idx="1011">
                  <v>773</v>
                </pt>
                <pt idx="1012">
                  <v>2036</v>
                </pt>
                <pt idx="1013">
                  <v>3890</v>
                </pt>
                <pt idx="1014">
                  <v>-31617</v>
                </pt>
                <pt idx="1015">
                  <v>769</v>
                </pt>
                <pt idx="1016">
                  <v>3204</v>
                </pt>
                <pt idx="1017">
                  <v>14166</v>
                </pt>
                <pt idx="1018">
                  <v>1926</v>
                </pt>
                <pt idx="1019">
                  <v>-20793</v>
                </pt>
                <pt idx="1020">
                  <v>-21702</v>
                </pt>
                <pt idx="1021">
                  <v>4016</v>
                </pt>
                <pt idx="1022">
                  <v>3346</v>
                </pt>
                <pt idx="1023">
                  <v>-9209</v>
                </pt>
                <pt idx="1024">
                  <v>-15384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769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Sheet'!$A$12:$A$1037</f>
              <numCache>
                <formatCode>m/d/yy</formatCode>
                <ptCount val="1026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</numCache>
            </numRef>
          </cat>
          <val>
            <numRef>
              <f>'Fed Balance Sheet'!$B$12:$B$1037</f>
              <numCache>
                <formatCode>0</formatCode>
                <ptCount val="1026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  <pt idx="1002">
                  <v>8904455</v>
                </pt>
                <pt idx="1003">
                  <v>8910748</v>
                </pt>
                <pt idx="1004">
                  <v>8954306</v>
                </pt>
                <pt idx="1005">
                  <v>8962474</v>
                </pt>
                <pt idx="1006">
                  <v>8937142</v>
                </pt>
                <pt idx="1007">
                  <v>8937592</v>
                </pt>
                <pt idx="1008">
                  <v>8965487</v>
                </pt>
                <pt idx="1009">
                  <v>8955851</v>
                </pt>
                <pt idx="1010">
                  <v>8939199</v>
                </pt>
                <pt idx="1011">
                  <v>8939972</v>
                </pt>
                <pt idx="1012">
                  <v>8942008</v>
                </pt>
                <pt idx="1013">
                  <v>8945898</v>
                </pt>
                <pt idx="1014">
                  <v>8914281</v>
                </pt>
                <pt idx="1015">
                  <v>8915050</v>
                </pt>
                <pt idx="1016">
                  <v>8918254</v>
                </pt>
                <pt idx="1017">
                  <v>8932420</v>
                </pt>
                <pt idx="1018">
                  <v>8934346</v>
                </pt>
                <pt idx="1019">
                  <v>8913553</v>
                </pt>
                <pt idx="1020">
                  <v>8891851</v>
                </pt>
                <pt idx="1021">
                  <v>8895867</v>
                </pt>
                <pt idx="1022">
                  <v>8899213</v>
                </pt>
                <pt idx="1023">
                  <v>8890004</v>
                </pt>
                <pt idx="1024">
                  <v>8874620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  <max val="44769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  <pt idx="1002">
                  <v>0.4632428987618354</v>
                </pt>
                <pt idx="1003">
                  <v>0.4635702840495265</v>
                </pt>
                <pt idx="1004">
                  <v>0.4658363333680158</v>
                </pt>
                <pt idx="1005">
                  <v>0.46626126313599</v>
                </pt>
                <pt idx="1006">
                  <v>0.4649433981895744</v>
                </pt>
                <pt idx="1007">
                  <v>0.4649668088648424</v>
                </pt>
                <pt idx="1008">
                  <v>0.4664180106128394</v>
                </pt>
                <pt idx="1009">
                  <v>0.465916710019769</v>
                </pt>
                <pt idx="1010">
                  <v>0.4650504109874103</v>
                </pt>
                <pt idx="1011">
                  <v>0.4650906253251483</v>
                </pt>
                <pt idx="1012">
                  <v>0.4651965456248049</v>
                </pt>
                <pt idx="1013">
                  <v>0.4653989179065653</v>
                </pt>
                <pt idx="1014">
                  <v>0.4637540838622412</v>
                </pt>
                <pt idx="1015">
                  <v>0.4637940901050879</v>
                </pt>
                <pt idx="1016">
                  <v>0.4639607741129956</v>
                </pt>
                <pt idx="1017">
                  <v>0.4646977421704297</v>
                </pt>
                <pt idx="1018">
                  <v>0.4647979398605764</v>
                </pt>
                <pt idx="1019">
                  <v>0.4637162105920299</v>
                </pt>
                <pt idx="1020">
                  <v>0.4625871917594424</v>
                </pt>
                <pt idx="1021">
                  <v>0.4627961190302778</v>
                </pt>
                <pt idx="1022">
                  <v>0.4629701904068255</v>
                </pt>
                <pt idx="1023">
                  <v>0.4624911039433982</v>
                </pt>
                <pt idx="1024">
                  <v>0.4616907709915722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Sheet'!$A$6:$A$297</f>
              <numCache>
                <formatCode>yyyy\-mm\-dd</formatCode>
                <ptCount val="292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</numCache>
            </numRef>
          </cat>
          <val>
            <numRef>
              <f>'BOJ Balance Sheet'!$B$6:$B$297</f>
              <numCache>
                <formatCode>0</formatCode>
                <ptCount val="292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Sheet'!$A$6:$A$297</f>
              <numCache>
                <formatCode>yyyy\-mm\-dd</formatCode>
                <ptCount val="292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</numCache>
            </numRef>
          </cat>
          <val>
            <numRef>
              <f>'BOJ Balance Sheet'!$C$6:$C$297</f>
              <numCache>
                <formatCode>General</formatCode>
                <ptCount val="292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27001.98046875</v>
                </pt>
                <pt idx="286">
                  <v>26526.8203125</v>
                </pt>
                <pt idx="287">
                  <v>27821.4296875</v>
                </pt>
                <pt idx="288">
                  <v>26847.900390625</v>
                </pt>
                <pt idx="289">
                  <v>27279.80078125</v>
                </pt>
                <pt idx="290">
                  <v>26393.0390625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Sheet'!$A$6:$A$297</f>
              <numCache>
                <formatCode>yyyy\-mm\-dd</formatCode>
                <ptCount val="292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</numCache>
            </numRef>
          </cat>
          <val>
            <numRef>
              <f>'BOJ Balance Sheet'!$B$6:$B$297</f>
              <numCache>
                <formatCode>0</formatCode>
                <ptCount val="292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Sheet'!$A$6:$A$297</f>
              <numCache>
                <formatCode>yyyy\-mm\-dd</formatCode>
                <ptCount val="292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</numCache>
            </numRef>
          </cat>
          <val>
            <numRef>
              <f>'BOJ Balance Sheet'!$D$6:$D$297</f>
              <numCache>
                <formatCode>0.0%</formatCode>
                <ptCount val="292"/>
                <pt idx="0">
                  <v>0.149684656262707</v>
                </pt>
                <pt idx="1">
                  <v>0.1445907712227111</v>
                </pt>
                <pt idx="2">
                  <v>0.1412332310311342</v>
                </pt>
                <pt idx="3">
                  <v>0.1356905922937671</v>
                </pt>
                <pt idx="4">
                  <v>0.1416265781213898</v>
                </pt>
                <pt idx="5">
                  <v>0.1453214247699552</v>
                </pt>
                <pt idx="6">
                  <v>0.1437824770993683</v>
                </pt>
                <pt idx="7">
                  <v>0.1669011378420222</v>
                </pt>
                <pt idx="8">
                  <v>0.172452462646691</v>
                </pt>
                <pt idx="9">
                  <v>0.1506792481574497</v>
                </pt>
                <pt idx="10">
                  <v>0.1428576288336561</v>
                </pt>
                <pt idx="11">
                  <v>0.1507107662993755</v>
                </pt>
                <pt idx="12">
                  <v>0.1495205018236674</v>
                </pt>
                <pt idx="13">
                  <v>0.1409069795822222</v>
                </pt>
                <pt idx="14">
                  <v>0.1389144890257873</v>
                </pt>
                <pt idx="15">
                  <v>0.1298550993359942</v>
                </pt>
                <pt idx="16">
                  <v>0.1288721620753711</v>
                </pt>
                <pt idx="17">
                  <v>0.1303845851446066</v>
                </pt>
                <pt idx="18">
                  <v>0.1288418491991243</v>
                </pt>
                <pt idx="19">
                  <v>0.1572469800551434</v>
                </pt>
                <pt idx="20">
                  <v>0.2080681976378607</v>
                </pt>
                <pt idx="21">
                  <v>0.1691582087655716</v>
                </pt>
                <pt idx="22">
                  <v>0.175783679707355</v>
                </pt>
                <pt idx="23">
                  <v>0.1983723639966274</v>
                </pt>
                <pt idx="24">
                  <v>0.1489242674255751</v>
                </pt>
                <pt idx="25">
                  <v>0.1568902497780447</v>
                </pt>
                <pt idx="26">
                  <v>0.1566445787246623</v>
                </pt>
                <pt idx="27">
                  <v>0.1511522496302304</v>
                </pt>
                <pt idx="28">
                  <v>0.1646297846831012</v>
                </pt>
                <pt idx="29">
                  <v>0.1586795121598387</v>
                </pt>
                <pt idx="30">
                  <v>0.1712486981861347</v>
                </pt>
                <pt idx="31">
                  <v>0.1942613403904773</v>
                </pt>
                <pt idx="32">
                  <v>0.1968165449727064</v>
                </pt>
                <pt idx="33">
                  <v>0.1987562152379759</v>
                </pt>
                <pt idx="34">
                  <v>0.206323167870075</v>
                </pt>
                <pt idx="35">
                  <v>0.2154582882417921</v>
                </pt>
                <pt idx="36">
                  <v>0.2102728780018986</v>
                </pt>
                <pt idx="37">
                  <v>0.2159623112517111</v>
                </pt>
                <pt idx="38">
                  <v>0.2218792610558329</v>
                </pt>
                <pt idx="39">
                  <v>0.2208261529067493</v>
                </pt>
                <pt idx="40">
                  <v>0.2164027448983565</v>
                </pt>
                <pt idx="41">
                  <v>0.2206537646163395</v>
                </pt>
                <pt idx="42">
                  <v>0.2113240035086085</v>
                </pt>
                <pt idx="43">
                  <v>0.2157769155985575</v>
                </pt>
                <pt idx="44">
                  <v>0.2236048424034363</v>
                </pt>
                <pt idx="45">
                  <v>0.2329878125476318</v>
                </pt>
                <pt idx="46">
                  <v>0.2506033658753432</v>
                </pt>
                <pt idx="47">
                  <v>0.2643644959486247</v>
                </pt>
                <pt idx="48">
                  <v>0.2533839047740788</v>
                </pt>
                <pt idx="49">
                  <v>0.2440745600296677</v>
                </pt>
                <pt idx="50">
                  <v>0.2367758998469685</v>
                </pt>
                <pt idx="51">
                  <v>0.2413977487467708</v>
                </pt>
                <pt idx="52">
                  <v>0.2449735157170586</v>
                </pt>
                <pt idx="53">
                  <v>0.2373272038774973</v>
                </pt>
                <pt idx="54">
                  <v>0.2376591631042859</v>
                </pt>
                <pt idx="55">
                  <v>0.2399158842672163</v>
                </pt>
                <pt idx="56">
                  <v>0.2399920287991278</v>
                </pt>
                <pt idx="57">
                  <v>0.2388648212070769</v>
                </pt>
                <pt idx="58">
                  <v>0.2526626588324967</v>
                </pt>
                <pt idx="59">
                  <v>0.269134967847912</v>
                </pt>
                <pt idx="60">
                  <v>0.2446225873541793</v>
                </pt>
                <pt idx="61">
                  <v>0.2492271339399291</v>
                </pt>
                <pt idx="62">
                  <v>0.2388885604380305</v>
                </pt>
                <pt idx="63">
                  <v>0.2410180662805356</v>
                </pt>
                <pt idx="64">
                  <v>0.2437670457017145</v>
                </pt>
                <pt idx="65">
                  <v>0.2544177538777814</v>
                </pt>
                <pt idx="66">
                  <v>0.2512312987625559</v>
                </pt>
                <pt idx="67">
                  <v>0.2545595845917512</v>
                </pt>
                <pt idx="68">
                  <v>0.2481608271290844</v>
                </pt>
                <pt idx="69">
                  <v>0.2558331778020751</v>
                </pt>
                <pt idx="70">
                  <v>0.2663567687255379</v>
                </pt>
                <pt idx="71">
                  <v>0.2830923187975419</v>
                </pt>
                <pt idx="72">
                  <v>0.2619990065932117</v>
                </pt>
                <pt idx="73">
                  <v>0.2621572241703876</v>
                </pt>
                <pt idx="74">
                  <v>0.2539937180307448</v>
                </pt>
                <pt idx="75">
                  <v>0.2478521901119496</v>
                </pt>
                <pt idx="76">
                  <v>0.2608479945620616</v>
                </pt>
                <pt idx="77">
                  <v>0.2631716111534351</v>
                </pt>
                <pt idx="78">
                  <v>0.2611808833517297</v>
                </pt>
                <pt idx="79">
                  <v>0.2791064528841464</v>
                </pt>
                <pt idx="80">
                  <v>0.2728148644180144</v>
                </pt>
                <pt idx="81">
                  <v>0.2781172758884663</v>
                </pt>
                <pt idx="82">
                  <v>0.2849045388164405</v>
                </pt>
                <pt idx="83">
                  <v>0.2832275726950325</v>
                </pt>
                <pt idx="84">
                  <v>0.2772701279683966</v>
                </pt>
                <pt idx="85">
                  <v>0.2763956717024303</v>
                </pt>
                <pt idx="86">
                  <v>0.2697557887837475</v>
                </pt>
                <pt idx="87">
                  <v>0.2761869185870332</v>
                </pt>
                <pt idx="88">
                  <v>0.2831082139975816</v>
                </pt>
                <pt idx="89">
                  <v>0.2770321799777755</v>
                </pt>
                <pt idx="90">
                  <v>0.2763194755872097</v>
                </pt>
                <pt idx="91">
                  <v>0.284374176064868</v>
                </pt>
                <pt idx="92">
                  <v>0.2911799153408698</v>
                </pt>
                <pt idx="93">
                  <v>0.2860498811849284</v>
                </pt>
                <pt idx="94">
                  <v>0.285223051163254</v>
                </pt>
                <pt idx="95">
                  <v>0.2712101222293303</v>
                </pt>
                <pt idx="96">
                  <v>0.2433463955668161</v>
                </pt>
                <pt idx="97">
                  <v>0.2306397021810505</v>
                </pt>
                <pt idx="98">
                  <v>0.2138090622910421</v>
                </pt>
                <pt idx="99">
                  <v>0.2178186114304175</v>
                </pt>
                <pt idx="100">
                  <v>0.209862969637208</v>
                </pt>
                <pt idx="101">
                  <v>0.2176171783951599</v>
                </pt>
                <pt idx="102">
                  <v>0.2134427901292485</v>
                </pt>
                <pt idx="103">
                  <v>0.2187905936290497</v>
                </pt>
                <pt idx="104">
                  <v>0.2132575862444468</v>
                </pt>
                <pt idx="105">
                  <v>0.2115571526920301</v>
                </pt>
                <pt idx="106">
                  <v>0.2170330085743885</v>
                </pt>
                <pt idx="107">
                  <v>0.207898033780487</v>
                </pt>
                <pt idx="108">
                  <v>0.1954773595058284</v>
                </pt>
                <pt idx="109">
                  <v>0.2003135019354916</v>
                </pt>
                <pt idx="110">
                  <v>0.1864526024424309</v>
                </pt>
                <pt idx="111">
                  <v>0.2006984389369925</v>
                </pt>
                <pt idx="112">
                  <v>0.2065398240663393</v>
                </pt>
                <pt idx="113">
                  <v>0.2069885412143997</v>
                </pt>
                <pt idx="114">
                  <v>0.2001185269475433</v>
                </pt>
                <pt idx="115">
                  <v>0.2074252632863615</v>
                </pt>
                <pt idx="116">
                  <v>0.2070355057062742</v>
                </pt>
                <pt idx="117">
                  <v>0.21033960815131</v>
                </pt>
                <pt idx="118">
                  <v>0.2139786196874407</v>
                </pt>
                <pt idx="119">
                  <v>0.2124400028393708</v>
                </pt>
                <pt idx="120">
                  <v>0.2008208703495704</v>
                </pt>
                <pt idx="121">
                  <v>0.2103898009357637</v>
                </pt>
                <pt idx="122">
                  <v>0.1937549778476823</v>
                </pt>
                <pt idx="123">
                  <v>0.2070234433820154</v>
                </pt>
                <pt idx="124">
                  <v>0.2127564827250921</v>
                </pt>
                <pt idx="125">
                  <v>0.2178711805548161</v>
                </pt>
                <pt idx="126">
                  <v>0.2261464313380326</v>
                </pt>
                <pt idx="127">
                  <v>0.2468613722289437</v>
                </pt>
                <pt idx="128">
                  <v>0.2493895814865042</v>
                </pt>
                <pt idx="129">
                  <v>0.2427728885613462</v>
                </pt>
                <pt idx="130">
                  <v>0.2452867728887375</v>
                </pt>
                <pt idx="131">
                  <v>0.2487311835815085</v>
                </pt>
                <pt idx="132">
                  <v>0.2304805852366165</v>
                </pt>
                <pt idx="133">
                  <v>0.2406289795580226</v>
                </pt>
                <pt idx="134">
                  <v>0.2224914618319938</v>
                </pt>
                <pt idx="135">
                  <v>0.2324004157223419</v>
                </pt>
                <pt idx="136">
                  <v>0.2361906581658814</v>
                </pt>
                <pt idx="137">
                  <v>0.2344584941742532</v>
                </pt>
                <pt idx="138">
                  <v>0.2245323116911596</v>
                </pt>
                <pt idx="139">
                  <v>0.2338756903582236</v>
                </pt>
                <pt idx="140">
                  <v>0.2443180719278548</v>
                </pt>
                <pt idx="141">
                  <v>0.2441198796250935</v>
                </pt>
                <pt idx="142">
                  <v>0.2509205086678841</v>
                </pt>
                <pt idx="143">
                  <v>0.2411356628473953</v>
                </pt>
                <pt idx="144">
                  <v>0.2260472777843977</v>
                </pt>
                <pt idx="145">
                  <v>0.2367107934404363</v>
                </pt>
                <pt idx="146">
                  <v>0.2215932996919358</v>
                </pt>
                <pt idx="147">
                  <v>0.2296962763411321</v>
                </pt>
                <pt idx="148">
                  <v>0.2436362052271094</v>
                </pt>
                <pt idx="149">
                  <v>0.2382706857734629</v>
                </pt>
                <pt idx="150">
                  <v>0.2404199033307526</v>
                </pt>
                <pt idx="151">
                  <v>0.2547790997460345</v>
                </pt>
                <pt idx="152">
                  <v>0.2581175107851112</v>
                </pt>
                <pt idx="153">
                  <v>0.2566920632170354</v>
                </pt>
                <pt idx="154">
                  <v>0.2650548980464851</v>
                </pt>
                <pt idx="155">
                  <v>0.2899983703733882</v>
                </pt>
                <pt idx="156">
                  <v>0.2742280662443218</v>
                </pt>
                <pt idx="157">
                  <v>0.2696430641845083</v>
                </pt>
                <pt idx="158">
                  <v>0.2585963194679618</v>
                </pt>
                <pt idx="159">
                  <v>0.2683533194214648</v>
                </pt>
                <pt idx="160">
                  <v>0.2829289060706484</v>
                </pt>
                <pt idx="161">
                  <v>0.275342095390761</v>
                </pt>
                <pt idx="162">
                  <v>0.265936921825394</v>
                </pt>
                <pt idx="163">
                  <v>0.2822480970185951</v>
                </pt>
                <pt idx="164">
                  <v>0.2818860373266395</v>
                </pt>
                <pt idx="165">
                  <v>0.2698328198734309</v>
                </pt>
                <pt idx="166">
                  <v>0.2882549981494996</v>
                </pt>
                <pt idx="167">
                  <v>0.2786879512842792</v>
                </pt>
                <pt idx="168">
                  <v>0.2821843178288315</v>
                </pt>
                <pt idx="169">
                  <v>0.2870054305663305</v>
                </pt>
                <pt idx="170">
                  <v>0.2886651499133762</v>
                </pt>
                <pt idx="171">
                  <v>0.2924213251224992</v>
                </pt>
                <pt idx="172">
                  <v>0.3016660839885277</v>
                </pt>
                <pt idx="173">
                  <v>0.301572748203789</v>
                </pt>
                <pt idx="174">
                  <v>0.3092383518348729</v>
                </pt>
                <pt idx="175">
                  <v>0.3108691131204195</v>
                </pt>
                <pt idx="176">
                  <v>0.3148550351491997</v>
                </pt>
                <pt idx="177">
                  <v>0.3176933742794305</v>
                </pt>
                <pt idx="178">
                  <v>0.3221390430372995</v>
                </pt>
                <pt idx="179">
                  <v>0.3246608806102366</v>
                </pt>
                <pt idx="180">
                  <v>0.3441205155485411</v>
                </pt>
                <pt idx="181">
                  <v>0.3593398956646262</v>
                </pt>
                <pt idx="182">
                  <v>0.3647651089156944</v>
                </pt>
                <pt idx="183">
                  <v>0.3836590775168072</v>
                </pt>
                <pt idx="184">
                  <v>0.4014264575757091</v>
                </pt>
                <pt idx="185">
                  <v>0.4076143701178488</v>
                </pt>
                <pt idx="186">
                  <v>0.4205957741789555</v>
                </pt>
                <pt idx="187">
                  <v>0.4336583708183064</v>
                </pt>
                <pt idx="188">
                  <v>0.4338536332750449</v>
                </pt>
                <pt idx="189">
                  <v>0.4493126529297883</v>
                </pt>
                <pt idx="190">
                  <v>0.4642622619101176</v>
                </pt>
                <pt idx="191">
                  <v>0.4664432983619636</v>
                </pt>
                <pt idx="192">
                  <v>0.4753184330596933</v>
                </pt>
                <pt idx="193">
                  <v>0.4900753059533499</v>
                </pt>
                <pt idx="194">
                  <v>0.4973853439555906</v>
                </pt>
                <pt idx="195">
                  <v>0.519009417778812</v>
                </pt>
                <pt idx="196">
                  <v>0.5284920070745144</v>
                </pt>
                <pt idx="197">
                  <v>0.530798139386629</v>
                </pt>
                <pt idx="198">
                  <v>0.549452928102269</v>
                </pt>
                <pt idx="199">
                  <v>0.5560494690528591</v>
                </pt>
                <pt idx="200">
                  <v>0.5613542658082756</v>
                </pt>
                <pt idx="201">
                  <v>0.5818505644176597</v>
                </pt>
                <pt idx="202">
                  <v>0.5954025829000165</v>
                </pt>
                <pt idx="203">
                  <v>0.6012590267255179</v>
                </pt>
                <pt idx="204">
                  <v>0.6183995161591509</v>
                </pt>
                <pt idx="205">
                  <v>0.6355001268628936</v>
                </pt>
                <pt idx="206">
                  <v>0.6397584604585955</v>
                </pt>
                <pt idx="207">
                  <v>0.6561572951719872</v>
                </pt>
                <pt idx="208">
                  <v>0.6702753131272373</v>
                </pt>
                <pt idx="209">
                  <v>0.6789327638717257</v>
                </pt>
                <pt idx="210">
                  <v>0.6927030561337039</v>
                </pt>
                <pt idx="211">
                  <v>0.6993472708422451</v>
                </pt>
                <pt idx="212">
                  <v>0.7027470241611043</v>
                </pt>
                <pt idx="213">
                  <v>0.7272210657769905</v>
                </pt>
                <pt idx="214">
                  <v>0.7429314587046465</v>
                </pt>
                <pt idx="215">
                  <v>0.7463485052629177</v>
                </pt>
                <pt idx="216">
                  <v>0.7624810422175992</v>
                </pt>
                <pt idx="217">
                  <v>0.7829023079145709</v>
                </pt>
                <pt idx="218">
                  <v>0.7959403892498776</v>
                </pt>
                <pt idx="219">
                  <v>0.8149325933273289</v>
                </pt>
                <pt idx="220">
                  <v>0.8319482839811549</v>
                </pt>
                <pt idx="221">
                  <v>0.8389744218900488</v>
                </pt>
                <pt idx="222">
                  <v>0.8510710746303086</v>
                </pt>
                <pt idx="223">
                  <v>0.860849720255954</v>
                </pt>
                <pt idx="224">
                  <v>0.8706562930533578</v>
                </pt>
                <pt idx="225">
                  <v>0.880676099881963</v>
                </pt>
                <pt idx="226">
                  <v>0.8854602813249244</v>
                </pt>
                <pt idx="227">
                  <v>0.8894315045658541</v>
                </pt>
                <pt idx="228">
                  <v>0.903327700688603</v>
                </pt>
                <pt idx="229">
                  <v>0.8986225150875213</v>
                </pt>
                <pt idx="230">
                  <v>0.9009688348232894</v>
                </pt>
                <pt idx="231">
                  <v>0.9071626452117295</v>
                </pt>
                <pt idx="232">
                  <v>0.9192148129594528</v>
                </pt>
                <pt idx="233">
                  <v>0.9225556024120957</v>
                </pt>
                <pt idx="234">
                  <v>0.9308250131031609</v>
                </pt>
                <pt idx="235">
                  <v>0.9354388385114143</v>
                </pt>
                <pt idx="236">
                  <v>0.9346431436882525</v>
                </pt>
                <pt idx="237">
                  <v>0.9441210359555831</v>
                </pt>
                <pt idx="238">
                  <v>0.9528848678231718</v>
                </pt>
                <pt idx="239">
                  <v>0.9441391452046236</v>
                </pt>
                <pt idx="240">
                  <v>0.9562301031504153</v>
                </pt>
                <pt idx="241">
                  <v>0.974540830880629</v>
                </pt>
                <pt idx="242">
                  <v>0.9677169280471813</v>
                </pt>
                <pt idx="243">
                  <v>0.9844649350541698</v>
                </pt>
                <pt idx="244">
                  <v>0.9974322654323871</v>
                </pt>
                <pt idx="245">
                  <v>0.9878826029510752</v>
                </pt>
                <pt idx="246">
                  <v>0.999005711186256</v>
                </pt>
                <pt idx="247">
                  <v>0.9948996039751495</v>
                </pt>
                <pt idx="248">
                  <v>0.9887803108021366</v>
                </pt>
                <pt idx="249">
                  <v>0.9974374441209509</v>
                </pt>
                <pt idx="250">
                  <v>0.998915270194071</v>
                </pt>
                <pt idx="251">
                  <v>0.9902013451929511</v>
                </pt>
                <pt idx="252">
                  <v>0.9991099242644564</v>
                </pt>
                <pt idx="253">
                  <v>1.008701428510451</v>
                </pt>
                <pt idx="254">
                  <v>1.00462860862513</v>
                </pt>
                <pt idx="255">
                  <v>1.010760425707497</v>
                </pt>
                <pt idx="256">
                  <v>1.040792538674496</v>
                </pt>
                <pt idx="257">
                  <v>1.035492252743279</v>
                </pt>
                <pt idx="258">
                  <v>1.046155339121257</v>
                </pt>
                <pt idx="259">
                  <v>1.046019966388195</v>
                </pt>
                <pt idx="260">
                  <v>1.036113433963833</v>
                </pt>
                <pt idx="261">
                  <v>1.045663778896162</v>
                </pt>
                <pt idx="262">
                  <v>1.141394399112051</v>
                </pt>
                <pt idx="263">
                  <v>1.179570527821011</v>
                </pt>
                <pt idx="264">
                  <v>1.207955093610916</v>
                </pt>
                <pt idx="265">
                  <v>1.184629311864061</v>
                </pt>
                <pt idx="266">
                  <v>1.203836643076438</v>
                </pt>
                <pt idx="267">
                  <v>1.235259569810691</v>
                </pt>
                <pt idx="268">
                  <v>1.249654144121987</v>
                </pt>
                <pt idx="269">
                  <v>1.262697668528799</v>
                </pt>
                <pt idx="270">
                  <v>1.277710375529946</v>
                </pt>
                <pt idx="271">
                  <v>1.299596322607298</v>
                </pt>
                <pt idx="272">
                  <v>1.294579836841219</v>
                </pt>
                <pt idx="273">
                  <v>1.307314616666783</v>
                </pt>
                <pt idx="274">
                  <v>1.307246150826336</v>
                </pt>
                <pt idx="275">
                  <v>1.31083161963395</v>
                </pt>
                <pt idx="276">
                  <v>1.321242228732547</v>
                </pt>
                <pt idx="277">
                  <v>1.343461875812618</v>
                </pt>
                <pt idx="278">
                  <v>1.329111598375404</v>
                </pt>
                <pt idx="279">
                  <v>1.340313836190331</v>
                </pt>
                <pt idx="280">
                  <v>1.342881387189753</v>
                </pt>
                <pt idx="281">
                  <v>1.337980225346637</v>
                </pt>
                <pt idx="282">
                  <v>1.340069635932171</v>
                </pt>
                <pt idx="283">
                  <v>1.343650132922388</v>
                </pt>
                <pt idx="284">
                  <v>1.335434370585552</v>
                </pt>
                <pt idx="285">
                  <v>1.33797786742597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Sheet'!$A$6:$A$297</f>
              <numCache>
                <formatCode>yyyy\-mm\-dd</formatCode>
                <ptCount val="292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</numCache>
            </numRef>
          </cat>
          <val>
            <numRef>
              <f>'BOJ Balance Sheet'!$B$6:$B$297</f>
              <numCache>
                <formatCode>0</formatCode>
                <ptCount val="292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Sheet'!$A$7:$A$390</f>
              <numCache>
                <formatCode>yyyy\-mm\-dd</formatCode>
                <ptCount val="384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  <pt idx="361">
                  <v>44617</v>
                </pt>
                <pt idx="362">
                  <v>44624</v>
                </pt>
                <pt idx="363">
                  <v>44631</v>
                </pt>
                <pt idx="364">
                  <v>44638</v>
                </pt>
                <pt idx="365">
                  <v>44645</v>
                </pt>
                <pt idx="366">
                  <v>44652</v>
                </pt>
                <pt idx="367">
                  <v>44659</v>
                </pt>
                <pt idx="368">
                  <v>44666</v>
                </pt>
                <pt idx="369">
                  <v>44673</v>
                </pt>
                <pt idx="370">
                  <v>44680</v>
                </pt>
                <pt idx="371">
                  <v>44687</v>
                </pt>
                <pt idx="372">
                  <v>44694</v>
                </pt>
                <pt idx="373">
                  <v>44701</v>
                </pt>
                <pt idx="374">
                  <v>44708</v>
                </pt>
                <pt idx="375">
                  <v>44715</v>
                </pt>
                <pt idx="376">
                  <v>44722</v>
                </pt>
                <pt idx="377">
                  <v>44729</v>
                </pt>
                <pt idx="378">
                  <v>44736</v>
                </pt>
                <pt idx="379">
                  <v>44743</v>
                </pt>
                <pt idx="380">
                  <v>44750</v>
                </pt>
                <pt idx="381">
                  <v>44757</v>
                </pt>
                <pt idx="382">
                  <v>44764</v>
                </pt>
                <pt idx="383">
                  <v>44771</v>
                </pt>
              </numCache>
            </numRef>
          </cat>
          <val>
            <numRef>
              <f>'ECB Balance Sheet'!$B$7:$B$390</f>
              <numCache>
                <formatCode>0</formatCode>
                <ptCount val="384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  <pt idx="361">
                  <v>8671293</v>
                </pt>
                <pt idx="362">
                  <v>8672977</v>
                </pt>
                <pt idx="363">
                  <v>8686990</v>
                </pt>
                <pt idx="364">
                  <v>8700036</v>
                </pt>
                <pt idx="365">
                  <v>8710615</v>
                </pt>
                <pt idx="366">
                  <v>8753992</v>
                </pt>
                <pt idx="367">
                  <v>8763720</v>
                </pt>
                <pt idx="368">
                  <v>8787905</v>
                </pt>
                <pt idx="369">
                  <v>8790918</v>
                </pt>
                <pt idx="370">
                  <v>8783589</v>
                </pt>
                <pt idx="371">
                  <v>8796118</v>
                </pt>
                <pt idx="372">
                  <v>8810309</v>
                </pt>
                <pt idx="373">
                  <v>8814019</v>
                </pt>
                <pt idx="374">
                  <v>8813834</v>
                </pt>
                <pt idx="375">
                  <v>8817918</v>
                </pt>
                <pt idx="376">
                  <v>8820944</v>
                </pt>
                <pt idx="377">
                  <v>8827944</v>
                </pt>
                <pt idx="378">
                  <v>8835987</v>
                </pt>
                <pt idx="379">
                  <v>8788761</v>
                </pt>
                <pt idx="380">
                  <v>8774413</v>
                </pt>
                <pt idx="381">
                  <v>8765687</v>
                </pt>
                <pt idx="382">
                  <v>8768286</v>
                </pt>
                <pt idx="383">
                  <v>8764480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764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310090</colOff>
      <row>841</row>
      <rowOff>134760</rowOff>
    </from>
    <to>
      <col>13</col>
      <colOff>63500</colOff>
      <row>867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164167</colOff>
      <row>795</row>
      <rowOff>167342</rowOff>
    </from>
    <to>
      <col>11</col>
      <colOff>373718</colOff>
      <row>816</row>
      <rowOff>24466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712</row>
      <rowOff>172357</rowOff>
    </from>
    <to>
      <col>17</col>
      <colOff>689428</colOff>
      <row>738</row>
      <rowOff>190046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171449</rowOff>
    </from>
    <to>
      <col>18</col>
      <colOff>18142</colOff>
      <row>768</row>
      <rowOff>45356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474133</colOff>
      <row>1019</row>
      <rowOff>162983</rowOff>
    </from>
    <to>
      <col>16</col>
      <colOff>47625</colOff>
      <row>1046</row>
      <rowOff>96309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157353</colOff>
      <row>982</row>
      <rowOff>117231</rowOff>
    </from>
    <to>
      <col>13</col>
      <colOff>19538</colOff>
      <row>1005</row>
      <rowOff>127036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145493</colOff>
      <row>1007</row>
      <rowOff>17097</rowOff>
    </from>
    <to>
      <col>13</col>
      <colOff>0</colOff>
      <row>1027</row>
      <rowOff>68385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622300</colOff>
      <row>236</row>
      <rowOff>38100</rowOff>
    </from>
    <to>
      <col>15</col>
      <colOff>158750</colOff>
      <row>258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282574</colOff>
      <row>236</row>
      <rowOff>31750</rowOff>
    </from>
    <to>
      <col>24</col>
      <colOff>571499</colOff>
      <row>259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644525</colOff>
      <row>260</row>
      <rowOff>98425</rowOff>
    </from>
    <to>
      <col>15</col>
      <colOff>31750</colOff>
      <row>285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181534</colOff>
      <row>374</row>
      <rowOff>190873</rowOff>
    </from>
    <to>
      <col>12</col>
      <colOff>191059</colOff>
      <row>396</row>
      <rowOff>76574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67" headerRowCount="1" totalsRowShown="0" headerRowDxfId="47" dataDxfId="45" headerRowBorderDxfId="46" tableBorderDxfId="44" totalsRowBorderDxfId="43" headerRowCellStyle="Normal 2" dataCellStyle="Normal 2">
  <autoFilter ref="A7:B867"/>
  <tableColumns count="2">
    <tableColumn id="1" name="Month" dataDxfId="42" dataCellStyle="Normal 2"/>
    <tableColumn id="2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24" headerRowCount="1" totalsRowShown="0" headerRowDxfId="40" dataDxfId="38" headerRowBorderDxfId="39" tableBorderDxfId="37" totalsRowBorderDxfId="36" headerRowCellStyle="Normal 2" dataCellStyle="Normal 2">
  <autoFilter ref="A7:B824"/>
  <tableColumns count="2">
    <tableColumn id="1" name="Month" dataDxfId="35" dataCellStyle="Normal 2"/>
    <tableColumn id="2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68" headerRowCount="1" totalsRowShown="0" headerRowDxfId="33" dataDxfId="31" headerRowBorderDxfId="32" dataCellStyle="Normal 2">
  <autoFilter ref="A6:E768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Rates'!$A$1:$D$1000,4,FALSE)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36" headerRowCount="1" totalsRowShown="0" headerRowDxfId="25" dataDxfId="23" headerRowBorderDxfId="24">
  <autoFilter ref="A11:C1036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36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96" headerRowCount="1" totalsRowShown="0" headerRowDxfId="15" dataDxfId="13" headerRowBorderDxfId="14" tableBorderDxfId="12" totalsRowBorderDxfId="11" headerRowCellStyle="Normal 2" dataCellStyle="Normal 2">
  <autoFilter ref="A5:D296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BOJ'!$A$1:$C$1100,2,FALSE)</calculatedColumnFormula>
    </tableColumn>
    <tableColumn id="3" name="Nikkei 225" dataDxfId="8" dataCellStyle="Normal 2">
      <calculatedColumnFormula>VLOOKUP(A6,'Database BOJ'!$A$1:$D$1100,4,FALSE)</calculatedColumnFormula>
    </tableColumn>
    <tableColumn id="4" name="BOJ Balance sheet as % of Japanese GDP" dataDxfId="7" dataCellStyle="Normal 2">
      <calculatedColumnFormula>IFERROR(VLOOKUP(A6,'Database BOJ'!$A$1:$C$1100,2,FALSE)/VLOOKUP(A6,'Database BOJ'!$A$1:$C$1100,3,FALSE),#N/A)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390" headerRowCount="1" totalsRowShown="0" headerRowDxfId="6" dataDxfId="4" headerRowBorderDxfId="5" tableBorderDxfId="3" totalsRowBorderDxfId="2" headerRowCellStyle="Normal 2" dataCellStyle="Normal 2">
  <autoFilter ref="A6:B390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zoomScale="160" zoomScaleNormal="160" workbookViewId="0">
      <selection activeCell="C13" sqref="C13"/>
    </sheetView>
  </sheetViews>
  <sheetFormatPr baseColWidth="10" defaultColWidth="9.1640625" defaultRowHeight="15"/>
  <cols>
    <col width="9.1640625" customWidth="1" style="56" min="1" max="1"/>
    <col width="30.33203125" customWidth="1" style="56" min="2" max="2"/>
    <col width="9.1640625" customWidth="1" style="56" min="3" max="9"/>
    <col width="101.33203125" customWidth="1" style="56" min="10" max="10"/>
    <col width="9.1640625" customWidth="1" style="56" min="11" max="29"/>
    <col width="9.1640625" customWidth="1" style="56" min="30" max="16384"/>
  </cols>
  <sheetData>
    <row r="1">
      <c r="B1" s="55" t="n"/>
    </row>
    <row r="2" ht="16" customHeight="1" s="39" thickBot="1">
      <c r="B2" s="57" t="n"/>
      <c r="C2" s="57" t="n"/>
      <c r="D2" s="57" t="n"/>
      <c r="E2" s="57" t="n"/>
      <c r="F2" s="57" t="n"/>
      <c r="G2" s="57" t="n"/>
      <c r="H2" s="57" t="n"/>
      <c r="I2" s="57" t="n"/>
      <c r="J2" s="57" t="n"/>
    </row>
    <row r="3" ht="16" customHeight="1" s="39" thickBot="1">
      <c r="B3" s="58" t="inlineStr">
        <is>
          <t>Central Banks</t>
        </is>
      </c>
      <c r="C3" s="59" t="n"/>
      <c r="D3" s="59" t="n"/>
      <c r="E3" s="59" t="n"/>
      <c r="F3" s="59" t="n"/>
      <c r="G3" s="59" t="n"/>
      <c r="H3" s="59" t="n"/>
      <c r="I3" s="59" t="n"/>
      <c r="J3" s="60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6" t="inlineStr">
        <is>
          <t>Lower Rates</t>
        </is>
      </c>
      <c r="D6" s="56" t="inlineStr">
        <is>
          <t xml:space="preserve"> =&gt;</t>
        </is>
      </c>
      <c r="E6" s="56" t="inlineStr">
        <is>
          <t>Lending Creation</t>
        </is>
      </c>
      <c r="H6" s="56" t="inlineStr">
        <is>
          <t xml:space="preserve"> =&gt;</t>
        </is>
      </c>
      <c r="I6" s="56" t="inlineStr">
        <is>
          <t>Higher Spending from Household and Private Sector</t>
        </is>
      </c>
    </row>
    <row r="7">
      <c r="C7" s="56" t="inlineStr">
        <is>
          <t>Higher Rates</t>
        </is>
      </c>
      <c r="D7" s="56" t="inlineStr">
        <is>
          <t xml:space="preserve"> =&gt;</t>
        </is>
      </c>
      <c r="E7" s="56" t="inlineStr">
        <is>
          <t>Less Lending</t>
        </is>
      </c>
      <c r="H7" s="56" t="inlineStr">
        <is>
          <t xml:space="preserve"> =&gt;</t>
        </is>
      </c>
      <c r="I7" s="56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6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6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6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6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1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896"/>
  <sheetViews>
    <sheetView zoomScale="180" zoomScaleNormal="180" workbookViewId="0">
      <pane ySplit="1" topLeftCell="A883" activePane="bottomLeft" state="frozen"/>
      <selection pane="bottomLeft" activeCell="H872" sqref="H872"/>
    </sheetView>
  </sheetViews>
  <sheetFormatPr baseColWidth="10" defaultRowHeight="15"/>
  <cols>
    <col width="15.1640625" customWidth="1" style="39" min="2" max="2"/>
  </cols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</row>
    <row r="2">
      <c r="A2" s="63" t="n">
        <v>17533</v>
      </c>
      <c r="B2" t="n">
        <v>0</v>
      </c>
    </row>
    <row r="3">
      <c r="A3" s="63" t="n">
        <v>17564</v>
      </c>
      <c r="B3" t="n">
        <v>0</v>
      </c>
    </row>
    <row r="4">
      <c r="A4" s="63" t="n">
        <v>17593</v>
      </c>
      <c r="B4" t="n">
        <v>0</v>
      </c>
    </row>
    <row r="5">
      <c r="A5" s="63" t="n">
        <v>17624</v>
      </c>
      <c r="B5" t="n">
        <v>0</v>
      </c>
    </row>
    <row r="6">
      <c r="A6" s="63" t="n">
        <v>17654</v>
      </c>
      <c r="B6" t="n">
        <v>0</v>
      </c>
    </row>
    <row r="7">
      <c r="A7" s="63" t="n">
        <v>17685</v>
      </c>
      <c r="B7" t="n">
        <v>0</v>
      </c>
    </row>
    <row r="8">
      <c r="A8" s="63" t="n">
        <v>17715</v>
      </c>
      <c r="B8" t="n">
        <v>0</v>
      </c>
    </row>
    <row r="9">
      <c r="A9" s="63" t="n">
        <v>17746</v>
      </c>
      <c r="B9" t="n">
        <v>0</v>
      </c>
    </row>
    <row r="10">
      <c r="A10" s="63" t="n">
        <v>17777</v>
      </c>
      <c r="B10" t="n">
        <v>0</v>
      </c>
    </row>
    <row r="11">
      <c r="A11" s="63" t="n">
        <v>17807</v>
      </c>
      <c r="B11" t="n">
        <v>0</v>
      </c>
    </row>
    <row r="12">
      <c r="A12" s="63" t="n">
        <v>17838</v>
      </c>
      <c r="B12" t="n">
        <v>0</v>
      </c>
    </row>
    <row r="13">
      <c r="A13" s="63" t="n">
        <v>17868</v>
      </c>
      <c r="B13" t="n">
        <v>0</v>
      </c>
    </row>
    <row r="14">
      <c r="A14" s="63" t="n">
        <v>17899</v>
      </c>
      <c r="B14" t="n">
        <v>0</v>
      </c>
    </row>
    <row r="15">
      <c r="A15" s="63" t="n">
        <v>17930</v>
      </c>
      <c r="B15" t="n">
        <v>0</v>
      </c>
    </row>
    <row r="16">
      <c r="A16" s="63" t="n">
        <v>17958</v>
      </c>
      <c r="B16" t="n">
        <v>0</v>
      </c>
    </row>
    <row r="17">
      <c r="A17" s="63" t="n">
        <v>17989</v>
      </c>
      <c r="B17" t="n">
        <v>0</v>
      </c>
    </row>
    <row r="18">
      <c r="A18" s="63" t="n">
        <v>18019</v>
      </c>
      <c r="B18" t="n">
        <v>0</v>
      </c>
    </row>
    <row r="19">
      <c r="A19" s="63" t="n">
        <v>18050</v>
      </c>
      <c r="B19" t="n">
        <v>0</v>
      </c>
    </row>
    <row r="20">
      <c r="A20" s="63" t="n">
        <v>18080</v>
      </c>
      <c r="B20" t="n">
        <v>0</v>
      </c>
    </row>
    <row r="21">
      <c r="A21" s="63" t="n">
        <v>18111</v>
      </c>
      <c r="B21" t="n">
        <v>0</v>
      </c>
    </row>
    <row r="22">
      <c r="A22" s="63" t="n">
        <v>18142</v>
      </c>
      <c r="B22" t="n">
        <v>0</v>
      </c>
    </row>
    <row r="23">
      <c r="A23" s="63" t="n">
        <v>18172</v>
      </c>
      <c r="B23" t="n">
        <v>0</v>
      </c>
    </row>
    <row r="24">
      <c r="A24" s="63" t="n">
        <v>18203</v>
      </c>
      <c r="B24" t="n">
        <v>0</v>
      </c>
    </row>
    <row r="25">
      <c r="A25" s="63" t="n">
        <v>18233</v>
      </c>
      <c r="B25" t="n">
        <v>0</v>
      </c>
    </row>
    <row r="26">
      <c r="A26" s="63" t="n">
        <v>18264</v>
      </c>
      <c r="B26" t="n">
        <v>1.5</v>
      </c>
    </row>
    <row r="27">
      <c r="A27" s="63" t="n">
        <v>18295</v>
      </c>
      <c r="B27" t="n">
        <v>1.5</v>
      </c>
    </row>
    <row r="28">
      <c r="A28" s="63" t="n">
        <v>18323</v>
      </c>
      <c r="B28" t="n">
        <v>1.5</v>
      </c>
    </row>
    <row r="29">
      <c r="A29" s="63" t="n">
        <v>18354</v>
      </c>
      <c r="B29" t="n">
        <v>1.5</v>
      </c>
    </row>
    <row r="30">
      <c r="A30" s="63" t="n">
        <v>18384</v>
      </c>
      <c r="B30" t="n">
        <v>1.5</v>
      </c>
    </row>
    <row r="31">
      <c r="A31" s="63" t="n">
        <v>18415</v>
      </c>
      <c r="B31" t="n">
        <v>1.5</v>
      </c>
    </row>
    <row r="32">
      <c r="A32" s="63" t="n">
        <v>18445</v>
      </c>
      <c r="B32" t="n">
        <v>1.5</v>
      </c>
    </row>
    <row r="33">
      <c r="A33" s="63" t="n">
        <v>18476</v>
      </c>
      <c r="B33" t="n">
        <v>1.59</v>
      </c>
    </row>
    <row r="34">
      <c r="A34" s="63" t="n">
        <v>18507</v>
      </c>
      <c r="B34" t="n">
        <v>1.75</v>
      </c>
    </row>
    <row r="35">
      <c r="A35" s="63" t="n">
        <v>18537</v>
      </c>
      <c r="B35" t="n">
        <v>1.75</v>
      </c>
    </row>
    <row r="36">
      <c r="A36" s="63" t="n">
        <v>18568</v>
      </c>
      <c r="B36" t="n">
        <v>1.75</v>
      </c>
    </row>
    <row r="37">
      <c r="A37" s="63" t="n">
        <v>18598</v>
      </c>
      <c r="B37" t="n">
        <v>1.75</v>
      </c>
    </row>
    <row r="38">
      <c r="A38" s="63" t="n">
        <v>18629</v>
      </c>
      <c r="B38" t="n">
        <v>1.75</v>
      </c>
    </row>
    <row r="39">
      <c r="A39" s="63" t="n">
        <v>18660</v>
      </c>
      <c r="B39" t="n">
        <v>1.75</v>
      </c>
    </row>
    <row r="40">
      <c r="A40" s="63" t="n">
        <v>18688</v>
      </c>
      <c r="B40" t="n">
        <v>1.75</v>
      </c>
    </row>
    <row r="41">
      <c r="A41" s="63" t="n">
        <v>18719</v>
      </c>
      <c r="B41" t="n">
        <v>1.75</v>
      </c>
    </row>
    <row r="42">
      <c r="A42" s="63" t="n">
        <v>18749</v>
      </c>
      <c r="B42" t="n">
        <v>1.75</v>
      </c>
    </row>
    <row r="43">
      <c r="A43" s="63" t="n">
        <v>18780</v>
      </c>
      <c r="B43" t="n">
        <v>1.75</v>
      </c>
    </row>
    <row r="44">
      <c r="A44" s="63" t="n">
        <v>18810</v>
      </c>
      <c r="B44" t="n">
        <v>1.75</v>
      </c>
    </row>
    <row r="45">
      <c r="A45" s="63" t="n">
        <v>18841</v>
      </c>
      <c r="B45" t="n">
        <v>1.75</v>
      </c>
    </row>
    <row r="46">
      <c r="A46" s="63" t="n">
        <v>18872</v>
      </c>
      <c r="B46" t="n">
        <v>1.75</v>
      </c>
    </row>
    <row r="47">
      <c r="A47" s="63" t="n">
        <v>18902</v>
      </c>
      <c r="B47" t="n">
        <v>1.75</v>
      </c>
    </row>
    <row r="48">
      <c r="A48" s="63" t="n">
        <v>18933</v>
      </c>
      <c r="B48" t="n">
        <v>1.75</v>
      </c>
    </row>
    <row r="49">
      <c r="A49" s="63" t="n">
        <v>18963</v>
      </c>
      <c r="B49" t="n">
        <v>1.75</v>
      </c>
    </row>
    <row r="50">
      <c r="A50" s="63" t="n">
        <v>18994</v>
      </c>
      <c r="B50" t="n">
        <v>1.75</v>
      </c>
    </row>
    <row r="51">
      <c r="A51" s="63" t="n">
        <v>19025</v>
      </c>
      <c r="B51" t="n">
        <v>1.75</v>
      </c>
    </row>
    <row r="52">
      <c r="A52" s="63" t="n">
        <v>19054</v>
      </c>
      <c r="B52" t="n">
        <v>1.75</v>
      </c>
    </row>
    <row r="53">
      <c r="A53" s="63" t="n">
        <v>19085</v>
      </c>
      <c r="B53" t="n">
        <v>1.75</v>
      </c>
    </row>
    <row r="54">
      <c r="A54" s="63" t="n">
        <v>19115</v>
      </c>
      <c r="B54" t="n">
        <v>1.75</v>
      </c>
    </row>
    <row r="55">
      <c r="A55" s="63" t="n">
        <v>19146</v>
      </c>
      <c r="B55" t="n">
        <v>1.75</v>
      </c>
    </row>
    <row r="56">
      <c r="A56" s="63" t="n">
        <v>19176</v>
      </c>
      <c r="B56" t="n">
        <v>1.75</v>
      </c>
    </row>
    <row r="57">
      <c r="A57" s="63" t="n">
        <v>19207</v>
      </c>
      <c r="B57" t="n">
        <v>1.75</v>
      </c>
    </row>
    <row r="58">
      <c r="A58" s="63" t="n">
        <v>19238</v>
      </c>
      <c r="B58" t="n">
        <v>1.75</v>
      </c>
    </row>
    <row r="59">
      <c r="A59" s="63" t="n">
        <v>19268</v>
      </c>
      <c r="B59" t="n">
        <v>1.75</v>
      </c>
    </row>
    <row r="60">
      <c r="A60" s="63" t="n">
        <v>19299</v>
      </c>
      <c r="B60" t="n">
        <v>1.75</v>
      </c>
    </row>
    <row r="61">
      <c r="A61" s="63" t="n">
        <v>19329</v>
      </c>
      <c r="B61" t="n">
        <v>1.75</v>
      </c>
    </row>
    <row r="62">
      <c r="A62" s="63" t="n">
        <v>19360</v>
      </c>
      <c r="B62" t="n">
        <v>1.88</v>
      </c>
    </row>
    <row r="63">
      <c r="A63" s="63" t="n">
        <v>19391</v>
      </c>
      <c r="B63" t="n">
        <v>2</v>
      </c>
    </row>
    <row r="64">
      <c r="A64" s="63" t="n">
        <v>19419</v>
      </c>
      <c r="B64" t="n">
        <v>2</v>
      </c>
    </row>
    <row r="65">
      <c r="A65" s="63" t="n">
        <v>19450</v>
      </c>
      <c r="B65" t="n">
        <v>2</v>
      </c>
    </row>
    <row r="66">
      <c r="A66" s="63" t="n">
        <v>19480</v>
      </c>
      <c r="B66" t="n">
        <v>2</v>
      </c>
    </row>
    <row r="67">
      <c r="A67" s="63" t="n">
        <v>19511</v>
      </c>
      <c r="B67" t="n">
        <v>2</v>
      </c>
    </row>
    <row r="68">
      <c r="A68" s="63" t="n">
        <v>19541</v>
      </c>
      <c r="B68" t="n">
        <v>2</v>
      </c>
    </row>
    <row r="69">
      <c r="A69" s="63" t="n">
        <v>19572</v>
      </c>
      <c r="B69" t="n">
        <v>2</v>
      </c>
    </row>
    <row r="70">
      <c r="A70" s="63" t="n">
        <v>19603</v>
      </c>
      <c r="B70" t="n">
        <v>2</v>
      </c>
    </row>
    <row r="71">
      <c r="A71" s="63" t="n">
        <v>19633</v>
      </c>
      <c r="B71" t="n">
        <v>2</v>
      </c>
    </row>
    <row r="72">
      <c r="A72" s="63" t="n">
        <v>19664</v>
      </c>
      <c r="B72" t="n">
        <v>2</v>
      </c>
    </row>
    <row r="73">
      <c r="A73" s="63" t="n">
        <v>19694</v>
      </c>
      <c r="B73" t="n">
        <v>2</v>
      </c>
    </row>
    <row r="74">
      <c r="A74" s="63" t="n">
        <v>19725</v>
      </c>
      <c r="B74" t="n">
        <v>2</v>
      </c>
    </row>
    <row r="75">
      <c r="A75" s="63" t="n">
        <v>19756</v>
      </c>
      <c r="B75" t="n">
        <v>1.79</v>
      </c>
    </row>
    <row r="76">
      <c r="A76" s="63" t="n">
        <v>19784</v>
      </c>
      <c r="B76" t="n">
        <v>1.75</v>
      </c>
    </row>
    <row r="77">
      <c r="A77" s="63" t="n">
        <v>19815</v>
      </c>
      <c r="B77" t="n">
        <v>1.63</v>
      </c>
    </row>
    <row r="78">
      <c r="A78" s="63" t="n">
        <v>19845</v>
      </c>
      <c r="B78" t="n">
        <v>1.5</v>
      </c>
    </row>
    <row r="79">
      <c r="A79" s="63" t="n">
        <v>19876</v>
      </c>
      <c r="B79" t="n">
        <v>1.5</v>
      </c>
    </row>
    <row r="80">
      <c r="A80" s="63" t="n">
        <v>19906</v>
      </c>
      <c r="B80" t="n">
        <v>1.5</v>
      </c>
      <c r="C80" t="n">
        <v>0.8</v>
      </c>
    </row>
    <row r="81">
      <c r="A81" s="63" t="n">
        <v>19937</v>
      </c>
      <c r="B81" t="n">
        <v>1.5</v>
      </c>
      <c r="C81" t="n">
        <v>1.22</v>
      </c>
    </row>
    <row r="82">
      <c r="A82" s="63" t="n">
        <v>19968</v>
      </c>
      <c r="B82" t="n">
        <v>1.5</v>
      </c>
      <c r="C82" t="n">
        <v>1.07</v>
      </c>
    </row>
    <row r="83">
      <c r="A83" s="63" t="n">
        <v>19998</v>
      </c>
      <c r="B83" t="n">
        <v>1.5</v>
      </c>
      <c r="C83" t="n">
        <v>0.85</v>
      </c>
    </row>
    <row r="84">
      <c r="A84" s="63" t="n">
        <v>20029</v>
      </c>
      <c r="B84" t="n">
        <v>1.5</v>
      </c>
      <c r="C84" t="n">
        <v>0.83</v>
      </c>
    </row>
    <row r="85">
      <c r="A85" s="63" t="n">
        <v>20059</v>
      </c>
      <c r="B85" t="n">
        <v>1.5</v>
      </c>
      <c r="C85" t="n">
        <v>1.28</v>
      </c>
    </row>
    <row r="86">
      <c r="A86" s="63" t="n">
        <v>20090</v>
      </c>
      <c r="B86" t="n">
        <v>1.5</v>
      </c>
      <c r="C86" t="n">
        <v>1.39</v>
      </c>
    </row>
    <row r="87">
      <c r="A87" s="63" t="n">
        <v>20121</v>
      </c>
      <c r="B87" t="n">
        <v>1.5</v>
      </c>
      <c r="C87" t="n">
        <v>1.29</v>
      </c>
    </row>
    <row r="88">
      <c r="A88" s="63" t="n">
        <v>20149</v>
      </c>
      <c r="B88" t="n">
        <v>1.5</v>
      </c>
      <c r="C88" t="n">
        <v>1.35</v>
      </c>
    </row>
    <row r="89">
      <c r="A89" s="63" t="n">
        <v>20180</v>
      </c>
      <c r="B89" t="n">
        <v>1.63</v>
      </c>
      <c r="C89" t="n">
        <v>1.43</v>
      </c>
    </row>
    <row r="90">
      <c r="A90" s="63" t="n">
        <v>20210</v>
      </c>
      <c r="B90" t="n">
        <v>1.75</v>
      </c>
      <c r="C90" t="n">
        <v>1.43</v>
      </c>
    </row>
    <row r="91">
      <c r="A91" s="63" t="n">
        <v>20241</v>
      </c>
      <c r="B91" t="n">
        <v>1.75</v>
      </c>
      <c r="C91" t="n">
        <v>1.64</v>
      </c>
    </row>
    <row r="92">
      <c r="A92" s="63" t="n">
        <v>20271</v>
      </c>
      <c r="B92" t="n">
        <v>1.75</v>
      </c>
      <c r="C92" t="n">
        <v>1.68</v>
      </c>
    </row>
    <row r="93">
      <c r="A93" s="63" t="n">
        <v>20302</v>
      </c>
      <c r="B93" t="n">
        <v>1.97</v>
      </c>
      <c r="C93" t="n">
        <v>1.96</v>
      </c>
    </row>
    <row r="94">
      <c r="A94" s="63" t="n">
        <v>20333</v>
      </c>
      <c r="B94" t="n">
        <v>2.18</v>
      </c>
      <c r="C94" t="n">
        <v>2.18</v>
      </c>
    </row>
    <row r="95">
      <c r="A95" s="63" t="n">
        <v>20363</v>
      </c>
      <c r="B95" t="n">
        <v>2.25</v>
      </c>
      <c r="C95" t="n">
        <v>2.24</v>
      </c>
    </row>
    <row r="96">
      <c r="A96" s="63" t="n">
        <v>20394</v>
      </c>
      <c r="B96" t="n">
        <v>2.36</v>
      </c>
      <c r="C96" t="n">
        <v>2.35</v>
      </c>
    </row>
    <row r="97">
      <c r="A97" s="63" t="n">
        <v>20424</v>
      </c>
      <c r="B97" t="n">
        <v>2.5</v>
      </c>
      <c r="C97" t="n">
        <v>2.48</v>
      </c>
    </row>
    <row r="98">
      <c r="A98" s="63" t="n">
        <v>20455</v>
      </c>
      <c r="B98" t="n">
        <v>2.5</v>
      </c>
      <c r="C98" t="n">
        <v>2.45</v>
      </c>
    </row>
    <row r="99">
      <c r="A99" s="63" t="n">
        <v>20486</v>
      </c>
      <c r="B99" t="n">
        <v>2.5</v>
      </c>
      <c r="C99" t="n">
        <v>2.5</v>
      </c>
    </row>
    <row r="100">
      <c r="A100" s="63" t="n">
        <v>20515</v>
      </c>
      <c r="B100" t="n">
        <v>2.5</v>
      </c>
      <c r="C100" t="n">
        <v>2.5</v>
      </c>
    </row>
    <row r="101">
      <c r="A101" s="63" t="n">
        <v>20546</v>
      </c>
      <c r="B101" t="n">
        <v>2.65</v>
      </c>
      <c r="C101" t="n">
        <v>2.62</v>
      </c>
    </row>
    <row r="102">
      <c r="A102" s="63" t="n">
        <v>20576</v>
      </c>
      <c r="B102" t="n">
        <v>2.75</v>
      </c>
      <c r="C102" t="n">
        <v>2.75</v>
      </c>
    </row>
    <row r="103">
      <c r="A103" s="63" t="n">
        <v>20607</v>
      </c>
      <c r="B103" t="n">
        <v>2.75</v>
      </c>
      <c r="C103" t="n">
        <v>2.71</v>
      </c>
    </row>
    <row r="104">
      <c r="A104" s="63" t="n">
        <v>20637</v>
      </c>
      <c r="B104" t="n">
        <v>2.75</v>
      </c>
      <c r="C104" t="n">
        <v>2.75</v>
      </c>
    </row>
    <row r="105">
      <c r="A105" s="63" t="n">
        <v>20668</v>
      </c>
      <c r="B105" t="n">
        <v>2.81</v>
      </c>
      <c r="C105" t="n">
        <v>2.73</v>
      </c>
    </row>
    <row r="106">
      <c r="A106" s="63" t="n">
        <v>20699</v>
      </c>
      <c r="B106" t="n">
        <v>3</v>
      </c>
      <c r="C106" t="n">
        <v>2.95</v>
      </c>
    </row>
    <row r="107">
      <c r="A107" s="63" t="n">
        <v>20729</v>
      </c>
      <c r="B107" t="n">
        <v>3</v>
      </c>
      <c r="C107" t="n">
        <v>2.96</v>
      </c>
    </row>
    <row r="108">
      <c r="A108" s="63" t="n">
        <v>20760</v>
      </c>
      <c r="B108" t="n">
        <v>3</v>
      </c>
      <c r="C108" t="n">
        <v>2.88</v>
      </c>
    </row>
    <row r="109">
      <c r="A109" s="63" t="n">
        <v>20790</v>
      </c>
      <c r="B109" t="n">
        <v>3</v>
      </c>
      <c r="C109" t="n">
        <v>2.94</v>
      </c>
    </row>
    <row r="110">
      <c r="A110" s="63" t="n">
        <v>20821</v>
      </c>
      <c r="B110" t="n">
        <v>3</v>
      </c>
      <c r="C110" t="n">
        <v>2.84</v>
      </c>
    </row>
    <row r="111">
      <c r="A111" s="63" t="n">
        <v>20852</v>
      </c>
      <c r="B111" t="n">
        <v>3</v>
      </c>
      <c r="C111" t="n">
        <v>3</v>
      </c>
    </row>
    <row r="112">
      <c r="A112" s="63" t="n">
        <v>20880</v>
      </c>
      <c r="B112" t="n">
        <v>3</v>
      </c>
      <c r="C112" t="n">
        <v>2.96</v>
      </c>
    </row>
    <row r="113">
      <c r="A113" s="63" t="n">
        <v>20911</v>
      </c>
      <c r="B113" t="n">
        <v>3</v>
      </c>
      <c r="C113" t="n">
        <v>3</v>
      </c>
    </row>
    <row r="114">
      <c r="A114" s="63" t="n">
        <v>20941</v>
      </c>
      <c r="B114" t="n">
        <v>3</v>
      </c>
      <c r="C114" t="n">
        <v>3</v>
      </c>
    </row>
    <row r="115">
      <c r="A115" s="63" t="n">
        <v>20972</v>
      </c>
      <c r="B115" t="n">
        <v>3</v>
      </c>
      <c r="C115" t="n">
        <v>3</v>
      </c>
    </row>
    <row r="116">
      <c r="A116" s="63" t="n">
        <v>21002</v>
      </c>
      <c r="B116" t="n">
        <v>3</v>
      </c>
      <c r="C116" t="n">
        <v>2.99</v>
      </c>
    </row>
    <row r="117">
      <c r="A117" s="63" t="n">
        <v>21033</v>
      </c>
      <c r="B117" t="n">
        <v>3.15</v>
      </c>
      <c r="C117" t="n">
        <v>3.24</v>
      </c>
    </row>
    <row r="118">
      <c r="A118" s="63" t="n">
        <v>21064</v>
      </c>
      <c r="B118" t="n">
        <v>3.5</v>
      </c>
      <c r="C118" t="n">
        <v>3.47</v>
      </c>
    </row>
    <row r="119">
      <c r="A119" s="63" t="n">
        <v>21094</v>
      </c>
      <c r="B119" t="n">
        <v>3.5</v>
      </c>
      <c r="C119" t="n">
        <v>3.5</v>
      </c>
    </row>
    <row r="120">
      <c r="A120" s="63" t="n">
        <v>21125</v>
      </c>
      <c r="B120" t="n">
        <v>3.23</v>
      </c>
      <c r="C120" t="n">
        <v>3.28</v>
      </c>
    </row>
    <row r="121">
      <c r="A121" s="63" t="n">
        <v>21155</v>
      </c>
      <c r="B121" t="n">
        <v>3</v>
      </c>
      <c r="C121" t="n">
        <v>2.98</v>
      </c>
    </row>
    <row r="122">
      <c r="A122" s="63" t="n">
        <v>21186</v>
      </c>
      <c r="B122" t="n">
        <v>2.94</v>
      </c>
      <c r="C122" t="n">
        <v>2.72</v>
      </c>
    </row>
    <row r="123">
      <c r="A123" s="63" t="n">
        <v>21217</v>
      </c>
      <c r="B123" t="n">
        <v>2.75</v>
      </c>
      <c r="C123" t="n">
        <v>1.67</v>
      </c>
    </row>
    <row r="124">
      <c r="A124" s="63" t="n">
        <v>21245</v>
      </c>
      <c r="B124" t="n">
        <v>2.35</v>
      </c>
      <c r="C124" t="n">
        <v>1.2</v>
      </c>
    </row>
    <row r="125">
      <c r="A125" s="63" t="n">
        <v>21276</v>
      </c>
      <c r="B125" t="n">
        <v>2.03</v>
      </c>
      <c r="C125" t="n">
        <v>1.26</v>
      </c>
    </row>
    <row r="126">
      <c r="A126" s="63" t="n">
        <v>21306</v>
      </c>
      <c r="B126" t="n">
        <v>1.75</v>
      </c>
      <c r="C126" t="n">
        <v>0.63</v>
      </c>
    </row>
    <row r="127">
      <c r="A127" s="63" t="n">
        <v>21337</v>
      </c>
      <c r="B127" t="n">
        <v>1.75</v>
      </c>
      <c r="C127" t="n">
        <v>0.93</v>
      </c>
    </row>
    <row r="128">
      <c r="A128" s="63" t="n">
        <v>21367</v>
      </c>
      <c r="B128" t="n">
        <v>1.75</v>
      </c>
      <c r="C128" t="n">
        <v>0.68</v>
      </c>
    </row>
    <row r="129">
      <c r="A129" s="63" t="n">
        <v>21398</v>
      </c>
      <c r="B129" t="n">
        <v>1.75</v>
      </c>
      <c r="C129" t="n">
        <v>1.53</v>
      </c>
    </row>
    <row r="130">
      <c r="A130" s="63" t="n">
        <v>21429</v>
      </c>
      <c r="B130" t="n">
        <v>1.91</v>
      </c>
      <c r="C130" t="n">
        <v>1.76</v>
      </c>
    </row>
    <row r="131">
      <c r="A131" s="63" t="n">
        <v>21459</v>
      </c>
      <c r="B131" t="n">
        <v>2</v>
      </c>
      <c r="C131" t="n">
        <v>1.8</v>
      </c>
    </row>
    <row r="132">
      <c r="A132" s="63" t="n">
        <v>21490</v>
      </c>
      <c r="B132" t="n">
        <v>2.4</v>
      </c>
      <c r="C132" t="n">
        <v>2.27</v>
      </c>
    </row>
    <row r="133">
      <c r="A133" s="63" t="n">
        <v>21520</v>
      </c>
      <c r="B133" t="n">
        <v>2.5</v>
      </c>
      <c r="C133" t="n">
        <v>2.42</v>
      </c>
    </row>
    <row r="134">
      <c r="A134" s="63" t="n">
        <v>21551</v>
      </c>
      <c r="B134" t="n">
        <v>2.5</v>
      </c>
      <c r="C134" t="n">
        <v>2.48</v>
      </c>
      <c r="D134" t="n">
        <v>286.6</v>
      </c>
    </row>
    <row r="135">
      <c r="A135" s="63" t="n">
        <v>21582</v>
      </c>
      <c r="B135" t="n">
        <v>2.5</v>
      </c>
      <c r="C135" t="n">
        <v>2.43</v>
      </c>
      <c r="D135" t="n">
        <v>287.7</v>
      </c>
    </row>
    <row r="136">
      <c r="A136" s="63" t="n">
        <v>21610</v>
      </c>
      <c r="B136" t="n">
        <v>2.92</v>
      </c>
      <c r="C136" t="n">
        <v>2.8</v>
      </c>
      <c r="D136" t="n">
        <v>289.2</v>
      </c>
    </row>
    <row r="137">
      <c r="A137" s="63" t="n">
        <v>21641</v>
      </c>
      <c r="B137" t="n">
        <v>3</v>
      </c>
      <c r="C137" t="n">
        <v>2.96</v>
      </c>
      <c r="D137" t="n">
        <v>290.1</v>
      </c>
    </row>
    <row r="138">
      <c r="A138" s="63" t="n">
        <v>21671</v>
      </c>
      <c r="B138" t="n">
        <v>3.05</v>
      </c>
      <c r="C138" t="n">
        <v>2.9</v>
      </c>
      <c r="D138" t="n">
        <v>292.2</v>
      </c>
    </row>
    <row r="139">
      <c r="A139" s="63" t="n">
        <v>21702</v>
      </c>
      <c r="B139" t="n">
        <v>3.5</v>
      </c>
      <c r="C139" t="n">
        <v>3.39</v>
      </c>
      <c r="D139" t="n">
        <v>294.1</v>
      </c>
    </row>
    <row r="140">
      <c r="A140" s="63" t="n">
        <v>21732</v>
      </c>
      <c r="B140" t="n">
        <v>3.5</v>
      </c>
      <c r="C140" t="n">
        <v>3.47</v>
      </c>
      <c r="D140" t="n">
        <v>295.2</v>
      </c>
    </row>
    <row r="141">
      <c r="A141" s="63" t="n">
        <v>21763</v>
      </c>
      <c r="B141" t="n">
        <v>3.5</v>
      </c>
      <c r="C141" t="n">
        <v>3.5</v>
      </c>
      <c r="D141" t="n">
        <v>296.4</v>
      </c>
    </row>
    <row r="142">
      <c r="A142" s="63" t="n">
        <v>21794</v>
      </c>
      <c r="B142" t="n">
        <v>3.83</v>
      </c>
      <c r="C142" t="n">
        <v>3.76</v>
      </c>
      <c r="D142" t="n">
        <v>296.7</v>
      </c>
    </row>
    <row r="143">
      <c r="A143" s="63" t="n">
        <v>21824</v>
      </c>
      <c r="B143" t="n">
        <v>4</v>
      </c>
      <c r="C143" t="n">
        <v>3.98</v>
      </c>
      <c r="D143" t="n">
        <v>296.5</v>
      </c>
    </row>
    <row r="144">
      <c r="A144" s="63" t="n">
        <v>21855</v>
      </c>
      <c r="B144" t="n">
        <v>4</v>
      </c>
      <c r="C144" t="n">
        <v>4</v>
      </c>
      <c r="D144" t="n">
        <v>297.1</v>
      </c>
    </row>
    <row r="145">
      <c r="A145" s="63" t="n">
        <v>21885</v>
      </c>
      <c r="B145" t="n">
        <v>4</v>
      </c>
      <c r="C145" t="n">
        <v>3.99</v>
      </c>
      <c r="D145" t="n">
        <v>297.8</v>
      </c>
    </row>
    <row r="146">
      <c r="A146" s="63" t="n">
        <v>21916</v>
      </c>
      <c r="B146" t="n">
        <v>4</v>
      </c>
      <c r="C146" t="n">
        <v>3.99</v>
      </c>
      <c r="D146" t="n">
        <v>298.2</v>
      </c>
    </row>
    <row r="147">
      <c r="A147" s="63" t="n">
        <v>21947</v>
      </c>
      <c r="B147" t="n">
        <v>4</v>
      </c>
      <c r="C147" t="n">
        <v>3.97</v>
      </c>
      <c r="D147" t="n">
        <v>298.4</v>
      </c>
    </row>
    <row r="148">
      <c r="A148" s="63" t="n">
        <v>21976</v>
      </c>
      <c r="B148" t="n">
        <v>4</v>
      </c>
      <c r="C148" t="n">
        <v>3.84</v>
      </c>
      <c r="D148" t="n">
        <v>299.3</v>
      </c>
    </row>
    <row r="149">
      <c r="A149" s="63" t="n">
        <v>22007</v>
      </c>
      <c r="B149" t="n">
        <v>4</v>
      </c>
      <c r="C149" t="n">
        <v>3.92</v>
      </c>
      <c r="D149" t="n">
        <v>300.1</v>
      </c>
    </row>
    <row r="150">
      <c r="A150" s="63" t="n">
        <v>22037</v>
      </c>
      <c r="B150" t="n">
        <v>4</v>
      </c>
      <c r="C150" t="n">
        <v>3.85</v>
      </c>
      <c r="D150" t="n">
        <v>300.9</v>
      </c>
    </row>
    <row r="151">
      <c r="A151" s="63" t="n">
        <v>22068</v>
      </c>
      <c r="B151" t="n">
        <v>3.65</v>
      </c>
      <c r="C151" t="n">
        <v>3.32</v>
      </c>
      <c r="D151" t="n">
        <v>302.3</v>
      </c>
    </row>
    <row r="152">
      <c r="A152" s="63" t="n">
        <v>22098</v>
      </c>
      <c r="B152" t="n">
        <v>3.5</v>
      </c>
      <c r="C152" t="n">
        <v>3.23</v>
      </c>
      <c r="D152" t="n">
        <v>304.1</v>
      </c>
    </row>
    <row r="153">
      <c r="A153" s="63" t="n">
        <v>22129</v>
      </c>
      <c r="B153" t="n">
        <v>3.18</v>
      </c>
      <c r="C153" t="n">
        <v>2.98</v>
      </c>
      <c r="D153" t="n">
        <v>306.9</v>
      </c>
    </row>
    <row r="154">
      <c r="A154" s="63" t="n">
        <v>22160</v>
      </c>
      <c r="B154" t="n">
        <v>3</v>
      </c>
      <c r="C154" t="n">
        <v>2.6</v>
      </c>
      <c r="D154" t="n">
        <v>308.4</v>
      </c>
    </row>
    <row r="155">
      <c r="A155" s="63" t="n">
        <v>22190</v>
      </c>
      <c r="B155" t="n">
        <v>3</v>
      </c>
      <c r="C155" t="n">
        <v>2.47</v>
      </c>
      <c r="D155" t="n">
        <v>309.5</v>
      </c>
    </row>
    <row r="156">
      <c r="A156" s="63" t="n">
        <v>22221</v>
      </c>
      <c r="B156" t="n">
        <v>3</v>
      </c>
      <c r="C156" t="n">
        <v>2.44</v>
      </c>
      <c r="D156" t="n">
        <v>310.9</v>
      </c>
    </row>
    <row r="157">
      <c r="A157" s="63" t="n">
        <v>22251</v>
      </c>
      <c r="B157" t="n">
        <v>3</v>
      </c>
      <c r="C157" t="n">
        <v>1.98</v>
      </c>
      <c r="D157" t="n">
        <v>312.4</v>
      </c>
    </row>
    <row r="158">
      <c r="A158" s="63" t="n">
        <v>22282</v>
      </c>
      <c r="B158" t="n">
        <v>3</v>
      </c>
      <c r="C158" t="n">
        <v>1.45</v>
      </c>
      <c r="D158" t="n">
        <v>314.1</v>
      </c>
    </row>
    <row r="159">
      <c r="A159" s="63" t="n">
        <v>22313</v>
      </c>
      <c r="B159" t="n">
        <v>3</v>
      </c>
      <c r="C159" t="n">
        <v>2.54</v>
      </c>
      <c r="D159" t="n">
        <v>316.5</v>
      </c>
    </row>
    <row r="160">
      <c r="A160" s="63" t="n">
        <v>22341</v>
      </c>
      <c r="B160" t="n">
        <v>3</v>
      </c>
      <c r="C160" t="n">
        <v>2.02</v>
      </c>
      <c r="D160" t="n">
        <v>318.3</v>
      </c>
    </row>
    <row r="161">
      <c r="A161" s="63" t="n">
        <v>22372</v>
      </c>
      <c r="B161" t="n">
        <v>3</v>
      </c>
      <c r="C161" t="n">
        <v>1.49</v>
      </c>
      <c r="D161" t="n">
        <v>319.9</v>
      </c>
    </row>
    <row r="162">
      <c r="A162" s="63" t="n">
        <v>22402</v>
      </c>
      <c r="B162" t="n">
        <v>3</v>
      </c>
      <c r="C162" t="n">
        <v>1.98</v>
      </c>
      <c r="D162" t="n">
        <v>322.2</v>
      </c>
    </row>
    <row r="163">
      <c r="A163" s="63" t="n">
        <v>22433</v>
      </c>
      <c r="B163" t="n">
        <v>3</v>
      </c>
      <c r="C163" t="n">
        <v>1.73</v>
      </c>
      <c r="D163" t="n">
        <v>324.3</v>
      </c>
    </row>
    <row r="164">
      <c r="A164" s="63" t="n">
        <v>22463</v>
      </c>
      <c r="B164" t="n">
        <v>3</v>
      </c>
      <c r="C164" t="n">
        <v>1.17</v>
      </c>
      <c r="D164" t="n">
        <v>325.6</v>
      </c>
    </row>
    <row r="165">
      <c r="A165" s="63" t="n">
        <v>22494</v>
      </c>
      <c r="B165" t="n">
        <v>3</v>
      </c>
      <c r="C165" t="n">
        <v>2</v>
      </c>
      <c r="D165" t="n">
        <v>327.6</v>
      </c>
    </row>
    <row r="166">
      <c r="A166" s="63" t="n">
        <v>22525</v>
      </c>
      <c r="B166" t="n">
        <v>3</v>
      </c>
      <c r="C166" t="n">
        <v>1.88</v>
      </c>
      <c r="D166" t="n">
        <v>329.5</v>
      </c>
    </row>
    <row r="167">
      <c r="A167" s="63" t="n">
        <v>22555</v>
      </c>
      <c r="B167" t="n">
        <v>3</v>
      </c>
      <c r="C167" t="n">
        <v>2.26</v>
      </c>
      <c r="D167" t="n">
        <v>331.1</v>
      </c>
    </row>
    <row r="168">
      <c r="A168" s="63" t="n">
        <v>22586</v>
      </c>
      <c r="B168" t="n">
        <v>3</v>
      </c>
      <c r="C168" t="n">
        <v>2.61</v>
      </c>
      <c r="D168" t="n">
        <v>333.4</v>
      </c>
    </row>
    <row r="169">
      <c r="A169" s="63" t="n">
        <v>22616</v>
      </c>
      <c r="B169" t="n">
        <v>3</v>
      </c>
      <c r="C169" t="n">
        <v>2.33</v>
      </c>
      <c r="D169" t="n">
        <v>335.5</v>
      </c>
    </row>
    <row r="170">
      <c r="A170" s="63" t="n">
        <v>22647</v>
      </c>
      <c r="B170" t="n">
        <v>3</v>
      </c>
      <c r="C170" t="n">
        <v>2.15</v>
      </c>
      <c r="D170" t="n">
        <v>337.5</v>
      </c>
    </row>
    <row r="171">
      <c r="A171" s="63" t="n">
        <v>22678</v>
      </c>
      <c r="B171" t="n">
        <v>3</v>
      </c>
      <c r="C171" t="n">
        <v>2.37</v>
      </c>
      <c r="D171" t="n">
        <v>340.1</v>
      </c>
    </row>
    <row r="172">
      <c r="A172" s="63" t="n">
        <v>22706</v>
      </c>
      <c r="B172" t="n">
        <v>3</v>
      </c>
      <c r="C172" t="n">
        <v>2.85</v>
      </c>
      <c r="D172" t="n">
        <v>343.1</v>
      </c>
    </row>
    <row r="173">
      <c r="A173" s="63" t="n">
        <v>22737</v>
      </c>
      <c r="B173" t="n">
        <v>3</v>
      </c>
      <c r="C173" t="n">
        <v>2.78</v>
      </c>
      <c r="D173" t="n">
        <v>345.5</v>
      </c>
    </row>
    <row r="174">
      <c r="A174" s="63" t="n">
        <v>22767</v>
      </c>
      <c r="B174" t="n">
        <v>3</v>
      </c>
      <c r="C174" t="n">
        <v>2.36</v>
      </c>
      <c r="D174" t="n">
        <v>347.5</v>
      </c>
    </row>
    <row r="175">
      <c r="A175" s="63" t="n">
        <v>22798</v>
      </c>
      <c r="B175" t="n">
        <v>3</v>
      </c>
      <c r="C175" t="n">
        <v>2.68</v>
      </c>
      <c r="D175" t="n">
        <v>349.3</v>
      </c>
    </row>
    <row r="176">
      <c r="A176" s="63" t="n">
        <v>22828</v>
      </c>
      <c r="B176" t="n">
        <v>3</v>
      </c>
      <c r="C176" t="n">
        <v>2.71</v>
      </c>
      <c r="D176" t="n">
        <v>350.8</v>
      </c>
    </row>
    <row r="177">
      <c r="A177" s="63" t="n">
        <v>22859</v>
      </c>
      <c r="B177" t="n">
        <v>3</v>
      </c>
      <c r="C177" t="n">
        <v>2.93</v>
      </c>
      <c r="D177" t="n">
        <v>352.8</v>
      </c>
    </row>
    <row r="178">
      <c r="A178" s="63" t="n">
        <v>22890</v>
      </c>
      <c r="B178" t="n">
        <v>3</v>
      </c>
      <c r="C178" t="n">
        <v>2.9</v>
      </c>
      <c r="D178" t="n">
        <v>354.9</v>
      </c>
    </row>
    <row r="179">
      <c r="A179" s="63" t="n">
        <v>22920</v>
      </c>
      <c r="B179" t="n">
        <v>3</v>
      </c>
      <c r="C179" t="n">
        <v>2.9</v>
      </c>
      <c r="D179" t="n">
        <v>357.2</v>
      </c>
    </row>
    <row r="180">
      <c r="A180" s="63" t="n">
        <v>22951</v>
      </c>
      <c r="B180" t="n">
        <v>3</v>
      </c>
      <c r="C180" t="n">
        <v>2.94</v>
      </c>
      <c r="D180" t="n">
        <v>359.8</v>
      </c>
    </row>
    <row r="181">
      <c r="A181" s="63" t="n">
        <v>22981</v>
      </c>
      <c r="B181" t="n">
        <v>3</v>
      </c>
      <c r="C181" t="n">
        <v>2.93</v>
      </c>
      <c r="D181" t="n">
        <v>362.7</v>
      </c>
    </row>
    <row r="182">
      <c r="A182" s="63" t="n">
        <v>23012</v>
      </c>
      <c r="B182" t="n">
        <v>3</v>
      </c>
      <c r="C182" t="n">
        <v>2.92</v>
      </c>
      <c r="D182" t="n">
        <v>365.2</v>
      </c>
    </row>
    <row r="183">
      <c r="A183" s="63" t="n">
        <v>23043</v>
      </c>
      <c r="B183" t="n">
        <v>3</v>
      </c>
      <c r="C183" t="n">
        <v>3</v>
      </c>
      <c r="D183" t="n">
        <v>367.9</v>
      </c>
    </row>
    <row r="184">
      <c r="A184" s="63" t="n">
        <v>23071</v>
      </c>
      <c r="B184" t="n">
        <v>3</v>
      </c>
      <c r="C184" t="n">
        <v>2.98</v>
      </c>
      <c r="D184" t="n">
        <v>370.7</v>
      </c>
    </row>
    <row r="185">
      <c r="A185" s="63" t="n">
        <v>23102</v>
      </c>
      <c r="B185" t="n">
        <v>3</v>
      </c>
      <c r="C185" t="n">
        <v>2.9</v>
      </c>
      <c r="D185" t="n">
        <v>373.3</v>
      </c>
    </row>
    <row r="186">
      <c r="A186" s="63" t="n">
        <v>23132</v>
      </c>
      <c r="B186" t="n">
        <v>3</v>
      </c>
      <c r="C186" t="n">
        <v>3</v>
      </c>
      <c r="D186" t="n">
        <v>376.1</v>
      </c>
    </row>
    <row r="187">
      <c r="A187" s="63" t="n">
        <v>23163</v>
      </c>
      <c r="B187" t="n">
        <v>3</v>
      </c>
      <c r="C187" t="n">
        <v>2.99</v>
      </c>
      <c r="D187" t="n">
        <v>378.4</v>
      </c>
    </row>
    <row r="188">
      <c r="A188" s="63" t="n">
        <v>23193</v>
      </c>
      <c r="B188" t="n">
        <v>3.24</v>
      </c>
      <c r="C188" t="n">
        <v>3.02</v>
      </c>
      <c r="D188" t="n">
        <v>381.1</v>
      </c>
    </row>
    <row r="189">
      <c r="A189" s="63" t="n">
        <v>23224</v>
      </c>
      <c r="B189" t="n">
        <v>3.5</v>
      </c>
      <c r="C189" t="n">
        <v>3.49</v>
      </c>
      <c r="D189" t="n">
        <v>383.6</v>
      </c>
    </row>
    <row r="190">
      <c r="A190" s="63" t="n">
        <v>23255</v>
      </c>
      <c r="B190" t="n">
        <v>3.5</v>
      </c>
      <c r="C190" t="n">
        <v>3.48</v>
      </c>
      <c r="D190" t="n">
        <v>386</v>
      </c>
    </row>
    <row r="191">
      <c r="A191" s="63" t="n">
        <v>23285</v>
      </c>
      <c r="B191" t="n">
        <v>3.5</v>
      </c>
      <c r="C191" t="n">
        <v>3.5</v>
      </c>
      <c r="D191" t="n">
        <v>388.3</v>
      </c>
    </row>
    <row r="192">
      <c r="A192" s="63" t="n">
        <v>23316</v>
      </c>
      <c r="B192" t="n">
        <v>3.5</v>
      </c>
      <c r="C192" t="n">
        <v>3.48</v>
      </c>
      <c r="D192" t="n">
        <v>391.5</v>
      </c>
    </row>
    <row r="193">
      <c r="A193" s="63" t="n">
        <v>23346</v>
      </c>
      <c r="B193" t="n">
        <v>3.5</v>
      </c>
      <c r="C193" t="n">
        <v>3.38</v>
      </c>
      <c r="D193" t="n">
        <v>393.2</v>
      </c>
    </row>
    <row r="194">
      <c r="A194" s="63" t="n">
        <v>23377</v>
      </c>
      <c r="B194" t="n">
        <v>3.5</v>
      </c>
      <c r="C194" t="n">
        <v>3.48</v>
      </c>
      <c r="D194" t="n">
        <v>395.2</v>
      </c>
    </row>
    <row r="195">
      <c r="A195" s="63" t="n">
        <v>23408</v>
      </c>
      <c r="B195" t="n">
        <v>3.5</v>
      </c>
      <c r="C195" t="n">
        <v>3.48</v>
      </c>
      <c r="D195" t="n">
        <v>397.6</v>
      </c>
    </row>
    <row r="196">
      <c r="A196" s="63" t="n">
        <v>23437</v>
      </c>
      <c r="B196" t="n">
        <v>3.5</v>
      </c>
      <c r="C196" t="n">
        <v>3.43</v>
      </c>
      <c r="D196" t="n">
        <v>399.8</v>
      </c>
    </row>
    <row r="197">
      <c r="A197" s="63" t="n">
        <v>23468</v>
      </c>
      <c r="B197" t="n">
        <v>3.5</v>
      </c>
      <c r="C197" t="n">
        <v>3.47</v>
      </c>
      <c r="D197" t="n">
        <v>401.7</v>
      </c>
    </row>
    <row r="198">
      <c r="A198" s="63" t="n">
        <v>23498</v>
      </c>
      <c r="B198" t="n">
        <v>3.5</v>
      </c>
      <c r="C198" t="n">
        <v>3.5</v>
      </c>
      <c r="D198" t="n">
        <v>404.2</v>
      </c>
    </row>
    <row r="199">
      <c r="A199" s="63" t="n">
        <v>23529</v>
      </c>
      <c r="B199" t="n">
        <v>3.5</v>
      </c>
      <c r="C199" t="n">
        <v>3.5</v>
      </c>
      <c r="D199" t="n">
        <v>407.1</v>
      </c>
    </row>
    <row r="200">
      <c r="A200" s="63" t="n">
        <v>23559</v>
      </c>
      <c r="B200" t="n">
        <v>3.5</v>
      </c>
      <c r="C200" t="n">
        <v>3.42</v>
      </c>
      <c r="D200" t="n">
        <v>410.1</v>
      </c>
    </row>
    <row r="201">
      <c r="A201" s="63" t="n">
        <v>23590</v>
      </c>
      <c r="B201" t="n">
        <v>3.5</v>
      </c>
      <c r="C201" t="n">
        <v>3.5</v>
      </c>
      <c r="D201" t="n">
        <v>413.4</v>
      </c>
    </row>
    <row r="202">
      <c r="A202" s="63" t="n">
        <v>23621</v>
      </c>
      <c r="B202" t="n">
        <v>3.5</v>
      </c>
      <c r="C202" t="n">
        <v>3.45</v>
      </c>
      <c r="D202" t="n">
        <v>416.9</v>
      </c>
    </row>
    <row r="203">
      <c r="A203" s="63" t="n">
        <v>23651</v>
      </c>
      <c r="B203" t="n">
        <v>3.5</v>
      </c>
      <c r="C203" t="n">
        <v>3.36</v>
      </c>
      <c r="D203" t="n">
        <v>419.1</v>
      </c>
    </row>
    <row r="204">
      <c r="A204" s="63" t="n">
        <v>23682</v>
      </c>
      <c r="B204" t="n">
        <v>3.62</v>
      </c>
      <c r="C204" t="n">
        <v>3.52</v>
      </c>
      <c r="D204" t="n">
        <v>422</v>
      </c>
    </row>
    <row r="205">
      <c r="A205" s="63" t="n">
        <v>23712</v>
      </c>
      <c r="B205" t="n">
        <v>4</v>
      </c>
      <c r="C205" t="n">
        <v>3.85</v>
      </c>
      <c r="D205" t="n">
        <v>424.7</v>
      </c>
    </row>
    <row r="206">
      <c r="A206" s="63" t="n">
        <v>23743</v>
      </c>
      <c r="B206" t="n">
        <v>4</v>
      </c>
      <c r="C206" t="n">
        <v>3.9</v>
      </c>
      <c r="D206" t="n">
        <v>427.5</v>
      </c>
    </row>
    <row r="207">
      <c r="A207" s="63" t="n">
        <v>23774</v>
      </c>
      <c r="B207" t="n">
        <v>4</v>
      </c>
      <c r="C207" t="n">
        <v>3.98</v>
      </c>
      <c r="D207" t="n">
        <v>430.4</v>
      </c>
    </row>
    <row r="208">
      <c r="A208" s="63" t="n">
        <v>23802</v>
      </c>
      <c r="B208" t="n">
        <v>4</v>
      </c>
      <c r="C208" t="n">
        <v>4.05</v>
      </c>
      <c r="D208" t="n">
        <v>433.2</v>
      </c>
    </row>
    <row r="209">
      <c r="A209" s="63" t="n">
        <v>23833</v>
      </c>
      <c r="B209" t="n">
        <v>4</v>
      </c>
      <c r="C209" t="n">
        <v>4.09</v>
      </c>
      <c r="D209" t="n">
        <v>435.4</v>
      </c>
    </row>
    <row r="210">
      <c r="A210" s="63" t="n">
        <v>23863</v>
      </c>
      <c r="B210" t="n">
        <v>4</v>
      </c>
      <c r="C210" t="n">
        <v>4.1</v>
      </c>
      <c r="D210" t="n">
        <v>437.1</v>
      </c>
    </row>
    <row r="211">
      <c r="A211" s="63" t="n">
        <v>23894</v>
      </c>
      <c r="B211" t="n">
        <v>4</v>
      </c>
      <c r="C211" t="n">
        <v>4.05</v>
      </c>
      <c r="D211" t="n">
        <v>440.1</v>
      </c>
    </row>
    <row r="212">
      <c r="A212" s="63" t="n">
        <v>23924</v>
      </c>
      <c r="B212" t="n">
        <v>4</v>
      </c>
      <c r="C212" t="n">
        <v>4.09</v>
      </c>
      <c r="D212" t="n">
        <v>442.9</v>
      </c>
    </row>
    <row r="213">
      <c r="A213" s="63" t="n">
        <v>23955</v>
      </c>
      <c r="B213" t="n">
        <v>4</v>
      </c>
      <c r="C213" t="n">
        <v>4.12</v>
      </c>
      <c r="D213" t="n">
        <v>445.8</v>
      </c>
    </row>
    <row r="214">
      <c r="A214" s="63" t="n">
        <v>23986</v>
      </c>
      <c r="B214" t="n">
        <v>4</v>
      </c>
      <c r="C214" t="n">
        <v>4.02</v>
      </c>
      <c r="D214" t="n">
        <v>449.5</v>
      </c>
    </row>
    <row r="215">
      <c r="A215" s="63" t="n">
        <v>24016</v>
      </c>
      <c r="B215" t="n">
        <v>4</v>
      </c>
      <c r="C215" t="n">
        <v>4.08</v>
      </c>
      <c r="D215" t="n">
        <v>452.6</v>
      </c>
    </row>
    <row r="216">
      <c r="A216" s="63" t="n">
        <v>24047</v>
      </c>
      <c r="B216" t="n">
        <v>4</v>
      </c>
      <c r="C216" t="n">
        <v>4.1</v>
      </c>
      <c r="D216" t="n">
        <v>455.7</v>
      </c>
    </row>
    <row r="217">
      <c r="A217" s="63" t="n">
        <v>24077</v>
      </c>
      <c r="B217" t="n">
        <v>4.42</v>
      </c>
      <c r="C217" t="n">
        <v>4.32</v>
      </c>
      <c r="D217" t="n">
        <v>459.2</v>
      </c>
    </row>
    <row r="218">
      <c r="A218" s="63" t="n">
        <v>24108</v>
      </c>
      <c r="B218" t="n">
        <v>4.5</v>
      </c>
      <c r="C218" t="n">
        <v>4.42</v>
      </c>
      <c r="D218" t="n">
        <v>462</v>
      </c>
    </row>
    <row r="219">
      <c r="A219" s="63" t="n">
        <v>24139</v>
      </c>
      <c r="B219" t="n">
        <v>4.5</v>
      </c>
      <c r="C219" t="n">
        <v>4.6</v>
      </c>
      <c r="D219" t="n">
        <v>464.6</v>
      </c>
    </row>
    <row r="220">
      <c r="A220" s="63" t="n">
        <v>24167</v>
      </c>
      <c r="B220" t="n">
        <v>4.5</v>
      </c>
      <c r="C220" t="n">
        <v>4.66</v>
      </c>
      <c r="D220" t="n">
        <v>467.2</v>
      </c>
    </row>
    <row r="221">
      <c r="A221" s="63" t="n">
        <v>24198</v>
      </c>
      <c r="B221" t="n">
        <v>4.5</v>
      </c>
      <c r="C221" t="n">
        <v>4.67</v>
      </c>
      <c r="D221" t="n">
        <v>469.3</v>
      </c>
    </row>
    <row r="222">
      <c r="A222" s="63" t="n">
        <v>24228</v>
      </c>
      <c r="B222" t="n">
        <v>4.5</v>
      </c>
      <c r="C222" t="n">
        <v>4.9</v>
      </c>
      <c r="D222" t="n">
        <v>470.1</v>
      </c>
    </row>
    <row r="223">
      <c r="A223" s="63" t="n">
        <v>24259</v>
      </c>
      <c r="B223" t="n">
        <v>4.5</v>
      </c>
      <c r="C223" t="n">
        <v>5.17</v>
      </c>
      <c r="D223" t="n">
        <v>471.2</v>
      </c>
    </row>
    <row r="224">
      <c r="A224" s="63" t="n">
        <v>24289</v>
      </c>
      <c r="B224" t="n">
        <v>4.5</v>
      </c>
      <c r="C224" t="n">
        <v>5.3</v>
      </c>
      <c r="D224" t="n">
        <v>470.9</v>
      </c>
    </row>
    <row r="225">
      <c r="A225" s="63" t="n">
        <v>24320</v>
      </c>
      <c r="B225" t="n">
        <v>4.5</v>
      </c>
      <c r="C225" t="n">
        <v>5.53</v>
      </c>
      <c r="D225" t="n">
        <v>472.6</v>
      </c>
    </row>
    <row r="226">
      <c r="A226" s="63" t="n">
        <v>24351</v>
      </c>
      <c r="B226" t="n">
        <v>4.5</v>
      </c>
      <c r="C226" t="n">
        <v>5.4</v>
      </c>
      <c r="D226" t="n">
        <v>475.4</v>
      </c>
    </row>
    <row r="227">
      <c r="A227" s="63" t="n">
        <v>24381</v>
      </c>
      <c r="B227" t="n">
        <v>4.5</v>
      </c>
      <c r="C227" t="n">
        <v>5.53</v>
      </c>
      <c r="D227" t="n">
        <v>475.7</v>
      </c>
    </row>
    <row r="228">
      <c r="A228" s="63" t="n">
        <v>24412</v>
      </c>
      <c r="B228" t="n">
        <v>4.5</v>
      </c>
      <c r="C228" t="n">
        <v>5.76</v>
      </c>
      <c r="D228" t="n">
        <v>477.3</v>
      </c>
    </row>
    <row r="229">
      <c r="A229" s="63" t="n">
        <v>24442</v>
      </c>
      <c r="B229" t="n">
        <v>4.5</v>
      </c>
      <c r="C229" t="n">
        <v>5.4</v>
      </c>
      <c r="D229" t="n">
        <v>480.2</v>
      </c>
    </row>
    <row r="230">
      <c r="A230" s="63" t="n">
        <v>24473</v>
      </c>
      <c r="B230" t="n">
        <v>4.5</v>
      </c>
      <c r="C230" t="n">
        <v>4.94</v>
      </c>
      <c r="D230" t="n">
        <v>481.6</v>
      </c>
    </row>
    <row r="231">
      <c r="A231" s="63" t="n">
        <v>24504</v>
      </c>
      <c r="B231" t="n">
        <v>4.5</v>
      </c>
      <c r="C231" t="n">
        <v>5</v>
      </c>
      <c r="D231" t="n">
        <v>485.1</v>
      </c>
    </row>
    <row r="232">
      <c r="A232" s="63" t="n">
        <v>24532</v>
      </c>
      <c r="B232" t="n">
        <v>4.5</v>
      </c>
      <c r="C232" t="n">
        <v>4.53</v>
      </c>
      <c r="D232" t="n">
        <v>489.7</v>
      </c>
    </row>
    <row r="233">
      <c r="A233" s="63" t="n">
        <v>24563</v>
      </c>
      <c r="B233" t="n">
        <v>4.1</v>
      </c>
      <c r="C233" t="n">
        <v>4.05</v>
      </c>
      <c r="D233" t="n">
        <v>492.1</v>
      </c>
    </row>
    <row r="234">
      <c r="A234" s="63" t="n">
        <v>24593</v>
      </c>
      <c r="B234" t="n">
        <v>4</v>
      </c>
      <c r="C234" t="n">
        <v>3.94</v>
      </c>
      <c r="D234" t="n">
        <v>497.2</v>
      </c>
    </row>
    <row r="235">
      <c r="A235" s="63" t="n">
        <v>24624</v>
      </c>
      <c r="B235" t="n">
        <v>4</v>
      </c>
      <c r="C235" t="n">
        <v>3.98</v>
      </c>
      <c r="D235" t="n">
        <v>502</v>
      </c>
    </row>
    <row r="236">
      <c r="A236" s="63" t="n">
        <v>24654</v>
      </c>
      <c r="B236" t="n">
        <v>4</v>
      </c>
      <c r="C236" t="n">
        <v>3.79</v>
      </c>
      <c r="D236" t="n">
        <v>506.3</v>
      </c>
    </row>
    <row r="237">
      <c r="A237" s="63" t="n">
        <v>24685</v>
      </c>
      <c r="B237" t="n">
        <v>4</v>
      </c>
      <c r="C237" t="n">
        <v>3.9</v>
      </c>
      <c r="D237" t="n">
        <v>510.8</v>
      </c>
    </row>
    <row r="238">
      <c r="A238" s="63" t="n">
        <v>24716</v>
      </c>
      <c r="B238" t="n">
        <v>4</v>
      </c>
      <c r="C238" t="n">
        <v>3.99</v>
      </c>
      <c r="D238" t="n">
        <v>514.7</v>
      </c>
    </row>
    <row r="239">
      <c r="A239" s="63" t="n">
        <v>24746</v>
      </c>
      <c r="B239" t="n">
        <v>4</v>
      </c>
      <c r="C239" t="n">
        <v>3.88</v>
      </c>
      <c r="D239" t="n">
        <v>518.2</v>
      </c>
    </row>
    <row r="240">
      <c r="A240" s="63" t="n">
        <v>24777</v>
      </c>
      <c r="B240" t="n">
        <v>4.18</v>
      </c>
      <c r="C240" t="n">
        <v>4.13</v>
      </c>
      <c r="D240" t="n">
        <v>521.2</v>
      </c>
    </row>
    <row r="241">
      <c r="A241" s="63" t="n">
        <v>24807</v>
      </c>
      <c r="B241" t="n">
        <v>4.5</v>
      </c>
      <c r="C241" t="n">
        <v>4.51</v>
      </c>
      <c r="D241" t="n">
        <v>524.8</v>
      </c>
    </row>
    <row r="242">
      <c r="A242" s="63" t="n">
        <v>24838</v>
      </c>
      <c r="B242" t="n">
        <v>4.5</v>
      </c>
      <c r="C242" t="n">
        <v>4.61</v>
      </c>
      <c r="D242" t="n">
        <v>527.4</v>
      </c>
    </row>
    <row r="243">
      <c r="A243" s="63" t="n">
        <v>24869</v>
      </c>
      <c r="B243" t="n">
        <v>4.5</v>
      </c>
      <c r="C243" t="n">
        <v>4.71</v>
      </c>
      <c r="D243" t="n">
        <v>530.4</v>
      </c>
    </row>
    <row r="244">
      <c r="A244" s="63" t="n">
        <v>24898</v>
      </c>
      <c r="B244" t="n">
        <v>4.66</v>
      </c>
      <c r="C244" t="n">
        <v>5.05</v>
      </c>
      <c r="D244" t="n">
        <v>533.2</v>
      </c>
    </row>
    <row r="245">
      <c r="A245" s="63" t="n">
        <v>24929</v>
      </c>
      <c r="B245" t="n">
        <v>5.2</v>
      </c>
      <c r="C245" t="n">
        <v>5.76</v>
      </c>
      <c r="D245" t="n">
        <v>535.7</v>
      </c>
    </row>
    <row r="246">
      <c r="A246" s="63" t="n">
        <v>24959</v>
      </c>
      <c r="B246" t="n">
        <v>5.5</v>
      </c>
      <c r="C246" t="n">
        <v>6.12</v>
      </c>
      <c r="D246" t="n">
        <v>538.9</v>
      </c>
    </row>
    <row r="247">
      <c r="A247" s="63" t="n">
        <v>24990</v>
      </c>
      <c r="B247" t="n">
        <v>5.5</v>
      </c>
      <c r="C247" t="n">
        <v>6.07</v>
      </c>
      <c r="D247" t="n">
        <v>542.6</v>
      </c>
    </row>
    <row r="248">
      <c r="A248" s="63" t="n">
        <v>25020</v>
      </c>
      <c r="B248" t="n">
        <v>5.5</v>
      </c>
      <c r="C248" t="n">
        <v>6.03</v>
      </c>
      <c r="D248" t="n">
        <v>545.6</v>
      </c>
    </row>
    <row r="249">
      <c r="A249" s="63" t="n">
        <v>25051</v>
      </c>
      <c r="B249" t="n">
        <v>5.48</v>
      </c>
      <c r="C249" t="n">
        <v>6.03</v>
      </c>
      <c r="D249" t="n">
        <v>549.4</v>
      </c>
    </row>
    <row r="250">
      <c r="A250" s="63" t="n">
        <v>25082</v>
      </c>
      <c r="B250" t="n">
        <v>5.25</v>
      </c>
      <c r="C250" t="n">
        <v>5.78</v>
      </c>
      <c r="D250" t="n">
        <v>553.6</v>
      </c>
    </row>
    <row r="251">
      <c r="A251" s="63" t="n">
        <v>25112</v>
      </c>
      <c r="B251" t="n">
        <v>5.25</v>
      </c>
      <c r="C251" t="n">
        <v>5.91</v>
      </c>
      <c r="D251" t="n">
        <v>557.6</v>
      </c>
    </row>
    <row r="252">
      <c r="A252" s="63" t="n">
        <v>25143</v>
      </c>
      <c r="B252" t="n">
        <v>5.25</v>
      </c>
      <c r="C252" t="n">
        <v>5.82</v>
      </c>
      <c r="D252" t="n">
        <v>562.4</v>
      </c>
    </row>
    <row r="253">
      <c r="A253" s="63" t="n">
        <v>25173</v>
      </c>
      <c r="B253" t="n">
        <v>5.36</v>
      </c>
      <c r="C253" t="n">
        <v>6.02</v>
      </c>
      <c r="D253" t="n">
        <v>566.8</v>
      </c>
    </row>
    <row r="254">
      <c r="A254" s="63" t="n">
        <v>25204</v>
      </c>
      <c r="B254" t="n">
        <v>5.5</v>
      </c>
      <c r="C254" t="n">
        <v>6.3</v>
      </c>
      <c r="D254" t="n">
        <v>569.3</v>
      </c>
    </row>
    <row r="255">
      <c r="A255" s="63" t="n">
        <v>25235</v>
      </c>
      <c r="B255" t="n">
        <v>5.5</v>
      </c>
      <c r="C255" t="n">
        <v>6.61</v>
      </c>
      <c r="D255" t="n">
        <v>571.9</v>
      </c>
    </row>
    <row r="256">
      <c r="A256" s="63" t="n">
        <v>25263</v>
      </c>
      <c r="B256" t="n">
        <v>5.5</v>
      </c>
      <c r="C256" t="n">
        <v>6.79</v>
      </c>
      <c r="D256" t="n">
        <v>574.4</v>
      </c>
    </row>
    <row r="257">
      <c r="A257" s="63" t="n">
        <v>25294</v>
      </c>
      <c r="B257" t="n">
        <v>5.95</v>
      </c>
      <c r="C257" t="n">
        <v>7.41</v>
      </c>
      <c r="D257" t="n">
        <v>575.7</v>
      </c>
    </row>
    <row r="258">
      <c r="A258" s="63" t="n">
        <v>25324</v>
      </c>
      <c r="B258" t="n">
        <v>6</v>
      </c>
      <c r="C258" t="n">
        <v>8.67</v>
      </c>
      <c r="D258" t="n">
        <v>576.5</v>
      </c>
    </row>
    <row r="259">
      <c r="A259" s="63" t="n">
        <v>25355</v>
      </c>
      <c r="B259" t="n">
        <v>6</v>
      </c>
      <c r="C259" t="n">
        <v>8.9</v>
      </c>
      <c r="D259" t="n">
        <v>578.5</v>
      </c>
    </row>
    <row r="260">
      <c r="A260" s="63" t="n">
        <v>25385</v>
      </c>
      <c r="B260" t="n">
        <v>6</v>
      </c>
      <c r="C260" t="n">
        <v>8.609999999999999</v>
      </c>
      <c r="D260" t="n">
        <v>579.5</v>
      </c>
    </row>
    <row r="261">
      <c r="A261" s="63" t="n">
        <v>25416</v>
      </c>
      <c r="B261" t="n">
        <v>6</v>
      </c>
      <c r="C261" t="n">
        <v>9.19</v>
      </c>
      <c r="D261" t="n">
        <v>580.1</v>
      </c>
    </row>
    <row r="262">
      <c r="A262" s="63" t="n">
        <v>25447</v>
      </c>
      <c r="B262" t="n">
        <v>6</v>
      </c>
      <c r="C262" t="n">
        <v>9.15</v>
      </c>
      <c r="D262" t="n">
        <v>582.1</v>
      </c>
    </row>
    <row r="263">
      <c r="A263" s="63" t="n">
        <v>25477</v>
      </c>
      <c r="B263" t="n">
        <v>6</v>
      </c>
      <c r="C263" t="n">
        <v>9</v>
      </c>
      <c r="D263" t="n">
        <v>583.4</v>
      </c>
    </row>
    <row r="264">
      <c r="A264" s="63" t="n">
        <v>25508</v>
      </c>
      <c r="B264" t="n">
        <v>6</v>
      </c>
      <c r="C264" t="n">
        <v>8.85</v>
      </c>
      <c r="D264" t="n">
        <v>585.4</v>
      </c>
    </row>
    <row r="265">
      <c r="A265" s="63" t="n">
        <v>25538</v>
      </c>
      <c r="B265" t="n">
        <v>6</v>
      </c>
      <c r="C265" t="n">
        <v>8.970000000000001</v>
      </c>
      <c r="D265" t="n">
        <v>587.9</v>
      </c>
    </row>
    <row r="266">
      <c r="A266" s="63" t="n">
        <v>25569</v>
      </c>
      <c r="B266" t="n">
        <v>6</v>
      </c>
      <c r="C266" t="n">
        <v>8.98</v>
      </c>
      <c r="D266" t="n">
        <v>589.6</v>
      </c>
    </row>
    <row r="267">
      <c r="A267" s="63" t="n">
        <v>25600</v>
      </c>
      <c r="B267" t="n">
        <v>6</v>
      </c>
      <c r="C267" t="n">
        <v>8.98</v>
      </c>
      <c r="D267" t="n">
        <v>586.3</v>
      </c>
    </row>
    <row r="268">
      <c r="A268" s="63" t="n">
        <v>25628</v>
      </c>
      <c r="B268" t="n">
        <v>6</v>
      </c>
      <c r="C268" t="n">
        <v>7.76</v>
      </c>
      <c r="D268" t="n">
        <v>587.3</v>
      </c>
    </row>
    <row r="269">
      <c r="A269" s="63" t="n">
        <v>25659</v>
      </c>
      <c r="B269" t="n">
        <v>6</v>
      </c>
      <c r="C269" t="n">
        <v>8.1</v>
      </c>
      <c r="D269" t="n">
        <v>588.4</v>
      </c>
    </row>
    <row r="270">
      <c r="A270" s="63" t="n">
        <v>25689</v>
      </c>
      <c r="B270" t="n">
        <v>6</v>
      </c>
      <c r="C270" t="n">
        <v>7.95</v>
      </c>
      <c r="D270" t="n">
        <v>591.5</v>
      </c>
    </row>
    <row r="271">
      <c r="A271" s="63" t="n">
        <v>25720</v>
      </c>
      <c r="B271" t="n">
        <v>6</v>
      </c>
      <c r="C271" t="n">
        <v>7.61</v>
      </c>
      <c r="D271" t="n">
        <v>595.2</v>
      </c>
    </row>
    <row r="272">
      <c r="A272" s="63" t="n">
        <v>25750</v>
      </c>
      <c r="B272" t="n">
        <v>6</v>
      </c>
      <c r="C272" t="n">
        <v>7.21</v>
      </c>
      <c r="D272" t="n">
        <v>599.1</v>
      </c>
    </row>
    <row r="273">
      <c r="A273" s="63" t="n">
        <v>25781</v>
      </c>
      <c r="B273" t="n">
        <v>6</v>
      </c>
      <c r="C273" t="n">
        <v>6.62</v>
      </c>
      <c r="D273" t="n">
        <v>604.9</v>
      </c>
    </row>
    <row r="274">
      <c r="A274" s="63" t="n">
        <v>25812</v>
      </c>
      <c r="B274" t="n">
        <v>6</v>
      </c>
      <c r="C274" t="n">
        <v>6.29</v>
      </c>
      <c r="D274" t="n">
        <v>611.2</v>
      </c>
    </row>
    <row r="275">
      <c r="A275" s="63" t="n">
        <v>25842</v>
      </c>
      <c r="B275" t="n">
        <v>6</v>
      </c>
      <c r="C275" t="n">
        <v>6.2</v>
      </c>
      <c r="D275" t="n">
        <v>616.4</v>
      </c>
    </row>
    <row r="276">
      <c r="A276" s="63" t="n">
        <v>25873</v>
      </c>
      <c r="B276" t="n">
        <v>5.85</v>
      </c>
      <c r="C276" t="n">
        <v>5.6</v>
      </c>
      <c r="D276" t="n">
        <v>621.1</v>
      </c>
    </row>
    <row r="277">
      <c r="A277" s="63" t="n">
        <v>25903</v>
      </c>
      <c r="B277" t="n">
        <v>5.52</v>
      </c>
      <c r="C277" t="n">
        <v>4.9</v>
      </c>
      <c r="D277" t="n">
        <v>626.5</v>
      </c>
    </row>
    <row r="278">
      <c r="A278" s="63" t="n">
        <v>25934</v>
      </c>
      <c r="B278" t="n">
        <v>5.23</v>
      </c>
      <c r="C278" t="n">
        <v>4.14</v>
      </c>
      <c r="D278" t="n">
        <v>632.9</v>
      </c>
    </row>
    <row r="279">
      <c r="A279" s="63" t="n">
        <v>25965</v>
      </c>
      <c r="B279" t="n">
        <v>4.91</v>
      </c>
      <c r="C279" t="n">
        <v>3.72</v>
      </c>
      <c r="D279" t="n">
        <v>641</v>
      </c>
    </row>
    <row r="280">
      <c r="A280" s="63" t="n">
        <v>25993</v>
      </c>
      <c r="B280" t="n">
        <v>4.75</v>
      </c>
      <c r="C280" t="n">
        <v>3.71</v>
      </c>
      <c r="D280" t="n">
        <v>649.9</v>
      </c>
    </row>
    <row r="281">
      <c r="A281" s="63" t="n">
        <v>26024</v>
      </c>
      <c r="B281" t="n">
        <v>4.75</v>
      </c>
      <c r="C281" t="n">
        <v>4.16</v>
      </c>
      <c r="D281" t="n">
        <v>658.4</v>
      </c>
    </row>
    <row r="282">
      <c r="A282" s="63" t="n">
        <v>26054</v>
      </c>
      <c r="B282" t="n">
        <v>4.75</v>
      </c>
      <c r="C282" t="n">
        <v>4.63</v>
      </c>
      <c r="D282" t="n">
        <v>666.7</v>
      </c>
    </row>
    <row r="283">
      <c r="A283" s="63" t="n">
        <v>26085</v>
      </c>
      <c r="B283" t="n">
        <v>4.75</v>
      </c>
      <c r="C283" t="n">
        <v>4.91</v>
      </c>
      <c r="D283" t="n">
        <v>673</v>
      </c>
    </row>
    <row r="284">
      <c r="A284" s="63" t="n">
        <v>26115</v>
      </c>
      <c r="B284" t="n">
        <v>4.88</v>
      </c>
      <c r="C284" t="n">
        <v>5.31</v>
      </c>
      <c r="D284" t="n">
        <v>679.6</v>
      </c>
    </row>
    <row r="285">
      <c r="A285" s="63" t="n">
        <v>26146</v>
      </c>
      <c r="B285" t="n">
        <v>5</v>
      </c>
      <c r="C285" t="n">
        <v>5.57</v>
      </c>
      <c r="D285" t="n">
        <v>685.5</v>
      </c>
    </row>
    <row r="286">
      <c r="A286" s="63" t="n">
        <v>26177</v>
      </c>
      <c r="B286" t="n">
        <v>5</v>
      </c>
      <c r="C286" t="n">
        <v>5.55</v>
      </c>
      <c r="D286" t="n">
        <v>692.5</v>
      </c>
    </row>
    <row r="287">
      <c r="A287" s="63" t="n">
        <v>26207</v>
      </c>
      <c r="B287" t="n">
        <v>5</v>
      </c>
      <c r="C287" t="n">
        <v>5.2</v>
      </c>
      <c r="D287" t="n">
        <v>698.4</v>
      </c>
    </row>
    <row r="288">
      <c r="A288" s="63" t="n">
        <v>26238</v>
      </c>
      <c r="B288" t="n">
        <v>4.9</v>
      </c>
      <c r="C288" t="n">
        <v>4.91</v>
      </c>
      <c r="D288" t="n">
        <v>704.6</v>
      </c>
    </row>
    <row r="289">
      <c r="A289" s="63" t="n">
        <v>26268</v>
      </c>
      <c r="B289" t="n">
        <v>4.63</v>
      </c>
      <c r="C289" t="n">
        <v>4.14</v>
      </c>
      <c r="D289" t="n">
        <v>710.3</v>
      </c>
    </row>
    <row r="290">
      <c r="A290" s="63" t="n">
        <v>26299</v>
      </c>
      <c r="B290" t="n">
        <v>4.5</v>
      </c>
      <c r="C290" t="n">
        <v>3.51</v>
      </c>
      <c r="D290" t="n">
        <v>717.7</v>
      </c>
    </row>
    <row r="291">
      <c r="A291" s="63" t="n">
        <v>26330</v>
      </c>
      <c r="B291" t="n">
        <v>4.5</v>
      </c>
      <c r="C291" t="n">
        <v>3.3</v>
      </c>
      <c r="D291" t="n">
        <v>725.7</v>
      </c>
    </row>
    <row r="292">
      <c r="A292" s="63" t="n">
        <v>26359</v>
      </c>
      <c r="B292" t="n">
        <v>4.5</v>
      </c>
      <c r="C292" t="n">
        <v>3.83</v>
      </c>
      <c r="D292" t="n">
        <v>733.5</v>
      </c>
    </row>
    <row r="293">
      <c r="A293" s="63" t="n">
        <v>26390</v>
      </c>
      <c r="B293" t="n">
        <v>4.5</v>
      </c>
      <c r="C293" t="n">
        <v>4.17</v>
      </c>
      <c r="D293" t="n">
        <v>738.4</v>
      </c>
    </row>
    <row r="294">
      <c r="A294" s="63" t="n">
        <v>26420</v>
      </c>
      <c r="B294" t="n">
        <v>4.5</v>
      </c>
      <c r="C294" t="n">
        <v>4.27</v>
      </c>
      <c r="D294" t="n">
        <v>743.3</v>
      </c>
    </row>
    <row r="295">
      <c r="A295" s="63" t="n">
        <v>26451</v>
      </c>
      <c r="B295" t="n">
        <v>4.5</v>
      </c>
      <c r="C295" t="n">
        <v>4.46</v>
      </c>
      <c r="D295" t="n">
        <v>749.7</v>
      </c>
    </row>
    <row r="296">
      <c r="A296" s="63" t="n">
        <v>26481</v>
      </c>
      <c r="B296" t="n">
        <v>4.5</v>
      </c>
      <c r="C296" t="n">
        <v>4.55</v>
      </c>
      <c r="D296" t="n">
        <v>759.5</v>
      </c>
    </row>
    <row r="297">
      <c r="A297" s="63" t="n">
        <v>26512</v>
      </c>
      <c r="B297" t="n">
        <v>4.5</v>
      </c>
      <c r="C297" t="n">
        <v>4.81</v>
      </c>
      <c r="D297" t="n">
        <v>768.7</v>
      </c>
    </row>
    <row r="298">
      <c r="A298" s="63" t="n">
        <v>26543</v>
      </c>
      <c r="B298" t="n">
        <v>4.5</v>
      </c>
      <c r="C298" t="n">
        <v>4.87</v>
      </c>
      <c r="D298" t="n">
        <v>778.3</v>
      </c>
    </row>
    <row r="299">
      <c r="A299" s="63" t="n">
        <v>26573</v>
      </c>
      <c r="B299" t="n">
        <v>4.5</v>
      </c>
      <c r="C299" t="n">
        <v>5.05</v>
      </c>
      <c r="D299" t="n">
        <v>786.9</v>
      </c>
    </row>
    <row r="300">
      <c r="A300" s="63" t="n">
        <v>26604</v>
      </c>
      <c r="B300" t="n">
        <v>4.5</v>
      </c>
      <c r="C300" t="n">
        <v>5.06</v>
      </c>
      <c r="D300" t="n">
        <v>793.9</v>
      </c>
    </row>
    <row r="301">
      <c r="A301" s="63" t="n">
        <v>26634</v>
      </c>
      <c r="B301" t="n">
        <v>4.5</v>
      </c>
      <c r="C301" t="n">
        <v>5.33</v>
      </c>
      <c r="D301" t="n">
        <v>802.3</v>
      </c>
    </row>
    <row r="302">
      <c r="A302" s="63" t="n">
        <v>26665</v>
      </c>
      <c r="B302" t="n">
        <v>4.77</v>
      </c>
      <c r="C302" t="n">
        <v>5.94</v>
      </c>
      <c r="D302" t="n">
        <v>810.3</v>
      </c>
    </row>
    <row r="303">
      <c r="A303" s="63" t="n">
        <v>26696</v>
      </c>
      <c r="B303" t="n">
        <v>5.05</v>
      </c>
      <c r="C303" t="n">
        <v>6.58</v>
      </c>
      <c r="D303" t="n">
        <v>814.1</v>
      </c>
    </row>
    <row r="304">
      <c r="A304" s="63" t="n">
        <v>26724</v>
      </c>
      <c r="B304" t="n">
        <v>5.5</v>
      </c>
      <c r="C304" t="n">
        <v>7.09</v>
      </c>
      <c r="D304" t="n">
        <v>815.3</v>
      </c>
    </row>
    <row r="305">
      <c r="A305" s="63" t="n">
        <v>26755</v>
      </c>
      <c r="B305" t="n">
        <v>5.5</v>
      </c>
      <c r="C305" t="n">
        <v>7.12</v>
      </c>
      <c r="D305" t="n">
        <v>819.7</v>
      </c>
    </row>
    <row r="306">
      <c r="A306" s="63" t="n">
        <v>26785</v>
      </c>
      <c r="B306" t="n">
        <v>5.9</v>
      </c>
      <c r="C306" t="n">
        <v>7.84</v>
      </c>
      <c r="D306" t="n">
        <v>826.8</v>
      </c>
    </row>
    <row r="307">
      <c r="A307" s="63" t="n">
        <v>26816</v>
      </c>
      <c r="B307" t="n">
        <v>6.33</v>
      </c>
      <c r="C307" t="n">
        <v>8.49</v>
      </c>
      <c r="D307" t="n">
        <v>833.3</v>
      </c>
    </row>
    <row r="308">
      <c r="A308" s="63" t="n">
        <v>26846</v>
      </c>
      <c r="B308" t="n">
        <v>6.98</v>
      </c>
      <c r="C308" t="n">
        <v>10.4</v>
      </c>
      <c r="D308" t="n">
        <v>836.5</v>
      </c>
    </row>
    <row r="309">
      <c r="A309" s="63" t="n">
        <v>26877</v>
      </c>
      <c r="B309" t="n">
        <v>7.29</v>
      </c>
      <c r="C309" t="n">
        <v>10.5</v>
      </c>
      <c r="D309" t="n">
        <v>838.8</v>
      </c>
    </row>
    <row r="310">
      <c r="A310" s="63" t="n">
        <v>26908</v>
      </c>
      <c r="B310" t="n">
        <v>7.5</v>
      </c>
      <c r="C310" t="n">
        <v>10.78</v>
      </c>
      <c r="D310" t="n">
        <v>839.3</v>
      </c>
    </row>
    <row r="311">
      <c r="A311" s="63" t="n">
        <v>26938</v>
      </c>
      <c r="B311" t="n">
        <v>7.5</v>
      </c>
      <c r="C311" t="n">
        <v>10.01</v>
      </c>
      <c r="D311" t="n">
        <v>842.6</v>
      </c>
    </row>
    <row r="312">
      <c r="A312" s="63" t="n">
        <v>26969</v>
      </c>
      <c r="B312" t="n">
        <v>7.5</v>
      </c>
      <c r="C312" t="n">
        <v>10.03</v>
      </c>
      <c r="D312" t="n">
        <v>848.9</v>
      </c>
    </row>
    <row r="313">
      <c r="A313" s="63" t="n">
        <v>26999</v>
      </c>
      <c r="B313" t="n">
        <v>7.5</v>
      </c>
      <c r="C313" t="n">
        <v>9.949999999999999</v>
      </c>
      <c r="D313" t="n">
        <v>855.5</v>
      </c>
    </row>
    <row r="314">
      <c r="A314" s="63" t="n">
        <v>27030</v>
      </c>
      <c r="B314" t="n">
        <v>7.5</v>
      </c>
      <c r="C314" t="n">
        <v>9.65</v>
      </c>
      <c r="D314" t="n">
        <v>859.7</v>
      </c>
    </row>
    <row r="315">
      <c r="A315" s="63" t="n">
        <v>27061</v>
      </c>
      <c r="B315" t="n">
        <v>7.5</v>
      </c>
      <c r="C315" t="n">
        <v>8.970000000000001</v>
      </c>
      <c r="D315" t="n">
        <v>864.2</v>
      </c>
    </row>
    <row r="316">
      <c r="A316" s="63" t="n">
        <v>27089</v>
      </c>
      <c r="B316" t="n">
        <v>7.5</v>
      </c>
      <c r="C316" t="n">
        <v>9.35</v>
      </c>
      <c r="D316" t="n">
        <v>870.1</v>
      </c>
    </row>
    <row r="317">
      <c r="A317" s="63" t="n">
        <v>27120</v>
      </c>
      <c r="B317" t="n">
        <v>7.6</v>
      </c>
      <c r="C317" t="n">
        <v>10.51</v>
      </c>
      <c r="D317" t="n">
        <v>872.9</v>
      </c>
    </row>
    <row r="318">
      <c r="A318" s="63" t="n">
        <v>27150</v>
      </c>
      <c r="B318" t="n">
        <v>8</v>
      </c>
      <c r="C318" t="n">
        <v>11.31</v>
      </c>
      <c r="D318" t="n">
        <v>874.6</v>
      </c>
    </row>
    <row r="319">
      <c r="A319" s="63" t="n">
        <v>27181</v>
      </c>
      <c r="B319" t="n">
        <v>8</v>
      </c>
      <c r="C319" t="n">
        <v>11.93</v>
      </c>
      <c r="D319" t="n">
        <v>877.8</v>
      </c>
    </row>
    <row r="320">
      <c r="A320" s="63" t="n">
        <v>27211</v>
      </c>
      <c r="B320" t="n">
        <v>8</v>
      </c>
      <c r="C320" t="n">
        <v>12.92</v>
      </c>
      <c r="D320" t="n">
        <v>881.4</v>
      </c>
    </row>
    <row r="321">
      <c r="A321" s="63" t="n">
        <v>27242</v>
      </c>
      <c r="B321" t="n">
        <v>8</v>
      </c>
      <c r="C321" t="n">
        <v>12.01</v>
      </c>
      <c r="D321" t="n">
        <v>884.1</v>
      </c>
    </row>
    <row r="322">
      <c r="A322" s="63" t="n">
        <v>27273</v>
      </c>
      <c r="B322" t="n">
        <v>8</v>
      </c>
      <c r="C322" t="n">
        <v>11.34</v>
      </c>
      <c r="D322" t="n">
        <v>887.9</v>
      </c>
    </row>
    <row r="323">
      <c r="A323" s="63" t="n">
        <v>27303</v>
      </c>
      <c r="B323" t="n">
        <v>8</v>
      </c>
      <c r="C323" t="n">
        <v>10.06</v>
      </c>
      <c r="D323" t="n">
        <v>893.3</v>
      </c>
    </row>
    <row r="324">
      <c r="A324" s="63" t="n">
        <v>27334</v>
      </c>
      <c r="B324" t="n">
        <v>8</v>
      </c>
      <c r="C324" t="n">
        <v>9.449999999999999</v>
      </c>
      <c r="D324" t="n">
        <v>898.6</v>
      </c>
    </row>
    <row r="325">
      <c r="A325" s="63" t="n">
        <v>27364</v>
      </c>
      <c r="B325" t="n">
        <v>7.81</v>
      </c>
      <c r="C325" t="n">
        <v>8.529999999999999</v>
      </c>
      <c r="D325" t="n">
        <v>902.1</v>
      </c>
    </row>
    <row r="326">
      <c r="A326" s="63" t="n">
        <v>27395</v>
      </c>
      <c r="B326" t="n">
        <v>7.4</v>
      </c>
      <c r="C326" t="n">
        <v>7.13</v>
      </c>
      <c r="D326" t="n">
        <v>906.3</v>
      </c>
    </row>
    <row r="327">
      <c r="A327" s="63" t="n">
        <v>27426</v>
      </c>
      <c r="B327" t="n">
        <v>6.82</v>
      </c>
      <c r="C327" t="n">
        <v>6.24</v>
      </c>
      <c r="D327" t="n">
        <v>914.1</v>
      </c>
    </row>
    <row r="328">
      <c r="A328" s="63" t="n">
        <v>27454</v>
      </c>
      <c r="B328" t="n">
        <v>6.4</v>
      </c>
      <c r="C328" t="n">
        <v>5.54</v>
      </c>
      <c r="D328" t="n">
        <v>925</v>
      </c>
    </row>
    <row r="329">
      <c r="A329" s="63" t="n">
        <v>27485</v>
      </c>
      <c r="B329" t="n">
        <v>6.25</v>
      </c>
      <c r="C329" t="n">
        <v>5.49</v>
      </c>
      <c r="D329" t="n">
        <v>935.1</v>
      </c>
    </row>
    <row r="330">
      <c r="A330" s="63" t="n">
        <v>27515</v>
      </c>
      <c r="B330" t="n">
        <v>6.12</v>
      </c>
      <c r="C330" t="n">
        <v>5.22</v>
      </c>
      <c r="D330" t="n">
        <v>947.9</v>
      </c>
    </row>
    <row r="331">
      <c r="A331" s="63" t="n">
        <v>27546</v>
      </c>
      <c r="B331" t="n">
        <v>6</v>
      </c>
      <c r="C331" t="n">
        <v>5.55</v>
      </c>
      <c r="D331" t="n">
        <v>963</v>
      </c>
    </row>
    <row r="332">
      <c r="A332" s="63" t="n">
        <v>27576</v>
      </c>
      <c r="B332" t="n">
        <v>6</v>
      </c>
      <c r="C332" t="n">
        <v>6.1</v>
      </c>
      <c r="D332" t="n">
        <v>975.1</v>
      </c>
    </row>
    <row r="333">
      <c r="A333" s="63" t="n">
        <v>27607</v>
      </c>
      <c r="B333" t="n">
        <v>6</v>
      </c>
      <c r="C333" t="n">
        <v>6.14</v>
      </c>
      <c r="D333" t="n">
        <v>983.1</v>
      </c>
    </row>
    <row r="334">
      <c r="A334" s="63" t="n">
        <v>27638</v>
      </c>
      <c r="B334" t="n">
        <v>6</v>
      </c>
      <c r="C334" t="n">
        <v>6.24</v>
      </c>
      <c r="D334" t="n">
        <v>991.5</v>
      </c>
    </row>
    <row r="335">
      <c r="A335" s="63" t="n">
        <v>27668</v>
      </c>
      <c r="B335" t="n">
        <v>6</v>
      </c>
      <c r="C335" t="n">
        <v>5.82</v>
      </c>
      <c r="D335" t="n">
        <v>997.8</v>
      </c>
    </row>
    <row r="336">
      <c r="A336" s="63" t="n">
        <v>27699</v>
      </c>
      <c r="B336" t="n">
        <v>6</v>
      </c>
      <c r="C336" t="n">
        <v>5.22</v>
      </c>
      <c r="D336" t="n">
        <v>1006.9</v>
      </c>
    </row>
    <row r="337">
      <c r="A337" s="63" t="n">
        <v>27729</v>
      </c>
      <c r="B337" t="n">
        <v>6</v>
      </c>
      <c r="C337" t="n">
        <v>5.2</v>
      </c>
      <c r="D337" t="n">
        <v>1016.2</v>
      </c>
    </row>
    <row r="338">
      <c r="A338" s="63" t="n">
        <v>27760</v>
      </c>
      <c r="B338" t="n">
        <v>5.79</v>
      </c>
      <c r="C338" t="n">
        <v>4.87</v>
      </c>
      <c r="D338" t="n">
        <v>1026.6</v>
      </c>
    </row>
    <row r="339">
      <c r="A339" s="63" t="n">
        <v>27791</v>
      </c>
      <c r="B339" t="n">
        <v>5.5</v>
      </c>
      <c r="C339" t="n">
        <v>4.77</v>
      </c>
      <c r="D339" t="n">
        <v>1040.3</v>
      </c>
    </row>
    <row r="340">
      <c r="A340" s="63" t="n">
        <v>27820</v>
      </c>
      <c r="B340" t="n">
        <v>5.5</v>
      </c>
      <c r="C340" t="n">
        <v>4.84</v>
      </c>
      <c r="D340" t="n">
        <v>1050</v>
      </c>
    </row>
    <row r="341">
      <c r="A341" s="63" t="n">
        <v>27851</v>
      </c>
      <c r="B341" t="n">
        <v>5.5</v>
      </c>
      <c r="C341" t="n">
        <v>4.82</v>
      </c>
      <c r="D341" t="n">
        <v>1060.8</v>
      </c>
    </row>
    <row r="342">
      <c r="A342" s="63" t="n">
        <v>27881</v>
      </c>
      <c r="B342" t="n">
        <v>5.5</v>
      </c>
      <c r="C342" t="n">
        <v>5.29</v>
      </c>
      <c r="D342" t="n">
        <v>1072.1</v>
      </c>
    </row>
    <row r="343">
      <c r="A343" s="63" t="n">
        <v>27912</v>
      </c>
      <c r="B343" t="n">
        <v>5.5</v>
      </c>
      <c r="C343" t="n">
        <v>5.48</v>
      </c>
      <c r="D343" t="n">
        <v>1077.6</v>
      </c>
    </row>
    <row r="344">
      <c r="A344" s="63" t="n">
        <v>27942</v>
      </c>
      <c r="B344" t="n">
        <v>5.5</v>
      </c>
      <c r="C344" t="n">
        <v>5.31</v>
      </c>
      <c r="D344" t="n">
        <v>1086.3</v>
      </c>
    </row>
    <row r="345">
      <c r="A345" s="63" t="n">
        <v>27973</v>
      </c>
      <c r="B345" t="n">
        <v>5.5</v>
      </c>
      <c r="C345" t="n">
        <v>5.29</v>
      </c>
      <c r="D345" t="n">
        <v>1098.7</v>
      </c>
    </row>
    <row r="346">
      <c r="A346" s="63" t="n">
        <v>28004</v>
      </c>
      <c r="B346" t="n">
        <v>5.5</v>
      </c>
      <c r="C346" t="n">
        <v>5.25</v>
      </c>
      <c r="D346" t="n">
        <v>1110.8</v>
      </c>
    </row>
    <row r="347">
      <c r="A347" s="63" t="n">
        <v>28034</v>
      </c>
      <c r="B347" t="n">
        <v>5.5</v>
      </c>
      <c r="C347" t="n">
        <v>5.02</v>
      </c>
      <c r="D347" t="n">
        <v>1125</v>
      </c>
    </row>
    <row r="348">
      <c r="A348" s="63" t="n">
        <v>28065</v>
      </c>
      <c r="B348" t="n">
        <v>5.43</v>
      </c>
      <c r="C348" t="n">
        <v>4.95</v>
      </c>
      <c r="D348" t="n">
        <v>1138.2</v>
      </c>
    </row>
    <row r="349">
      <c r="A349" s="63" t="n">
        <v>28095</v>
      </c>
      <c r="B349" t="n">
        <v>5.25</v>
      </c>
      <c r="C349" t="n">
        <v>4.65</v>
      </c>
      <c r="D349" t="n">
        <v>1152</v>
      </c>
    </row>
    <row r="350">
      <c r="A350" s="63" t="n">
        <v>28126</v>
      </c>
      <c r="B350" t="n">
        <v>5.25</v>
      </c>
      <c r="C350" t="n">
        <v>4.61</v>
      </c>
      <c r="D350" t="n">
        <v>1165.2</v>
      </c>
    </row>
    <row r="351">
      <c r="A351" s="63" t="n">
        <v>28157</v>
      </c>
      <c r="B351" t="n">
        <v>5.25</v>
      </c>
      <c r="C351" t="n">
        <v>4.68</v>
      </c>
      <c r="D351" t="n">
        <v>1177.6</v>
      </c>
    </row>
    <row r="352">
      <c r="A352" s="63" t="n">
        <v>28185</v>
      </c>
      <c r="B352" t="n">
        <v>5.25</v>
      </c>
      <c r="C352" t="n">
        <v>4.69</v>
      </c>
      <c r="D352" t="n">
        <v>1188.5</v>
      </c>
    </row>
    <row r="353">
      <c r="A353" s="63" t="n">
        <v>28216</v>
      </c>
      <c r="B353" t="n">
        <v>5.25</v>
      </c>
      <c r="C353" t="n">
        <v>4.73</v>
      </c>
      <c r="D353" t="n">
        <v>1199.6</v>
      </c>
    </row>
    <row r="354">
      <c r="A354" s="63" t="n">
        <v>28246</v>
      </c>
      <c r="B354" t="n">
        <v>5.25</v>
      </c>
      <c r="C354" t="n">
        <v>5.35</v>
      </c>
      <c r="D354" t="n">
        <v>1209</v>
      </c>
    </row>
    <row r="355">
      <c r="A355" s="63" t="n">
        <v>28277</v>
      </c>
      <c r="B355" t="n">
        <v>5.25</v>
      </c>
      <c r="C355" t="n">
        <v>5.39</v>
      </c>
      <c r="D355" t="n">
        <v>1217.8</v>
      </c>
    </row>
    <row r="356">
      <c r="A356" s="63" t="n">
        <v>28307</v>
      </c>
      <c r="B356" t="n">
        <v>5.25</v>
      </c>
      <c r="C356" t="n">
        <v>5.42</v>
      </c>
      <c r="D356" t="n">
        <v>1226.7</v>
      </c>
    </row>
    <row r="357">
      <c r="A357" s="63" t="n">
        <v>28338</v>
      </c>
      <c r="B357" t="n">
        <v>5.27</v>
      </c>
      <c r="C357" t="n">
        <v>5.9</v>
      </c>
      <c r="D357" t="n">
        <v>1237</v>
      </c>
    </row>
    <row r="358">
      <c r="A358" s="63" t="n">
        <v>28369</v>
      </c>
      <c r="B358" t="n">
        <v>5.75</v>
      </c>
      <c r="C358" t="n">
        <v>6.14</v>
      </c>
      <c r="D358" t="n">
        <v>1246.2</v>
      </c>
    </row>
    <row r="359">
      <c r="A359" s="63" t="n">
        <v>28399</v>
      </c>
      <c r="B359" t="n">
        <v>5.8</v>
      </c>
      <c r="C359" t="n">
        <v>6.47</v>
      </c>
      <c r="D359" t="n">
        <v>1254</v>
      </c>
    </row>
    <row r="360">
      <c r="A360" s="63" t="n">
        <v>28430</v>
      </c>
      <c r="B360" t="n">
        <v>6</v>
      </c>
      <c r="C360" t="n">
        <v>6.51</v>
      </c>
      <c r="D360" t="n">
        <v>1262.4</v>
      </c>
    </row>
    <row r="361">
      <c r="A361" s="63" t="n">
        <v>28460</v>
      </c>
      <c r="B361" t="n">
        <v>6</v>
      </c>
      <c r="C361" t="n">
        <v>6.56</v>
      </c>
      <c r="D361" t="n">
        <v>1270.3</v>
      </c>
    </row>
    <row r="362">
      <c r="A362" s="63" t="n">
        <v>28491</v>
      </c>
      <c r="B362" t="n">
        <v>6.37</v>
      </c>
      <c r="C362" t="n">
        <v>6.7</v>
      </c>
      <c r="D362" t="n">
        <v>1279.7</v>
      </c>
    </row>
    <row r="363">
      <c r="A363" s="63" t="n">
        <v>28522</v>
      </c>
      <c r="B363" t="n">
        <v>6.5</v>
      </c>
      <c r="C363" t="n">
        <v>6.78</v>
      </c>
      <c r="D363" t="n">
        <v>1285.5</v>
      </c>
    </row>
    <row r="364">
      <c r="A364" s="63" t="n">
        <v>28550</v>
      </c>
      <c r="B364" t="n">
        <v>6.5</v>
      </c>
      <c r="C364" t="n">
        <v>6.79</v>
      </c>
      <c r="D364" t="n">
        <v>1292.2</v>
      </c>
    </row>
    <row r="365">
      <c r="A365" s="63" t="n">
        <v>28581</v>
      </c>
      <c r="B365" t="n">
        <v>6.5</v>
      </c>
      <c r="C365" t="n">
        <v>6.89</v>
      </c>
      <c r="D365" t="n">
        <v>1300.4</v>
      </c>
    </row>
    <row r="366">
      <c r="A366" s="63" t="n">
        <v>28611</v>
      </c>
      <c r="B366" t="n">
        <v>6.84</v>
      </c>
      <c r="C366" t="n">
        <v>7.36</v>
      </c>
      <c r="D366" t="n">
        <v>1310.5</v>
      </c>
    </row>
    <row r="367">
      <c r="A367" s="63" t="n">
        <v>28642</v>
      </c>
      <c r="B367" t="n">
        <v>7</v>
      </c>
      <c r="C367" t="n">
        <v>7.6</v>
      </c>
      <c r="D367" t="n">
        <v>1318.5</v>
      </c>
    </row>
    <row r="368">
      <c r="A368" s="63" t="n">
        <v>28672</v>
      </c>
      <c r="B368" t="n">
        <v>7.23</v>
      </c>
      <c r="C368" t="n">
        <v>7.81</v>
      </c>
      <c r="D368" t="n">
        <v>1324.1</v>
      </c>
    </row>
    <row r="369">
      <c r="A369" s="63" t="n">
        <v>28703</v>
      </c>
      <c r="B369" t="n">
        <v>7.43</v>
      </c>
      <c r="C369" t="n">
        <v>8.039999999999999</v>
      </c>
      <c r="D369" t="n">
        <v>1333.5</v>
      </c>
    </row>
    <row r="370">
      <c r="A370" s="63" t="n">
        <v>28734</v>
      </c>
      <c r="B370" t="n">
        <v>7.83</v>
      </c>
      <c r="C370" t="n">
        <v>8.449999999999999</v>
      </c>
      <c r="D370" t="n">
        <v>1345</v>
      </c>
    </row>
    <row r="371">
      <c r="A371" s="63" t="n">
        <v>28764</v>
      </c>
      <c r="B371" t="n">
        <v>8.26</v>
      </c>
      <c r="C371" t="n">
        <v>8.960000000000001</v>
      </c>
      <c r="D371" t="n">
        <v>1352.3</v>
      </c>
    </row>
    <row r="372">
      <c r="A372" s="63" t="n">
        <v>28795</v>
      </c>
      <c r="B372" t="n">
        <v>9.5</v>
      </c>
      <c r="C372" t="n">
        <v>9.76</v>
      </c>
      <c r="D372" t="n">
        <v>1359.1</v>
      </c>
    </row>
    <row r="373">
      <c r="A373" s="63" t="n">
        <v>28825</v>
      </c>
      <c r="B373" t="n">
        <v>9.5</v>
      </c>
      <c r="C373" t="n">
        <v>10.03</v>
      </c>
      <c r="D373" t="n">
        <v>1366</v>
      </c>
    </row>
    <row r="374">
      <c r="A374" s="63" t="n">
        <v>28856</v>
      </c>
      <c r="B374" t="n">
        <v>9.5</v>
      </c>
      <c r="C374" t="n">
        <v>10.07</v>
      </c>
      <c r="D374" t="n">
        <v>1371.6</v>
      </c>
    </row>
    <row r="375">
      <c r="A375" s="63" t="n">
        <v>28887</v>
      </c>
      <c r="B375" t="n">
        <v>9.5</v>
      </c>
      <c r="C375" t="n">
        <v>10.06</v>
      </c>
      <c r="D375" t="n">
        <v>1377.8</v>
      </c>
    </row>
    <row r="376">
      <c r="A376" s="63" t="n">
        <v>28915</v>
      </c>
      <c r="B376" t="n">
        <v>9.5</v>
      </c>
      <c r="C376" t="n">
        <v>10.09</v>
      </c>
      <c r="D376" t="n">
        <v>1387.8</v>
      </c>
    </row>
    <row r="377">
      <c r="A377" s="63" t="n">
        <v>28946</v>
      </c>
      <c r="B377" t="n">
        <v>9.5</v>
      </c>
      <c r="C377" t="n">
        <v>10.01</v>
      </c>
      <c r="D377" t="n">
        <v>1402.1</v>
      </c>
    </row>
    <row r="378">
      <c r="A378" s="63" t="n">
        <v>28976</v>
      </c>
      <c r="B378" t="n">
        <v>9.5</v>
      </c>
      <c r="C378" t="n">
        <v>10.24</v>
      </c>
      <c r="D378" t="n">
        <v>1410.2</v>
      </c>
    </row>
    <row r="379">
      <c r="A379" s="63" t="n">
        <v>29007</v>
      </c>
      <c r="B379" t="n">
        <v>9.5</v>
      </c>
      <c r="C379" t="n">
        <v>10.29</v>
      </c>
      <c r="D379" t="n">
        <v>1423</v>
      </c>
    </row>
    <row r="380">
      <c r="A380" s="63" t="n">
        <v>29037</v>
      </c>
      <c r="B380" t="n">
        <v>9.69</v>
      </c>
      <c r="C380" t="n">
        <v>10.47</v>
      </c>
      <c r="D380" t="n">
        <v>1434.8</v>
      </c>
    </row>
    <row r="381">
      <c r="A381" s="63" t="n">
        <v>29068</v>
      </c>
      <c r="B381" t="n">
        <v>10.24</v>
      </c>
      <c r="C381" t="n">
        <v>10.94</v>
      </c>
      <c r="D381" t="n">
        <v>1446.6</v>
      </c>
    </row>
    <row r="382">
      <c r="A382" s="63" t="n">
        <v>29099</v>
      </c>
      <c r="B382" t="n">
        <v>10.7</v>
      </c>
      <c r="C382" t="n">
        <v>11.43</v>
      </c>
      <c r="D382" t="n">
        <v>1454.1</v>
      </c>
    </row>
    <row r="383">
      <c r="A383" s="63" t="n">
        <v>29129</v>
      </c>
      <c r="B383" t="n">
        <v>11.77</v>
      </c>
      <c r="C383" t="n">
        <v>13.77</v>
      </c>
      <c r="D383" t="n">
        <v>1460.4</v>
      </c>
    </row>
    <row r="384">
      <c r="A384" s="63" t="n">
        <v>29160</v>
      </c>
      <c r="B384" t="n">
        <v>12</v>
      </c>
      <c r="C384" t="n">
        <v>13.18</v>
      </c>
      <c r="D384" t="n">
        <v>1465.9</v>
      </c>
    </row>
    <row r="385">
      <c r="A385" s="63" t="n">
        <v>29190</v>
      </c>
      <c r="B385" t="n">
        <v>12</v>
      </c>
      <c r="C385" t="n">
        <v>13.78</v>
      </c>
      <c r="D385" t="n">
        <v>1473.7</v>
      </c>
    </row>
    <row r="386">
      <c r="A386" s="63" t="n">
        <v>29221</v>
      </c>
      <c r="B386" t="n">
        <v>12</v>
      </c>
      <c r="C386" t="n">
        <v>13.82</v>
      </c>
      <c r="D386" t="n">
        <v>1482.7</v>
      </c>
    </row>
    <row r="387">
      <c r="A387" s="63" t="n">
        <v>29252</v>
      </c>
      <c r="B387" t="n">
        <v>12.52</v>
      </c>
      <c r="C387" t="n">
        <v>14.13</v>
      </c>
      <c r="D387" t="n">
        <v>1494.6</v>
      </c>
    </row>
    <row r="388">
      <c r="A388" s="63" t="n">
        <v>29281</v>
      </c>
      <c r="B388" t="n">
        <v>13</v>
      </c>
      <c r="C388" t="n">
        <v>17.19</v>
      </c>
      <c r="D388" t="n">
        <v>1499.8</v>
      </c>
    </row>
    <row r="389">
      <c r="A389" s="63" t="n">
        <v>29312</v>
      </c>
      <c r="B389" t="n">
        <v>13</v>
      </c>
      <c r="C389" t="n">
        <v>17.61</v>
      </c>
      <c r="D389" t="n">
        <v>1502.2</v>
      </c>
    </row>
    <row r="390">
      <c r="A390" s="63" t="n">
        <v>29342</v>
      </c>
      <c r="B390" t="n">
        <v>12.94</v>
      </c>
      <c r="C390" t="n">
        <v>10.98</v>
      </c>
      <c r="D390" t="n">
        <v>1512.3</v>
      </c>
    </row>
    <row r="391">
      <c r="A391" s="63" t="n">
        <v>29373</v>
      </c>
      <c r="B391" t="n">
        <v>11.4</v>
      </c>
      <c r="C391" t="n">
        <v>9.470000000000001</v>
      </c>
      <c r="D391" t="n">
        <v>1529.2</v>
      </c>
    </row>
    <row r="392">
      <c r="A392" s="63" t="n">
        <v>29403</v>
      </c>
      <c r="B392" t="n">
        <v>10.87</v>
      </c>
      <c r="C392" t="n">
        <v>9.029999999999999</v>
      </c>
      <c r="D392" t="n">
        <v>1545.5</v>
      </c>
    </row>
    <row r="393">
      <c r="A393" s="63" t="n">
        <v>29434</v>
      </c>
      <c r="B393" t="n">
        <v>10</v>
      </c>
      <c r="C393" t="n">
        <v>9.609999999999999</v>
      </c>
      <c r="D393" t="n">
        <v>1561.5</v>
      </c>
    </row>
    <row r="394">
      <c r="A394" s="63" t="n">
        <v>29465</v>
      </c>
      <c r="B394" t="n">
        <v>10.17</v>
      </c>
      <c r="C394" t="n">
        <v>10.87</v>
      </c>
      <c r="D394" t="n">
        <v>1574</v>
      </c>
    </row>
    <row r="395">
      <c r="A395" s="63" t="n">
        <v>29495</v>
      </c>
      <c r="B395" t="n">
        <v>11</v>
      </c>
      <c r="C395" t="n">
        <v>12.81</v>
      </c>
      <c r="D395" t="n">
        <v>1584.8</v>
      </c>
    </row>
    <row r="396">
      <c r="A396" s="63" t="n">
        <v>29526</v>
      </c>
      <c r="B396" t="n">
        <v>11.47</v>
      </c>
      <c r="C396" t="n">
        <v>15.85</v>
      </c>
      <c r="D396" t="n">
        <v>1595.8</v>
      </c>
    </row>
    <row r="397">
      <c r="A397" s="63" t="n">
        <v>29556</v>
      </c>
      <c r="B397" t="n">
        <v>12.87</v>
      </c>
      <c r="C397" t="n">
        <v>18.9</v>
      </c>
      <c r="D397" t="n">
        <v>1599.8</v>
      </c>
    </row>
    <row r="398">
      <c r="A398" s="63" t="n">
        <v>29587</v>
      </c>
      <c r="B398" t="n">
        <v>13</v>
      </c>
      <c r="C398" t="n">
        <v>19.08</v>
      </c>
      <c r="D398" t="n">
        <v>1606.9</v>
      </c>
    </row>
    <row r="399">
      <c r="A399" s="63" t="n">
        <v>29618</v>
      </c>
      <c r="B399" t="n">
        <v>13</v>
      </c>
      <c r="C399" t="n">
        <v>15.93</v>
      </c>
      <c r="D399" t="n">
        <v>1618.7</v>
      </c>
    </row>
    <row r="400">
      <c r="A400" s="63" t="n">
        <v>29646</v>
      </c>
      <c r="B400" t="n">
        <v>13</v>
      </c>
      <c r="C400" t="n">
        <v>14.7</v>
      </c>
      <c r="D400" t="n">
        <v>1636.6</v>
      </c>
    </row>
    <row r="401">
      <c r="A401" s="63" t="n">
        <v>29677</v>
      </c>
      <c r="B401" t="n">
        <v>13</v>
      </c>
      <c r="C401" t="n">
        <v>15.72</v>
      </c>
      <c r="D401" t="n">
        <v>1659.2</v>
      </c>
    </row>
    <row r="402">
      <c r="A402" s="63" t="n">
        <v>29707</v>
      </c>
      <c r="B402" t="n">
        <v>13.87</v>
      </c>
      <c r="C402" t="n">
        <v>18.52</v>
      </c>
      <c r="D402" t="n">
        <v>1664.2</v>
      </c>
    </row>
    <row r="403">
      <c r="A403" s="63" t="n">
        <v>29738</v>
      </c>
      <c r="B403" t="n">
        <v>14</v>
      </c>
      <c r="C403" t="n">
        <v>19.1</v>
      </c>
      <c r="D403" t="n">
        <v>1670.3</v>
      </c>
    </row>
    <row r="404">
      <c r="A404" s="63" t="n">
        <v>29768</v>
      </c>
      <c r="B404" t="n">
        <v>14</v>
      </c>
      <c r="C404" t="n">
        <v>19.04</v>
      </c>
      <c r="D404" t="n">
        <v>1681.9</v>
      </c>
    </row>
    <row r="405">
      <c r="A405" s="63" t="n">
        <v>29799</v>
      </c>
      <c r="B405" t="n">
        <v>14</v>
      </c>
      <c r="C405" t="n">
        <v>17.82</v>
      </c>
      <c r="D405" t="n">
        <v>1694.3</v>
      </c>
    </row>
    <row r="406">
      <c r="A406" s="63" t="n">
        <v>29830</v>
      </c>
      <c r="B406" t="n">
        <v>14</v>
      </c>
      <c r="C406" t="n">
        <v>15.87</v>
      </c>
      <c r="D406" t="n">
        <v>1706</v>
      </c>
    </row>
    <row r="407">
      <c r="A407" s="63" t="n">
        <v>29860</v>
      </c>
      <c r="B407" t="n">
        <v>14</v>
      </c>
      <c r="C407" t="n">
        <v>15.08</v>
      </c>
      <c r="D407" t="n">
        <v>1721.8</v>
      </c>
    </row>
    <row r="408">
      <c r="A408" s="63" t="n">
        <v>29891</v>
      </c>
      <c r="B408" t="n">
        <v>13.03</v>
      </c>
      <c r="C408" t="n">
        <v>13.31</v>
      </c>
      <c r="D408" t="n">
        <v>1736.1</v>
      </c>
    </row>
    <row r="409">
      <c r="A409" s="63" t="n">
        <v>29921</v>
      </c>
      <c r="B409" t="n">
        <v>12.1</v>
      </c>
      <c r="C409" t="n">
        <v>12.37</v>
      </c>
      <c r="D409" t="n">
        <v>1755.5</v>
      </c>
    </row>
    <row r="410">
      <c r="A410" s="63" t="n">
        <v>29952</v>
      </c>
      <c r="B410" t="n">
        <v>12</v>
      </c>
      <c r="C410" t="n">
        <v>13.22</v>
      </c>
      <c r="D410" t="n">
        <v>1770.4</v>
      </c>
    </row>
    <row r="411">
      <c r="A411" s="63" t="n">
        <v>29983</v>
      </c>
      <c r="B411" t="n">
        <v>12</v>
      </c>
      <c r="C411" t="n">
        <v>14.78</v>
      </c>
      <c r="D411" t="n">
        <v>1774.5</v>
      </c>
    </row>
    <row r="412">
      <c r="A412" s="63" t="n">
        <v>30011</v>
      </c>
      <c r="B412" t="n">
        <v>12</v>
      </c>
      <c r="C412" t="n">
        <v>14.68</v>
      </c>
      <c r="D412" t="n">
        <v>1786.5</v>
      </c>
    </row>
    <row r="413">
      <c r="A413" s="63" t="n">
        <v>30042</v>
      </c>
      <c r="B413" t="n">
        <v>12</v>
      </c>
      <c r="C413" t="n">
        <v>14.94</v>
      </c>
      <c r="D413" t="n">
        <v>1803.9</v>
      </c>
    </row>
    <row r="414">
      <c r="A414" s="63" t="n">
        <v>30072</v>
      </c>
      <c r="B414" t="n">
        <v>12</v>
      </c>
      <c r="C414" t="n">
        <v>14.45</v>
      </c>
      <c r="D414" t="n">
        <v>1815.4</v>
      </c>
    </row>
    <row r="415">
      <c r="A415" s="63" t="n">
        <v>30103</v>
      </c>
      <c r="B415" t="n">
        <v>12</v>
      </c>
      <c r="C415" t="n">
        <v>14.15</v>
      </c>
      <c r="D415" t="n">
        <v>1826</v>
      </c>
    </row>
    <row r="416">
      <c r="A416" s="63" t="n">
        <v>30133</v>
      </c>
      <c r="B416" t="n">
        <v>11.81</v>
      </c>
      <c r="C416" t="n">
        <v>12.59</v>
      </c>
      <c r="D416" t="n">
        <v>1831.5</v>
      </c>
    </row>
    <row r="417">
      <c r="A417" s="63" t="n">
        <v>30164</v>
      </c>
      <c r="B417" t="n">
        <v>10.68</v>
      </c>
      <c r="C417" t="n">
        <v>10.12</v>
      </c>
      <c r="D417" t="n">
        <v>1845.2</v>
      </c>
    </row>
    <row r="418">
      <c r="A418" s="63" t="n">
        <v>30195</v>
      </c>
      <c r="B418" t="n">
        <v>10</v>
      </c>
      <c r="C418" t="n">
        <v>10.31</v>
      </c>
      <c r="D418" t="n">
        <v>1858.4</v>
      </c>
    </row>
    <row r="419">
      <c r="A419" s="63" t="n">
        <v>30225</v>
      </c>
      <c r="B419" t="n">
        <v>9.68</v>
      </c>
      <c r="C419" t="n">
        <v>9.710000000000001</v>
      </c>
      <c r="D419" t="n">
        <v>1869.7</v>
      </c>
    </row>
    <row r="420">
      <c r="A420" s="63" t="n">
        <v>30256</v>
      </c>
      <c r="B420" t="n">
        <v>9.35</v>
      </c>
      <c r="C420" t="n">
        <v>9.199999999999999</v>
      </c>
      <c r="D420" t="n">
        <v>1883.7</v>
      </c>
    </row>
    <row r="421">
      <c r="A421" s="63" t="n">
        <v>30286</v>
      </c>
      <c r="B421" t="n">
        <v>8.73</v>
      </c>
      <c r="C421" t="n">
        <v>8.949999999999999</v>
      </c>
      <c r="D421" t="n">
        <v>1905.9</v>
      </c>
    </row>
    <row r="422">
      <c r="A422" s="63" t="n">
        <v>30317</v>
      </c>
      <c r="B422" t="n">
        <v>8.5</v>
      </c>
      <c r="C422" t="n">
        <v>8.68</v>
      </c>
      <c r="D422" t="n">
        <v>1959.4</v>
      </c>
    </row>
    <row r="423">
      <c r="A423" s="63" t="n">
        <v>30348</v>
      </c>
      <c r="B423" t="n">
        <v>8.5</v>
      </c>
      <c r="C423" t="n">
        <v>8.51</v>
      </c>
      <c r="D423" t="n">
        <v>1996.8</v>
      </c>
    </row>
    <row r="424">
      <c r="A424" s="63" t="n">
        <v>30376</v>
      </c>
      <c r="B424" t="n">
        <v>8.5</v>
      </c>
      <c r="C424" t="n">
        <v>8.77</v>
      </c>
      <c r="D424" t="n">
        <v>2015.2</v>
      </c>
    </row>
    <row r="425">
      <c r="A425" s="63" t="n">
        <v>30407</v>
      </c>
      <c r="B425" t="n">
        <v>8.5</v>
      </c>
      <c r="C425" t="n">
        <v>8.800000000000001</v>
      </c>
      <c r="D425" t="n">
        <v>2028.6</v>
      </c>
    </row>
    <row r="426">
      <c r="A426" s="63" t="n">
        <v>30437</v>
      </c>
      <c r="B426" t="n">
        <v>8.5</v>
      </c>
      <c r="C426" t="n">
        <v>8.630000000000001</v>
      </c>
      <c r="D426" t="n">
        <v>2043.1</v>
      </c>
    </row>
    <row r="427">
      <c r="A427" s="63" t="n">
        <v>30468</v>
      </c>
      <c r="B427" t="n">
        <v>8.5</v>
      </c>
      <c r="C427" t="n">
        <v>8.98</v>
      </c>
      <c r="D427" t="n">
        <v>2053.5</v>
      </c>
    </row>
    <row r="428">
      <c r="A428" s="63" t="n">
        <v>30498</v>
      </c>
      <c r="B428" t="n">
        <v>8.5</v>
      </c>
      <c r="C428" t="n">
        <v>9.369999999999999</v>
      </c>
      <c r="D428" t="n">
        <v>2064.8</v>
      </c>
    </row>
    <row r="429">
      <c r="A429" s="63" t="n">
        <v>30529</v>
      </c>
      <c r="B429" t="n">
        <v>8.5</v>
      </c>
      <c r="C429" t="n">
        <v>9.56</v>
      </c>
      <c r="D429" t="n">
        <v>2074</v>
      </c>
    </row>
    <row r="430">
      <c r="A430" s="63" t="n">
        <v>30560</v>
      </c>
      <c r="B430" t="n">
        <v>8.5</v>
      </c>
      <c r="C430" t="n">
        <v>9.449999999999999</v>
      </c>
      <c r="D430" t="n">
        <v>2083.2</v>
      </c>
    </row>
    <row r="431">
      <c r="A431" s="63" t="n">
        <v>30590</v>
      </c>
      <c r="B431" t="n">
        <v>8.5</v>
      </c>
      <c r="C431" t="n">
        <v>9.48</v>
      </c>
      <c r="D431" t="n">
        <v>2099.2</v>
      </c>
    </row>
    <row r="432">
      <c r="A432" s="63" t="n">
        <v>30621</v>
      </c>
      <c r="B432" t="n">
        <v>8.5</v>
      </c>
      <c r="C432" t="n">
        <v>9.34</v>
      </c>
      <c r="D432" t="n">
        <v>2112.3</v>
      </c>
    </row>
    <row r="433">
      <c r="A433" s="63" t="n">
        <v>30651</v>
      </c>
      <c r="B433" t="n">
        <v>8.5</v>
      </c>
      <c r="C433" t="n">
        <v>9.470000000000001</v>
      </c>
      <c r="D433" t="n">
        <v>2123.5</v>
      </c>
    </row>
    <row r="434">
      <c r="A434" s="63" t="n">
        <v>30682</v>
      </c>
      <c r="B434" t="n">
        <v>8.5</v>
      </c>
      <c r="C434" t="n">
        <v>9.56</v>
      </c>
      <c r="D434" t="n">
        <v>2138.2</v>
      </c>
    </row>
    <row r="435">
      <c r="A435" s="63" t="n">
        <v>30713</v>
      </c>
      <c r="B435" t="n">
        <v>8.5</v>
      </c>
      <c r="C435" t="n">
        <v>9.59</v>
      </c>
      <c r="D435" t="n">
        <v>2158.2</v>
      </c>
    </row>
    <row r="436">
      <c r="A436" s="63" t="n">
        <v>30742</v>
      </c>
      <c r="B436" t="n">
        <v>8.5</v>
      </c>
      <c r="C436" t="n">
        <v>9.91</v>
      </c>
      <c r="D436" t="n">
        <v>2175.2</v>
      </c>
    </row>
    <row r="437">
      <c r="A437" s="63" t="n">
        <v>30773</v>
      </c>
      <c r="B437" t="n">
        <v>8.869999999999999</v>
      </c>
      <c r="C437" t="n">
        <v>10.29</v>
      </c>
      <c r="D437" t="n">
        <v>2191.7</v>
      </c>
    </row>
    <row r="438">
      <c r="A438" s="63" t="n">
        <v>30803</v>
      </c>
      <c r="B438" t="n">
        <v>9</v>
      </c>
      <c r="C438" t="n">
        <v>10.32</v>
      </c>
      <c r="D438" t="n">
        <v>2204.1</v>
      </c>
    </row>
    <row r="439">
      <c r="A439" s="63" t="n">
        <v>30834</v>
      </c>
      <c r="B439" t="n">
        <v>9</v>
      </c>
      <c r="C439" t="n">
        <v>11.06</v>
      </c>
      <c r="D439" t="n">
        <v>2215.1</v>
      </c>
    </row>
    <row r="440">
      <c r="A440" s="63" t="n">
        <v>30864</v>
      </c>
      <c r="B440" t="n">
        <v>9</v>
      </c>
      <c r="C440" t="n">
        <v>11.23</v>
      </c>
      <c r="D440" t="n">
        <v>2223.5</v>
      </c>
    </row>
    <row r="441">
      <c r="A441" s="63" t="n">
        <v>30895</v>
      </c>
      <c r="B441" t="n">
        <v>9</v>
      </c>
      <c r="C441" t="n">
        <v>11.64</v>
      </c>
      <c r="D441" t="n">
        <v>2230.4</v>
      </c>
    </row>
    <row r="442">
      <c r="A442" s="63" t="n">
        <v>30926</v>
      </c>
      <c r="B442" t="n">
        <v>9</v>
      </c>
      <c r="C442" t="n">
        <v>11.3</v>
      </c>
      <c r="D442" t="n">
        <v>2244.4</v>
      </c>
    </row>
    <row r="443">
      <c r="A443" s="63" t="n">
        <v>30956</v>
      </c>
      <c r="B443" t="n">
        <v>9</v>
      </c>
      <c r="C443" t="n">
        <v>9.99</v>
      </c>
      <c r="D443" t="n">
        <v>2258.9</v>
      </c>
    </row>
    <row r="444">
      <c r="A444" s="63" t="n">
        <v>30987</v>
      </c>
      <c r="B444" t="n">
        <v>8.83</v>
      </c>
      <c r="C444" t="n">
        <v>9.43</v>
      </c>
      <c r="D444" t="n">
        <v>2281.4</v>
      </c>
    </row>
    <row r="445">
      <c r="A445" s="63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3" t="n">
        <v>31048</v>
      </c>
      <c r="B446" t="n">
        <v>8</v>
      </c>
      <c r="C446" t="n">
        <v>8.35</v>
      </c>
      <c r="D446" t="n">
        <v>2332.4</v>
      </c>
    </row>
    <row r="447">
      <c r="A447" s="63" t="n">
        <v>31079</v>
      </c>
      <c r="B447" t="n">
        <v>8</v>
      </c>
      <c r="C447" t="n">
        <v>8.5</v>
      </c>
      <c r="D447" t="n">
        <v>2354.1</v>
      </c>
    </row>
    <row r="448">
      <c r="A448" s="63" t="n">
        <v>31107</v>
      </c>
      <c r="B448" t="n">
        <v>8</v>
      </c>
      <c r="C448" t="n">
        <v>8.58</v>
      </c>
      <c r="D448" t="n">
        <v>2366.2</v>
      </c>
    </row>
    <row r="449">
      <c r="A449" s="63" t="n">
        <v>31138</v>
      </c>
      <c r="B449" t="n">
        <v>8</v>
      </c>
      <c r="C449" t="n">
        <v>8.27</v>
      </c>
      <c r="D449" t="n">
        <v>2375.4</v>
      </c>
    </row>
    <row r="450">
      <c r="A450" s="63" t="n">
        <v>31168</v>
      </c>
      <c r="B450" t="n">
        <v>7.81</v>
      </c>
      <c r="C450" t="n">
        <v>7.97</v>
      </c>
      <c r="D450" t="n">
        <v>2389.5</v>
      </c>
    </row>
    <row r="451">
      <c r="A451" s="63" t="n">
        <v>31199</v>
      </c>
      <c r="B451" t="n">
        <v>7.5</v>
      </c>
      <c r="C451" t="n">
        <v>7.53</v>
      </c>
      <c r="D451" t="n">
        <v>2412.6</v>
      </c>
    </row>
    <row r="452">
      <c r="A452" s="63" t="n">
        <v>31229</v>
      </c>
      <c r="B452" t="n">
        <v>7.5</v>
      </c>
      <c r="C452" t="n">
        <v>7.88</v>
      </c>
      <c r="D452" t="n">
        <v>2429.5</v>
      </c>
    </row>
    <row r="453">
      <c r="A453" s="63" t="n">
        <v>31260</v>
      </c>
      <c r="B453" t="n">
        <v>7.5</v>
      </c>
      <c r="C453" t="n">
        <v>7.9</v>
      </c>
      <c r="D453" t="n">
        <v>2444</v>
      </c>
    </row>
    <row r="454">
      <c r="A454" s="63" t="n">
        <v>31291</v>
      </c>
      <c r="B454" t="n">
        <v>7.5</v>
      </c>
      <c r="C454" t="n">
        <v>7.92</v>
      </c>
      <c r="D454" t="n">
        <v>2456.4</v>
      </c>
    </row>
    <row r="455">
      <c r="A455" s="63" t="n">
        <v>31321</v>
      </c>
      <c r="B455" t="n">
        <v>7.5</v>
      </c>
      <c r="C455" t="n">
        <v>7.99</v>
      </c>
      <c r="D455" t="n">
        <v>2468</v>
      </c>
    </row>
    <row r="456">
      <c r="A456" s="63" t="n">
        <v>31352</v>
      </c>
      <c r="B456" t="n">
        <v>7.5</v>
      </c>
      <c r="C456" t="n">
        <v>8.050000000000001</v>
      </c>
      <c r="D456" t="n">
        <v>2477.8</v>
      </c>
    </row>
    <row r="457">
      <c r="A457" s="63" t="n">
        <v>31382</v>
      </c>
      <c r="B457" t="n">
        <v>7.5</v>
      </c>
      <c r="C457" t="n">
        <v>8.27</v>
      </c>
      <c r="D457" t="n">
        <v>2492.1</v>
      </c>
    </row>
    <row r="458">
      <c r="A458" s="63" t="n">
        <v>31413</v>
      </c>
      <c r="B458" t="n">
        <v>7.5</v>
      </c>
      <c r="C458" t="n">
        <v>8.140000000000001</v>
      </c>
      <c r="D458" t="n">
        <v>2502.1</v>
      </c>
    </row>
    <row r="459">
      <c r="A459" s="63" t="n">
        <v>31444</v>
      </c>
      <c r="B459" t="n">
        <v>7.5</v>
      </c>
      <c r="C459" t="n">
        <v>7.86</v>
      </c>
      <c r="D459" t="n">
        <v>2512.9</v>
      </c>
    </row>
    <row r="460">
      <c r="A460" s="63" t="n">
        <v>31472</v>
      </c>
      <c r="B460" t="n">
        <v>7.1</v>
      </c>
      <c r="C460" t="n">
        <v>7.48</v>
      </c>
      <c r="D460" t="n">
        <v>2533.1</v>
      </c>
    </row>
    <row r="461">
      <c r="A461" s="63" t="n">
        <v>31503</v>
      </c>
      <c r="B461" t="n">
        <v>6.83</v>
      </c>
      <c r="C461" t="n">
        <v>6.99</v>
      </c>
      <c r="D461" t="n">
        <v>2557.8</v>
      </c>
    </row>
    <row r="462">
      <c r="A462" s="63" t="n">
        <v>31533</v>
      </c>
      <c r="B462" t="n">
        <v>6.5</v>
      </c>
      <c r="C462" t="n">
        <v>6.85</v>
      </c>
      <c r="D462" t="n">
        <v>2584.8</v>
      </c>
    </row>
    <row r="463">
      <c r="A463" s="63" t="n">
        <v>31564</v>
      </c>
      <c r="B463" t="n">
        <v>6.5</v>
      </c>
      <c r="C463" t="n">
        <v>6.92</v>
      </c>
      <c r="D463" t="n">
        <v>2605</v>
      </c>
    </row>
    <row r="464">
      <c r="A464" s="63" t="n">
        <v>31594</v>
      </c>
      <c r="B464" t="n">
        <v>6.16</v>
      </c>
      <c r="C464" t="n">
        <v>6.56</v>
      </c>
      <c r="D464" t="n">
        <v>2626.6</v>
      </c>
    </row>
    <row r="465">
      <c r="A465" s="63" t="n">
        <v>31625</v>
      </c>
      <c r="B465" t="n">
        <v>5.82</v>
      </c>
      <c r="C465" t="n">
        <v>6.17</v>
      </c>
      <c r="D465" t="n">
        <v>2646.5</v>
      </c>
    </row>
    <row r="466">
      <c r="A466" s="63" t="n">
        <v>31656</v>
      </c>
      <c r="B466" t="n">
        <v>5.5</v>
      </c>
      <c r="C466" t="n">
        <v>5.89</v>
      </c>
      <c r="D466" t="n">
        <v>2667.8</v>
      </c>
    </row>
    <row r="467">
      <c r="A467" s="63" t="n">
        <v>31686</v>
      </c>
      <c r="B467" t="n">
        <v>5.5</v>
      </c>
      <c r="C467" t="n">
        <v>5.85</v>
      </c>
      <c r="D467" t="n">
        <v>2687.4</v>
      </c>
    </row>
    <row r="468">
      <c r="A468" s="63" t="n">
        <v>31717</v>
      </c>
      <c r="B468" t="n">
        <v>5.5</v>
      </c>
      <c r="C468" t="n">
        <v>6.04</v>
      </c>
      <c r="D468" t="n">
        <v>2701.3</v>
      </c>
    </row>
    <row r="469">
      <c r="A469" s="63" t="n">
        <v>31747</v>
      </c>
      <c r="B469" t="n">
        <v>5.5</v>
      </c>
      <c r="C469" t="n">
        <v>6.91</v>
      </c>
      <c r="D469" t="n">
        <v>2728</v>
      </c>
    </row>
    <row r="470">
      <c r="A470" s="63" t="n">
        <v>31778</v>
      </c>
      <c r="B470" t="n">
        <v>5.5</v>
      </c>
      <c r="C470" t="n">
        <v>6.43</v>
      </c>
      <c r="D470" t="n">
        <v>2743.9</v>
      </c>
    </row>
    <row r="471">
      <c r="A471" s="63" t="n">
        <v>31809</v>
      </c>
      <c r="B471" t="n">
        <v>5.5</v>
      </c>
      <c r="C471" t="n">
        <v>6.1</v>
      </c>
      <c r="D471" t="n">
        <v>2747.5</v>
      </c>
    </row>
    <row r="472">
      <c r="A472" s="63" t="n">
        <v>31837</v>
      </c>
      <c r="B472" t="n">
        <v>5.5</v>
      </c>
      <c r="C472" t="n">
        <v>6.13</v>
      </c>
      <c r="D472" t="n">
        <v>2753.7</v>
      </c>
    </row>
    <row r="473">
      <c r="A473" s="63" t="n">
        <v>31868</v>
      </c>
      <c r="B473" t="n">
        <v>5.5</v>
      </c>
      <c r="C473" t="n">
        <v>6.37</v>
      </c>
      <c r="D473" t="n">
        <v>2767.7</v>
      </c>
    </row>
    <row r="474">
      <c r="A474" s="63" t="n">
        <v>31898</v>
      </c>
      <c r="B474" t="n">
        <v>5.5</v>
      </c>
      <c r="C474" t="n">
        <v>6.85</v>
      </c>
      <c r="D474" t="n">
        <v>2772.9</v>
      </c>
    </row>
    <row r="475">
      <c r="A475" s="63" t="n">
        <v>31929</v>
      </c>
      <c r="B475" t="n">
        <v>5.5</v>
      </c>
      <c r="C475" t="n">
        <v>6.73</v>
      </c>
      <c r="D475" t="n">
        <v>2774.6</v>
      </c>
    </row>
    <row r="476">
      <c r="A476" s="63" t="n">
        <v>31959</v>
      </c>
      <c r="B476" t="n">
        <v>5.5</v>
      </c>
      <c r="C476" t="n">
        <v>6.58</v>
      </c>
      <c r="D476" t="n">
        <v>2779</v>
      </c>
    </row>
    <row r="477">
      <c r="A477" s="63" t="n">
        <v>31990</v>
      </c>
      <c r="B477" t="n">
        <v>5.5</v>
      </c>
      <c r="C477" t="n">
        <v>6.73</v>
      </c>
      <c r="D477" t="n">
        <v>2788.2</v>
      </c>
    </row>
    <row r="478">
      <c r="A478" s="63" t="n">
        <v>32021</v>
      </c>
      <c r="B478" t="n">
        <v>5.95</v>
      </c>
      <c r="C478" t="n">
        <v>7.22</v>
      </c>
      <c r="D478" t="n">
        <v>2799.5</v>
      </c>
    </row>
    <row r="479">
      <c r="A479" s="63" t="n">
        <v>32051</v>
      </c>
      <c r="B479" t="n">
        <v>6</v>
      </c>
      <c r="C479" t="n">
        <v>7.29</v>
      </c>
      <c r="D479" t="n">
        <v>2814.8</v>
      </c>
    </row>
    <row r="480">
      <c r="A480" s="63" t="n">
        <v>32082</v>
      </c>
      <c r="B480" t="n">
        <v>6</v>
      </c>
      <c r="C480" t="n">
        <v>6.69</v>
      </c>
      <c r="D480" t="n">
        <v>2818.9</v>
      </c>
    </row>
    <row r="481">
      <c r="A481" s="63" t="n">
        <v>32112</v>
      </c>
      <c r="B481" t="n">
        <v>6</v>
      </c>
      <c r="C481" t="n">
        <v>6.77</v>
      </c>
      <c r="D481" t="n">
        <v>2826.4</v>
      </c>
    </row>
    <row r="482">
      <c r="A482" s="63" t="n">
        <v>32143</v>
      </c>
      <c r="B482" t="n">
        <v>6</v>
      </c>
      <c r="C482" t="n">
        <v>6.83</v>
      </c>
      <c r="D482" t="n">
        <v>2847.4</v>
      </c>
    </row>
    <row r="483">
      <c r="A483" s="63" t="n">
        <v>32174</v>
      </c>
      <c r="B483" t="n">
        <v>6</v>
      </c>
      <c r="C483" t="n">
        <v>6.58</v>
      </c>
      <c r="D483" t="n">
        <v>2870.4</v>
      </c>
    </row>
    <row r="484">
      <c r="A484" s="63" t="n">
        <v>32203</v>
      </c>
      <c r="B484" t="n">
        <v>6</v>
      </c>
      <c r="C484" t="n">
        <v>6.58</v>
      </c>
      <c r="D484" t="n">
        <v>2890.7</v>
      </c>
    </row>
    <row r="485">
      <c r="A485" s="63" t="n">
        <v>32234</v>
      </c>
      <c r="B485" t="n">
        <v>6</v>
      </c>
      <c r="C485" t="n">
        <v>6.87</v>
      </c>
      <c r="D485" t="n">
        <v>2910.7</v>
      </c>
    </row>
    <row r="486">
      <c r="A486" s="63" t="n">
        <v>32264</v>
      </c>
      <c r="B486" t="n">
        <v>6</v>
      </c>
      <c r="C486" t="n">
        <v>7.09</v>
      </c>
      <c r="D486" t="n">
        <v>2926</v>
      </c>
    </row>
    <row r="487">
      <c r="A487" s="63" t="n">
        <v>32295</v>
      </c>
      <c r="B487" t="n">
        <v>6</v>
      </c>
      <c r="C487" t="n">
        <v>7.51</v>
      </c>
      <c r="D487" t="n">
        <v>2938.4</v>
      </c>
    </row>
    <row r="488">
      <c r="A488" s="63" t="n">
        <v>32325</v>
      </c>
      <c r="B488" t="n">
        <v>6</v>
      </c>
      <c r="C488" t="n">
        <v>7.75</v>
      </c>
      <c r="D488" t="n">
        <v>2947.2</v>
      </c>
    </row>
    <row r="489">
      <c r="A489" s="63" t="n">
        <v>32356</v>
      </c>
      <c r="B489" t="n">
        <v>6.37</v>
      </c>
      <c r="C489" t="n">
        <v>8.01</v>
      </c>
      <c r="D489" t="n">
        <v>2952</v>
      </c>
    </row>
    <row r="490">
      <c r="A490" s="63" t="n">
        <v>32387</v>
      </c>
      <c r="B490" t="n">
        <v>6.5</v>
      </c>
      <c r="C490" t="n">
        <v>8.19</v>
      </c>
      <c r="D490" t="n">
        <v>2956.9</v>
      </c>
    </row>
    <row r="491">
      <c r="A491" s="63" t="n">
        <v>32417</v>
      </c>
      <c r="B491" t="n">
        <v>6.5</v>
      </c>
      <c r="C491" t="n">
        <v>8.300000000000001</v>
      </c>
      <c r="D491" t="n">
        <v>2965.3</v>
      </c>
    </row>
    <row r="492">
      <c r="A492" s="63" t="n">
        <v>32448</v>
      </c>
      <c r="B492" t="n">
        <v>6.5</v>
      </c>
      <c r="C492" t="n">
        <v>8.35</v>
      </c>
      <c r="D492" t="n">
        <v>2980.2</v>
      </c>
    </row>
    <row r="493">
      <c r="A493" s="63" t="n">
        <v>32478</v>
      </c>
      <c r="B493" t="n">
        <v>6.5</v>
      </c>
      <c r="C493" t="n">
        <v>8.76</v>
      </c>
      <c r="D493" t="n">
        <v>2988.2</v>
      </c>
    </row>
    <row r="494">
      <c r="A494" s="63" t="n">
        <v>32509</v>
      </c>
      <c r="B494" t="n">
        <v>6.5</v>
      </c>
      <c r="C494" t="n">
        <v>9.119999999999999</v>
      </c>
      <c r="D494" t="n">
        <v>2991.7</v>
      </c>
    </row>
    <row r="495">
      <c r="A495" s="63" t="n">
        <v>32540</v>
      </c>
      <c r="B495" t="n">
        <v>6.59</v>
      </c>
      <c r="C495" t="n">
        <v>9.359999999999999</v>
      </c>
      <c r="D495" t="n">
        <v>2992.2</v>
      </c>
    </row>
    <row r="496">
      <c r="A496" s="63" t="n">
        <v>32568</v>
      </c>
      <c r="B496" t="n">
        <v>7</v>
      </c>
      <c r="C496" t="n">
        <v>9.85</v>
      </c>
      <c r="D496" t="n">
        <v>2999.7</v>
      </c>
    </row>
    <row r="497">
      <c r="A497" s="63" t="n">
        <v>32599</v>
      </c>
      <c r="B497" t="n">
        <v>7</v>
      </c>
      <c r="C497" t="n">
        <v>9.84</v>
      </c>
      <c r="D497" t="n">
        <v>3006</v>
      </c>
    </row>
    <row r="498">
      <c r="A498" s="63" t="n">
        <v>32629</v>
      </c>
      <c r="B498" t="n">
        <v>7</v>
      </c>
      <c r="C498" t="n">
        <v>9.81</v>
      </c>
      <c r="D498" t="n">
        <v>3011.6</v>
      </c>
    </row>
    <row r="499">
      <c r="A499" s="63" t="n">
        <v>32660</v>
      </c>
      <c r="B499" t="n">
        <v>7</v>
      </c>
      <c r="C499" t="n">
        <v>9.529999999999999</v>
      </c>
      <c r="D499" t="n">
        <v>3027.9</v>
      </c>
    </row>
    <row r="500">
      <c r="A500" s="63" t="n">
        <v>32690</v>
      </c>
      <c r="B500" t="n">
        <v>7</v>
      </c>
      <c r="C500" t="n">
        <v>9.24</v>
      </c>
      <c r="D500" t="n">
        <v>3052.4</v>
      </c>
    </row>
    <row r="501">
      <c r="A501" s="63" t="n">
        <v>32721</v>
      </c>
      <c r="B501" t="n">
        <v>7</v>
      </c>
      <c r="C501" t="n">
        <v>8.99</v>
      </c>
      <c r="D501" t="n">
        <v>3074.4</v>
      </c>
    </row>
    <row r="502">
      <c r="A502" s="63" t="n">
        <v>32752</v>
      </c>
      <c r="B502" t="n">
        <v>7</v>
      </c>
      <c r="C502" t="n">
        <v>9.02</v>
      </c>
      <c r="D502" t="n">
        <v>3092.5</v>
      </c>
    </row>
    <row r="503">
      <c r="A503" s="63" t="n">
        <v>32782</v>
      </c>
      <c r="B503" t="n">
        <v>7</v>
      </c>
      <c r="C503" t="n">
        <v>8.84</v>
      </c>
      <c r="D503" t="n">
        <v>3114.1</v>
      </c>
    </row>
    <row r="504">
      <c r="A504" s="63" t="n">
        <v>32813</v>
      </c>
      <c r="B504" t="n">
        <v>7</v>
      </c>
      <c r="C504" t="n">
        <v>8.550000000000001</v>
      </c>
      <c r="D504" t="n">
        <v>3133.3</v>
      </c>
    </row>
    <row r="505">
      <c r="A505" s="63" t="n">
        <v>32843</v>
      </c>
      <c r="B505" t="n">
        <v>7</v>
      </c>
      <c r="C505" t="n">
        <v>8.449999999999999</v>
      </c>
      <c r="D505" t="n">
        <v>3152.5</v>
      </c>
    </row>
    <row r="506">
      <c r="A506" s="63" t="n">
        <v>32874</v>
      </c>
      <c r="B506" t="n">
        <v>7</v>
      </c>
      <c r="C506" t="n">
        <v>8.23</v>
      </c>
      <c r="D506" t="n">
        <v>3166.8</v>
      </c>
    </row>
    <row r="507">
      <c r="A507" s="63" t="n">
        <v>32905</v>
      </c>
      <c r="B507" t="n">
        <v>7</v>
      </c>
      <c r="C507" t="n">
        <v>8.24</v>
      </c>
      <c r="D507" t="n">
        <v>3179.2</v>
      </c>
    </row>
    <row r="508">
      <c r="A508" s="63" t="n">
        <v>32933</v>
      </c>
      <c r="B508" t="n">
        <v>7</v>
      </c>
      <c r="C508" t="n">
        <v>8.279999999999999</v>
      </c>
      <c r="D508" t="n">
        <v>3190.1</v>
      </c>
    </row>
    <row r="509">
      <c r="A509" s="63" t="n">
        <v>32964</v>
      </c>
      <c r="B509" t="n">
        <v>7</v>
      </c>
      <c r="C509" t="n">
        <v>8.26</v>
      </c>
      <c r="D509" t="n">
        <v>3201.6</v>
      </c>
    </row>
    <row r="510">
      <c r="A510" s="63" t="n">
        <v>32994</v>
      </c>
      <c r="B510" t="n">
        <v>7</v>
      </c>
      <c r="C510" t="n">
        <v>8.18</v>
      </c>
      <c r="D510" t="n">
        <v>3200.6</v>
      </c>
    </row>
    <row r="511">
      <c r="A511" s="63" t="n">
        <v>33025</v>
      </c>
      <c r="B511" t="n">
        <v>7</v>
      </c>
      <c r="C511" t="n">
        <v>8.289999999999999</v>
      </c>
      <c r="D511" t="n">
        <v>3213.7</v>
      </c>
    </row>
    <row r="512">
      <c r="A512" s="63" t="n">
        <v>33055</v>
      </c>
      <c r="B512" t="n">
        <v>7</v>
      </c>
      <c r="C512" t="n">
        <v>8.15</v>
      </c>
      <c r="D512" t="n">
        <v>3224.5</v>
      </c>
    </row>
    <row r="513">
      <c r="A513" s="63" t="n">
        <v>33086</v>
      </c>
      <c r="B513" t="n">
        <v>7</v>
      </c>
      <c r="C513" t="n">
        <v>8.130000000000001</v>
      </c>
      <c r="D513" t="n">
        <v>3242</v>
      </c>
    </row>
    <row r="514">
      <c r="A514" s="63" t="n">
        <v>33117</v>
      </c>
      <c r="B514" t="n">
        <v>7</v>
      </c>
      <c r="C514" t="n">
        <v>8.199999999999999</v>
      </c>
      <c r="D514" t="n">
        <v>3254.6</v>
      </c>
    </row>
    <row r="515">
      <c r="A515" s="63" t="n">
        <v>33147</v>
      </c>
      <c r="B515" t="n">
        <v>7</v>
      </c>
      <c r="C515" t="n">
        <v>8.109999999999999</v>
      </c>
      <c r="D515" t="n">
        <v>3259.3</v>
      </c>
    </row>
    <row r="516">
      <c r="A516" s="63" t="n">
        <v>33178</v>
      </c>
      <c r="B516" t="n">
        <v>7</v>
      </c>
      <c r="C516" t="n">
        <v>7.81</v>
      </c>
      <c r="D516" t="n">
        <v>3262.6</v>
      </c>
    </row>
    <row r="517">
      <c r="A517" s="63" t="n">
        <v>33208</v>
      </c>
      <c r="B517" t="n">
        <v>6.79</v>
      </c>
      <c r="C517" t="n">
        <v>7.31</v>
      </c>
      <c r="D517" t="n">
        <v>3271.8</v>
      </c>
    </row>
    <row r="518">
      <c r="A518" s="63" t="n">
        <v>33239</v>
      </c>
      <c r="B518" t="n">
        <v>6.5</v>
      </c>
      <c r="C518" t="n">
        <v>6.91</v>
      </c>
      <c r="D518" t="n">
        <v>3287.7</v>
      </c>
    </row>
    <row r="519">
      <c r="A519" s="63" t="n">
        <v>33270</v>
      </c>
      <c r="B519" t="n">
        <v>6</v>
      </c>
      <c r="C519" t="n">
        <v>6.25</v>
      </c>
      <c r="D519" t="n">
        <v>3304.5</v>
      </c>
    </row>
    <row r="520">
      <c r="A520" s="63" t="n">
        <v>33298</v>
      </c>
      <c r="B520" t="n">
        <v>6</v>
      </c>
      <c r="C520" t="n">
        <v>6.12</v>
      </c>
      <c r="D520" t="n">
        <v>3321.9</v>
      </c>
    </row>
    <row r="521">
      <c r="A521" s="63" t="n">
        <v>33329</v>
      </c>
      <c r="B521" t="n">
        <v>5.98</v>
      </c>
      <c r="C521" t="n">
        <v>5.91</v>
      </c>
      <c r="D521" t="n">
        <v>3332.4</v>
      </c>
    </row>
    <row r="522">
      <c r="A522" s="63" t="n">
        <v>33359</v>
      </c>
      <c r="B522" t="n">
        <v>5.5</v>
      </c>
      <c r="C522" t="n">
        <v>5.78</v>
      </c>
      <c r="D522" t="n">
        <v>3343</v>
      </c>
    </row>
    <row r="523">
      <c r="A523" s="63" t="n">
        <v>33390</v>
      </c>
      <c r="B523" t="n">
        <v>5.5</v>
      </c>
      <c r="C523" t="n">
        <v>5.9</v>
      </c>
      <c r="D523" t="n">
        <v>3351.9</v>
      </c>
    </row>
    <row r="524">
      <c r="A524" s="63" t="n">
        <v>33420</v>
      </c>
      <c r="B524" t="n">
        <v>5.5</v>
      </c>
      <c r="C524" t="n">
        <v>5.82</v>
      </c>
      <c r="D524" t="n">
        <v>3356.1</v>
      </c>
    </row>
    <row r="525">
      <c r="A525" s="63" t="n">
        <v>33451</v>
      </c>
      <c r="B525" t="n">
        <v>5.5</v>
      </c>
      <c r="C525" t="n">
        <v>5.66</v>
      </c>
      <c r="D525" t="n">
        <v>3355</v>
      </c>
    </row>
    <row r="526">
      <c r="A526" s="63" t="n">
        <v>33482</v>
      </c>
      <c r="B526" t="n">
        <v>5.2</v>
      </c>
      <c r="C526" t="n">
        <v>5.45</v>
      </c>
      <c r="D526" t="n">
        <v>3354.9</v>
      </c>
    </row>
    <row r="527">
      <c r="A527" s="63" t="n">
        <v>33512</v>
      </c>
      <c r="B527" t="n">
        <v>5</v>
      </c>
      <c r="C527" t="n">
        <v>5.21</v>
      </c>
      <c r="D527" t="n">
        <v>3360.1</v>
      </c>
    </row>
    <row r="528">
      <c r="A528" s="63" t="n">
        <v>33543</v>
      </c>
      <c r="B528" t="n">
        <v>4.58</v>
      </c>
      <c r="C528" t="n">
        <v>4.81</v>
      </c>
      <c r="D528" t="n">
        <v>3365.5</v>
      </c>
    </row>
    <row r="529">
      <c r="A529" s="63" t="n">
        <v>33573</v>
      </c>
      <c r="B529" t="n">
        <v>4.11</v>
      </c>
      <c r="C529" t="n">
        <v>4.43</v>
      </c>
      <c r="D529" t="n">
        <v>3372.2</v>
      </c>
    </row>
    <row r="530">
      <c r="A530" s="63" t="n">
        <v>33604</v>
      </c>
      <c r="B530" t="n">
        <v>3.5</v>
      </c>
      <c r="C530" t="n">
        <v>4.03</v>
      </c>
      <c r="D530" t="n">
        <v>3381.2</v>
      </c>
    </row>
    <row r="531">
      <c r="A531" s="63" t="n">
        <v>33635</v>
      </c>
      <c r="B531" t="n">
        <v>3.5</v>
      </c>
      <c r="C531" t="n">
        <v>4.06</v>
      </c>
      <c r="D531" t="n">
        <v>3400</v>
      </c>
    </row>
    <row r="532">
      <c r="A532" s="63" t="n">
        <v>33664</v>
      </c>
      <c r="B532" t="n">
        <v>3.5</v>
      </c>
      <c r="C532" t="n">
        <v>3.98</v>
      </c>
      <c r="D532" t="n">
        <v>3403.9</v>
      </c>
    </row>
    <row r="533">
      <c r="A533" s="63" t="n">
        <v>33695</v>
      </c>
      <c r="B533" t="n">
        <v>3.5</v>
      </c>
      <c r="C533" t="n">
        <v>3.73</v>
      </c>
      <c r="D533" t="n">
        <v>3399.7</v>
      </c>
    </row>
    <row r="534">
      <c r="A534" s="63" t="n">
        <v>33725</v>
      </c>
      <c r="B534" t="n">
        <v>3.5</v>
      </c>
      <c r="C534" t="n">
        <v>3.82</v>
      </c>
      <c r="D534" t="n">
        <v>3398.6</v>
      </c>
    </row>
    <row r="535">
      <c r="A535" s="63" t="n">
        <v>33756</v>
      </c>
      <c r="B535" t="n">
        <v>3.5</v>
      </c>
      <c r="C535" t="n">
        <v>3.76</v>
      </c>
      <c r="D535" t="n">
        <v>3393.4</v>
      </c>
    </row>
    <row r="536">
      <c r="A536" s="63" t="n">
        <v>33786</v>
      </c>
      <c r="B536" t="n">
        <v>3.02</v>
      </c>
      <c r="C536" t="n">
        <v>3.25</v>
      </c>
      <c r="D536" t="n">
        <v>3393.9</v>
      </c>
    </row>
    <row r="537">
      <c r="A537" s="63" t="n">
        <v>33817</v>
      </c>
      <c r="B537" t="n">
        <v>3</v>
      </c>
      <c r="C537" t="n">
        <v>3.3</v>
      </c>
      <c r="D537" t="n">
        <v>3398.8</v>
      </c>
    </row>
    <row r="538">
      <c r="A538" s="63" t="n">
        <v>33848</v>
      </c>
      <c r="B538" t="n">
        <v>3</v>
      </c>
      <c r="C538" t="n">
        <v>3.22</v>
      </c>
      <c r="D538" t="n">
        <v>3410.3</v>
      </c>
    </row>
    <row r="539">
      <c r="A539" s="63" t="n">
        <v>33878</v>
      </c>
      <c r="B539" t="n">
        <v>3</v>
      </c>
      <c r="C539" t="n">
        <v>3.1</v>
      </c>
      <c r="D539" t="n">
        <v>3423.8</v>
      </c>
    </row>
    <row r="540">
      <c r="A540" s="63" t="n">
        <v>33909</v>
      </c>
      <c r="B540" t="n">
        <v>3</v>
      </c>
      <c r="C540" t="n">
        <v>3.09</v>
      </c>
      <c r="D540" t="n">
        <v>3426.5</v>
      </c>
    </row>
    <row r="541">
      <c r="A541" s="63" t="n">
        <v>33939</v>
      </c>
      <c r="B541" t="n">
        <v>3</v>
      </c>
      <c r="C541" t="n">
        <v>2.92</v>
      </c>
      <c r="D541" t="n">
        <v>3424.7</v>
      </c>
    </row>
    <row r="542">
      <c r="A542" s="63" t="n">
        <v>33970</v>
      </c>
      <c r="B542" t="n">
        <v>3</v>
      </c>
      <c r="C542" t="n">
        <v>3.02</v>
      </c>
      <c r="D542" t="n">
        <v>3419.1</v>
      </c>
    </row>
    <row r="543">
      <c r="A543" s="63" t="n">
        <v>34001</v>
      </c>
      <c r="B543" t="n">
        <v>3</v>
      </c>
      <c r="C543" t="n">
        <v>3.03</v>
      </c>
      <c r="D543" t="n">
        <v>3414.5</v>
      </c>
    </row>
    <row r="544">
      <c r="A544" s="63" t="n">
        <v>34029</v>
      </c>
      <c r="B544" t="n">
        <v>3</v>
      </c>
      <c r="C544" t="n">
        <v>3.07</v>
      </c>
      <c r="D544" t="n">
        <v>3411.7</v>
      </c>
    </row>
    <row r="545">
      <c r="A545" s="63" t="n">
        <v>34060</v>
      </c>
      <c r="B545" t="n">
        <v>3</v>
      </c>
      <c r="C545" t="n">
        <v>2.96</v>
      </c>
      <c r="D545" t="n">
        <v>3411.3</v>
      </c>
    </row>
    <row r="546">
      <c r="A546" s="63" t="n">
        <v>34090</v>
      </c>
      <c r="B546" t="n">
        <v>3</v>
      </c>
      <c r="C546" t="n">
        <v>3</v>
      </c>
      <c r="D546" t="n">
        <v>3436.9</v>
      </c>
    </row>
    <row r="547">
      <c r="A547" s="63" t="n">
        <v>34121</v>
      </c>
      <c r="B547" t="n">
        <v>3</v>
      </c>
      <c r="C547" t="n">
        <v>3.04</v>
      </c>
      <c r="D547" t="n">
        <v>3442.4</v>
      </c>
    </row>
    <row r="548">
      <c r="A548" s="63" t="n">
        <v>34151</v>
      </c>
      <c r="B548" t="n">
        <v>3</v>
      </c>
      <c r="C548" t="n">
        <v>3.06</v>
      </c>
      <c r="D548" t="n">
        <v>3442</v>
      </c>
    </row>
    <row r="549">
      <c r="A549" s="63" t="n">
        <v>34182</v>
      </c>
      <c r="B549" t="n">
        <v>3</v>
      </c>
      <c r="C549" t="n">
        <v>3.03</v>
      </c>
      <c r="D549" t="n">
        <v>3445.7</v>
      </c>
    </row>
    <row r="550">
      <c r="A550" s="63" t="n">
        <v>34213</v>
      </c>
      <c r="B550" t="n">
        <v>3</v>
      </c>
      <c r="C550" t="n">
        <v>3.09</v>
      </c>
      <c r="D550" t="n">
        <v>3452.2</v>
      </c>
    </row>
    <row r="551">
      <c r="A551" s="63" t="n">
        <v>34243</v>
      </c>
      <c r="B551" t="n">
        <v>3</v>
      </c>
      <c r="C551" t="n">
        <v>2.99</v>
      </c>
      <c r="D551" t="n">
        <v>3456.7</v>
      </c>
    </row>
    <row r="552">
      <c r="A552" s="63" t="n">
        <v>34274</v>
      </c>
      <c r="B552" t="n">
        <v>3</v>
      </c>
      <c r="C552" t="n">
        <v>3.02</v>
      </c>
      <c r="D552" t="n">
        <v>3470.1</v>
      </c>
    </row>
    <row r="553">
      <c r="A553" s="63" t="n">
        <v>34304</v>
      </c>
      <c r="B553" t="n">
        <v>3</v>
      </c>
      <c r="C553" t="n">
        <v>2.96</v>
      </c>
      <c r="D553" t="n">
        <v>3474.5</v>
      </c>
    </row>
    <row r="554">
      <c r="A554" s="63" t="n">
        <v>34335</v>
      </c>
      <c r="B554" t="n">
        <v>3</v>
      </c>
      <c r="C554" t="n">
        <v>3.05</v>
      </c>
      <c r="D554" t="n">
        <v>3474.9</v>
      </c>
    </row>
    <row r="555">
      <c r="A555" s="63" t="n">
        <v>34366</v>
      </c>
      <c r="B555" t="n">
        <v>3</v>
      </c>
      <c r="C555" t="n">
        <v>3.25</v>
      </c>
      <c r="D555" t="n">
        <v>3475.7</v>
      </c>
    </row>
    <row r="556">
      <c r="A556" s="63" t="n">
        <v>34394</v>
      </c>
      <c r="B556" t="n">
        <v>3</v>
      </c>
      <c r="C556" t="n">
        <v>3.34</v>
      </c>
      <c r="D556" t="n">
        <v>3480.1</v>
      </c>
    </row>
    <row r="557">
      <c r="A557" s="63" t="n">
        <v>34425</v>
      </c>
      <c r="B557" t="n">
        <v>3</v>
      </c>
      <c r="C557" t="n">
        <v>3.56</v>
      </c>
      <c r="D557" t="n">
        <v>3481.3</v>
      </c>
    </row>
    <row r="558">
      <c r="A558" s="63" t="n">
        <v>34455</v>
      </c>
      <c r="B558" t="n">
        <v>3.24</v>
      </c>
      <c r="C558" t="n">
        <v>4.01</v>
      </c>
      <c r="D558" t="n">
        <v>3490.8</v>
      </c>
    </row>
    <row r="559">
      <c r="A559" s="63" t="n">
        <v>34486</v>
      </c>
      <c r="B559" t="n">
        <v>3.5</v>
      </c>
      <c r="C559" t="n">
        <v>4.25</v>
      </c>
      <c r="D559" t="n">
        <v>3479.5</v>
      </c>
    </row>
    <row r="560">
      <c r="A560" s="63" t="n">
        <v>34516</v>
      </c>
      <c r="B560" t="n">
        <v>3.5</v>
      </c>
      <c r="C560" t="n">
        <v>4.26</v>
      </c>
      <c r="D560" t="n">
        <v>3488.2</v>
      </c>
    </row>
    <row r="561">
      <c r="A561" s="63" t="n">
        <v>34547</v>
      </c>
      <c r="B561" t="n">
        <v>3.76</v>
      </c>
      <c r="C561" t="n">
        <v>4.47</v>
      </c>
      <c r="D561" t="n">
        <v>3485.7</v>
      </c>
    </row>
    <row r="562">
      <c r="A562" s="63" t="n">
        <v>34578</v>
      </c>
      <c r="B562" t="n">
        <v>4</v>
      </c>
      <c r="C562" t="n">
        <v>4.73</v>
      </c>
      <c r="D562" t="n">
        <v>3486.1</v>
      </c>
    </row>
    <row r="563">
      <c r="A563" s="63" t="n">
        <v>34608</v>
      </c>
      <c r="B563" t="n">
        <v>4</v>
      </c>
      <c r="C563" t="n">
        <v>4.76</v>
      </c>
      <c r="D563" t="n">
        <v>3484.3</v>
      </c>
    </row>
    <row r="564">
      <c r="A564" s="63" t="n">
        <v>34639</v>
      </c>
      <c r="B564" t="n">
        <v>4.4</v>
      </c>
      <c r="C564" t="n">
        <v>5.29</v>
      </c>
      <c r="D564" t="n">
        <v>3487.2</v>
      </c>
    </row>
    <row r="565">
      <c r="A565" s="63" t="n">
        <v>34669</v>
      </c>
      <c r="B565" t="n">
        <v>4.75</v>
      </c>
      <c r="C565" t="n">
        <v>5.45</v>
      </c>
      <c r="D565" t="n">
        <v>3486.4</v>
      </c>
    </row>
    <row r="566">
      <c r="A566" s="63" t="n">
        <v>34700</v>
      </c>
      <c r="B566" t="n">
        <v>4.75</v>
      </c>
      <c r="C566" t="n">
        <v>5.53</v>
      </c>
      <c r="D566" t="n">
        <v>3492.4</v>
      </c>
    </row>
    <row r="567">
      <c r="A567" s="63" t="n">
        <v>34731</v>
      </c>
      <c r="B567" t="n">
        <v>5.25</v>
      </c>
      <c r="C567" t="n">
        <v>5.92</v>
      </c>
      <c r="D567" t="n">
        <v>3489.9</v>
      </c>
    </row>
    <row r="568">
      <c r="A568" s="63" t="n">
        <v>34759</v>
      </c>
      <c r="B568" t="n">
        <v>5.25</v>
      </c>
      <c r="C568" t="n">
        <v>5.98</v>
      </c>
      <c r="D568" t="n">
        <v>3491.1</v>
      </c>
    </row>
    <row r="569">
      <c r="A569" s="63" t="n">
        <v>34790</v>
      </c>
      <c r="B569" t="n">
        <v>5.25</v>
      </c>
      <c r="C569" t="n">
        <v>6.05</v>
      </c>
      <c r="D569" t="n">
        <v>3499.2</v>
      </c>
    </row>
    <row r="570">
      <c r="A570" s="63" t="n">
        <v>34820</v>
      </c>
      <c r="B570" t="n">
        <v>5.25</v>
      </c>
      <c r="C570" t="n">
        <v>6.01</v>
      </c>
      <c r="D570" t="n">
        <v>3524.2</v>
      </c>
    </row>
    <row r="571">
      <c r="A571" s="63" t="n">
        <v>34851</v>
      </c>
      <c r="B571" t="n">
        <v>5.25</v>
      </c>
      <c r="C571" t="n">
        <v>6</v>
      </c>
      <c r="D571" t="n">
        <v>3548.9</v>
      </c>
    </row>
    <row r="572">
      <c r="A572" s="63" t="n">
        <v>34881</v>
      </c>
      <c r="B572" t="n">
        <v>5.25</v>
      </c>
      <c r="C572" t="n">
        <v>5.85</v>
      </c>
      <c r="D572" t="n">
        <v>3567.4</v>
      </c>
    </row>
    <row r="573">
      <c r="A573" s="63" t="n">
        <v>34912</v>
      </c>
      <c r="B573" t="n">
        <v>5.25</v>
      </c>
      <c r="C573" t="n">
        <v>5.74</v>
      </c>
      <c r="D573" t="n">
        <v>3589</v>
      </c>
    </row>
    <row r="574">
      <c r="A574" s="63" t="n">
        <v>34943</v>
      </c>
      <c r="B574" t="n">
        <v>5.25</v>
      </c>
      <c r="C574" t="n">
        <v>5.8</v>
      </c>
      <c r="D574" t="n">
        <v>3602.1</v>
      </c>
    </row>
    <row r="575">
      <c r="A575" s="63" t="n">
        <v>34973</v>
      </c>
      <c r="B575" t="n">
        <v>5.25</v>
      </c>
      <c r="C575" t="n">
        <v>5.76</v>
      </c>
      <c r="D575" t="n">
        <v>3613.4</v>
      </c>
    </row>
    <row r="576">
      <c r="A576" s="63" t="n">
        <v>35004</v>
      </c>
      <c r="B576" t="n">
        <v>5.25</v>
      </c>
      <c r="C576" t="n">
        <v>5.8</v>
      </c>
      <c r="D576" t="n">
        <v>3619.9</v>
      </c>
    </row>
    <row r="577">
      <c r="A577" s="63" t="n">
        <v>35034</v>
      </c>
      <c r="B577" t="n">
        <v>5.25</v>
      </c>
      <c r="C577" t="n">
        <v>5.6</v>
      </c>
      <c r="D577" t="n">
        <v>3629.5</v>
      </c>
    </row>
    <row r="578">
      <c r="A578" s="63" t="n">
        <v>35065</v>
      </c>
      <c r="B578" t="n">
        <v>5.24</v>
      </c>
      <c r="C578" t="n">
        <v>5.56</v>
      </c>
      <c r="D578" t="n">
        <v>3647.9</v>
      </c>
    </row>
    <row r="579">
      <c r="A579" s="63" t="n">
        <v>35096</v>
      </c>
      <c r="B579" t="n">
        <v>5</v>
      </c>
      <c r="C579" t="n">
        <v>5.22</v>
      </c>
      <c r="D579" t="n">
        <v>3661.8</v>
      </c>
    </row>
    <row r="580">
      <c r="A580" s="63" t="n">
        <v>35125</v>
      </c>
      <c r="B580" t="n">
        <v>5</v>
      </c>
      <c r="C580" t="n">
        <v>5.31</v>
      </c>
      <c r="D580" t="n">
        <v>3686.9</v>
      </c>
    </row>
    <row r="581">
      <c r="A581" s="63" t="n">
        <v>35156</v>
      </c>
      <c r="B581" t="n">
        <v>5</v>
      </c>
      <c r="C581" t="n">
        <v>5.22</v>
      </c>
      <c r="D581" t="n">
        <v>3697.7</v>
      </c>
    </row>
    <row r="582">
      <c r="A582" s="63" t="n">
        <v>35186</v>
      </c>
      <c r="B582" t="n">
        <v>5</v>
      </c>
      <c r="C582" t="n">
        <v>5.24</v>
      </c>
      <c r="D582" t="n">
        <v>3709.6</v>
      </c>
    </row>
    <row r="583">
      <c r="A583" s="63" t="n">
        <v>35217</v>
      </c>
      <c r="B583" t="n">
        <v>5</v>
      </c>
      <c r="C583" t="n">
        <v>5.27</v>
      </c>
      <c r="D583" t="n">
        <v>3722.5</v>
      </c>
    </row>
    <row r="584">
      <c r="A584" s="63" t="n">
        <v>35247</v>
      </c>
      <c r="B584" t="n">
        <v>5</v>
      </c>
      <c r="C584" t="n">
        <v>5.4</v>
      </c>
      <c r="D584" t="n">
        <v>3737.1</v>
      </c>
    </row>
    <row r="585">
      <c r="A585" s="63" t="n">
        <v>35278</v>
      </c>
      <c r="B585" t="n">
        <v>5</v>
      </c>
      <c r="C585" t="n">
        <v>5.22</v>
      </c>
      <c r="D585" t="n">
        <v>3744</v>
      </c>
    </row>
    <row r="586">
      <c r="A586" s="63" t="n">
        <v>35309</v>
      </c>
      <c r="B586" t="n">
        <v>5</v>
      </c>
      <c r="C586" t="n">
        <v>5.3</v>
      </c>
      <c r="D586" t="n">
        <v>3753.4</v>
      </c>
    </row>
    <row r="587">
      <c r="A587" s="63" t="n">
        <v>35339</v>
      </c>
      <c r="B587" t="n">
        <v>5</v>
      </c>
      <c r="C587" t="n">
        <v>5.24</v>
      </c>
      <c r="D587" t="n">
        <v>3772.8</v>
      </c>
    </row>
    <row r="588">
      <c r="A588" s="63" t="n">
        <v>35370</v>
      </c>
      <c r="B588" t="n">
        <v>5</v>
      </c>
      <c r="C588" t="n">
        <v>5.31</v>
      </c>
      <c r="D588" t="n">
        <v>3795.1</v>
      </c>
    </row>
    <row r="589">
      <c r="A589" s="63" t="n">
        <v>35400</v>
      </c>
      <c r="B589" t="n">
        <v>5</v>
      </c>
      <c r="C589" t="n">
        <v>5.29</v>
      </c>
      <c r="D589" t="n">
        <v>3818.6</v>
      </c>
    </row>
    <row r="590">
      <c r="A590" s="63" t="n">
        <v>35431</v>
      </c>
      <c r="B590" t="n">
        <v>5</v>
      </c>
      <c r="C590" t="n">
        <v>5.25</v>
      </c>
      <c r="D590" t="n">
        <v>3834.6</v>
      </c>
    </row>
    <row r="591">
      <c r="A591" s="63" t="n">
        <v>35462</v>
      </c>
      <c r="B591" t="n">
        <v>5</v>
      </c>
      <c r="C591" t="n">
        <v>5.19</v>
      </c>
      <c r="D591" t="n">
        <v>3846.3</v>
      </c>
    </row>
    <row r="592">
      <c r="A592" s="63" t="n">
        <v>35490</v>
      </c>
      <c r="B592" t="n">
        <v>5</v>
      </c>
      <c r="C592" t="n">
        <v>5.39</v>
      </c>
      <c r="D592" t="n">
        <v>3861.2</v>
      </c>
    </row>
    <row r="593">
      <c r="A593" s="63" t="n">
        <v>35521</v>
      </c>
      <c r="B593" t="n">
        <v>5</v>
      </c>
      <c r="C593" t="n">
        <v>5.51</v>
      </c>
      <c r="D593" t="n">
        <v>3877</v>
      </c>
    </row>
    <row r="594">
      <c r="A594" s="63" t="n">
        <v>35551</v>
      </c>
      <c r="B594" t="n">
        <v>5</v>
      </c>
      <c r="C594" t="n">
        <v>5.5</v>
      </c>
      <c r="D594" t="n">
        <v>3889.2</v>
      </c>
    </row>
    <row r="595">
      <c r="A595" s="63" t="n">
        <v>35582</v>
      </c>
      <c r="B595" t="n">
        <v>5</v>
      </c>
      <c r="C595" t="n">
        <v>5.56</v>
      </c>
      <c r="D595" t="n">
        <v>3906</v>
      </c>
    </row>
    <row r="596">
      <c r="A596" s="63" t="n">
        <v>35612</v>
      </c>
      <c r="B596" t="n">
        <v>5</v>
      </c>
      <c r="C596" t="n">
        <v>5.52</v>
      </c>
      <c r="D596" t="n">
        <v>3923.9</v>
      </c>
    </row>
    <row r="597">
      <c r="A597" s="63" t="n">
        <v>35643</v>
      </c>
      <c r="B597" t="n">
        <v>5</v>
      </c>
      <c r="C597" t="n">
        <v>5.54</v>
      </c>
      <c r="D597" t="n">
        <v>3957.4</v>
      </c>
    </row>
    <row r="598">
      <c r="A598" s="63" t="n">
        <v>35674</v>
      </c>
      <c r="B598" t="n">
        <v>5</v>
      </c>
      <c r="C598" t="n">
        <v>5.54</v>
      </c>
      <c r="D598" t="n">
        <v>3973.1</v>
      </c>
    </row>
    <row r="599">
      <c r="A599" s="63" t="n">
        <v>35704</v>
      </c>
      <c r="B599" t="n">
        <v>5</v>
      </c>
      <c r="C599" t="n">
        <v>5.5</v>
      </c>
      <c r="D599" t="n">
        <v>3992.3</v>
      </c>
    </row>
    <row r="600">
      <c r="A600" s="63" t="n">
        <v>35735</v>
      </c>
      <c r="B600" t="n">
        <v>5</v>
      </c>
      <c r="C600" t="n">
        <v>5.52</v>
      </c>
      <c r="D600" t="n">
        <v>4014.8</v>
      </c>
    </row>
    <row r="601">
      <c r="A601" s="63" t="n">
        <v>35765</v>
      </c>
      <c r="B601" t="n">
        <v>5</v>
      </c>
      <c r="C601" t="n">
        <v>5.5</v>
      </c>
      <c r="D601" t="n">
        <v>4032.9</v>
      </c>
    </row>
    <row r="602">
      <c r="A602" s="63" t="n">
        <v>35796</v>
      </c>
      <c r="B602" t="n">
        <v>5</v>
      </c>
      <c r="C602" t="n">
        <v>5.56</v>
      </c>
      <c r="D602" t="n">
        <v>4056.2</v>
      </c>
    </row>
    <row r="603">
      <c r="A603" s="63" t="n">
        <v>35827</v>
      </c>
      <c r="B603" t="n">
        <v>5</v>
      </c>
      <c r="C603" t="n">
        <v>5.51</v>
      </c>
      <c r="D603" t="n">
        <v>4088.9</v>
      </c>
    </row>
    <row r="604">
      <c r="A604" s="63" t="n">
        <v>35855</v>
      </c>
      <c r="B604" t="n">
        <v>5</v>
      </c>
      <c r="C604" t="n">
        <v>5.49</v>
      </c>
      <c r="D604" t="n">
        <v>4114.3</v>
      </c>
    </row>
    <row r="605">
      <c r="A605" s="63" t="n">
        <v>35886</v>
      </c>
      <c r="B605" t="n">
        <v>5</v>
      </c>
      <c r="C605" t="n">
        <v>5.45</v>
      </c>
      <c r="D605" t="n">
        <v>4140.2</v>
      </c>
    </row>
    <row r="606">
      <c r="A606" s="63" t="n">
        <v>35916</v>
      </c>
      <c r="B606" t="n">
        <v>5</v>
      </c>
      <c r="C606" t="n">
        <v>5.49</v>
      </c>
      <c r="D606" t="n">
        <v>4164.4</v>
      </c>
    </row>
    <row r="607">
      <c r="A607" s="63" t="n">
        <v>35947</v>
      </c>
      <c r="B607" t="n">
        <v>5</v>
      </c>
      <c r="C607" t="n">
        <v>5.56</v>
      </c>
      <c r="D607" t="n">
        <v>4184.1</v>
      </c>
    </row>
    <row r="608">
      <c r="A608" s="63" t="n">
        <v>35977</v>
      </c>
      <c r="B608" t="n">
        <v>5</v>
      </c>
      <c r="C608" t="n">
        <v>5.54</v>
      </c>
      <c r="D608" t="n">
        <v>4203.8</v>
      </c>
    </row>
    <row r="609">
      <c r="A609" s="63" t="n">
        <v>36008</v>
      </c>
      <c r="B609" t="n">
        <v>5</v>
      </c>
      <c r="C609" t="n">
        <v>5.55</v>
      </c>
      <c r="D609" t="n">
        <v>4228.7</v>
      </c>
    </row>
    <row r="610">
      <c r="A610" s="63" t="n">
        <v>36039</v>
      </c>
      <c r="B610" t="n">
        <v>5</v>
      </c>
      <c r="C610" t="n">
        <v>5.51</v>
      </c>
      <c r="D610" t="n">
        <v>4267.6</v>
      </c>
    </row>
    <row r="611">
      <c r="A611" s="63" t="n">
        <v>36069</v>
      </c>
      <c r="B611" t="n">
        <v>4.86</v>
      </c>
      <c r="C611" t="n">
        <v>5.07</v>
      </c>
      <c r="D611" t="n">
        <v>4307.7</v>
      </c>
    </row>
    <row r="612">
      <c r="A612" s="63" t="n">
        <v>36100</v>
      </c>
      <c r="B612" t="n">
        <v>4.63</v>
      </c>
      <c r="C612" t="n">
        <v>4.83</v>
      </c>
      <c r="D612" t="n">
        <v>4346.4</v>
      </c>
    </row>
    <row r="613">
      <c r="A613" s="63" t="n">
        <v>36130</v>
      </c>
      <c r="B613" t="n">
        <v>4.5</v>
      </c>
      <c r="C613" t="n">
        <v>4.68</v>
      </c>
      <c r="D613" t="n">
        <v>4375.2</v>
      </c>
    </row>
    <row r="614">
      <c r="A614" s="63" t="n">
        <v>36161</v>
      </c>
      <c r="B614" t="n">
        <v>4.5</v>
      </c>
      <c r="C614" t="n">
        <v>4.63</v>
      </c>
      <c r="D614" t="n">
        <v>4402.6</v>
      </c>
    </row>
    <row r="615">
      <c r="A615" s="63" t="n">
        <v>36192</v>
      </c>
      <c r="B615" t="n">
        <v>4.5</v>
      </c>
      <c r="C615" t="n">
        <v>4.76</v>
      </c>
      <c r="D615" t="n">
        <v>4425.3</v>
      </c>
    </row>
    <row r="616">
      <c r="A616" s="63" t="n">
        <v>36220</v>
      </c>
      <c r="B616" t="n">
        <v>4.5</v>
      </c>
      <c r="C616" t="n">
        <v>4.81</v>
      </c>
      <c r="D616" t="n">
        <v>4432.1</v>
      </c>
    </row>
    <row r="617">
      <c r="A617" s="63" t="n">
        <v>36251</v>
      </c>
      <c r="B617" t="n">
        <v>4.5</v>
      </c>
      <c r="C617" t="n">
        <v>4.74</v>
      </c>
      <c r="D617" t="n">
        <v>4460.7</v>
      </c>
    </row>
    <row r="618">
      <c r="A618" s="63" t="n">
        <v>36281</v>
      </c>
      <c r="B618" t="n">
        <v>4.5</v>
      </c>
      <c r="C618" t="n">
        <v>4.74</v>
      </c>
      <c r="D618" t="n">
        <v>4485.3</v>
      </c>
    </row>
    <row r="619">
      <c r="A619" s="63" t="n">
        <v>36312</v>
      </c>
      <c r="B619" t="n">
        <v>4.5</v>
      </c>
      <c r="C619" t="n">
        <v>4.76</v>
      </c>
      <c r="D619" t="n">
        <v>4507.2</v>
      </c>
    </row>
    <row r="620">
      <c r="A620" s="63" t="n">
        <v>36342</v>
      </c>
      <c r="B620" t="n">
        <v>4.5</v>
      </c>
      <c r="C620" t="n">
        <v>4.99</v>
      </c>
      <c r="D620" t="n">
        <v>4534.5</v>
      </c>
    </row>
    <row r="621">
      <c r="A621" s="63" t="n">
        <v>36373</v>
      </c>
      <c r="B621" t="n">
        <v>4.56</v>
      </c>
      <c r="C621" t="n">
        <v>5.07</v>
      </c>
      <c r="D621" t="n">
        <v>4551.7</v>
      </c>
    </row>
    <row r="622">
      <c r="A622" s="63" t="n">
        <v>36404</v>
      </c>
      <c r="B622" t="n">
        <v>4.75</v>
      </c>
      <c r="C622" t="n">
        <v>5.22</v>
      </c>
      <c r="D622" t="n">
        <v>4567.7</v>
      </c>
    </row>
    <row r="623">
      <c r="A623" s="63" t="n">
        <v>36434</v>
      </c>
      <c r="B623" t="n">
        <v>4.75</v>
      </c>
      <c r="C623" t="n">
        <v>5.2</v>
      </c>
      <c r="D623" t="n">
        <v>4591.5</v>
      </c>
    </row>
    <row r="624">
      <c r="A624" s="63" t="n">
        <v>36465</v>
      </c>
      <c r="B624" t="n">
        <v>4.86</v>
      </c>
      <c r="C624" t="n">
        <v>5.42</v>
      </c>
      <c r="D624" t="n">
        <v>4610.5</v>
      </c>
    </row>
    <row r="625">
      <c r="A625" s="63" t="n">
        <v>36495</v>
      </c>
      <c r="B625" t="n">
        <v>5</v>
      </c>
      <c r="C625" t="n">
        <v>5.3</v>
      </c>
      <c r="D625" t="n">
        <v>4638</v>
      </c>
    </row>
    <row r="626">
      <c r="A626" s="63" t="n">
        <v>36526</v>
      </c>
      <c r="B626" t="n">
        <v>5</v>
      </c>
      <c r="C626" t="n">
        <v>5.45</v>
      </c>
      <c r="D626" t="n">
        <v>4666.2</v>
      </c>
    </row>
    <row r="627">
      <c r="A627" s="63" t="n">
        <v>36557</v>
      </c>
      <c r="B627" t="n">
        <v>5.24</v>
      </c>
      <c r="C627" t="n">
        <v>5.73</v>
      </c>
      <c r="D627" t="n">
        <v>4679.4</v>
      </c>
    </row>
    <row r="628">
      <c r="A628" s="63" t="n">
        <v>36586</v>
      </c>
      <c r="B628" t="n">
        <v>5.34</v>
      </c>
      <c r="C628" t="n">
        <v>5.85</v>
      </c>
      <c r="D628" t="n">
        <v>4710.2</v>
      </c>
    </row>
    <row r="629">
      <c r="A629" s="63" t="n">
        <v>36617</v>
      </c>
      <c r="B629" t="n">
        <v>5.5</v>
      </c>
      <c r="C629" t="n">
        <v>6.02</v>
      </c>
      <c r="D629" t="n">
        <v>4766.1</v>
      </c>
    </row>
    <row r="630">
      <c r="A630" s="63" t="n">
        <v>36647</v>
      </c>
      <c r="B630" t="n">
        <v>5.71</v>
      </c>
      <c r="C630" t="n">
        <v>6.27</v>
      </c>
      <c r="D630" t="n">
        <v>4753.9</v>
      </c>
    </row>
    <row r="631">
      <c r="A631" s="63" t="n">
        <v>36678</v>
      </c>
      <c r="B631" t="n">
        <v>6</v>
      </c>
      <c r="C631" t="n">
        <v>6.53</v>
      </c>
      <c r="D631" t="n">
        <v>4771.8</v>
      </c>
    </row>
    <row r="632">
      <c r="A632" s="63" t="n">
        <v>36708</v>
      </c>
      <c r="B632" t="n">
        <v>6</v>
      </c>
      <c r="C632" t="n">
        <v>6.54</v>
      </c>
      <c r="D632" t="n">
        <v>4789.4</v>
      </c>
    </row>
    <row r="633">
      <c r="A633" s="63" t="n">
        <v>36739</v>
      </c>
      <c r="B633" t="n">
        <v>6</v>
      </c>
      <c r="C633" t="n">
        <v>6.5</v>
      </c>
      <c r="D633" t="n">
        <v>4817.5</v>
      </c>
    </row>
    <row r="634">
      <c r="A634" s="63" t="n">
        <v>36770</v>
      </c>
      <c r="B634" t="n">
        <v>6</v>
      </c>
      <c r="C634" t="n">
        <v>6.52</v>
      </c>
      <c r="D634" t="n">
        <v>4853.2</v>
      </c>
    </row>
    <row r="635">
      <c r="A635" s="63" t="n">
        <v>36800</v>
      </c>
      <c r="B635" t="n">
        <v>6</v>
      </c>
      <c r="C635" t="n">
        <v>6.51</v>
      </c>
      <c r="D635" t="n">
        <v>4869.2</v>
      </c>
    </row>
    <row r="636">
      <c r="A636" s="63" t="n">
        <v>36831</v>
      </c>
      <c r="B636" t="n">
        <v>6</v>
      </c>
      <c r="C636" t="n">
        <v>6.51</v>
      </c>
      <c r="D636" t="n">
        <v>4880.3</v>
      </c>
    </row>
    <row r="637">
      <c r="A637" s="63" t="n">
        <v>36861</v>
      </c>
      <c r="B637" t="n">
        <v>6</v>
      </c>
      <c r="C637" t="n">
        <v>6.4</v>
      </c>
      <c r="D637" t="n">
        <v>4925</v>
      </c>
    </row>
    <row r="638">
      <c r="A638" s="63" t="n">
        <v>36892</v>
      </c>
      <c r="B638" t="n">
        <v>5.52</v>
      </c>
      <c r="C638" t="n">
        <v>5.98</v>
      </c>
      <c r="D638" t="n">
        <v>4975.7</v>
      </c>
    </row>
    <row r="639">
      <c r="A639" s="63" t="n">
        <v>36923</v>
      </c>
      <c r="B639" t="n">
        <v>5</v>
      </c>
      <c r="C639" t="n">
        <v>5.49</v>
      </c>
      <c r="D639" t="n">
        <v>5014.1</v>
      </c>
    </row>
    <row r="640">
      <c r="A640" s="63" t="n">
        <v>36951</v>
      </c>
      <c r="B640" t="n">
        <v>4.81</v>
      </c>
      <c r="C640" t="n">
        <v>5.31</v>
      </c>
      <c r="D640" t="n">
        <v>5072</v>
      </c>
    </row>
    <row r="641">
      <c r="A641" s="63" t="n">
        <v>36982</v>
      </c>
      <c r="B641" t="n">
        <v>4.28</v>
      </c>
      <c r="C641" t="n">
        <v>4.8</v>
      </c>
      <c r="D641" t="n">
        <v>5135.9</v>
      </c>
    </row>
    <row r="642">
      <c r="A642" s="63" t="n">
        <v>37012</v>
      </c>
      <c r="B642" t="n">
        <v>3.73</v>
      </c>
      <c r="C642" t="n">
        <v>4.21</v>
      </c>
      <c r="D642" t="n">
        <v>5133</v>
      </c>
    </row>
    <row r="643">
      <c r="A643" s="63" t="n">
        <v>37043</v>
      </c>
      <c r="B643" t="n">
        <v>3.47</v>
      </c>
      <c r="C643" t="n">
        <v>3.97</v>
      </c>
      <c r="D643" t="n">
        <v>5173.5</v>
      </c>
    </row>
    <row r="644">
      <c r="A644" s="63" t="n">
        <v>37073</v>
      </c>
      <c r="B644" t="n">
        <v>3.25</v>
      </c>
      <c r="C644" t="n">
        <v>3.77</v>
      </c>
      <c r="D644" t="n">
        <v>5203.4</v>
      </c>
    </row>
    <row r="645">
      <c r="A645" s="63" t="n">
        <v>37104</v>
      </c>
      <c r="B645" t="n">
        <v>3.16</v>
      </c>
      <c r="C645" t="n">
        <v>3.65</v>
      </c>
      <c r="D645" t="n">
        <v>5237.2</v>
      </c>
    </row>
    <row r="646">
      <c r="A646" s="63" t="n">
        <v>37135</v>
      </c>
      <c r="B646" t="n">
        <v>2.77</v>
      </c>
      <c r="C646" t="n">
        <v>3.07</v>
      </c>
      <c r="D646" t="n">
        <v>5348.4</v>
      </c>
    </row>
    <row r="647">
      <c r="A647" s="63" t="n">
        <v>37165</v>
      </c>
      <c r="B647" t="n">
        <v>2.02</v>
      </c>
      <c r="C647" t="n">
        <v>2.49</v>
      </c>
      <c r="D647" t="n">
        <v>5337.1</v>
      </c>
    </row>
    <row r="648">
      <c r="A648" s="63" t="n">
        <v>37196</v>
      </c>
      <c r="B648" t="n">
        <v>1.58</v>
      </c>
      <c r="C648" t="n">
        <v>2.09</v>
      </c>
      <c r="D648" t="n">
        <v>5380.8</v>
      </c>
    </row>
    <row r="649">
      <c r="A649" s="63" t="n">
        <v>37226</v>
      </c>
      <c r="B649" t="n">
        <v>1.33</v>
      </c>
      <c r="C649" t="n">
        <v>1.82</v>
      </c>
      <c r="D649" t="n">
        <v>5433.8</v>
      </c>
    </row>
    <row r="650">
      <c r="A650" s="63" t="n">
        <v>37257</v>
      </c>
      <c r="B650" t="n">
        <v>1.25</v>
      </c>
      <c r="C650" t="n">
        <v>1.73</v>
      </c>
      <c r="D650" t="n">
        <v>5454.1</v>
      </c>
    </row>
    <row r="651">
      <c r="A651" s="63" t="n">
        <v>37288</v>
      </c>
      <c r="B651" t="n">
        <v>1.25</v>
      </c>
      <c r="C651" t="n">
        <v>1.74</v>
      </c>
      <c r="D651" t="n">
        <v>5483.4</v>
      </c>
    </row>
    <row r="652">
      <c r="A652" s="63" t="n">
        <v>37316</v>
      </c>
      <c r="B652" t="n">
        <v>1.25</v>
      </c>
      <c r="C652" t="n">
        <v>1.73</v>
      </c>
      <c r="D652" t="n">
        <v>5495.2</v>
      </c>
    </row>
    <row r="653">
      <c r="A653" s="63" t="n">
        <v>37347</v>
      </c>
      <c r="B653" t="n">
        <v>1.25</v>
      </c>
      <c r="C653" t="n">
        <v>1.75</v>
      </c>
      <c r="D653" t="n">
        <v>5495.4</v>
      </c>
    </row>
    <row r="654">
      <c r="A654" s="63" t="n">
        <v>37377</v>
      </c>
      <c r="B654" t="n">
        <v>1.25</v>
      </c>
      <c r="C654" t="n">
        <v>1.75</v>
      </c>
      <c r="D654" t="n">
        <v>5521.5</v>
      </c>
    </row>
    <row r="655">
      <c r="A655" s="63" t="n">
        <v>37408</v>
      </c>
      <c r="B655" t="n">
        <v>1.25</v>
      </c>
      <c r="C655" t="n">
        <v>1.75</v>
      </c>
      <c r="D655" t="n">
        <v>5546.5</v>
      </c>
    </row>
    <row r="656">
      <c r="A656" s="63" t="n">
        <v>37438</v>
      </c>
      <c r="B656" t="n">
        <v>1.25</v>
      </c>
      <c r="C656" t="n">
        <v>1.73</v>
      </c>
      <c r="D656" t="n">
        <v>5589.1</v>
      </c>
    </row>
    <row r="657">
      <c r="A657" s="63" t="n">
        <v>37469</v>
      </c>
      <c r="B657" t="n">
        <v>1.25</v>
      </c>
      <c r="C657" t="n">
        <v>1.74</v>
      </c>
      <c r="D657" t="n">
        <v>5631.6</v>
      </c>
    </row>
    <row r="658">
      <c r="A658" s="63" t="n">
        <v>37500</v>
      </c>
      <c r="B658" t="n">
        <v>1.25</v>
      </c>
      <c r="C658" t="n">
        <v>1.75</v>
      </c>
      <c r="D658" t="n">
        <v>5656</v>
      </c>
    </row>
    <row r="659">
      <c r="A659" s="63" t="n">
        <v>37530</v>
      </c>
      <c r="B659" t="n">
        <v>1.25</v>
      </c>
      <c r="C659" t="n">
        <v>1.75</v>
      </c>
      <c r="D659" t="n">
        <v>5700.4</v>
      </c>
    </row>
    <row r="660">
      <c r="A660" s="63" t="n">
        <v>37561</v>
      </c>
      <c r="B660" t="n">
        <v>0.83</v>
      </c>
      <c r="C660" t="n">
        <v>1.34</v>
      </c>
      <c r="D660" t="n">
        <v>5750.6</v>
      </c>
    </row>
    <row r="661">
      <c r="A661" s="63" t="n">
        <v>37591</v>
      </c>
      <c r="B661" t="n">
        <v>0.75</v>
      </c>
      <c r="C661" t="n">
        <v>1.24</v>
      </c>
      <c r="D661" t="n">
        <v>5772</v>
      </c>
    </row>
    <row r="662">
      <c r="A662" s="63" t="n">
        <v>37622</v>
      </c>
      <c r="B662" t="n">
        <v>2.25</v>
      </c>
      <c r="C662" t="n">
        <v>1.24</v>
      </c>
      <c r="D662" t="n">
        <v>5804.6</v>
      </c>
    </row>
    <row r="663">
      <c r="A663" s="63" t="n">
        <v>37653</v>
      </c>
      <c r="B663" t="n">
        <v>2.25</v>
      </c>
      <c r="C663" t="n">
        <v>1.26</v>
      </c>
      <c r="D663" t="n">
        <v>5840.7</v>
      </c>
    </row>
    <row r="664">
      <c r="A664" s="63" t="n">
        <v>37681</v>
      </c>
      <c r="B664" t="n">
        <v>2.25</v>
      </c>
      <c r="C664" t="n">
        <v>1.25</v>
      </c>
      <c r="D664" t="n">
        <v>5861.4</v>
      </c>
    </row>
    <row r="665">
      <c r="A665" s="63" t="n">
        <v>37712</v>
      </c>
      <c r="B665" t="n">
        <v>2.25</v>
      </c>
      <c r="C665" t="n">
        <v>1.26</v>
      </c>
      <c r="D665" t="n">
        <v>5898.8</v>
      </c>
    </row>
    <row r="666">
      <c r="A666" s="63" t="n">
        <v>37742</v>
      </c>
      <c r="B666" t="n">
        <v>2.25</v>
      </c>
      <c r="C666" t="n">
        <v>1.26</v>
      </c>
      <c r="D666" t="n">
        <v>5959.3</v>
      </c>
    </row>
    <row r="667">
      <c r="A667" s="63" t="n">
        <v>37773</v>
      </c>
      <c r="B667" t="n">
        <v>2</v>
      </c>
      <c r="C667" t="n">
        <v>1.22</v>
      </c>
      <c r="D667" t="n">
        <v>5996</v>
      </c>
    </row>
    <row r="668">
      <c r="A668" s="63" t="n">
        <v>37803</v>
      </c>
      <c r="B668" t="n">
        <v>2</v>
      </c>
      <c r="C668" t="n">
        <v>1.01</v>
      </c>
      <c r="D668" t="n">
        <v>6042.7</v>
      </c>
    </row>
    <row r="669">
      <c r="A669" s="63" t="n">
        <v>37834</v>
      </c>
      <c r="B669" t="n">
        <v>2</v>
      </c>
      <c r="C669" t="n">
        <v>1.03</v>
      </c>
      <c r="D669" t="n">
        <v>6100.8</v>
      </c>
    </row>
    <row r="670">
      <c r="A670" s="63" t="n">
        <v>37865</v>
      </c>
      <c r="B670" t="n">
        <v>2</v>
      </c>
      <c r="C670" t="n">
        <v>1.01</v>
      </c>
      <c r="D670" t="n">
        <v>6072.8</v>
      </c>
    </row>
    <row r="671">
      <c r="A671" s="63" t="n">
        <v>37895</v>
      </c>
      <c r="B671" t="n">
        <v>2</v>
      </c>
      <c r="C671" t="n">
        <v>1.01</v>
      </c>
      <c r="D671" t="n">
        <v>6063.6</v>
      </c>
    </row>
    <row r="672">
      <c r="A672" s="63" t="n">
        <v>37926</v>
      </c>
      <c r="B672" t="n">
        <v>2</v>
      </c>
      <c r="C672" t="n">
        <v>1</v>
      </c>
      <c r="D672" t="n">
        <v>6069.1</v>
      </c>
    </row>
    <row r="673">
      <c r="A673" s="63" t="n">
        <v>37956</v>
      </c>
      <c r="B673" t="n">
        <v>2</v>
      </c>
      <c r="C673" t="n">
        <v>0.98</v>
      </c>
      <c r="D673" t="n">
        <v>6067.3</v>
      </c>
    </row>
    <row r="674">
      <c r="A674" s="63" t="n">
        <v>37987</v>
      </c>
      <c r="B674" t="n">
        <v>2</v>
      </c>
      <c r="C674" t="n">
        <v>1</v>
      </c>
      <c r="D674" t="n">
        <v>6075.5</v>
      </c>
    </row>
    <row r="675">
      <c r="A675" s="63" t="n">
        <v>38018</v>
      </c>
      <c r="B675" t="n">
        <v>2</v>
      </c>
      <c r="C675" t="n">
        <v>1.01</v>
      </c>
      <c r="D675" t="n">
        <v>6114.3</v>
      </c>
    </row>
    <row r="676">
      <c r="A676" s="63" t="n">
        <v>38047</v>
      </c>
      <c r="B676" t="n">
        <v>2</v>
      </c>
      <c r="C676" t="n">
        <v>1</v>
      </c>
      <c r="D676" t="n">
        <v>6150.1</v>
      </c>
    </row>
    <row r="677">
      <c r="A677" s="63" t="n">
        <v>38078</v>
      </c>
      <c r="B677" t="n">
        <v>2</v>
      </c>
      <c r="C677" t="n">
        <v>1</v>
      </c>
      <c r="D677" t="n">
        <v>6191.2</v>
      </c>
    </row>
    <row r="678">
      <c r="A678" s="63" t="n">
        <v>38108</v>
      </c>
      <c r="B678" t="n">
        <v>2</v>
      </c>
      <c r="C678" t="n">
        <v>1</v>
      </c>
      <c r="D678" t="n">
        <v>6268.1</v>
      </c>
    </row>
    <row r="679">
      <c r="A679" s="63" t="n">
        <v>38139</v>
      </c>
      <c r="B679" t="n">
        <v>2.25</v>
      </c>
      <c r="C679" t="n">
        <v>1.03</v>
      </c>
      <c r="D679" t="n">
        <v>6270.5</v>
      </c>
    </row>
    <row r="680">
      <c r="A680" s="63" t="n">
        <v>38169</v>
      </c>
      <c r="B680" t="n">
        <v>2.25</v>
      </c>
      <c r="C680" t="n">
        <v>1.26</v>
      </c>
      <c r="D680" t="n">
        <v>6284.3</v>
      </c>
    </row>
    <row r="681">
      <c r="A681" s="63" t="n">
        <v>38200</v>
      </c>
      <c r="B681" t="n">
        <v>2.5</v>
      </c>
      <c r="C681" t="n">
        <v>1.43</v>
      </c>
      <c r="D681" t="n">
        <v>6310.6</v>
      </c>
    </row>
    <row r="682">
      <c r="A682" s="63" t="n">
        <v>38231</v>
      </c>
      <c r="B682" t="n">
        <v>2.75</v>
      </c>
      <c r="C682" t="n">
        <v>1.61</v>
      </c>
      <c r="D682" t="n">
        <v>6345.3</v>
      </c>
    </row>
    <row r="683">
      <c r="A683" s="63" t="n">
        <v>38261</v>
      </c>
      <c r="B683" t="n">
        <v>2.75</v>
      </c>
      <c r="C683" t="n">
        <v>1.76</v>
      </c>
      <c r="D683" t="n">
        <v>6373.3</v>
      </c>
    </row>
    <row r="684">
      <c r="A684" s="63" t="n">
        <v>38292</v>
      </c>
      <c r="B684" t="n">
        <v>3</v>
      </c>
      <c r="C684" t="n">
        <v>1.93</v>
      </c>
      <c r="D684" t="n">
        <v>6399.8</v>
      </c>
    </row>
    <row r="685">
      <c r="A685" s="63" t="n">
        <v>38322</v>
      </c>
      <c r="B685" t="n">
        <v>3.25</v>
      </c>
      <c r="C685" t="n">
        <v>2.16</v>
      </c>
      <c r="D685" t="n">
        <v>6418.3</v>
      </c>
    </row>
    <row r="686">
      <c r="A686" s="63" t="n">
        <v>38353</v>
      </c>
      <c r="B686" t="n">
        <v>3.25</v>
      </c>
      <c r="C686" t="n">
        <v>2.28</v>
      </c>
      <c r="D686" t="n">
        <v>6424.5</v>
      </c>
    </row>
    <row r="687">
      <c r="A687" s="63" t="n">
        <v>38384</v>
      </c>
      <c r="B687" t="n">
        <v>3.5</v>
      </c>
      <c r="C687" t="n">
        <v>2.5</v>
      </c>
      <c r="D687" t="n">
        <v>6432.8</v>
      </c>
    </row>
    <row r="688">
      <c r="A688" s="63" t="n">
        <v>38412</v>
      </c>
      <c r="B688" t="n">
        <v>3.75</v>
      </c>
      <c r="C688" t="n">
        <v>2.63</v>
      </c>
      <c r="D688" t="n">
        <v>6441.9</v>
      </c>
    </row>
    <row r="689">
      <c r="A689" s="63" t="n">
        <v>38443</v>
      </c>
      <c r="B689" t="n">
        <v>3.75</v>
      </c>
      <c r="C689" t="n">
        <v>2.79</v>
      </c>
      <c r="D689" t="n">
        <v>6455.9</v>
      </c>
    </row>
    <row r="690">
      <c r="A690" s="63" t="n">
        <v>38473</v>
      </c>
      <c r="B690" t="n">
        <v>4</v>
      </c>
      <c r="C690" t="n">
        <v>3</v>
      </c>
      <c r="D690" t="n">
        <v>6473.3</v>
      </c>
    </row>
    <row r="691">
      <c r="A691" s="63" t="n">
        <v>38504</v>
      </c>
      <c r="B691" t="n">
        <v>4.25</v>
      </c>
      <c r="C691" t="n">
        <v>3.04</v>
      </c>
      <c r="D691" t="n">
        <v>6505.8</v>
      </c>
    </row>
    <row r="692">
      <c r="A692" s="63" t="n">
        <v>38534</v>
      </c>
      <c r="B692" t="n">
        <v>4.25</v>
      </c>
      <c r="C692" t="n">
        <v>3.26</v>
      </c>
      <c r="D692" t="n">
        <v>6537.4</v>
      </c>
    </row>
    <row r="693">
      <c r="A693" s="63" t="n">
        <v>38565</v>
      </c>
      <c r="B693" t="n">
        <v>4.5</v>
      </c>
      <c r="C693" t="n">
        <v>3.5</v>
      </c>
      <c r="D693" t="n">
        <v>6570.2</v>
      </c>
    </row>
    <row r="694">
      <c r="A694" s="63" t="n">
        <v>38596</v>
      </c>
      <c r="B694" t="n">
        <v>4.75</v>
      </c>
      <c r="C694" t="n">
        <v>3.62</v>
      </c>
      <c r="D694" t="n">
        <v>6604.3</v>
      </c>
    </row>
    <row r="695">
      <c r="A695" s="63" t="n">
        <v>38626</v>
      </c>
      <c r="B695" t="n">
        <v>4.75</v>
      </c>
      <c r="C695" t="n">
        <v>3.78</v>
      </c>
      <c r="D695" t="n">
        <v>6638.6</v>
      </c>
    </row>
    <row r="696">
      <c r="A696" s="63" t="n">
        <v>38657</v>
      </c>
      <c r="B696" t="n">
        <v>5</v>
      </c>
      <c r="C696" t="n">
        <v>4</v>
      </c>
      <c r="D696" t="n">
        <v>6655</v>
      </c>
    </row>
    <row r="697">
      <c r="A697" s="63" t="n">
        <v>38687</v>
      </c>
      <c r="B697" t="n">
        <v>5.25</v>
      </c>
      <c r="C697" t="n">
        <v>4.16</v>
      </c>
      <c r="D697" t="n">
        <v>6681.9</v>
      </c>
    </row>
    <row r="698">
      <c r="A698" s="63" t="n">
        <v>38718</v>
      </c>
      <c r="B698" t="n">
        <v>5.5</v>
      </c>
      <c r="C698" t="n">
        <v>4.29</v>
      </c>
      <c r="D698" t="n">
        <v>6724.3</v>
      </c>
    </row>
    <row r="699">
      <c r="A699" s="63" t="n">
        <v>38749</v>
      </c>
      <c r="B699" t="n">
        <v>5.5</v>
      </c>
      <c r="C699" t="n">
        <v>4.49</v>
      </c>
      <c r="D699" t="n">
        <v>6748.6</v>
      </c>
    </row>
    <row r="700">
      <c r="A700" s="63" t="n">
        <v>38777</v>
      </c>
      <c r="B700" t="n">
        <v>5.75</v>
      </c>
      <c r="C700" t="n">
        <v>4.59</v>
      </c>
      <c r="D700" t="n">
        <v>6762.9</v>
      </c>
    </row>
    <row r="701">
      <c r="A701" s="63" t="n">
        <v>38808</v>
      </c>
      <c r="B701" t="n">
        <v>5.75</v>
      </c>
      <c r="C701" t="n">
        <v>4.79</v>
      </c>
      <c r="D701" t="n">
        <v>6800.1</v>
      </c>
    </row>
    <row r="702">
      <c r="A702" s="63" t="n">
        <v>38838</v>
      </c>
      <c r="B702" t="n">
        <v>6</v>
      </c>
      <c r="C702" t="n">
        <v>4.94</v>
      </c>
      <c r="D702" t="n">
        <v>6806.9</v>
      </c>
    </row>
    <row r="703">
      <c r="A703" s="63" t="n">
        <v>38869</v>
      </c>
      <c r="B703" t="n">
        <v>6.25</v>
      </c>
      <c r="C703" t="n">
        <v>4.99</v>
      </c>
      <c r="D703" t="n">
        <v>6844.9</v>
      </c>
    </row>
    <row r="704">
      <c r="A704" s="63" t="n">
        <v>38899</v>
      </c>
      <c r="B704" t="n">
        <v>6.25</v>
      </c>
      <c r="C704" t="n">
        <v>5.24</v>
      </c>
      <c r="D704" t="n">
        <v>6886.3</v>
      </c>
    </row>
    <row r="705">
      <c r="A705" s="63" t="n">
        <v>38930</v>
      </c>
      <c r="B705" t="n">
        <v>6.25</v>
      </c>
      <c r="C705" t="n">
        <v>5.25</v>
      </c>
      <c r="D705" t="n">
        <v>6917.1</v>
      </c>
    </row>
    <row r="706">
      <c r="A706" s="63" t="n">
        <v>38961</v>
      </c>
      <c r="B706" t="n">
        <v>6.25</v>
      </c>
      <c r="C706" t="n">
        <v>5.25</v>
      </c>
      <c r="D706" t="n">
        <v>6944.2</v>
      </c>
    </row>
    <row r="707">
      <c r="A707" s="63" t="n">
        <v>38991</v>
      </c>
      <c r="B707" t="n">
        <v>6.25</v>
      </c>
      <c r="C707" t="n">
        <v>5.25</v>
      </c>
      <c r="D707" t="n">
        <v>6993.3</v>
      </c>
    </row>
    <row r="708">
      <c r="A708" s="63" t="n">
        <v>39022</v>
      </c>
      <c r="B708" t="n">
        <v>6.25</v>
      </c>
      <c r="C708" t="n">
        <v>5.25</v>
      </c>
      <c r="D708" t="n">
        <v>7028.4</v>
      </c>
    </row>
    <row r="709">
      <c r="A709" s="63" t="n">
        <v>39052</v>
      </c>
      <c r="B709" t="n">
        <v>6.25</v>
      </c>
      <c r="C709" t="n">
        <v>5.24</v>
      </c>
      <c r="D709" t="n">
        <v>7071.6</v>
      </c>
    </row>
    <row r="710">
      <c r="A710" s="63" t="n">
        <v>39083</v>
      </c>
      <c r="B710" t="n">
        <v>6.25</v>
      </c>
      <c r="C710" t="n">
        <v>5.25</v>
      </c>
      <c r="D710" t="n">
        <v>7109.6</v>
      </c>
    </row>
    <row r="711">
      <c r="A711" s="63" t="n">
        <v>39114</v>
      </c>
      <c r="B711" t="n">
        <v>6.25</v>
      </c>
      <c r="C711" t="n">
        <v>5.26</v>
      </c>
      <c r="D711" t="n">
        <v>7125.3</v>
      </c>
    </row>
    <row r="712">
      <c r="A712" s="63" t="n">
        <v>39142</v>
      </c>
      <c r="B712" t="n">
        <v>6.25</v>
      </c>
      <c r="C712" t="n">
        <v>5.26</v>
      </c>
      <c r="D712" t="n">
        <v>7159.1</v>
      </c>
    </row>
    <row r="713">
      <c r="A713" s="63" t="n">
        <v>39173</v>
      </c>
      <c r="B713" t="n">
        <v>6.25</v>
      </c>
      <c r="C713" t="n">
        <v>5.25</v>
      </c>
      <c r="D713" t="n">
        <v>7231.3</v>
      </c>
    </row>
    <row r="714">
      <c r="A714" s="63" t="n">
        <v>39203</v>
      </c>
      <c r="B714" t="n">
        <v>6.25</v>
      </c>
      <c r="C714" t="n">
        <v>5.25</v>
      </c>
      <c r="D714" t="n">
        <v>7245.4</v>
      </c>
    </row>
    <row r="715">
      <c r="A715" s="63" t="n">
        <v>39234</v>
      </c>
      <c r="B715" t="n">
        <v>6.25</v>
      </c>
      <c r="C715" t="n">
        <v>5.25</v>
      </c>
      <c r="D715" t="n">
        <v>7278.6</v>
      </c>
    </row>
    <row r="716">
      <c r="A716" s="63" t="n">
        <v>39264</v>
      </c>
      <c r="B716" t="n">
        <v>6.25</v>
      </c>
      <c r="C716" t="n">
        <v>5.26</v>
      </c>
      <c r="D716" t="n">
        <v>7309</v>
      </c>
    </row>
    <row r="717">
      <c r="A717" s="63" t="n">
        <v>39295</v>
      </c>
      <c r="B717" t="n">
        <v>5.75</v>
      </c>
      <c r="C717" t="n">
        <v>5.02</v>
      </c>
      <c r="D717" t="n">
        <v>7385.1</v>
      </c>
    </row>
    <row r="718">
      <c r="A718" s="63" t="n">
        <v>39326</v>
      </c>
      <c r="B718" t="n">
        <v>5.25</v>
      </c>
      <c r="C718" t="n">
        <v>4.94</v>
      </c>
      <c r="D718" t="n">
        <v>7403.2</v>
      </c>
    </row>
    <row r="719">
      <c r="A719" s="63" t="n">
        <v>39356</v>
      </c>
      <c r="B719" t="n">
        <v>5</v>
      </c>
      <c r="C719" t="n">
        <v>4.76</v>
      </c>
      <c r="D719" t="n">
        <v>7417.2</v>
      </c>
    </row>
    <row r="720">
      <c r="A720" s="63" t="n">
        <v>39387</v>
      </c>
      <c r="B720" t="n">
        <v>5</v>
      </c>
      <c r="C720" t="n">
        <v>4.49</v>
      </c>
      <c r="D720" t="n">
        <v>7441.8</v>
      </c>
    </row>
    <row r="721">
      <c r="A721" s="63" t="n">
        <v>39417</v>
      </c>
      <c r="B721" t="n">
        <v>4.75</v>
      </c>
      <c r="C721" t="n">
        <v>4.24</v>
      </c>
      <c r="D721" t="n">
        <v>7471.6</v>
      </c>
    </row>
    <row r="722">
      <c r="A722" s="63" t="n">
        <v>39448</v>
      </c>
      <c r="B722" t="n">
        <v>3.5</v>
      </c>
      <c r="C722" t="n">
        <v>3.94</v>
      </c>
      <c r="D722" t="n">
        <v>7505.5</v>
      </c>
    </row>
    <row r="723">
      <c r="A723" s="63" t="n">
        <v>39479</v>
      </c>
      <c r="B723" t="n">
        <v>3.5</v>
      </c>
      <c r="C723" t="n">
        <v>2.98</v>
      </c>
      <c r="D723" t="n">
        <v>7590.6</v>
      </c>
    </row>
    <row r="724">
      <c r="A724" s="63" t="n">
        <v>39508</v>
      </c>
      <c r="B724" t="n">
        <v>2.5</v>
      </c>
      <c r="C724" t="n">
        <v>2.61</v>
      </c>
      <c r="D724" t="n">
        <v>7656.2</v>
      </c>
    </row>
    <row r="725">
      <c r="A725" s="63" t="n">
        <v>39539</v>
      </c>
      <c r="B725" t="n">
        <v>2.25</v>
      </c>
      <c r="C725" t="n">
        <v>2.28</v>
      </c>
      <c r="D725" t="n">
        <v>7699.2</v>
      </c>
    </row>
    <row r="726">
      <c r="A726" s="63" t="n">
        <v>39569</v>
      </c>
      <c r="B726" t="n">
        <v>2.25</v>
      </c>
      <c r="C726" t="n">
        <v>1.98</v>
      </c>
      <c r="D726" t="n">
        <v>7711.2</v>
      </c>
    </row>
    <row r="727">
      <c r="A727" s="63" t="n">
        <v>39600</v>
      </c>
      <c r="B727" t="n">
        <v>2.25</v>
      </c>
      <c r="C727" t="n">
        <v>2</v>
      </c>
      <c r="D727" t="n">
        <v>7728.9</v>
      </c>
    </row>
    <row r="728">
      <c r="A728" s="63" t="n">
        <v>39630</v>
      </c>
      <c r="B728" t="n">
        <v>2.25</v>
      </c>
      <c r="C728" t="n">
        <v>2.01</v>
      </c>
      <c r="D728" t="n">
        <v>7775.4</v>
      </c>
    </row>
    <row r="729">
      <c r="A729" s="63" t="n">
        <v>39661</v>
      </c>
      <c r="B729" t="n">
        <v>2.25</v>
      </c>
      <c r="C729" t="n">
        <v>2</v>
      </c>
      <c r="D729" t="n">
        <v>7790.2</v>
      </c>
    </row>
    <row r="730">
      <c r="A730" s="63" t="n">
        <v>39692</v>
      </c>
      <c r="B730" t="n">
        <v>2.25</v>
      </c>
      <c r="C730" t="n">
        <v>1.81</v>
      </c>
      <c r="D730" t="n">
        <v>7859.5</v>
      </c>
    </row>
    <row r="731">
      <c r="A731" s="63" t="n">
        <v>39722</v>
      </c>
      <c r="B731" t="n">
        <v>1.25</v>
      </c>
      <c r="C731" t="n">
        <v>0.97</v>
      </c>
      <c r="D731" t="n">
        <v>7965.3</v>
      </c>
    </row>
    <row r="732">
      <c r="A732" s="63" t="n">
        <v>39753</v>
      </c>
      <c r="B732" t="n">
        <v>1.25</v>
      </c>
      <c r="C732" t="n">
        <v>0.39</v>
      </c>
      <c r="D732" t="n">
        <v>8015.8</v>
      </c>
    </row>
    <row r="733">
      <c r="A733" s="63" t="n">
        <v>39783</v>
      </c>
      <c r="B733" t="n">
        <v>0.5</v>
      </c>
      <c r="C733" t="n">
        <v>0.16</v>
      </c>
      <c r="D733" t="n">
        <v>8192.1</v>
      </c>
    </row>
    <row r="734">
      <c r="A734" s="63" t="n">
        <v>39814</v>
      </c>
      <c r="B734" t="n">
        <v>0.5</v>
      </c>
      <c r="C734" t="n">
        <v>0.15</v>
      </c>
      <c r="D734" t="n">
        <v>8273.700000000001</v>
      </c>
    </row>
    <row r="735">
      <c r="A735" s="63" t="n">
        <v>39845</v>
      </c>
      <c r="B735" t="n">
        <v>0.5</v>
      </c>
      <c r="C735" t="n">
        <v>0.22</v>
      </c>
      <c r="D735" t="n">
        <v>8303.1</v>
      </c>
    </row>
    <row r="736">
      <c r="A736" s="63" t="n">
        <v>39873</v>
      </c>
      <c r="B736" t="n">
        <v>0.5</v>
      </c>
      <c r="C736" t="n">
        <v>0.18</v>
      </c>
      <c r="D736" t="n">
        <v>8369.299999999999</v>
      </c>
    </row>
    <row r="737">
      <c r="A737" s="63" t="n">
        <v>39904</v>
      </c>
      <c r="B737" t="n">
        <v>0.5</v>
      </c>
      <c r="C737" t="n">
        <v>0.15</v>
      </c>
      <c r="D737" t="n">
        <v>8372.9</v>
      </c>
    </row>
    <row r="738">
      <c r="A738" s="63" t="n">
        <v>39934</v>
      </c>
      <c r="B738" t="n">
        <v>0.5</v>
      </c>
      <c r="C738" t="n">
        <v>0.18</v>
      </c>
      <c r="D738" t="n">
        <v>8430.700000000001</v>
      </c>
    </row>
    <row r="739">
      <c r="A739" s="63" t="n">
        <v>39965</v>
      </c>
      <c r="B739" t="n">
        <v>0.5</v>
      </c>
      <c r="C739" t="n">
        <v>0.21</v>
      </c>
      <c r="D739" t="n">
        <v>8440.5</v>
      </c>
    </row>
    <row r="740">
      <c r="A740" s="63" t="n">
        <v>39995</v>
      </c>
      <c r="B740" t="n">
        <v>0.5</v>
      </c>
      <c r="C740" t="n">
        <v>0.16</v>
      </c>
      <c r="D740" t="n">
        <v>8445.1</v>
      </c>
    </row>
    <row r="741">
      <c r="A741" s="63" t="n">
        <v>40026</v>
      </c>
      <c r="B741" t="n">
        <v>0.5</v>
      </c>
      <c r="C741" t="n">
        <v>0.16</v>
      </c>
      <c r="D741" t="n">
        <v>8445</v>
      </c>
    </row>
    <row r="742">
      <c r="A742" s="63" t="n">
        <v>40057</v>
      </c>
      <c r="B742" t="n">
        <v>0.5</v>
      </c>
      <c r="C742" t="n">
        <v>0.15</v>
      </c>
      <c r="D742" t="n">
        <v>8444.200000000001</v>
      </c>
    </row>
    <row r="743">
      <c r="A743" s="63" t="n">
        <v>40087</v>
      </c>
      <c r="B743" t="n">
        <v>0.5</v>
      </c>
      <c r="C743" t="n">
        <v>0.12</v>
      </c>
      <c r="D743" t="n">
        <v>8471.1</v>
      </c>
    </row>
    <row r="744">
      <c r="A744" s="63" t="n">
        <v>40118</v>
      </c>
      <c r="B744" t="n">
        <v>0.5</v>
      </c>
      <c r="C744" t="n">
        <v>0.12</v>
      </c>
      <c r="D744" t="n">
        <v>8500.799999999999</v>
      </c>
    </row>
    <row r="745">
      <c r="A745" s="63" t="n">
        <v>40148</v>
      </c>
      <c r="B745" t="n">
        <v>0.5</v>
      </c>
      <c r="C745" t="n">
        <v>0.12</v>
      </c>
      <c r="D745" t="n">
        <v>8496</v>
      </c>
    </row>
    <row r="746">
      <c r="A746" s="63" t="n">
        <v>40179</v>
      </c>
      <c r="B746" t="n">
        <v>0.5</v>
      </c>
      <c r="C746" t="n">
        <v>0.11</v>
      </c>
      <c r="D746" t="n">
        <v>8458.1</v>
      </c>
    </row>
    <row r="747">
      <c r="A747" s="63" t="n">
        <v>40210</v>
      </c>
      <c r="B747" t="n">
        <v>0.75</v>
      </c>
      <c r="C747" t="n">
        <v>0.13</v>
      </c>
      <c r="D747" t="n">
        <v>8507.4</v>
      </c>
    </row>
    <row r="748">
      <c r="A748" s="63" t="n">
        <v>40238</v>
      </c>
      <c r="B748" t="n">
        <v>0.75</v>
      </c>
      <c r="C748" t="n">
        <v>0.16</v>
      </c>
      <c r="D748" t="n">
        <v>8504.5</v>
      </c>
    </row>
    <row r="749">
      <c r="A749" s="63" t="n">
        <v>40269</v>
      </c>
      <c r="B749" t="n">
        <v>0.75</v>
      </c>
      <c r="C749" t="n">
        <v>0.2</v>
      </c>
      <c r="D749" t="n">
        <v>8535.200000000001</v>
      </c>
    </row>
    <row r="750">
      <c r="A750" s="63" t="n">
        <v>40299</v>
      </c>
      <c r="B750" t="n">
        <v>0.75</v>
      </c>
      <c r="C750" t="n">
        <v>0.2</v>
      </c>
      <c r="D750" t="n">
        <v>8589.9</v>
      </c>
    </row>
    <row r="751">
      <c r="A751" s="63" t="n">
        <v>40330</v>
      </c>
      <c r="B751" t="n">
        <v>0.75</v>
      </c>
      <c r="C751" t="n">
        <v>0.18</v>
      </c>
      <c r="D751" t="n">
        <v>8609</v>
      </c>
    </row>
    <row r="752">
      <c r="A752" s="63" t="n">
        <v>40360</v>
      </c>
      <c r="B752" t="n">
        <v>0.75</v>
      </c>
      <c r="C752" t="n">
        <v>0.18</v>
      </c>
      <c r="D752" t="n">
        <v>8618.799999999999</v>
      </c>
    </row>
    <row r="753">
      <c r="A753" s="63" t="n">
        <v>40391</v>
      </c>
      <c r="B753" t="n">
        <v>0.75</v>
      </c>
      <c r="C753" t="n">
        <v>0.19</v>
      </c>
      <c r="D753" t="n">
        <v>8669.1</v>
      </c>
    </row>
    <row r="754">
      <c r="A754" s="63" t="n">
        <v>40422</v>
      </c>
      <c r="B754" t="n">
        <v>0.75</v>
      </c>
      <c r="C754" t="n">
        <v>0.19</v>
      </c>
      <c r="D754" t="n">
        <v>8700.1</v>
      </c>
    </row>
    <row r="755">
      <c r="A755" s="63" t="n">
        <v>40452</v>
      </c>
      <c r="B755" t="n">
        <v>0.75</v>
      </c>
      <c r="C755" t="n">
        <v>0.19</v>
      </c>
      <c r="D755" t="n">
        <v>8749.4</v>
      </c>
    </row>
    <row r="756">
      <c r="A756" s="63" t="n">
        <v>40483</v>
      </c>
      <c r="B756" t="n">
        <v>0.75</v>
      </c>
      <c r="C756" t="n">
        <v>0.19</v>
      </c>
      <c r="D756" t="n">
        <v>8770</v>
      </c>
    </row>
    <row r="757">
      <c r="A757" s="63" t="n">
        <v>40513</v>
      </c>
      <c r="B757" t="n">
        <v>0.75</v>
      </c>
      <c r="C757" t="n">
        <v>0.18</v>
      </c>
      <c r="D757" t="n">
        <v>8801.799999999999</v>
      </c>
    </row>
    <row r="758">
      <c r="A758" s="63" t="n">
        <v>40544</v>
      </c>
      <c r="B758" t="n">
        <v>0.75</v>
      </c>
      <c r="C758" t="n">
        <v>0.17</v>
      </c>
      <c r="D758" t="n">
        <v>8823.1</v>
      </c>
    </row>
    <row r="759">
      <c r="A759" s="63" t="n">
        <v>40575</v>
      </c>
      <c r="B759" t="n">
        <v>0.75</v>
      </c>
      <c r="C759" t="n">
        <v>0.16</v>
      </c>
      <c r="D759" t="n">
        <v>8886.9</v>
      </c>
    </row>
    <row r="760">
      <c r="A760" s="63" t="n">
        <v>40603</v>
      </c>
      <c r="B760" t="n">
        <v>0.75</v>
      </c>
      <c r="C760" t="n">
        <v>0.14</v>
      </c>
      <c r="D760" t="n">
        <v>8943.5</v>
      </c>
    </row>
    <row r="761">
      <c r="A761" s="63" t="n">
        <v>40634</v>
      </c>
      <c r="B761" t="n">
        <v>0.75</v>
      </c>
      <c r="C761" t="n">
        <v>0.1</v>
      </c>
      <c r="D761" t="n">
        <v>9004.9</v>
      </c>
    </row>
    <row r="762">
      <c r="A762" s="63" t="n">
        <v>40664</v>
      </c>
      <c r="B762" t="n">
        <v>0.75</v>
      </c>
      <c r="C762" t="n">
        <v>0.09</v>
      </c>
      <c r="D762" t="n">
        <v>9075.5</v>
      </c>
    </row>
    <row r="763">
      <c r="A763" s="63" t="n">
        <v>40695</v>
      </c>
      <c r="B763" t="n">
        <v>0.75</v>
      </c>
      <c r="C763" t="n">
        <v>0.09</v>
      </c>
      <c r="D763" t="n">
        <v>9151</v>
      </c>
    </row>
    <row r="764">
      <c r="A764" s="63" t="n">
        <v>40725</v>
      </c>
      <c r="B764" t="n">
        <v>0.75</v>
      </c>
      <c r="C764" t="n">
        <v>0.07000000000000001</v>
      </c>
      <c r="D764" t="n">
        <v>9316.6</v>
      </c>
    </row>
    <row r="765">
      <c r="A765" s="63" t="n">
        <v>40756</v>
      </c>
      <c r="B765" t="n">
        <v>0.75</v>
      </c>
      <c r="C765" t="n">
        <v>0.1</v>
      </c>
      <c r="D765" t="n">
        <v>9507.6</v>
      </c>
    </row>
    <row r="766">
      <c r="A766" s="63" t="n">
        <v>40787</v>
      </c>
      <c r="B766" t="n">
        <v>0.75</v>
      </c>
      <c r="C766" t="n">
        <v>0.08</v>
      </c>
      <c r="D766" t="n">
        <v>9528.299999999999</v>
      </c>
    </row>
    <row r="767">
      <c r="A767" s="63" t="n">
        <v>40817</v>
      </c>
      <c r="B767" t="n">
        <v>0.75</v>
      </c>
      <c r="C767" t="n">
        <v>0.07000000000000001</v>
      </c>
      <c r="D767" t="n">
        <v>9562.1</v>
      </c>
    </row>
    <row r="768">
      <c r="A768" s="63" t="n">
        <v>40848</v>
      </c>
      <c r="B768" t="n">
        <v>0.75</v>
      </c>
      <c r="C768" t="n">
        <v>0.08</v>
      </c>
      <c r="D768" t="n">
        <v>9612.6</v>
      </c>
    </row>
    <row r="769">
      <c r="A769" s="63" t="n">
        <v>40878</v>
      </c>
      <c r="B769" t="n">
        <v>0.75</v>
      </c>
      <c r="C769" t="n">
        <v>0.07000000000000001</v>
      </c>
      <c r="D769" t="n">
        <v>9660.1</v>
      </c>
    </row>
    <row r="770">
      <c r="A770" s="63" t="n">
        <v>40909</v>
      </c>
      <c r="B770" t="n">
        <v>0.75</v>
      </c>
      <c r="C770" t="n">
        <v>0.08</v>
      </c>
      <c r="D770" t="n">
        <v>9733.299999999999</v>
      </c>
    </row>
    <row r="771">
      <c r="A771" s="63" t="n">
        <v>40940</v>
      </c>
      <c r="B771" t="n">
        <v>0.75</v>
      </c>
      <c r="C771" t="n">
        <v>0.1</v>
      </c>
      <c r="D771" t="n">
        <v>9785.700000000001</v>
      </c>
    </row>
    <row r="772">
      <c r="A772" s="63" t="n">
        <v>40969</v>
      </c>
      <c r="B772" t="n">
        <v>0.75</v>
      </c>
      <c r="C772" t="n">
        <v>0.13</v>
      </c>
      <c r="D772" t="n">
        <v>9830.6</v>
      </c>
    </row>
    <row r="773">
      <c r="A773" s="63" t="n">
        <v>41000</v>
      </c>
      <c r="B773" t="n">
        <v>0.75</v>
      </c>
      <c r="C773" t="n">
        <v>0.14</v>
      </c>
      <c r="D773" t="n">
        <v>9884.6</v>
      </c>
    </row>
    <row r="774">
      <c r="A774" s="63" t="n">
        <v>41030</v>
      </c>
      <c r="B774" t="n">
        <v>0.75</v>
      </c>
      <c r="C774" t="n">
        <v>0.16</v>
      </c>
      <c r="D774" t="n">
        <v>9928.4</v>
      </c>
    </row>
    <row r="775">
      <c r="A775" s="63" t="n">
        <v>41061</v>
      </c>
      <c r="B775" t="n">
        <v>0.75</v>
      </c>
      <c r="C775" t="n">
        <v>0.16</v>
      </c>
      <c r="D775" t="n">
        <v>9999.299999999999</v>
      </c>
    </row>
    <row r="776">
      <c r="A776" s="63" t="n">
        <v>41091</v>
      </c>
      <c r="B776" t="n">
        <v>0.75</v>
      </c>
      <c r="C776" t="n">
        <v>0.16</v>
      </c>
      <c r="D776" t="n">
        <v>10051.8</v>
      </c>
    </row>
    <row r="777">
      <c r="A777" s="63" t="n">
        <v>41122</v>
      </c>
      <c r="B777" t="n">
        <v>0.75</v>
      </c>
      <c r="C777" t="n">
        <v>0.13</v>
      </c>
      <c r="D777" t="n">
        <v>10121.3</v>
      </c>
    </row>
    <row r="778">
      <c r="A778" s="63" t="n">
        <v>41153</v>
      </c>
      <c r="B778" t="n">
        <v>0.75</v>
      </c>
      <c r="C778" t="n">
        <v>0.14</v>
      </c>
      <c r="D778" t="n">
        <v>10200.8</v>
      </c>
    </row>
    <row r="779">
      <c r="A779" s="63" t="n">
        <v>41183</v>
      </c>
      <c r="B779" t="n">
        <v>0.75</v>
      </c>
      <c r="C779" t="n">
        <v>0.16</v>
      </c>
      <c r="D779" t="n">
        <v>10267.3</v>
      </c>
    </row>
    <row r="780">
      <c r="A780" s="63" t="n">
        <v>41214</v>
      </c>
      <c r="B780" t="n">
        <v>0.75</v>
      </c>
      <c r="C780" t="n">
        <v>0.16</v>
      </c>
      <c r="D780" t="n">
        <v>10337.6</v>
      </c>
    </row>
    <row r="781">
      <c r="A781" s="63" t="n">
        <v>41244</v>
      </c>
      <c r="B781" t="n">
        <v>0.75</v>
      </c>
      <c r="C781" t="n">
        <v>0.16</v>
      </c>
      <c r="D781" t="n">
        <v>10459.7</v>
      </c>
    </row>
    <row r="782">
      <c r="A782" s="63" t="n">
        <v>41275</v>
      </c>
      <c r="B782" t="n">
        <v>0.75</v>
      </c>
      <c r="C782" t="n">
        <v>0.14</v>
      </c>
      <c r="D782" t="n">
        <v>10479.5</v>
      </c>
    </row>
    <row r="783">
      <c r="A783" s="63" t="n">
        <v>41306</v>
      </c>
      <c r="B783" t="n">
        <v>0.75</v>
      </c>
      <c r="C783" t="n">
        <v>0.15</v>
      </c>
      <c r="D783" t="n">
        <v>10482</v>
      </c>
    </row>
    <row r="784">
      <c r="A784" s="63" t="n">
        <v>41334</v>
      </c>
      <c r="B784" t="n">
        <v>0.75</v>
      </c>
      <c r="C784" t="n">
        <v>0.14</v>
      </c>
      <c r="D784" t="n">
        <v>10550</v>
      </c>
    </row>
    <row r="785">
      <c r="A785" s="63" t="n">
        <v>41365</v>
      </c>
      <c r="B785" t="n">
        <v>0.75</v>
      </c>
      <c r="C785" t="n">
        <v>0.15</v>
      </c>
      <c r="D785" t="n">
        <v>10585.9</v>
      </c>
    </row>
    <row r="786">
      <c r="A786" s="63" t="n">
        <v>41395</v>
      </c>
      <c r="B786" t="n">
        <v>0.75</v>
      </c>
      <c r="C786" t="n">
        <v>0.11</v>
      </c>
      <c r="D786" t="n">
        <v>10628.2</v>
      </c>
    </row>
    <row r="787">
      <c r="A787" s="63" t="n">
        <v>41426</v>
      </c>
      <c r="B787" t="n">
        <v>0.75</v>
      </c>
      <c r="C787" t="n">
        <v>0.09</v>
      </c>
      <c r="D787" t="n">
        <v>10684.9</v>
      </c>
    </row>
    <row r="788">
      <c r="A788" s="63" t="n">
        <v>41456</v>
      </c>
      <c r="B788" t="n">
        <v>0.75</v>
      </c>
      <c r="C788" t="n">
        <v>0.09</v>
      </c>
      <c r="D788" t="n">
        <v>10730.8</v>
      </c>
    </row>
    <row r="789">
      <c r="A789" s="63" t="n">
        <v>41487</v>
      </c>
      <c r="B789" t="n">
        <v>0.75</v>
      </c>
      <c r="C789" t="n">
        <v>0.08</v>
      </c>
      <c r="D789" t="n">
        <v>10790.2</v>
      </c>
    </row>
    <row r="790">
      <c r="A790" s="63" t="n">
        <v>41518</v>
      </c>
      <c r="B790" t="n">
        <v>0.75</v>
      </c>
      <c r="C790" t="n">
        <v>0.08</v>
      </c>
      <c r="D790" t="n">
        <v>10841.3</v>
      </c>
    </row>
    <row r="791">
      <c r="A791" s="63" t="n">
        <v>41548</v>
      </c>
      <c r="B791" t="n">
        <v>0.75</v>
      </c>
      <c r="C791" t="n">
        <v>0.09</v>
      </c>
      <c r="D791" t="n">
        <v>10956.7</v>
      </c>
    </row>
    <row r="792">
      <c r="A792" s="63" t="n">
        <v>41579</v>
      </c>
      <c r="B792" t="n">
        <v>0.75</v>
      </c>
      <c r="C792" t="n">
        <v>0.08</v>
      </c>
      <c r="D792" t="n">
        <v>10969</v>
      </c>
    </row>
    <row r="793">
      <c r="A793" s="63" t="n">
        <v>41609</v>
      </c>
      <c r="B793" t="n">
        <v>0.75</v>
      </c>
      <c r="C793" t="n">
        <v>0.09</v>
      </c>
      <c r="D793" t="n">
        <v>11028.8</v>
      </c>
    </row>
    <row r="794">
      <c r="A794" s="63" t="n">
        <v>41640</v>
      </c>
      <c r="B794" t="n">
        <v>0.75</v>
      </c>
      <c r="C794" t="n">
        <v>0.07000000000000001</v>
      </c>
      <c r="D794" t="n">
        <v>11078.9</v>
      </c>
    </row>
    <row r="795">
      <c r="A795" s="63" t="n">
        <v>41671</v>
      </c>
      <c r="B795" t="n">
        <v>0.75</v>
      </c>
      <c r="C795" t="n">
        <v>0.07000000000000001</v>
      </c>
      <c r="D795" t="n">
        <v>11161</v>
      </c>
    </row>
    <row r="796">
      <c r="A796" s="63" t="n">
        <v>41699</v>
      </c>
      <c r="B796" t="n">
        <v>0.75</v>
      </c>
      <c r="C796" t="n">
        <v>0.08</v>
      </c>
      <c r="D796" t="n">
        <v>11200.2</v>
      </c>
    </row>
    <row r="797">
      <c r="A797" s="63" t="n">
        <v>41730</v>
      </c>
      <c r="B797" t="n">
        <v>0.75</v>
      </c>
      <c r="C797" t="n">
        <v>0.09</v>
      </c>
      <c r="D797" t="n">
        <v>11256.9</v>
      </c>
    </row>
    <row r="798">
      <c r="A798" s="63" t="n">
        <v>41760</v>
      </c>
      <c r="B798" t="n">
        <v>0.75</v>
      </c>
      <c r="C798" t="n">
        <v>0.09</v>
      </c>
      <c r="D798" t="n">
        <v>11326.3</v>
      </c>
    </row>
    <row r="799">
      <c r="A799" s="63" t="n">
        <v>41791</v>
      </c>
      <c r="B799" t="n">
        <v>0.75</v>
      </c>
      <c r="C799" t="n">
        <v>0.1</v>
      </c>
      <c r="D799" t="n">
        <v>11380.7</v>
      </c>
    </row>
    <row r="800">
      <c r="A800" s="63" t="n">
        <v>41821</v>
      </c>
      <c r="B800" t="n">
        <v>0.75</v>
      </c>
      <c r="C800" t="n">
        <v>0.09</v>
      </c>
      <c r="D800" t="n">
        <v>11439.9</v>
      </c>
    </row>
    <row r="801">
      <c r="A801" s="63" t="n">
        <v>41852</v>
      </c>
      <c r="B801" t="n">
        <v>0.75</v>
      </c>
      <c r="C801" t="n">
        <v>0.09</v>
      </c>
      <c r="D801" t="n">
        <v>11469.4</v>
      </c>
    </row>
    <row r="802">
      <c r="A802" s="63" t="n">
        <v>41883</v>
      </c>
      <c r="B802" t="n">
        <v>0.75</v>
      </c>
      <c r="C802" t="n">
        <v>0.09</v>
      </c>
      <c r="D802" t="n">
        <v>11502.8</v>
      </c>
    </row>
    <row r="803">
      <c r="A803" s="63" t="n">
        <v>41913</v>
      </c>
      <c r="B803" t="n">
        <v>0.75</v>
      </c>
      <c r="C803" t="n">
        <v>0.09</v>
      </c>
      <c r="D803" t="n">
        <v>11563.4</v>
      </c>
    </row>
    <row r="804">
      <c r="A804" s="63" t="n">
        <v>41944</v>
      </c>
      <c r="B804" t="n">
        <v>0.75</v>
      </c>
      <c r="C804" t="n">
        <v>0.09</v>
      </c>
      <c r="D804" t="n">
        <v>11604.7</v>
      </c>
    </row>
    <row r="805">
      <c r="A805" s="63" t="n">
        <v>41974</v>
      </c>
      <c r="B805" t="n">
        <v>0.75</v>
      </c>
      <c r="C805" t="n">
        <v>0.12</v>
      </c>
      <c r="D805" t="n">
        <v>11681.5</v>
      </c>
    </row>
    <row r="806">
      <c r="A806" s="63" t="n">
        <v>42005</v>
      </c>
      <c r="B806" t="n">
        <v>0.75</v>
      </c>
      <c r="C806" t="n">
        <v>0.11</v>
      </c>
      <c r="D806" t="n">
        <v>11745.2</v>
      </c>
    </row>
    <row r="807">
      <c r="A807" s="63" t="n">
        <v>42036</v>
      </c>
      <c r="B807" t="n">
        <v>0.75</v>
      </c>
      <c r="C807" t="n">
        <v>0.11</v>
      </c>
      <c r="D807" t="n">
        <v>11863.9</v>
      </c>
    </row>
    <row r="808">
      <c r="A808" s="63" t="n">
        <v>42064</v>
      </c>
      <c r="B808" t="n">
        <v>0.75</v>
      </c>
      <c r="C808" t="n">
        <v>0.11</v>
      </c>
      <c r="D808" t="n">
        <v>11879.6</v>
      </c>
    </row>
    <row r="809">
      <c r="A809" s="63" t="n">
        <v>42095</v>
      </c>
      <c r="B809" t="n">
        <v>0.75</v>
      </c>
      <c r="C809" t="n">
        <v>0.12</v>
      </c>
      <c r="D809" t="n">
        <v>11927.4</v>
      </c>
    </row>
    <row r="810">
      <c r="A810" s="63" t="n">
        <v>42125</v>
      </c>
      <c r="B810" t="n">
        <v>0.75</v>
      </c>
      <c r="C810" t="n">
        <v>0.12</v>
      </c>
      <c r="D810" t="n">
        <v>11960.3</v>
      </c>
    </row>
    <row r="811">
      <c r="A811" s="63" t="n">
        <v>42156</v>
      </c>
      <c r="B811" t="n">
        <v>0.75</v>
      </c>
      <c r="C811" t="n">
        <v>0.13</v>
      </c>
      <c r="D811" t="n">
        <v>12005.8</v>
      </c>
    </row>
    <row r="812">
      <c r="A812" s="63" t="n">
        <v>42186</v>
      </c>
      <c r="B812" t="n">
        <v>0.75</v>
      </c>
      <c r="C812" t="n">
        <v>0.13</v>
      </c>
      <c r="D812" t="n">
        <v>12058.4</v>
      </c>
    </row>
    <row r="813">
      <c r="A813" s="63" t="n">
        <v>42217</v>
      </c>
      <c r="B813" t="n">
        <v>0.75</v>
      </c>
      <c r="C813" t="n">
        <v>0.14</v>
      </c>
      <c r="D813" t="n">
        <v>12109.5</v>
      </c>
    </row>
    <row r="814">
      <c r="A814" s="63" t="n">
        <v>42248</v>
      </c>
      <c r="B814" t="n">
        <v>0.75</v>
      </c>
      <c r="C814" t="n">
        <v>0.14</v>
      </c>
      <c r="D814" t="n">
        <v>12164.5</v>
      </c>
    </row>
    <row r="815">
      <c r="A815" s="63" t="n">
        <v>42278</v>
      </c>
      <c r="B815" t="n">
        <v>0.75</v>
      </c>
      <c r="C815" t="n">
        <v>0.12</v>
      </c>
      <c r="D815" t="n">
        <v>12196.8</v>
      </c>
    </row>
    <row r="816">
      <c r="A816" s="63" t="n">
        <v>42309</v>
      </c>
      <c r="B816" t="n">
        <v>0.75</v>
      </c>
      <c r="C816" t="n">
        <v>0.12</v>
      </c>
      <c r="D816" t="n">
        <v>12286</v>
      </c>
    </row>
    <row r="817">
      <c r="A817" s="63" t="n">
        <v>42339</v>
      </c>
      <c r="B817" t="n">
        <v>1</v>
      </c>
      <c r="C817" t="n">
        <v>0.24</v>
      </c>
      <c r="D817" t="n">
        <v>12344</v>
      </c>
    </row>
    <row r="818">
      <c r="A818" s="63" t="n">
        <v>42370</v>
      </c>
      <c r="B818" t="n">
        <v>1</v>
      </c>
      <c r="C818" t="n">
        <v>0.34</v>
      </c>
      <c r="D818" t="n">
        <v>12470</v>
      </c>
    </row>
    <row r="819">
      <c r="A819" s="63" t="n">
        <v>42401</v>
      </c>
      <c r="B819" t="n">
        <v>1</v>
      </c>
      <c r="C819" t="n">
        <v>0.38</v>
      </c>
      <c r="D819" t="n">
        <v>12545.6</v>
      </c>
    </row>
    <row r="820">
      <c r="A820" s="63" t="n">
        <v>42430</v>
      </c>
      <c r="B820" t="n">
        <v>1</v>
      </c>
      <c r="C820" t="n">
        <v>0.36</v>
      </c>
      <c r="D820" t="n">
        <v>12609.7</v>
      </c>
    </row>
    <row r="821">
      <c r="A821" s="63" t="n">
        <v>42461</v>
      </c>
      <c r="B821" t="n">
        <v>1</v>
      </c>
      <c r="C821" t="n">
        <v>0.37</v>
      </c>
      <c r="D821" t="n">
        <v>12698.4</v>
      </c>
    </row>
    <row r="822">
      <c r="A822" s="63" t="n">
        <v>42491</v>
      </c>
      <c r="B822" t="n">
        <v>1</v>
      </c>
      <c r="C822" t="n">
        <v>0.37</v>
      </c>
      <c r="D822" t="n">
        <v>12765.6</v>
      </c>
    </row>
    <row r="823">
      <c r="A823" s="63" t="n">
        <v>42522</v>
      </c>
      <c r="B823" t="n">
        <v>1</v>
      </c>
      <c r="C823" t="n">
        <v>0.38</v>
      </c>
      <c r="D823" t="n">
        <v>12831.9</v>
      </c>
    </row>
    <row r="824">
      <c r="A824" s="63" t="n">
        <v>42552</v>
      </c>
      <c r="B824" t="n">
        <v>1</v>
      </c>
      <c r="C824" t="n">
        <v>0.39</v>
      </c>
      <c r="D824" t="n">
        <v>12892</v>
      </c>
    </row>
    <row r="825">
      <c r="A825" s="63" t="n">
        <v>42583</v>
      </c>
      <c r="B825" t="n">
        <v>1</v>
      </c>
      <c r="C825" t="n">
        <v>0.4</v>
      </c>
      <c r="D825" t="n">
        <v>12978.2</v>
      </c>
    </row>
    <row r="826">
      <c r="A826" s="63" t="n">
        <v>42614</v>
      </c>
      <c r="B826" t="n">
        <v>1</v>
      </c>
      <c r="C826" t="n">
        <v>0.4</v>
      </c>
      <c r="D826" t="n">
        <v>13037.9</v>
      </c>
    </row>
    <row r="827">
      <c r="A827" s="63" t="n">
        <v>42644</v>
      </c>
      <c r="B827" t="n">
        <v>1</v>
      </c>
      <c r="C827" t="n">
        <v>0.4</v>
      </c>
      <c r="D827" t="n">
        <v>13105.4</v>
      </c>
    </row>
    <row r="828">
      <c r="A828" s="63" t="n">
        <v>42675</v>
      </c>
      <c r="B828" t="n">
        <v>1</v>
      </c>
      <c r="C828" t="n">
        <v>0.41</v>
      </c>
      <c r="D828" t="n">
        <v>13176.5</v>
      </c>
    </row>
    <row r="829">
      <c r="A829" s="63" t="n">
        <v>42705</v>
      </c>
      <c r="B829" t="n">
        <v>1.25</v>
      </c>
      <c r="C829" t="n">
        <v>0.54</v>
      </c>
      <c r="D829" t="n">
        <v>13209.6</v>
      </c>
    </row>
    <row r="830">
      <c r="A830" s="63" t="n">
        <v>42736</v>
      </c>
      <c r="B830" t="n">
        <v>1.25</v>
      </c>
      <c r="C830" t="n">
        <v>0.65</v>
      </c>
      <c r="D830" t="n">
        <v>13282.7</v>
      </c>
    </row>
    <row r="831">
      <c r="A831" s="63" t="n">
        <v>42767</v>
      </c>
      <c r="B831" t="n">
        <v>1.25</v>
      </c>
      <c r="C831" t="n">
        <v>0.66</v>
      </c>
      <c r="D831" t="n">
        <v>13351.4</v>
      </c>
    </row>
    <row r="832">
      <c r="A832" s="63" t="n">
        <v>42795</v>
      </c>
      <c r="B832" t="n">
        <v>1.5</v>
      </c>
      <c r="C832" t="n">
        <v>0.79</v>
      </c>
      <c r="D832" t="n">
        <v>13420.6</v>
      </c>
    </row>
    <row r="833">
      <c r="A833" s="63" t="n">
        <v>42826</v>
      </c>
      <c r="B833" t="n">
        <v>1.5</v>
      </c>
      <c r="C833" t="n">
        <v>0.9</v>
      </c>
      <c r="D833" t="n">
        <v>13482.9</v>
      </c>
    </row>
    <row r="834">
      <c r="A834" s="63" t="n">
        <v>42856</v>
      </c>
      <c r="B834" t="n">
        <v>1.5</v>
      </c>
      <c r="C834" t="n">
        <v>0.91</v>
      </c>
      <c r="D834" t="n">
        <v>13534.8</v>
      </c>
    </row>
    <row r="835">
      <c r="A835" s="63" t="n">
        <v>42887</v>
      </c>
      <c r="B835" t="n">
        <v>1.75</v>
      </c>
      <c r="C835" t="n">
        <v>1.04</v>
      </c>
      <c r="D835" t="n">
        <v>13558.9</v>
      </c>
    </row>
    <row r="836">
      <c r="A836" s="63" t="n">
        <v>42917</v>
      </c>
      <c r="B836" t="n">
        <v>1.75</v>
      </c>
      <c r="C836" t="n">
        <v>1.15</v>
      </c>
      <c r="D836" t="n">
        <v>13621</v>
      </c>
    </row>
    <row r="837">
      <c r="A837" s="63" t="n">
        <v>42948</v>
      </c>
      <c r="B837" t="n">
        <v>1.75</v>
      </c>
      <c r="C837" t="n">
        <v>1.16</v>
      </c>
      <c r="D837" t="n">
        <v>13679.6</v>
      </c>
    </row>
    <row r="838">
      <c r="A838" s="63" t="n">
        <v>42979</v>
      </c>
      <c r="B838" t="n">
        <v>1.75</v>
      </c>
      <c r="C838" t="n">
        <v>1.15</v>
      </c>
      <c r="D838" t="n">
        <v>13722.1</v>
      </c>
    </row>
    <row r="839">
      <c r="A839" s="63" t="n">
        <v>43009</v>
      </c>
      <c r="B839" t="n">
        <v>1.75</v>
      </c>
      <c r="C839" t="n">
        <v>1.15</v>
      </c>
      <c r="D839" t="n">
        <v>13777.4</v>
      </c>
    </row>
    <row r="840">
      <c r="A840" s="63" t="n">
        <v>43040</v>
      </c>
      <c r="B840" t="n">
        <v>1.75</v>
      </c>
      <c r="C840" t="n">
        <v>1.16</v>
      </c>
      <c r="D840" t="n">
        <v>13804.1</v>
      </c>
    </row>
    <row r="841">
      <c r="A841" s="63" t="n">
        <v>43070</v>
      </c>
      <c r="B841" t="n">
        <v>2</v>
      </c>
      <c r="C841" t="n">
        <v>1.3</v>
      </c>
      <c r="D841" t="n">
        <v>13852.3</v>
      </c>
    </row>
    <row r="842">
      <c r="A842" s="63" t="n">
        <v>43101</v>
      </c>
      <c r="B842" t="n">
        <v>2</v>
      </c>
      <c r="C842" t="n">
        <v>1.41</v>
      </c>
      <c r="D842" t="n">
        <v>13868.2</v>
      </c>
    </row>
    <row r="843">
      <c r="A843" s="63" t="n">
        <v>43132</v>
      </c>
      <c r="B843" t="n">
        <v>2</v>
      </c>
      <c r="C843" t="n">
        <v>1.42</v>
      </c>
      <c r="D843" t="n">
        <v>13910.2</v>
      </c>
    </row>
    <row r="844">
      <c r="A844" s="63" t="n">
        <v>43160</v>
      </c>
      <c r="B844" t="n">
        <v>2.25</v>
      </c>
      <c r="C844" t="n">
        <v>1.51</v>
      </c>
      <c r="D844" t="n">
        <v>13965.5</v>
      </c>
    </row>
    <row r="845">
      <c r="A845" s="63" t="n">
        <v>43191</v>
      </c>
      <c r="B845" t="n">
        <v>2.25</v>
      </c>
      <c r="C845" t="n">
        <v>1.69</v>
      </c>
      <c r="D845" t="n">
        <v>13987.7</v>
      </c>
    </row>
    <row r="846">
      <c r="A846" s="63" t="n">
        <v>43221</v>
      </c>
      <c r="B846" t="n">
        <v>2.25</v>
      </c>
      <c r="C846" t="n">
        <v>1.7</v>
      </c>
      <c r="D846" t="n">
        <v>14041.2</v>
      </c>
    </row>
    <row r="847">
      <c r="A847" s="63" t="n">
        <v>43252</v>
      </c>
      <c r="B847" t="n">
        <v>2.5</v>
      </c>
      <c r="C847" t="n">
        <v>1.82</v>
      </c>
      <c r="D847" t="n">
        <v>14102.6</v>
      </c>
    </row>
    <row r="848">
      <c r="A848" s="63" t="n">
        <v>43282</v>
      </c>
      <c r="B848" t="n">
        <v>2.5</v>
      </c>
      <c r="C848" t="n">
        <v>1.91</v>
      </c>
      <c r="D848" t="n">
        <v>14137</v>
      </c>
    </row>
    <row r="849">
      <c r="A849" s="63" t="n">
        <v>43313</v>
      </c>
      <c r="B849" t="n">
        <v>2.5</v>
      </c>
      <c r="C849" t="n">
        <v>1.91</v>
      </c>
      <c r="D849" t="n">
        <v>14187.4</v>
      </c>
    </row>
    <row r="850">
      <c r="A850" s="63" t="n">
        <v>43344</v>
      </c>
      <c r="B850" t="n">
        <v>2.75</v>
      </c>
      <c r="C850" t="n">
        <v>1.95</v>
      </c>
      <c r="D850" t="n">
        <v>14214.6</v>
      </c>
    </row>
    <row r="851">
      <c r="A851" s="63" t="n">
        <v>43374</v>
      </c>
      <c r="B851" t="n">
        <v>2.75</v>
      </c>
      <c r="C851" t="n">
        <v>2.19</v>
      </c>
      <c r="D851" t="n">
        <v>14228.5</v>
      </c>
    </row>
    <row r="852">
      <c r="A852" s="63" t="n">
        <v>43405</v>
      </c>
      <c r="B852" t="n">
        <v>2.75</v>
      </c>
      <c r="C852" t="n">
        <v>2.2</v>
      </c>
      <c r="D852" t="n">
        <v>14241.6</v>
      </c>
    </row>
    <row r="853">
      <c r="A853" s="63" t="n">
        <v>43435</v>
      </c>
      <c r="B853" t="n">
        <v>3</v>
      </c>
      <c r="C853" t="n">
        <v>2.27</v>
      </c>
      <c r="D853" t="n">
        <v>14358.8</v>
      </c>
    </row>
    <row r="854">
      <c r="A854" s="63" t="n">
        <v>43466</v>
      </c>
      <c r="B854" t="n">
        <v>3</v>
      </c>
      <c r="C854" t="n">
        <v>2.4</v>
      </c>
      <c r="D854" t="n">
        <v>14430.8</v>
      </c>
    </row>
    <row r="855">
      <c r="A855" s="63" t="n">
        <v>43497</v>
      </c>
      <c r="B855" t="n">
        <v>3</v>
      </c>
      <c r="C855" t="n">
        <v>2.4</v>
      </c>
      <c r="D855" t="n">
        <v>14472.3</v>
      </c>
    </row>
    <row r="856">
      <c r="A856" s="63" t="n">
        <v>43525</v>
      </c>
      <c r="B856" t="n">
        <v>3</v>
      </c>
      <c r="C856" t="n">
        <v>2.41</v>
      </c>
      <c r="D856" t="n">
        <v>14510.7</v>
      </c>
    </row>
    <row r="857">
      <c r="A857" s="63" t="n">
        <v>43556</v>
      </c>
      <c r="B857" t="n">
        <v>3</v>
      </c>
      <c r="C857" t="n">
        <v>2.42</v>
      </c>
      <c r="D857" t="n">
        <v>14541</v>
      </c>
    </row>
    <row r="858">
      <c r="A858" s="63" t="n">
        <v>43586</v>
      </c>
      <c r="B858" t="n">
        <v>3</v>
      </c>
      <c r="C858" t="n">
        <v>2.39</v>
      </c>
      <c r="D858" t="n">
        <v>14632.5</v>
      </c>
    </row>
    <row r="859">
      <c r="A859" s="63" t="n">
        <v>43617</v>
      </c>
      <c r="B859" t="n">
        <v>3</v>
      </c>
      <c r="C859" t="n">
        <v>2.38</v>
      </c>
      <c r="D859" t="n">
        <v>14754.8</v>
      </c>
    </row>
    <row r="860">
      <c r="A860" s="63" t="n">
        <v>43647</v>
      </c>
      <c r="B860" t="n">
        <v>3</v>
      </c>
      <c r="C860" t="n">
        <v>2.4</v>
      </c>
      <c r="D860" t="n">
        <v>14833.8</v>
      </c>
    </row>
    <row r="861">
      <c r="A861" s="63" t="n">
        <v>43678</v>
      </c>
      <c r="B861" t="n">
        <v>2.75</v>
      </c>
      <c r="C861" t="n">
        <v>2.13</v>
      </c>
      <c r="D861" t="n">
        <v>14919.8</v>
      </c>
    </row>
    <row r="862">
      <c r="A862" s="63" t="n">
        <v>43709</v>
      </c>
      <c r="B862" t="n">
        <v>2.5</v>
      </c>
      <c r="C862" t="n">
        <v>2.04</v>
      </c>
      <c r="D862" t="n">
        <v>15004.8</v>
      </c>
    </row>
    <row r="863">
      <c r="A863" s="63" t="n">
        <v>43739</v>
      </c>
      <c r="B863" t="n">
        <v>2.25</v>
      </c>
      <c r="C863" t="n">
        <v>1.83</v>
      </c>
      <c r="D863" t="n">
        <v>15144.2</v>
      </c>
    </row>
    <row r="864">
      <c r="A864" s="63" t="n">
        <v>43770</v>
      </c>
      <c r="B864" t="n">
        <v>2.25</v>
      </c>
      <c r="C864" t="n">
        <v>1.55</v>
      </c>
      <c r="D864" t="n">
        <v>15249.9</v>
      </c>
    </row>
    <row r="865">
      <c r="A865" s="63" t="n">
        <v>43800</v>
      </c>
      <c r="B865" t="n">
        <v>2.25</v>
      </c>
      <c r="C865" t="n">
        <v>1.55</v>
      </c>
      <c r="D865" t="n">
        <v>15319.1</v>
      </c>
    </row>
    <row r="866">
      <c r="A866" s="63" t="n">
        <v>43831</v>
      </c>
      <c r="B866" t="n">
        <v>2.25</v>
      </c>
      <c r="C866" t="n">
        <v>1.55</v>
      </c>
      <c r="D866" t="n">
        <v>15401.8</v>
      </c>
    </row>
    <row r="867">
      <c r="A867" s="63" t="n">
        <v>43862</v>
      </c>
      <c r="B867" t="n">
        <v>2.25</v>
      </c>
      <c r="C867" t="n">
        <v>1.58</v>
      </c>
      <c r="D867" t="n">
        <v>15458.7</v>
      </c>
    </row>
    <row r="868">
      <c r="A868" s="63" t="n">
        <v>43891</v>
      </c>
      <c r="B868" t="n">
        <v>0.25</v>
      </c>
      <c r="C868" t="n">
        <v>0.65</v>
      </c>
      <c r="D868" t="n">
        <v>15988.6</v>
      </c>
    </row>
    <row r="869">
      <c r="A869" s="63" t="n">
        <v>43922</v>
      </c>
      <c r="B869" t="n">
        <v>0.25</v>
      </c>
      <c r="C869" t="n">
        <v>0.05</v>
      </c>
      <c r="D869" t="n">
        <v>17002.5</v>
      </c>
    </row>
    <row r="870">
      <c r="A870" s="63" t="n">
        <v>43952</v>
      </c>
      <c r="B870" t="n">
        <v>0.25</v>
      </c>
      <c r="C870" t="n">
        <v>0.05</v>
      </c>
      <c r="D870" t="n">
        <v>17835.2</v>
      </c>
    </row>
    <row r="871">
      <c r="A871" s="63" t="n">
        <v>43983</v>
      </c>
      <c r="B871" t="n">
        <v>0.25</v>
      </c>
      <c r="C871" t="n">
        <v>0.08</v>
      </c>
      <c r="D871" t="n">
        <v>18129.3</v>
      </c>
    </row>
    <row r="872">
      <c r="A872" s="63" t="n">
        <v>44013</v>
      </c>
      <c r="B872" t="n">
        <v>0.25</v>
      </c>
      <c r="C872" t="n">
        <v>0.09</v>
      </c>
      <c r="D872" t="n">
        <v>18277.8</v>
      </c>
    </row>
    <row r="873">
      <c r="A873" s="63" t="n">
        <v>44044</v>
      </c>
      <c r="B873" t="n">
        <v>0.25</v>
      </c>
      <c r="C873" t="n">
        <v>0.1</v>
      </c>
      <c r="D873" t="n">
        <v>18357.4</v>
      </c>
    </row>
    <row r="874">
      <c r="A874" s="63" t="n">
        <v>44075</v>
      </c>
      <c r="B874" t="n">
        <v>0.25</v>
      </c>
      <c r="C874" t="n">
        <v>0.09</v>
      </c>
      <c r="D874" t="n">
        <v>18575.2</v>
      </c>
    </row>
    <row r="875">
      <c r="A875" s="63" t="n">
        <v>44105</v>
      </c>
      <c r="B875" t="n">
        <v>0.25</v>
      </c>
      <c r="C875" t="n">
        <v>0.09</v>
      </c>
      <c r="D875" t="n">
        <v>18735.7</v>
      </c>
    </row>
    <row r="876">
      <c r="A876" s="63" t="n">
        <v>44136</v>
      </c>
      <c r="B876" t="n">
        <v>0.25</v>
      </c>
      <c r="C876" t="n">
        <v>0.09</v>
      </c>
      <c r="D876" t="n">
        <v>18969.8</v>
      </c>
    </row>
    <row r="877">
      <c r="A877" s="63" t="n">
        <v>44166</v>
      </c>
      <c r="B877" t="n">
        <v>0.25</v>
      </c>
      <c r="C877" t="n">
        <v>0.09</v>
      </c>
      <c r="D877" t="n">
        <v>19124.8</v>
      </c>
    </row>
    <row r="878">
      <c r="A878" s="63" t="n">
        <v>44197</v>
      </c>
      <c r="B878" t="n">
        <v>0.25</v>
      </c>
      <c r="C878" t="n">
        <v>0.09</v>
      </c>
      <c r="D878" t="n">
        <v>19372.6</v>
      </c>
    </row>
    <row r="879">
      <c r="A879" s="63" t="n">
        <v>44228</v>
      </c>
      <c r="B879" t="n">
        <v>0.25</v>
      </c>
      <c r="C879" t="n">
        <v>0.08</v>
      </c>
      <c r="D879" t="n">
        <v>19615.4</v>
      </c>
    </row>
    <row r="880">
      <c r="A880" s="63" t="n">
        <v>44256</v>
      </c>
      <c r="B880" t="n">
        <v>0.25</v>
      </c>
      <c r="C880" t="n">
        <v>0.07000000000000001</v>
      </c>
      <c r="D880" t="n">
        <v>19853.6</v>
      </c>
    </row>
    <row r="881">
      <c r="A881" s="63" t="n">
        <v>44287</v>
      </c>
      <c r="B881" t="n">
        <v>0.25</v>
      </c>
      <c r="C881" t="n">
        <v>0.07000000000000001</v>
      </c>
      <c r="D881" t="n">
        <v>20110.5</v>
      </c>
    </row>
    <row r="882">
      <c r="A882" s="63" t="n">
        <v>44317</v>
      </c>
      <c r="B882" t="n">
        <v>0.25</v>
      </c>
      <c r="C882" t="n">
        <v>0.06</v>
      </c>
      <c r="D882" t="n">
        <v>20418.6</v>
      </c>
    </row>
    <row r="883">
      <c r="A883" s="63" t="n">
        <v>44348</v>
      </c>
      <c r="B883" t="n">
        <v>0.25</v>
      </c>
      <c r="C883" t="n">
        <v>0.08</v>
      </c>
      <c r="D883" t="n">
        <v>20460.2</v>
      </c>
    </row>
    <row r="884">
      <c r="A884" s="63" t="n">
        <v>44378</v>
      </c>
      <c r="B884" t="n">
        <v>0.25</v>
      </c>
      <c r="C884" t="n">
        <v>0.1</v>
      </c>
      <c r="D884" t="n">
        <v>20620.8</v>
      </c>
    </row>
    <row r="885">
      <c r="A885" s="63" t="n">
        <v>44409</v>
      </c>
      <c r="B885" t="n">
        <v>0.25</v>
      </c>
      <c r="C885" t="n">
        <v>0.09</v>
      </c>
      <c r="D885" t="n">
        <v>20853.3</v>
      </c>
    </row>
    <row r="886">
      <c r="A886" s="63" t="n">
        <v>44440</v>
      </c>
      <c r="C886" t="n">
        <v>0.08</v>
      </c>
      <c r="D886" t="n">
        <v>20992.3</v>
      </c>
    </row>
    <row r="887">
      <c r="A887" s="63" t="n">
        <v>44470</v>
      </c>
      <c r="C887" t="n">
        <v>0.08</v>
      </c>
      <c r="D887" t="n">
        <v>21144</v>
      </c>
    </row>
    <row r="888">
      <c r="A888" s="63" t="n">
        <v>44501</v>
      </c>
      <c r="C888" t="n">
        <v>0.08</v>
      </c>
      <c r="D888" t="n">
        <v>21349.3</v>
      </c>
    </row>
    <row r="889">
      <c r="A889" s="63" t="n">
        <v>44531</v>
      </c>
      <c r="C889" t="n">
        <v>0.08</v>
      </c>
      <c r="D889" t="n">
        <v>21490</v>
      </c>
    </row>
    <row r="890">
      <c r="A890" s="63" t="n">
        <v>44562</v>
      </c>
      <c r="C890" t="n">
        <v>0.08</v>
      </c>
      <c r="D890" t="n">
        <v>21649.6</v>
      </c>
    </row>
    <row r="891">
      <c r="A891" s="63" t="n">
        <v>44593</v>
      </c>
      <c r="C891" t="n">
        <v>0.08</v>
      </c>
      <c r="D891" t="n">
        <v>21708.6</v>
      </c>
    </row>
    <row r="892">
      <c r="A892" s="63" t="n">
        <v>44621</v>
      </c>
      <c r="C892" t="n">
        <v>0.2</v>
      </c>
      <c r="D892" t="n">
        <v>21739.9</v>
      </c>
    </row>
    <row r="893">
      <c r="A893" s="63" t="n">
        <v>44652</v>
      </c>
      <c r="C893" t="n">
        <v>0.33</v>
      </c>
      <c r="D893" t="n">
        <v>21655.5</v>
      </c>
    </row>
    <row r="894">
      <c r="A894" s="63" t="n">
        <v>44682</v>
      </c>
      <c r="C894" t="n">
        <v>0.77</v>
      </c>
      <c r="D894" t="n">
        <v>21684.4</v>
      </c>
    </row>
    <row r="895">
      <c r="A895" s="63" t="n">
        <v>44713</v>
      </c>
      <c r="C895" t="n">
        <v>1.21</v>
      </c>
      <c r="D895" t="n">
        <v>21667.5</v>
      </c>
    </row>
    <row r="896">
      <c r="A896" s="63" t="n">
        <v>44743</v>
      </c>
      <c r="C896" t="n">
        <v>1.68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28"/>
  <sheetViews>
    <sheetView zoomScale="190" zoomScaleNormal="190" workbookViewId="0">
      <pane ySplit="1" topLeftCell="A1001" activePane="bottomLeft" state="frozen"/>
      <selection pane="bottomLeft" activeCell="A2" sqref="A2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3" t="n">
        <v>37608</v>
      </c>
      <c r="B2" t="n">
        <v>719542</v>
      </c>
    </row>
    <row r="3">
      <c r="A3" s="63" t="n">
        <v>37615</v>
      </c>
      <c r="B3" t="n">
        <v>732059</v>
      </c>
    </row>
    <row r="4">
      <c r="A4" s="63" t="n">
        <v>37622</v>
      </c>
      <c r="B4" t="n">
        <v>730994</v>
      </c>
    </row>
    <row r="5">
      <c r="A5" s="63" t="n">
        <v>37629</v>
      </c>
      <c r="B5" t="n">
        <v>723762</v>
      </c>
    </row>
    <row r="6">
      <c r="A6" s="63" t="n">
        <v>37636</v>
      </c>
      <c r="B6" t="n">
        <v>720074</v>
      </c>
    </row>
    <row r="7">
      <c r="A7" s="63" t="n">
        <v>37643</v>
      </c>
      <c r="B7" t="n">
        <v>735953</v>
      </c>
    </row>
    <row r="8">
      <c r="A8" s="63" t="n">
        <v>37650</v>
      </c>
      <c r="B8" t="n">
        <v>712809</v>
      </c>
    </row>
    <row r="9">
      <c r="A9" s="63" t="n">
        <v>37657</v>
      </c>
      <c r="B9" t="n">
        <v>719643</v>
      </c>
    </row>
    <row r="10">
      <c r="A10" s="63" t="n">
        <v>37664</v>
      </c>
      <c r="B10" t="n">
        <v>713281</v>
      </c>
    </row>
    <row r="11">
      <c r="A11" s="63" t="n">
        <v>37671</v>
      </c>
      <c r="B11" t="n">
        <v>730400</v>
      </c>
    </row>
    <row r="12">
      <c r="A12" s="63" t="n">
        <v>37678</v>
      </c>
      <c r="B12" t="n">
        <v>721980</v>
      </c>
    </row>
    <row r="13">
      <c r="A13" s="63" t="n">
        <v>37685</v>
      </c>
      <c r="B13" t="n">
        <v>722649</v>
      </c>
    </row>
    <row r="14">
      <c r="A14" s="63" t="n">
        <v>37692</v>
      </c>
      <c r="B14" t="n">
        <v>717014</v>
      </c>
    </row>
    <row r="15">
      <c r="A15" s="63" t="n">
        <v>37699</v>
      </c>
      <c r="B15" t="n">
        <v>729923</v>
      </c>
    </row>
    <row r="16">
      <c r="A16" s="63" t="n">
        <v>37706</v>
      </c>
      <c r="B16" t="n">
        <v>725019</v>
      </c>
    </row>
    <row r="17">
      <c r="A17" s="63" t="n">
        <v>37713</v>
      </c>
      <c r="B17" t="n">
        <v>732452</v>
      </c>
    </row>
    <row r="18">
      <c r="A18" s="63" t="n">
        <v>37720</v>
      </c>
      <c r="B18" t="n">
        <v>727826</v>
      </c>
    </row>
    <row r="19">
      <c r="A19" s="63" t="n">
        <v>37727</v>
      </c>
      <c r="B19" t="n">
        <v>745838</v>
      </c>
    </row>
    <row r="20">
      <c r="A20" s="63" t="n">
        <v>37734</v>
      </c>
      <c r="B20" t="n">
        <v>732222</v>
      </c>
    </row>
    <row r="21">
      <c r="A21" s="63" t="n">
        <v>37741</v>
      </c>
      <c r="B21" t="n">
        <v>746294</v>
      </c>
    </row>
    <row r="22">
      <c r="A22" s="63" t="n">
        <v>37748</v>
      </c>
      <c r="B22" t="n">
        <v>733466</v>
      </c>
    </row>
    <row r="23">
      <c r="A23" s="63" t="n">
        <v>37755</v>
      </c>
      <c r="B23" t="n">
        <v>740371</v>
      </c>
    </row>
    <row r="24">
      <c r="A24" s="63" t="n">
        <v>37762</v>
      </c>
      <c r="B24" t="n">
        <v>734699</v>
      </c>
    </row>
    <row r="25">
      <c r="A25" s="63" t="n">
        <v>37769</v>
      </c>
      <c r="B25" t="n">
        <v>744896</v>
      </c>
    </row>
    <row r="26">
      <c r="A26" s="63" t="n">
        <v>37776</v>
      </c>
      <c r="B26" t="n">
        <v>731667</v>
      </c>
    </row>
    <row r="27">
      <c r="A27" s="63" t="n">
        <v>37783</v>
      </c>
      <c r="B27" t="n">
        <v>743236</v>
      </c>
    </row>
    <row r="28">
      <c r="A28" s="63" t="n">
        <v>37790</v>
      </c>
      <c r="B28" t="n">
        <v>735926</v>
      </c>
    </row>
    <row r="29">
      <c r="A29" s="63" t="n">
        <v>37797</v>
      </c>
      <c r="B29" t="n">
        <v>744018</v>
      </c>
    </row>
    <row r="30">
      <c r="A30" s="63" t="n">
        <v>37804</v>
      </c>
      <c r="B30" t="n">
        <v>740126</v>
      </c>
    </row>
    <row r="31">
      <c r="A31" s="63" t="n">
        <v>37811</v>
      </c>
      <c r="B31" t="n">
        <v>744430</v>
      </c>
    </row>
    <row r="32">
      <c r="A32" s="63" t="n">
        <v>37818</v>
      </c>
      <c r="B32" t="n">
        <v>737765</v>
      </c>
    </row>
    <row r="33">
      <c r="A33" s="63" t="n">
        <v>37825</v>
      </c>
      <c r="B33" t="n">
        <v>745665</v>
      </c>
    </row>
    <row r="34">
      <c r="A34" s="63" t="n">
        <v>37832</v>
      </c>
      <c r="B34" t="n">
        <v>740295</v>
      </c>
    </row>
    <row r="35">
      <c r="A35" s="63" t="n">
        <v>37839</v>
      </c>
      <c r="B35" t="n">
        <v>734018</v>
      </c>
    </row>
    <row r="36">
      <c r="A36" s="63" t="n">
        <v>37846</v>
      </c>
      <c r="B36" t="n">
        <v>735386</v>
      </c>
    </row>
    <row r="37">
      <c r="A37" s="63" t="n">
        <v>37853</v>
      </c>
      <c r="B37" t="n">
        <v>750825</v>
      </c>
    </row>
    <row r="38">
      <c r="A38" s="63" t="n">
        <v>37860</v>
      </c>
      <c r="B38" t="n">
        <v>740637</v>
      </c>
    </row>
    <row r="39">
      <c r="A39" s="63" t="n">
        <v>37867</v>
      </c>
      <c r="B39" t="n">
        <v>750461</v>
      </c>
    </row>
    <row r="40">
      <c r="A40" s="63" t="n">
        <v>37874</v>
      </c>
      <c r="B40" t="n">
        <v>737234</v>
      </c>
    </row>
    <row r="41">
      <c r="A41" s="63" t="n">
        <v>37881</v>
      </c>
      <c r="B41" t="n">
        <v>743939</v>
      </c>
    </row>
    <row r="42">
      <c r="A42" s="63" t="n">
        <v>37888</v>
      </c>
      <c r="B42" t="n">
        <v>741193</v>
      </c>
    </row>
    <row r="43">
      <c r="A43" s="63" t="n">
        <v>37895</v>
      </c>
      <c r="B43" t="n">
        <v>753155</v>
      </c>
    </row>
    <row r="44">
      <c r="A44" s="63" t="n">
        <v>37902</v>
      </c>
      <c r="B44" t="n">
        <v>737108</v>
      </c>
    </row>
    <row r="45">
      <c r="A45" s="63" t="n">
        <v>37909</v>
      </c>
      <c r="B45" t="n">
        <v>754229</v>
      </c>
    </row>
    <row r="46">
      <c r="A46" s="63" t="n">
        <v>37916</v>
      </c>
      <c r="B46" t="n">
        <v>743578</v>
      </c>
    </row>
    <row r="47">
      <c r="A47" s="63" t="n">
        <v>37923</v>
      </c>
      <c r="B47" t="n">
        <v>747272</v>
      </c>
    </row>
    <row r="48">
      <c r="A48" s="63" t="n">
        <v>37930</v>
      </c>
      <c r="B48" t="n">
        <v>744116</v>
      </c>
    </row>
    <row r="49">
      <c r="A49" s="63" t="n">
        <v>37937</v>
      </c>
      <c r="B49" t="n">
        <v>745604</v>
      </c>
    </row>
    <row r="50">
      <c r="A50" s="63" t="n">
        <v>37944</v>
      </c>
      <c r="B50" t="n">
        <v>744521</v>
      </c>
    </row>
    <row r="51">
      <c r="A51" s="63" t="n">
        <v>37951</v>
      </c>
      <c r="B51" t="n">
        <v>756964</v>
      </c>
    </row>
    <row r="52">
      <c r="A52" s="63" t="n">
        <v>37958</v>
      </c>
      <c r="B52" t="n">
        <v>749981</v>
      </c>
    </row>
    <row r="53">
      <c r="A53" s="63" t="n">
        <v>37965</v>
      </c>
      <c r="B53" t="n">
        <v>756585</v>
      </c>
    </row>
    <row r="54">
      <c r="A54" s="63" t="n">
        <v>37972</v>
      </c>
      <c r="B54" t="n">
        <v>753919</v>
      </c>
    </row>
    <row r="55">
      <c r="A55" s="63" t="n">
        <v>37979</v>
      </c>
      <c r="B55" t="n">
        <v>767012</v>
      </c>
    </row>
    <row r="56">
      <c r="A56" s="63" t="n">
        <v>37986</v>
      </c>
      <c r="B56" t="n">
        <v>771551</v>
      </c>
    </row>
    <row r="57">
      <c r="A57" s="63" t="n">
        <v>37993</v>
      </c>
      <c r="B57" t="n">
        <v>755829</v>
      </c>
    </row>
    <row r="58">
      <c r="A58" s="63" t="n">
        <v>38000</v>
      </c>
      <c r="B58" t="n">
        <v>752812</v>
      </c>
    </row>
    <row r="59">
      <c r="A59" s="63" t="n">
        <v>38007</v>
      </c>
      <c r="B59" t="n">
        <v>775833</v>
      </c>
    </row>
    <row r="60">
      <c r="A60" s="63" t="n">
        <v>38014</v>
      </c>
      <c r="B60" t="n">
        <v>755279</v>
      </c>
    </row>
    <row r="61">
      <c r="A61" s="63" t="n">
        <v>38021</v>
      </c>
      <c r="B61" t="n">
        <v>754153</v>
      </c>
    </row>
    <row r="62">
      <c r="A62" s="63" t="n">
        <v>38028</v>
      </c>
      <c r="B62" t="n">
        <v>750999</v>
      </c>
    </row>
    <row r="63">
      <c r="A63" s="63" t="n">
        <v>38035</v>
      </c>
      <c r="B63" t="n">
        <v>758759</v>
      </c>
    </row>
    <row r="64">
      <c r="A64" s="63" t="n">
        <v>38042</v>
      </c>
      <c r="B64" t="n">
        <v>750666</v>
      </c>
    </row>
    <row r="65">
      <c r="A65" s="63" t="n">
        <v>38049</v>
      </c>
      <c r="B65" t="n">
        <v>754867</v>
      </c>
    </row>
    <row r="66">
      <c r="A66" s="63" t="n">
        <v>38056</v>
      </c>
      <c r="B66" t="n">
        <v>749950</v>
      </c>
    </row>
    <row r="67">
      <c r="A67" s="63" t="n">
        <v>38063</v>
      </c>
      <c r="B67" t="n">
        <v>760638</v>
      </c>
    </row>
    <row r="68">
      <c r="A68" s="63" t="n">
        <v>38070</v>
      </c>
      <c r="B68" t="n">
        <v>751510</v>
      </c>
    </row>
    <row r="69">
      <c r="A69" s="63" t="n">
        <v>38077</v>
      </c>
      <c r="B69" t="n">
        <v>760725</v>
      </c>
    </row>
    <row r="70">
      <c r="A70" s="63" t="n">
        <v>38084</v>
      </c>
      <c r="B70" t="n">
        <v>754083</v>
      </c>
    </row>
    <row r="71">
      <c r="A71" s="63" t="n">
        <v>38091</v>
      </c>
      <c r="B71" t="n">
        <v>763734</v>
      </c>
    </row>
    <row r="72">
      <c r="A72" s="63" t="n">
        <v>38098</v>
      </c>
      <c r="B72" t="n">
        <v>757984</v>
      </c>
    </row>
    <row r="73">
      <c r="A73" s="63" t="n">
        <v>38105</v>
      </c>
      <c r="B73" t="n">
        <v>772927</v>
      </c>
    </row>
    <row r="74">
      <c r="A74" s="63" t="n">
        <v>38112</v>
      </c>
      <c r="B74" t="n">
        <v>758838</v>
      </c>
    </row>
    <row r="75">
      <c r="A75" s="63" t="n">
        <v>38119</v>
      </c>
      <c r="B75" t="n">
        <v>764835</v>
      </c>
    </row>
    <row r="76">
      <c r="A76" s="63" t="n">
        <v>38126</v>
      </c>
      <c r="B76" t="n">
        <v>756874</v>
      </c>
    </row>
    <row r="77">
      <c r="A77" s="63" t="n">
        <v>38133</v>
      </c>
      <c r="B77" t="n">
        <v>771108</v>
      </c>
    </row>
    <row r="78">
      <c r="A78" s="63" t="n">
        <v>38140</v>
      </c>
      <c r="B78" t="n">
        <v>764090</v>
      </c>
    </row>
    <row r="79">
      <c r="A79" s="63" t="n">
        <v>38147</v>
      </c>
      <c r="B79" t="n">
        <v>772187</v>
      </c>
    </row>
    <row r="80">
      <c r="A80" s="63" t="n">
        <v>38154</v>
      </c>
      <c r="B80" t="n">
        <v>761834</v>
      </c>
    </row>
    <row r="81">
      <c r="A81" s="63" t="n">
        <v>38161</v>
      </c>
      <c r="B81" t="n">
        <v>775261</v>
      </c>
    </row>
    <row r="82">
      <c r="A82" s="63" t="n">
        <v>38168</v>
      </c>
      <c r="B82" t="n">
        <v>779578</v>
      </c>
    </row>
    <row r="83">
      <c r="A83" s="63" t="n">
        <v>38175</v>
      </c>
      <c r="B83" t="n">
        <v>778163</v>
      </c>
    </row>
    <row r="84">
      <c r="A84" s="63" t="n">
        <v>38182</v>
      </c>
      <c r="B84" t="n">
        <v>775536</v>
      </c>
    </row>
    <row r="85">
      <c r="A85" s="63" t="n">
        <v>38189</v>
      </c>
      <c r="B85" t="n">
        <v>776764</v>
      </c>
    </row>
    <row r="86">
      <c r="A86" s="63" t="n">
        <v>38196</v>
      </c>
      <c r="B86" t="n">
        <v>773916</v>
      </c>
    </row>
    <row r="87">
      <c r="A87" s="63" t="n">
        <v>38203</v>
      </c>
      <c r="B87" t="n">
        <v>772085</v>
      </c>
    </row>
    <row r="88">
      <c r="A88" s="63" t="n">
        <v>38210</v>
      </c>
      <c r="B88" t="n">
        <v>769265</v>
      </c>
    </row>
    <row r="89">
      <c r="A89" s="63" t="n">
        <v>38217</v>
      </c>
      <c r="B89" t="n">
        <v>767595</v>
      </c>
    </row>
    <row r="90">
      <c r="A90" s="63" t="n">
        <v>38224</v>
      </c>
      <c r="B90" t="n">
        <v>775437</v>
      </c>
    </row>
    <row r="91">
      <c r="A91" s="63" t="n">
        <v>38231</v>
      </c>
      <c r="B91" t="n">
        <v>785273</v>
      </c>
    </row>
    <row r="92">
      <c r="A92" s="63" t="n">
        <v>38238</v>
      </c>
      <c r="B92" t="n">
        <v>788602</v>
      </c>
    </row>
    <row r="93">
      <c r="A93" s="63" t="n">
        <v>38245</v>
      </c>
      <c r="B93" t="n">
        <v>789128</v>
      </c>
    </row>
    <row r="94">
      <c r="A94" s="63" t="n">
        <v>38252</v>
      </c>
      <c r="B94" t="n">
        <v>782124</v>
      </c>
    </row>
    <row r="95">
      <c r="A95" s="63" t="n">
        <v>38259</v>
      </c>
      <c r="B95" t="n">
        <v>786330</v>
      </c>
    </row>
    <row r="96">
      <c r="A96" s="63" t="n">
        <v>38266</v>
      </c>
      <c r="B96" t="n">
        <v>781777</v>
      </c>
    </row>
    <row r="97">
      <c r="A97" s="63" t="n">
        <v>38273</v>
      </c>
      <c r="B97" t="n">
        <v>795483</v>
      </c>
    </row>
    <row r="98">
      <c r="A98" s="63" t="n">
        <v>38280</v>
      </c>
      <c r="B98" t="n">
        <v>784954</v>
      </c>
    </row>
    <row r="99">
      <c r="A99" s="63" t="n">
        <v>38287</v>
      </c>
      <c r="B99" t="n">
        <v>791336</v>
      </c>
    </row>
    <row r="100">
      <c r="A100" s="63" t="n">
        <v>38294</v>
      </c>
      <c r="B100" t="n">
        <v>790552</v>
      </c>
    </row>
    <row r="101">
      <c r="A101" s="63" t="n">
        <v>38301</v>
      </c>
      <c r="B101" t="n">
        <v>800473</v>
      </c>
    </row>
    <row r="102">
      <c r="A102" s="63" t="n">
        <v>38308</v>
      </c>
      <c r="B102" t="n">
        <v>794090</v>
      </c>
    </row>
    <row r="103">
      <c r="A103" s="63" t="n">
        <v>38315</v>
      </c>
      <c r="B103" t="n">
        <v>809956</v>
      </c>
    </row>
    <row r="104">
      <c r="A104" s="63" t="n">
        <v>38322</v>
      </c>
      <c r="B104" t="n">
        <v>807063</v>
      </c>
    </row>
    <row r="105">
      <c r="A105" s="63" t="n">
        <v>38329</v>
      </c>
      <c r="B105" t="n">
        <v>808495</v>
      </c>
    </row>
    <row r="106">
      <c r="A106" s="63" t="n">
        <v>38336</v>
      </c>
      <c r="B106" t="n">
        <v>807028</v>
      </c>
    </row>
    <row r="107">
      <c r="A107" s="63" t="n">
        <v>38343</v>
      </c>
      <c r="B107" t="n">
        <v>811333</v>
      </c>
    </row>
    <row r="108">
      <c r="A108" s="63" t="n">
        <v>38350</v>
      </c>
      <c r="B108" t="n">
        <v>810944</v>
      </c>
    </row>
    <row r="109">
      <c r="A109" s="63" t="n">
        <v>38357</v>
      </c>
      <c r="B109" t="n">
        <v>815702</v>
      </c>
    </row>
    <row r="110">
      <c r="A110" s="63" t="n">
        <v>38364</v>
      </c>
      <c r="B110" t="n">
        <v>798455</v>
      </c>
    </row>
    <row r="111">
      <c r="A111" s="63" t="n">
        <v>38371</v>
      </c>
      <c r="B111" t="n">
        <v>806960</v>
      </c>
    </row>
    <row r="112">
      <c r="A112" s="63" t="n">
        <v>38378</v>
      </c>
      <c r="B112" t="n">
        <v>807262</v>
      </c>
    </row>
    <row r="113">
      <c r="A113" s="63" t="n">
        <v>38385</v>
      </c>
      <c r="B113" t="n">
        <v>804746</v>
      </c>
    </row>
    <row r="114">
      <c r="A114" s="63" t="n">
        <v>38392</v>
      </c>
      <c r="B114" t="n">
        <v>797299</v>
      </c>
    </row>
    <row r="115">
      <c r="A115" s="63" t="n">
        <v>38399</v>
      </c>
      <c r="B115" t="n">
        <v>795606</v>
      </c>
    </row>
    <row r="116">
      <c r="A116" s="63" t="n">
        <v>38406</v>
      </c>
      <c r="B116" t="n">
        <v>804576</v>
      </c>
    </row>
    <row r="117">
      <c r="A117" s="63" t="n">
        <v>38413</v>
      </c>
      <c r="B117" t="n">
        <v>801252</v>
      </c>
    </row>
    <row r="118">
      <c r="A118" s="63" t="n">
        <v>38420</v>
      </c>
      <c r="B118" t="n">
        <v>799250</v>
      </c>
    </row>
    <row r="119">
      <c r="A119" s="63" t="n">
        <v>38427</v>
      </c>
      <c r="B119" t="n">
        <v>807211</v>
      </c>
    </row>
    <row r="120">
      <c r="A120" s="63" t="n">
        <v>38434</v>
      </c>
      <c r="B120" t="n">
        <v>797094</v>
      </c>
    </row>
    <row r="121">
      <c r="A121" s="63" t="n">
        <v>38441</v>
      </c>
      <c r="B121" t="n">
        <v>807551</v>
      </c>
    </row>
    <row r="122">
      <c r="A122" s="63" t="n">
        <v>38448</v>
      </c>
      <c r="B122" t="n">
        <v>797327</v>
      </c>
    </row>
    <row r="123">
      <c r="A123" s="63" t="n">
        <v>38455</v>
      </c>
      <c r="B123" t="n">
        <v>805707</v>
      </c>
    </row>
    <row r="124">
      <c r="A124" s="63" t="n">
        <v>38462</v>
      </c>
      <c r="B124" t="n">
        <v>801793</v>
      </c>
    </row>
    <row r="125">
      <c r="A125" s="63" t="n">
        <v>38469</v>
      </c>
      <c r="B125" t="n">
        <v>809797</v>
      </c>
    </row>
    <row r="126">
      <c r="A126" s="63" t="n">
        <v>38476</v>
      </c>
      <c r="B126" t="n">
        <v>802412</v>
      </c>
    </row>
    <row r="127">
      <c r="A127" s="63" t="n">
        <v>38483</v>
      </c>
      <c r="B127" t="n">
        <v>808378</v>
      </c>
    </row>
    <row r="128">
      <c r="A128" s="63" t="n">
        <v>38490</v>
      </c>
      <c r="B128" t="n">
        <v>801546</v>
      </c>
    </row>
    <row r="129">
      <c r="A129" s="63" t="n">
        <v>38497</v>
      </c>
      <c r="B129" t="n">
        <v>810160</v>
      </c>
    </row>
    <row r="130">
      <c r="A130" s="63" t="n">
        <v>38504</v>
      </c>
      <c r="B130" t="n">
        <v>817335</v>
      </c>
    </row>
    <row r="131">
      <c r="A131" s="63" t="n">
        <v>38511</v>
      </c>
      <c r="B131" t="n">
        <v>814172</v>
      </c>
    </row>
    <row r="132">
      <c r="A132" s="63" t="n">
        <v>38518</v>
      </c>
      <c r="B132" t="n">
        <v>811198</v>
      </c>
    </row>
    <row r="133">
      <c r="A133" s="63" t="n">
        <v>38525</v>
      </c>
      <c r="B133" t="n">
        <v>810429</v>
      </c>
    </row>
    <row r="134">
      <c r="A134" s="63" t="n">
        <v>38532</v>
      </c>
      <c r="B134" t="n">
        <v>810082</v>
      </c>
    </row>
    <row r="135">
      <c r="A135" s="63" t="n">
        <v>38539</v>
      </c>
      <c r="B135" t="n">
        <v>821556</v>
      </c>
    </row>
    <row r="136">
      <c r="A136" s="63" t="n">
        <v>38546</v>
      </c>
      <c r="B136" t="n">
        <v>808861</v>
      </c>
    </row>
    <row r="137">
      <c r="A137" s="63" t="n">
        <v>38553</v>
      </c>
      <c r="B137" t="n">
        <v>816804</v>
      </c>
    </row>
    <row r="138">
      <c r="A138" s="63" t="n">
        <v>38560</v>
      </c>
      <c r="B138" t="n">
        <v>814259</v>
      </c>
    </row>
    <row r="139">
      <c r="A139" s="63" t="n">
        <v>38567</v>
      </c>
      <c r="B139" t="n">
        <v>818841</v>
      </c>
    </row>
    <row r="140">
      <c r="A140" s="63" t="n">
        <v>38574</v>
      </c>
      <c r="B140" t="n">
        <v>808544</v>
      </c>
    </row>
    <row r="141">
      <c r="A141" s="63" t="n">
        <v>38581</v>
      </c>
      <c r="B141" t="n">
        <v>813774</v>
      </c>
    </row>
    <row r="142">
      <c r="A142" s="63" t="n">
        <v>38588</v>
      </c>
      <c r="B142" t="n">
        <v>811313</v>
      </c>
    </row>
    <row r="143">
      <c r="A143" s="63" t="n">
        <v>38595</v>
      </c>
      <c r="B143" t="n">
        <v>823237</v>
      </c>
    </row>
    <row r="144">
      <c r="A144" s="63" t="n">
        <v>38602</v>
      </c>
      <c r="B144" t="n">
        <v>822500</v>
      </c>
    </row>
    <row r="145">
      <c r="A145" s="63" t="n">
        <v>38609</v>
      </c>
      <c r="B145" t="n">
        <v>823590</v>
      </c>
    </row>
    <row r="146">
      <c r="A146" s="63" t="n">
        <v>38616</v>
      </c>
      <c r="B146" t="n">
        <v>812926</v>
      </c>
    </row>
    <row r="147">
      <c r="A147" s="63" t="n">
        <v>38623</v>
      </c>
      <c r="B147" t="n">
        <v>823771</v>
      </c>
    </row>
    <row r="148">
      <c r="A148" s="63" t="n">
        <v>38630</v>
      </c>
      <c r="B148" t="n">
        <v>817137</v>
      </c>
    </row>
    <row r="149">
      <c r="A149" s="63" t="n">
        <v>38637</v>
      </c>
      <c r="B149" t="n">
        <v>826306</v>
      </c>
    </row>
    <row r="150">
      <c r="A150" s="63" t="n">
        <v>38644</v>
      </c>
      <c r="B150" t="n">
        <v>814281</v>
      </c>
    </row>
    <row r="151">
      <c r="A151" s="63" t="n">
        <v>38651</v>
      </c>
      <c r="B151" t="n">
        <v>819105</v>
      </c>
    </row>
    <row r="152">
      <c r="A152" s="63" t="n">
        <v>38658</v>
      </c>
      <c r="B152" t="n">
        <v>814571</v>
      </c>
    </row>
    <row r="153">
      <c r="A153" s="63" t="n">
        <v>38665</v>
      </c>
      <c r="B153" t="n">
        <v>824991</v>
      </c>
    </row>
    <row r="154">
      <c r="A154" s="63" t="n">
        <v>38672</v>
      </c>
      <c r="B154" t="n">
        <v>823263</v>
      </c>
    </row>
    <row r="155">
      <c r="A155" s="63" t="n">
        <v>38679</v>
      </c>
      <c r="B155" t="n">
        <v>833124</v>
      </c>
    </row>
    <row r="156">
      <c r="A156" s="63" t="n">
        <v>38686</v>
      </c>
      <c r="B156" t="n">
        <v>835059</v>
      </c>
    </row>
    <row r="157">
      <c r="A157" s="63" t="n">
        <v>38693</v>
      </c>
      <c r="B157" t="n">
        <v>833250</v>
      </c>
    </row>
    <row r="158">
      <c r="A158" s="63" t="n">
        <v>38700</v>
      </c>
      <c r="B158" t="n">
        <v>830950</v>
      </c>
    </row>
    <row r="159">
      <c r="A159" s="63" t="n">
        <v>38707</v>
      </c>
      <c r="B159" t="n">
        <v>848317</v>
      </c>
    </row>
    <row r="160">
      <c r="A160" s="63" t="n">
        <v>38714</v>
      </c>
      <c r="B160" t="n">
        <v>847700</v>
      </c>
    </row>
    <row r="161">
      <c r="A161" s="63" t="n">
        <v>38721</v>
      </c>
      <c r="B161" t="n">
        <v>851856</v>
      </c>
    </row>
    <row r="162">
      <c r="A162" s="63" t="n">
        <v>38728</v>
      </c>
      <c r="B162" t="n">
        <v>829357</v>
      </c>
    </row>
    <row r="163">
      <c r="A163" s="63" t="n">
        <v>38735</v>
      </c>
      <c r="B163" t="n">
        <v>836042</v>
      </c>
    </row>
    <row r="164">
      <c r="A164" s="63" t="n">
        <v>38742</v>
      </c>
      <c r="B164" t="n">
        <v>828901</v>
      </c>
    </row>
    <row r="165">
      <c r="A165" s="63" t="n">
        <v>38749</v>
      </c>
      <c r="B165" t="n">
        <v>831808</v>
      </c>
    </row>
    <row r="166">
      <c r="A166" s="63" t="n">
        <v>38756</v>
      </c>
      <c r="B166" t="n">
        <v>827613</v>
      </c>
    </row>
    <row r="167">
      <c r="A167" s="63" t="n">
        <v>38763</v>
      </c>
      <c r="B167" t="n">
        <v>835240</v>
      </c>
    </row>
    <row r="168">
      <c r="A168" s="63" t="n">
        <v>38770</v>
      </c>
      <c r="B168" t="n">
        <v>840555</v>
      </c>
    </row>
    <row r="169">
      <c r="A169" s="63" t="n">
        <v>38777</v>
      </c>
      <c r="B169" t="n">
        <v>839356</v>
      </c>
    </row>
    <row r="170">
      <c r="A170" s="63" t="n">
        <v>38784</v>
      </c>
      <c r="B170" t="n">
        <v>839234</v>
      </c>
    </row>
    <row r="171">
      <c r="A171" s="63" t="n">
        <v>38791</v>
      </c>
      <c r="B171" t="n">
        <v>843010</v>
      </c>
    </row>
    <row r="172">
      <c r="A172" s="63" t="n">
        <v>38798</v>
      </c>
      <c r="B172" t="n">
        <v>838003</v>
      </c>
    </row>
    <row r="173">
      <c r="A173" s="63" t="n">
        <v>38805</v>
      </c>
      <c r="B173" t="n">
        <v>833675</v>
      </c>
    </row>
    <row r="174">
      <c r="A174" s="63" t="n">
        <v>38812</v>
      </c>
      <c r="B174" t="n">
        <v>834589</v>
      </c>
    </row>
    <row r="175">
      <c r="A175" s="63" t="n">
        <v>38819</v>
      </c>
      <c r="B175" t="n">
        <v>836862</v>
      </c>
    </row>
    <row r="176">
      <c r="A176" s="63" t="n">
        <v>38826</v>
      </c>
      <c r="B176" t="n">
        <v>836352</v>
      </c>
    </row>
    <row r="177">
      <c r="A177" s="63" t="n">
        <v>38833</v>
      </c>
      <c r="B177" t="n">
        <v>844572</v>
      </c>
    </row>
    <row r="178">
      <c r="A178" s="63" t="n">
        <v>38840</v>
      </c>
      <c r="B178" t="n">
        <v>843867</v>
      </c>
    </row>
    <row r="179">
      <c r="A179" s="63" t="n">
        <v>38847</v>
      </c>
      <c r="B179" t="n">
        <v>838405</v>
      </c>
    </row>
    <row r="180">
      <c r="A180" s="63" t="n">
        <v>38854</v>
      </c>
      <c r="B180" t="n">
        <v>838153</v>
      </c>
    </row>
    <row r="181">
      <c r="A181" s="63" t="n">
        <v>38861</v>
      </c>
      <c r="B181" t="n">
        <v>840251</v>
      </c>
    </row>
    <row r="182">
      <c r="A182" s="63" t="n">
        <v>38868</v>
      </c>
      <c r="B182" t="n">
        <v>851580</v>
      </c>
    </row>
    <row r="183">
      <c r="A183" s="63" t="n">
        <v>38875</v>
      </c>
      <c r="B183" t="n">
        <v>849074</v>
      </c>
    </row>
    <row r="184">
      <c r="A184" s="63" t="n">
        <v>38882</v>
      </c>
      <c r="B184" t="n">
        <v>845869</v>
      </c>
    </row>
    <row r="185">
      <c r="A185" s="63" t="n">
        <v>38889</v>
      </c>
      <c r="B185" t="n">
        <v>844773</v>
      </c>
    </row>
    <row r="186">
      <c r="A186" s="63" t="n">
        <v>38896</v>
      </c>
      <c r="B186" t="n">
        <v>844436</v>
      </c>
    </row>
    <row r="187">
      <c r="A187" s="63" t="n">
        <v>38903</v>
      </c>
      <c r="B187" t="n">
        <v>851659</v>
      </c>
    </row>
    <row r="188">
      <c r="A188" s="63" t="n">
        <v>38910</v>
      </c>
      <c r="B188" t="n">
        <v>844391</v>
      </c>
    </row>
    <row r="189">
      <c r="A189" s="63" t="n">
        <v>38917</v>
      </c>
      <c r="B189" t="n">
        <v>849894</v>
      </c>
    </row>
    <row r="190">
      <c r="A190" s="63" t="n">
        <v>38924</v>
      </c>
      <c r="B190" t="n">
        <v>841552</v>
      </c>
    </row>
    <row r="191">
      <c r="A191" s="63" t="n">
        <v>38931</v>
      </c>
      <c r="B191" t="n">
        <v>850263</v>
      </c>
    </row>
    <row r="192">
      <c r="A192" s="63" t="n">
        <v>38938</v>
      </c>
      <c r="B192" t="n">
        <v>840006</v>
      </c>
    </row>
    <row r="193">
      <c r="A193" s="63" t="n">
        <v>38945</v>
      </c>
      <c r="B193" t="n">
        <v>842876</v>
      </c>
    </row>
    <row r="194">
      <c r="A194" s="63" t="n">
        <v>38952</v>
      </c>
      <c r="B194" t="n">
        <v>837987</v>
      </c>
    </row>
    <row r="195">
      <c r="A195" s="63" t="n">
        <v>38959</v>
      </c>
      <c r="B195" t="n">
        <v>850925</v>
      </c>
    </row>
    <row r="196">
      <c r="A196" s="63" t="n">
        <v>38966</v>
      </c>
      <c r="B196" t="n">
        <v>848594</v>
      </c>
    </row>
    <row r="197">
      <c r="A197" s="63" t="n">
        <v>38973</v>
      </c>
      <c r="B197" t="n">
        <v>840886</v>
      </c>
    </row>
    <row r="198">
      <c r="A198" s="63" t="n">
        <v>38980</v>
      </c>
      <c r="B198" t="n">
        <v>838192</v>
      </c>
    </row>
    <row r="199">
      <c r="A199" s="63" t="n">
        <v>38987</v>
      </c>
      <c r="B199" t="n">
        <v>849971</v>
      </c>
    </row>
    <row r="200">
      <c r="A200" s="63" t="n">
        <v>38994</v>
      </c>
      <c r="B200" t="n">
        <v>842296</v>
      </c>
    </row>
    <row r="201">
      <c r="A201" s="63" t="n">
        <v>39001</v>
      </c>
      <c r="B201" t="n">
        <v>859339</v>
      </c>
    </row>
    <row r="202">
      <c r="A202" s="63" t="n">
        <v>39008</v>
      </c>
      <c r="B202" t="n">
        <v>844200</v>
      </c>
    </row>
    <row r="203">
      <c r="A203" s="63" t="n">
        <v>39015</v>
      </c>
      <c r="B203" t="n">
        <v>852648</v>
      </c>
    </row>
    <row r="204">
      <c r="A204" s="63" t="n">
        <v>39022</v>
      </c>
      <c r="B204" t="n">
        <v>855536</v>
      </c>
    </row>
    <row r="205">
      <c r="A205" s="63" t="n">
        <v>39029</v>
      </c>
      <c r="B205" t="n">
        <v>858630</v>
      </c>
    </row>
    <row r="206">
      <c r="A206" s="63" t="n">
        <v>39036</v>
      </c>
      <c r="B206" t="n">
        <v>855551</v>
      </c>
    </row>
    <row r="207">
      <c r="A207" s="63" t="n">
        <v>39043</v>
      </c>
      <c r="B207" t="n">
        <v>865126</v>
      </c>
    </row>
    <row r="208">
      <c r="A208" s="63" t="n">
        <v>39050</v>
      </c>
      <c r="B208" t="n">
        <v>856671</v>
      </c>
    </row>
    <row r="209">
      <c r="A209" s="63" t="n">
        <v>39057</v>
      </c>
      <c r="B209" t="n">
        <v>862178</v>
      </c>
    </row>
    <row r="210">
      <c r="A210" s="63" t="n">
        <v>39064</v>
      </c>
      <c r="B210" t="n">
        <v>853851</v>
      </c>
    </row>
    <row r="211">
      <c r="A211" s="63" t="n">
        <v>39071</v>
      </c>
      <c r="B211" t="n">
        <v>865010</v>
      </c>
    </row>
    <row r="212">
      <c r="A212" s="63" t="n">
        <v>39078</v>
      </c>
      <c r="B212" t="n">
        <v>869988</v>
      </c>
    </row>
    <row r="213">
      <c r="A213" s="63" t="n">
        <v>39085</v>
      </c>
      <c r="B213" t="n">
        <v>874626</v>
      </c>
    </row>
    <row r="214">
      <c r="A214" s="63" t="n">
        <v>39092</v>
      </c>
      <c r="B214" t="n">
        <v>854819</v>
      </c>
    </row>
    <row r="215">
      <c r="A215" s="63" t="n">
        <v>39099</v>
      </c>
      <c r="B215" t="n">
        <v>859363</v>
      </c>
    </row>
    <row r="216">
      <c r="A216" s="63" t="n">
        <v>39106</v>
      </c>
      <c r="B216" t="n">
        <v>851755</v>
      </c>
    </row>
    <row r="217">
      <c r="A217" s="63" t="n">
        <v>39113</v>
      </c>
      <c r="B217" t="n">
        <v>865730</v>
      </c>
    </row>
    <row r="218">
      <c r="A218" s="63" t="n">
        <v>39120</v>
      </c>
      <c r="B218" t="n">
        <v>855057</v>
      </c>
    </row>
    <row r="219">
      <c r="A219" s="63" t="n">
        <v>39127</v>
      </c>
      <c r="B219" t="n">
        <v>867199</v>
      </c>
    </row>
    <row r="220">
      <c r="A220" s="63" t="n">
        <v>39134</v>
      </c>
      <c r="B220" t="n">
        <v>869235</v>
      </c>
    </row>
    <row r="221">
      <c r="A221" s="63" t="n">
        <v>39141</v>
      </c>
      <c r="B221" t="n">
        <v>877409</v>
      </c>
    </row>
    <row r="222">
      <c r="A222" s="63" t="n">
        <v>39148</v>
      </c>
      <c r="B222" t="n">
        <v>864505</v>
      </c>
    </row>
    <row r="223">
      <c r="A223" s="63" t="n">
        <v>39155</v>
      </c>
      <c r="B223" t="n">
        <v>876108</v>
      </c>
    </row>
    <row r="224">
      <c r="A224" s="63" t="n">
        <v>39162</v>
      </c>
      <c r="B224" t="n">
        <v>863067</v>
      </c>
    </row>
    <row r="225">
      <c r="A225" s="63" t="n">
        <v>39169</v>
      </c>
      <c r="B225" t="n">
        <v>869803</v>
      </c>
    </row>
    <row r="226">
      <c r="A226" s="63" t="n">
        <v>39176</v>
      </c>
      <c r="B226" t="n">
        <v>862319</v>
      </c>
    </row>
    <row r="227">
      <c r="A227" s="63" t="n">
        <v>39183</v>
      </c>
      <c r="B227" t="n">
        <v>865441</v>
      </c>
    </row>
    <row r="228">
      <c r="A228" s="63" t="n">
        <v>39190</v>
      </c>
      <c r="B228" t="n">
        <v>861335</v>
      </c>
    </row>
    <row r="229">
      <c r="A229" s="63" t="n">
        <v>39197</v>
      </c>
      <c r="B229" t="n">
        <v>879686</v>
      </c>
    </row>
    <row r="230">
      <c r="A230" s="63" t="n">
        <v>39204</v>
      </c>
      <c r="B230" t="n">
        <v>890857</v>
      </c>
    </row>
    <row r="231">
      <c r="A231" s="63" t="n">
        <v>39211</v>
      </c>
      <c r="B231" t="n">
        <v>875270</v>
      </c>
    </row>
    <row r="232">
      <c r="A232" s="63" t="n">
        <v>39218</v>
      </c>
      <c r="B232" t="n">
        <v>859559</v>
      </c>
    </row>
    <row r="233">
      <c r="A233" s="63" t="n">
        <v>39225</v>
      </c>
      <c r="B233" t="n">
        <v>873935</v>
      </c>
    </row>
    <row r="234">
      <c r="A234" s="63" t="n">
        <v>39232</v>
      </c>
      <c r="B234" t="n">
        <v>876986</v>
      </c>
    </row>
    <row r="235">
      <c r="A235" s="63" t="n">
        <v>39239</v>
      </c>
      <c r="B235" t="n">
        <v>872706</v>
      </c>
    </row>
    <row r="236">
      <c r="A236" s="63" t="n">
        <v>39246</v>
      </c>
      <c r="B236" t="n">
        <v>864989</v>
      </c>
    </row>
    <row r="237">
      <c r="A237" s="63" t="n">
        <v>39253</v>
      </c>
      <c r="B237" t="n">
        <v>866089</v>
      </c>
    </row>
    <row r="238">
      <c r="A238" s="63" t="n">
        <v>39260</v>
      </c>
      <c r="B238" t="n">
        <v>865105</v>
      </c>
    </row>
    <row r="239">
      <c r="A239" s="63" t="n">
        <v>39267</v>
      </c>
      <c r="B239" t="n">
        <v>876611</v>
      </c>
    </row>
    <row r="240">
      <c r="A240" s="63" t="n">
        <v>39274</v>
      </c>
      <c r="B240" t="n">
        <v>869407</v>
      </c>
    </row>
    <row r="241">
      <c r="A241" s="63" t="n">
        <v>39281</v>
      </c>
      <c r="B241" t="n">
        <v>872916</v>
      </c>
    </row>
    <row r="242">
      <c r="A242" s="63" t="n">
        <v>39288</v>
      </c>
      <c r="B242" t="n">
        <v>863890</v>
      </c>
    </row>
    <row r="243">
      <c r="A243" s="63" t="n">
        <v>39295</v>
      </c>
      <c r="B243" t="n">
        <v>870261</v>
      </c>
    </row>
    <row r="244">
      <c r="A244" s="63" t="n">
        <v>39302</v>
      </c>
      <c r="B244" t="n">
        <v>865453</v>
      </c>
    </row>
    <row r="245">
      <c r="A245" s="63" t="n">
        <v>39309</v>
      </c>
      <c r="B245" t="n">
        <v>864931</v>
      </c>
    </row>
    <row r="246">
      <c r="A246" s="63" t="n">
        <v>39316</v>
      </c>
      <c r="B246" t="n">
        <v>862775</v>
      </c>
    </row>
    <row r="247">
      <c r="A247" s="63" t="n">
        <v>39323</v>
      </c>
      <c r="B247" t="n">
        <v>872873</v>
      </c>
    </row>
    <row r="248">
      <c r="A248" s="63" t="n">
        <v>39330</v>
      </c>
      <c r="B248" t="n">
        <v>871156</v>
      </c>
    </row>
    <row r="249">
      <c r="A249" s="63" t="n">
        <v>39337</v>
      </c>
      <c r="B249" t="n">
        <v>886314</v>
      </c>
    </row>
    <row r="250">
      <c r="A250" s="63" t="n">
        <v>39344</v>
      </c>
      <c r="B250" t="n">
        <v>867732</v>
      </c>
    </row>
    <row r="251">
      <c r="A251" s="63" t="n">
        <v>39351</v>
      </c>
      <c r="B251" t="n">
        <v>889900</v>
      </c>
    </row>
    <row r="252">
      <c r="A252" s="63" t="n">
        <v>39358</v>
      </c>
      <c r="B252" t="n">
        <v>869051</v>
      </c>
    </row>
    <row r="253">
      <c r="A253" s="63" t="n">
        <v>39365</v>
      </c>
      <c r="B253" t="n">
        <v>886363</v>
      </c>
    </row>
    <row r="254">
      <c r="A254" s="63" t="n">
        <v>39372</v>
      </c>
      <c r="B254" t="n">
        <v>869509</v>
      </c>
    </row>
    <row r="255">
      <c r="A255" s="63" t="n">
        <v>39379</v>
      </c>
      <c r="B255" t="n">
        <v>881395</v>
      </c>
    </row>
    <row r="256">
      <c r="A256" s="63" t="n">
        <v>39386</v>
      </c>
      <c r="B256" t="n">
        <v>883385</v>
      </c>
    </row>
    <row r="257">
      <c r="A257" s="63" t="n">
        <v>39393</v>
      </c>
      <c r="B257" t="n">
        <v>885724</v>
      </c>
    </row>
    <row r="258">
      <c r="A258" s="63" t="n">
        <v>39400</v>
      </c>
      <c r="B258" t="n">
        <v>889537</v>
      </c>
    </row>
    <row r="259">
      <c r="A259" s="63" t="n">
        <v>39407</v>
      </c>
      <c r="B259" t="n">
        <v>891028</v>
      </c>
    </row>
    <row r="260">
      <c r="A260" s="63" t="n">
        <v>39414</v>
      </c>
      <c r="B260" t="n">
        <v>879417</v>
      </c>
    </row>
    <row r="261">
      <c r="A261" s="63" t="n">
        <v>39421</v>
      </c>
      <c r="B261" t="n">
        <v>882764</v>
      </c>
    </row>
    <row r="262">
      <c r="A262" s="63" t="n">
        <v>39428</v>
      </c>
      <c r="B262" t="n">
        <v>881750</v>
      </c>
    </row>
    <row r="263">
      <c r="A263" s="63" t="n">
        <v>39435</v>
      </c>
      <c r="B263" t="n">
        <v>887983</v>
      </c>
    </row>
    <row r="264">
      <c r="A264" s="63" t="n">
        <v>39442</v>
      </c>
      <c r="B264" t="n">
        <v>890662</v>
      </c>
    </row>
    <row r="265">
      <c r="A265" s="63" t="n">
        <v>39449</v>
      </c>
      <c r="B265" t="n">
        <v>922187</v>
      </c>
    </row>
    <row r="266">
      <c r="A266" s="63" t="n">
        <v>39456</v>
      </c>
      <c r="B266" t="n">
        <v>880754</v>
      </c>
    </row>
    <row r="267">
      <c r="A267" s="63" t="n">
        <v>39463</v>
      </c>
      <c r="B267" t="n">
        <v>893581</v>
      </c>
    </row>
    <row r="268">
      <c r="A268" s="63" t="n">
        <v>39470</v>
      </c>
      <c r="B268" t="n">
        <v>877253</v>
      </c>
    </row>
    <row r="269">
      <c r="A269" s="63" t="n">
        <v>39477</v>
      </c>
      <c r="B269" t="n">
        <v>900264</v>
      </c>
    </row>
    <row r="270">
      <c r="A270" s="63" t="n">
        <v>39484</v>
      </c>
      <c r="B270" t="n">
        <v>871022</v>
      </c>
    </row>
    <row r="271">
      <c r="A271" s="63" t="n">
        <v>39491</v>
      </c>
      <c r="B271" t="n">
        <v>883005</v>
      </c>
    </row>
    <row r="272">
      <c r="A272" s="63" t="n">
        <v>39498</v>
      </c>
      <c r="B272" t="n">
        <v>878949</v>
      </c>
    </row>
    <row r="273">
      <c r="A273" s="63" t="n">
        <v>39505</v>
      </c>
      <c r="B273" t="n">
        <v>893825</v>
      </c>
    </row>
    <row r="274">
      <c r="A274" s="63" t="n">
        <v>39512</v>
      </c>
      <c r="B274" t="n">
        <v>881208</v>
      </c>
    </row>
    <row r="275">
      <c r="A275" s="63" t="n">
        <v>39519</v>
      </c>
      <c r="B275" t="n">
        <v>896565</v>
      </c>
    </row>
    <row r="276">
      <c r="A276" s="63" t="n">
        <v>39526</v>
      </c>
      <c r="B276" t="n">
        <v>888646</v>
      </c>
    </row>
    <row r="277">
      <c r="A277" s="63" t="n">
        <v>39533</v>
      </c>
      <c r="B277" t="n">
        <v>893965</v>
      </c>
    </row>
    <row r="278">
      <c r="A278" s="63" t="n">
        <v>39540</v>
      </c>
      <c r="B278" t="n">
        <v>883708</v>
      </c>
    </row>
    <row r="279">
      <c r="A279" s="63" t="n">
        <v>39547</v>
      </c>
      <c r="B279" t="n">
        <v>893029</v>
      </c>
    </row>
    <row r="280">
      <c r="A280" s="63" t="n">
        <v>39554</v>
      </c>
      <c r="B280" t="n">
        <v>881904</v>
      </c>
    </row>
    <row r="281">
      <c r="A281" s="63" t="n">
        <v>39561</v>
      </c>
      <c r="B281" t="n">
        <v>885781</v>
      </c>
    </row>
    <row r="282">
      <c r="A282" s="63" t="n">
        <v>39568</v>
      </c>
      <c r="B282" t="n">
        <v>888131</v>
      </c>
    </row>
    <row r="283">
      <c r="A283" s="63" t="n">
        <v>39575</v>
      </c>
      <c r="B283" t="n">
        <v>889228</v>
      </c>
    </row>
    <row r="284">
      <c r="A284" s="63" t="n">
        <v>39582</v>
      </c>
      <c r="B284" t="n">
        <v>880175</v>
      </c>
    </row>
    <row r="285">
      <c r="A285" s="63" t="n">
        <v>39589</v>
      </c>
      <c r="B285" t="n">
        <v>898487</v>
      </c>
    </row>
    <row r="286">
      <c r="A286" s="63" t="n">
        <v>39596</v>
      </c>
      <c r="B286" t="n">
        <v>904054</v>
      </c>
    </row>
    <row r="287">
      <c r="A287" s="63" t="n">
        <v>39603</v>
      </c>
      <c r="B287" t="n">
        <v>895939</v>
      </c>
    </row>
    <row r="288">
      <c r="A288" s="63" t="n">
        <v>39610</v>
      </c>
      <c r="B288" t="n">
        <v>890610</v>
      </c>
    </row>
    <row r="289">
      <c r="A289" s="63" t="n">
        <v>39617</v>
      </c>
      <c r="B289" t="n">
        <v>902304</v>
      </c>
    </row>
    <row r="290">
      <c r="A290" s="63" t="n">
        <v>39624</v>
      </c>
      <c r="B290" t="n">
        <v>892713</v>
      </c>
    </row>
    <row r="291">
      <c r="A291" s="63" t="n">
        <v>39631</v>
      </c>
      <c r="B291" t="n">
        <v>902962</v>
      </c>
    </row>
    <row r="292">
      <c r="A292" s="63" t="n">
        <v>39638</v>
      </c>
      <c r="B292" t="n">
        <v>898034</v>
      </c>
    </row>
    <row r="293">
      <c r="A293" s="63" t="n">
        <v>39645</v>
      </c>
      <c r="B293" t="n">
        <v>910681</v>
      </c>
    </row>
    <row r="294">
      <c r="A294" s="63" t="n">
        <v>39652</v>
      </c>
      <c r="B294" t="n">
        <v>899665</v>
      </c>
    </row>
    <row r="295">
      <c r="A295" s="63" t="n">
        <v>39659</v>
      </c>
      <c r="B295" t="n">
        <v>918625</v>
      </c>
    </row>
    <row r="296">
      <c r="A296" s="63" t="n">
        <v>39666</v>
      </c>
      <c r="B296" t="n">
        <v>901710</v>
      </c>
    </row>
    <row r="297">
      <c r="A297" s="63" t="n">
        <v>39673</v>
      </c>
      <c r="B297" t="n">
        <v>914632</v>
      </c>
    </row>
    <row r="298">
      <c r="A298" s="63" t="n">
        <v>39680</v>
      </c>
      <c r="B298" t="n">
        <v>898611</v>
      </c>
    </row>
    <row r="299">
      <c r="A299" s="63" t="n">
        <v>39687</v>
      </c>
      <c r="B299" t="n">
        <v>909982</v>
      </c>
    </row>
    <row r="300">
      <c r="A300" s="63" t="n">
        <v>39694</v>
      </c>
      <c r="B300" t="n">
        <v>905253</v>
      </c>
    </row>
    <row r="301">
      <c r="A301" s="63" t="n">
        <v>39701</v>
      </c>
      <c r="B301" t="n">
        <v>925725</v>
      </c>
    </row>
    <row r="302">
      <c r="A302" s="63" t="n">
        <v>39708</v>
      </c>
      <c r="B302" t="n">
        <v>995093</v>
      </c>
    </row>
    <row r="303">
      <c r="A303" s="63" t="n">
        <v>39715</v>
      </c>
      <c r="B303" t="n">
        <v>1211825</v>
      </c>
    </row>
    <row r="304">
      <c r="A304" s="63" t="n">
        <v>39722</v>
      </c>
      <c r="B304" t="n">
        <v>1503989</v>
      </c>
    </row>
    <row r="305">
      <c r="A305" s="63" t="n">
        <v>39729</v>
      </c>
      <c r="B305" t="n">
        <v>1591587</v>
      </c>
    </row>
    <row r="306">
      <c r="A306" s="63" t="n">
        <v>39736</v>
      </c>
      <c r="B306" t="n">
        <v>1770809</v>
      </c>
    </row>
    <row r="307">
      <c r="A307" s="63" t="n">
        <v>39743</v>
      </c>
      <c r="B307" t="n">
        <v>1802602</v>
      </c>
    </row>
    <row r="308">
      <c r="A308" s="63" t="n">
        <v>39750</v>
      </c>
      <c r="B308" t="n">
        <v>1969086</v>
      </c>
    </row>
    <row r="309">
      <c r="A309" s="63" t="n">
        <v>39757</v>
      </c>
      <c r="B309" t="n">
        <v>2074205</v>
      </c>
    </row>
    <row r="310">
      <c r="A310" s="63" t="n">
        <v>39764</v>
      </c>
      <c r="B310" t="n">
        <v>2212852</v>
      </c>
    </row>
    <row r="311">
      <c r="A311" s="63" t="n">
        <v>39771</v>
      </c>
      <c r="B311" t="n">
        <v>2187137</v>
      </c>
    </row>
    <row r="312">
      <c r="A312" s="63" t="n">
        <v>39778</v>
      </c>
      <c r="B312" t="n">
        <v>2106117</v>
      </c>
    </row>
    <row r="313">
      <c r="A313" s="63" t="n">
        <v>39785</v>
      </c>
      <c r="B313" t="n">
        <v>2136924</v>
      </c>
    </row>
    <row r="314">
      <c r="A314" s="63" t="n">
        <v>39792</v>
      </c>
      <c r="B314" t="n">
        <v>2250012</v>
      </c>
    </row>
    <row r="315">
      <c r="A315" s="63" t="n">
        <v>39799</v>
      </c>
      <c r="B315" t="n">
        <v>2254983</v>
      </c>
    </row>
    <row r="316">
      <c r="A316" s="63" t="n">
        <v>39806</v>
      </c>
      <c r="B316" t="n">
        <v>2232311</v>
      </c>
    </row>
    <row r="317">
      <c r="A317" s="63" t="n">
        <v>39813</v>
      </c>
      <c r="B317" t="n">
        <v>2239457</v>
      </c>
    </row>
    <row r="318">
      <c r="A318" s="63" t="n">
        <v>39820</v>
      </c>
      <c r="B318" t="n">
        <v>2121439</v>
      </c>
    </row>
    <row r="319">
      <c r="A319" s="63" t="n">
        <v>39827</v>
      </c>
      <c r="B319" t="n">
        <v>2049714</v>
      </c>
    </row>
    <row r="320">
      <c r="A320" s="63" t="n">
        <v>39834</v>
      </c>
      <c r="B320" t="n">
        <v>2037112</v>
      </c>
    </row>
    <row r="321">
      <c r="A321" s="63" t="n">
        <v>39841</v>
      </c>
      <c r="B321" t="n">
        <v>1927082</v>
      </c>
    </row>
    <row r="322">
      <c r="A322" s="63" t="n">
        <v>39848</v>
      </c>
      <c r="B322" t="n">
        <v>1851437</v>
      </c>
    </row>
    <row r="323">
      <c r="A323" s="63" t="n">
        <v>39855</v>
      </c>
      <c r="B323" t="n">
        <v>1843400</v>
      </c>
    </row>
    <row r="324">
      <c r="A324" s="63" t="n">
        <v>39862</v>
      </c>
      <c r="B324" t="n">
        <v>1915562</v>
      </c>
    </row>
    <row r="325">
      <c r="A325" s="63" t="n">
        <v>39869</v>
      </c>
      <c r="B325" t="n">
        <v>1916115</v>
      </c>
    </row>
    <row r="326">
      <c r="A326" s="63" t="n">
        <v>39876</v>
      </c>
      <c r="B326" t="n">
        <v>1901317</v>
      </c>
    </row>
    <row r="327">
      <c r="A327" s="63" t="n">
        <v>39883</v>
      </c>
      <c r="B327" t="n">
        <v>1899514</v>
      </c>
    </row>
    <row r="328">
      <c r="A328" s="63" t="n">
        <v>39890</v>
      </c>
      <c r="B328" t="n">
        <v>2066942</v>
      </c>
    </row>
    <row r="329">
      <c r="A329" s="63" t="n">
        <v>39897</v>
      </c>
      <c r="B329" t="n">
        <v>2071556</v>
      </c>
    </row>
    <row r="330">
      <c r="A330" s="63" t="n">
        <v>39904</v>
      </c>
      <c r="B330" t="n">
        <v>2078936</v>
      </c>
    </row>
    <row r="331">
      <c r="A331" s="63" t="n">
        <v>39911</v>
      </c>
      <c r="B331" t="n">
        <v>2088573</v>
      </c>
    </row>
    <row r="332">
      <c r="A332" s="63" t="n">
        <v>39918</v>
      </c>
      <c r="B332" t="n">
        <v>2186498</v>
      </c>
    </row>
    <row r="333">
      <c r="A333" s="63" t="n">
        <v>39925</v>
      </c>
      <c r="B333" t="n">
        <v>2196812</v>
      </c>
    </row>
    <row r="334">
      <c r="A334" s="63" t="n">
        <v>39932</v>
      </c>
      <c r="B334" t="n">
        <v>2066712</v>
      </c>
    </row>
    <row r="335">
      <c r="A335" s="63" t="n">
        <v>39939</v>
      </c>
      <c r="B335" t="n">
        <v>2079758</v>
      </c>
    </row>
    <row r="336">
      <c r="A336" s="63" t="n">
        <v>39946</v>
      </c>
      <c r="B336" t="n">
        <v>2196351</v>
      </c>
    </row>
    <row r="337">
      <c r="A337" s="63" t="n">
        <v>39953</v>
      </c>
      <c r="B337" t="n">
        <v>2181632</v>
      </c>
    </row>
    <row r="338">
      <c r="A338" s="63" t="n">
        <v>39960</v>
      </c>
      <c r="B338" t="n">
        <v>2080115</v>
      </c>
    </row>
    <row r="339">
      <c r="A339" s="63" t="n">
        <v>39967</v>
      </c>
      <c r="B339" t="n">
        <v>2077695</v>
      </c>
    </row>
    <row r="340">
      <c r="A340" s="63" t="n">
        <v>39974</v>
      </c>
      <c r="B340" t="n">
        <v>2052297</v>
      </c>
    </row>
    <row r="341">
      <c r="A341" s="63" t="n">
        <v>39981</v>
      </c>
      <c r="B341" t="n">
        <v>2072527</v>
      </c>
    </row>
    <row r="342">
      <c r="A342" s="63" t="n">
        <v>39988</v>
      </c>
      <c r="B342" t="n">
        <v>2025571</v>
      </c>
    </row>
    <row r="343">
      <c r="A343" s="63" t="n">
        <v>39995</v>
      </c>
      <c r="B343" t="n">
        <v>2005627</v>
      </c>
    </row>
    <row r="344">
      <c r="A344" s="63" t="n">
        <v>40002</v>
      </c>
      <c r="B344" t="n">
        <v>1992740</v>
      </c>
    </row>
    <row r="345">
      <c r="A345" s="63" t="n">
        <v>40009</v>
      </c>
      <c r="B345" t="n">
        <v>2072451</v>
      </c>
    </row>
    <row r="346">
      <c r="A346" s="63" t="n">
        <v>40016</v>
      </c>
      <c r="B346" t="n">
        <v>2039001</v>
      </c>
    </row>
    <row r="347">
      <c r="A347" s="63" t="n">
        <v>40023</v>
      </c>
      <c r="B347" t="n">
        <v>2000547</v>
      </c>
    </row>
    <row r="348">
      <c r="A348" s="63" t="n">
        <v>40030</v>
      </c>
      <c r="B348" t="n">
        <v>1989203</v>
      </c>
    </row>
    <row r="349">
      <c r="A349" s="63" t="n">
        <v>40037</v>
      </c>
      <c r="B349" t="n">
        <v>2014899</v>
      </c>
    </row>
    <row r="350">
      <c r="A350" s="63" t="n">
        <v>40044</v>
      </c>
      <c r="B350" t="n">
        <v>2060641</v>
      </c>
    </row>
    <row r="351">
      <c r="A351" s="63" t="n">
        <v>40051</v>
      </c>
      <c r="B351" t="n">
        <v>2074902</v>
      </c>
    </row>
    <row r="352">
      <c r="A352" s="63" t="n">
        <v>40058</v>
      </c>
      <c r="B352" t="n">
        <v>2083720</v>
      </c>
    </row>
    <row r="353">
      <c r="A353" s="63" t="n">
        <v>40065</v>
      </c>
      <c r="B353" t="n">
        <v>2087946</v>
      </c>
    </row>
    <row r="354">
      <c r="A354" s="63" t="n">
        <v>40072</v>
      </c>
      <c r="B354" t="n">
        <v>2139783</v>
      </c>
    </row>
    <row r="355">
      <c r="A355" s="63" t="n">
        <v>40079</v>
      </c>
      <c r="B355" t="n">
        <v>2158631</v>
      </c>
    </row>
    <row r="356">
      <c r="A356" s="63" t="n">
        <v>40086</v>
      </c>
      <c r="B356" t="n">
        <v>2141020</v>
      </c>
    </row>
    <row r="357">
      <c r="A357" s="63" t="n">
        <v>40093</v>
      </c>
      <c r="B357" t="n">
        <v>2138086</v>
      </c>
    </row>
    <row r="358">
      <c r="A358" s="63" t="n">
        <v>40100</v>
      </c>
      <c r="B358" t="n">
        <v>2192787</v>
      </c>
    </row>
    <row r="359">
      <c r="A359" s="63" t="n">
        <v>40107</v>
      </c>
      <c r="B359" t="n">
        <v>2201119</v>
      </c>
    </row>
    <row r="360">
      <c r="A360" s="63" t="n">
        <v>40114</v>
      </c>
      <c r="B360" t="n">
        <v>2161537</v>
      </c>
    </row>
    <row r="361">
      <c r="A361" s="63" t="n">
        <v>40121</v>
      </c>
      <c r="B361" t="n">
        <v>2165067</v>
      </c>
    </row>
    <row r="362">
      <c r="A362" s="63" t="n">
        <v>40128</v>
      </c>
      <c r="B362" t="n">
        <v>2135035</v>
      </c>
    </row>
    <row r="363">
      <c r="A363" s="63" t="n">
        <v>40135</v>
      </c>
      <c r="B363" t="n">
        <v>2208721</v>
      </c>
    </row>
    <row r="364">
      <c r="A364" s="63" t="n">
        <v>40142</v>
      </c>
      <c r="B364" t="n">
        <v>2206359</v>
      </c>
    </row>
    <row r="365">
      <c r="A365" s="63" t="n">
        <v>40149</v>
      </c>
      <c r="B365" t="n">
        <v>2204074</v>
      </c>
    </row>
    <row r="366">
      <c r="A366" s="63" t="n">
        <v>40156</v>
      </c>
      <c r="B366" t="n">
        <v>2186383</v>
      </c>
    </row>
    <row r="367">
      <c r="A367" s="63" t="n">
        <v>40163</v>
      </c>
      <c r="B367" t="n">
        <v>2235763</v>
      </c>
    </row>
    <row r="368">
      <c r="A368" s="63" t="n">
        <v>40170</v>
      </c>
      <c r="B368" t="n">
        <v>2235803</v>
      </c>
    </row>
    <row r="369">
      <c r="A369" s="63" t="n">
        <v>40177</v>
      </c>
      <c r="B369" t="n">
        <v>2234067</v>
      </c>
    </row>
    <row r="370">
      <c r="A370" s="63" t="n">
        <v>40184</v>
      </c>
      <c r="B370" t="n">
        <v>2235304</v>
      </c>
    </row>
    <row r="371">
      <c r="A371" s="63" t="n">
        <v>40191</v>
      </c>
      <c r="B371" t="n">
        <v>2291700</v>
      </c>
    </row>
    <row r="372">
      <c r="A372" s="63" t="n">
        <v>40198</v>
      </c>
      <c r="B372" t="n">
        <v>2251806</v>
      </c>
    </row>
    <row r="373">
      <c r="A373" s="63" t="n">
        <v>40205</v>
      </c>
      <c r="B373" t="n">
        <v>2246886</v>
      </c>
    </row>
    <row r="374">
      <c r="A374" s="63" t="n">
        <v>40212</v>
      </c>
      <c r="B374" t="n">
        <v>2249319</v>
      </c>
    </row>
    <row r="375">
      <c r="A375" s="63" t="n">
        <v>40219</v>
      </c>
      <c r="B375" t="n">
        <v>2256679</v>
      </c>
    </row>
    <row r="376">
      <c r="A376" s="63" t="n">
        <v>40226</v>
      </c>
      <c r="B376" t="n">
        <v>2277574</v>
      </c>
    </row>
    <row r="377">
      <c r="A377" s="63" t="n">
        <v>40233</v>
      </c>
      <c r="B377" t="n">
        <v>2286127</v>
      </c>
    </row>
    <row r="378">
      <c r="A378" s="63" t="n">
        <v>40240</v>
      </c>
      <c r="B378" t="n">
        <v>2280147</v>
      </c>
    </row>
    <row r="379">
      <c r="A379" s="63" t="n">
        <v>40247</v>
      </c>
      <c r="B379" t="n">
        <v>2282474</v>
      </c>
    </row>
    <row r="380">
      <c r="A380" s="63" t="n">
        <v>40254</v>
      </c>
      <c r="B380" t="n">
        <v>2307997</v>
      </c>
    </row>
    <row r="381">
      <c r="A381" s="63" t="n">
        <v>40261</v>
      </c>
      <c r="B381" t="n">
        <v>2313149</v>
      </c>
    </row>
    <row r="382">
      <c r="A382" s="63" t="n">
        <v>40268</v>
      </c>
      <c r="B382" t="n">
        <v>2307150</v>
      </c>
    </row>
    <row r="383">
      <c r="A383" s="63" t="n">
        <v>40275</v>
      </c>
      <c r="B383" t="n">
        <v>2307575</v>
      </c>
    </row>
    <row r="384">
      <c r="A384" s="63" t="n">
        <v>40282</v>
      </c>
      <c r="B384" t="n">
        <v>2339345</v>
      </c>
    </row>
    <row r="385">
      <c r="A385" s="63" t="n">
        <v>40289</v>
      </c>
      <c r="B385" t="n">
        <v>2337556</v>
      </c>
    </row>
    <row r="386">
      <c r="A386" s="63" t="n">
        <v>40296</v>
      </c>
      <c r="B386" t="n">
        <v>2330472</v>
      </c>
    </row>
    <row r="387">
      <c r="A387" s="63" t="n">
        <v>40303</v>
      </c>
      <c r="B387" t="n">
        <v>2326164</v>
      </c>
    </row>
    <row r="388">
      <c r="A388" s="63" t="n">
        <v>40310</v>
      </c>
      <c r="B388" t="n">
        <v>2336103</v>
      </c>
    </row>
    <row r="389">
      <c r="A389" s="63" t="n">
        <v>40317</v>
      </c>
      <c r="B389" t="n">
        <v>2350890</v>
      </c>
    </row>
    <row r="390">
      <c r="A390" s="63" t="n">
        <v>40324</v>
      </c>
      <c r="B390" t="n">
        <v>2334041</v>
      </c>
    </row>
    <row r="391">
      <c r="A391" s="63" t="n">
        <v>40331</v>
      </c>
      <c r="B391" t="n">
        <v>2336216</v>
      </c>
    </row>
    <row r="392">
      <c r="A392" s="63" t="n">
        <v>40338</v>
      </c>
      <c r="B392" t="n">
        <v>2331529</v>
      </c>
    </row>
    <row r="393">
      <c r="A393" s="63" t="n">
        <v>40345</v>
      </c>
      <c r="B393" t="n">
        <v>2344316</v>
      </c>
    </row>
    <row r="394">
      <c r="A394" s="63" t="n">
        <v>40352</v>
      </c>
      <c r="B394" t="n">
        <v>2344497</v>
      </c>
    </row>
    <row r="395">
      <c r="A395" s="63" t="n">
        <v>40359</v>
      </c>
      <c r="B395" t="n">
        <v>2330851</v>
      </c>
    </row>
    <row r="396">
      <c r="A396" s="63" t="n">
        <v>40366</v>
      </c>
      <c r="B396" t="n">
        <v>2332017</v>
      </c>
    </row>
    <row r="397">
      <c r="A397" s="63" t="n">
        <v>40373</v>
      </c>
      <c r="B397" t="n">
        <v>2340717</v>
      </c>
    </row>
    <row r="398">
      <c r="A398" s="63" t="n">
        <v>40380</v>
      </c>
      <c r="B398" t="n">
        <v>2332322</v>
      </c>
    </row>
    <row r="399">
      <c r="A399" s="63" t="n">
        <v>40387</v>
      </c>
      <c r="B399" t="n">
        <v>2325298</v>
      </c>
    </row>
    <row r="400">
      <c r="A400" s="63" t="n">
        <v>40394</v>
      </c>
      <c r="B400" t="n">
        <v>2326479</v>
      </c>
    </row>
    <row r="401">
      <c r="A401" s="63" t="n">
        <v>40401</v>
      </c>
      <c r="B401" t="n">
        <v>2327533</v>
      </c>
    </row>
    <row r="402">
      <c r="A402" s="63" t="n">
        <v>40408</v>
      </c>
      <c r="B402" t="n">
        <v>2313662</v>
      </c>
    </row>
    <row r="403">
      <c r="A403" s="63" t="n">
        <v>40415</v>
      </c>
      <c r="B403" t="n">
        <v>2301015</v>
      </c>
    </row>
    <row r="404">
      <c r="A404" s="63" t="n">
        <v>40422</v>
      </c>
      <c r="B404" t="n">
        <v>2301996</v>
      </c>
    </row>
    <row r="405">
      <c r="A405" s="63" t="n">
        <v>40429</v>
      </c>
      <c r="B405" t="n">
        <v>2305802</v>
      </c>
    </row>
    <row r="406">
      <c r="A406" s="63" t="n">
        <v>40436</v>
      </c>
      <c r="B406" t="n">
        <v>2296079</v>
      </c>
    </row>
    <row r="407">
      <c r="A407" s="63" t="n">
        <v>40443</v>
      </c>
      <c r="B407" t="n">
        <v>2307171</v>
      </c>
    </row>
    <row r="408">
      <c r="A408" s="63" t="n">
        <v>40450</v>
      </c>
      <c r="B408" t="n">
        <v>2298691</v>
      </c>
    </row>
    <row r="409">
      <c r="A409" s="63" t="n">
        <v>40457</v>
      </c>
      <c r="B409" t="n">
        <v>2308092</v>
      </c>
    </row>
    <row r="410">
      <c r="A410" s="63" t="n">
        <v>40464</v>
      </c>
      <c r="B410" t="n">
        <v>2309885</v>
      </c>
    </row>
    <row r="411">
      <c r="A411" s="63" t="n">
        <v>40471</v>
      </c>
      <c r="B411" t="n">
        <v>2305227</v>
      </c>
    </row>
    <row r="412">
      <c r="A412" s="63" t="n">
        <v>40478</v>
      </c>
      <c r="B412" t="n">
        <v>2295392</v>
      </c>
    </row>
    <row r="413">
      <c r="A413" s="63" t="n">
        <v>40485</v>
      </c>
      <c r="B413" t="n">
        <v>2300353</v>
      </c>
    </row>
    <row r="414">
      <c r="A414" s="63" t="n">
        <v>40492</v>
      </c>
      <c r="B414" t="n">
        <v>2312768</v>
      </c>
    </row>
    <row r="415">
      <c r="A415" s="63" t="n">
        <v>40499</v>
      </c>
      <c r="B415" t="n">
        <v>2314757</v>
      </c>
    </row>
    <row r="416">
      <c r="A416" s="63" t="n">
        <v>40506</v>
      </c>
      <c r="B416" t="n">
        <v>2346001</v>
      </c>
    </row>
    <row r="417">
      <c r="A417" s="63" t="n">
        <v>40513</v>
      </c>
      <c r="B417" t="n">
        <v>2346920</v>
      </c>
    </row>
    <row r="418">
      <c r="A418" s="63" t="n">
        <v>40520</v>
      </c>
      <c r="B418" t="n">
        <v>2382294</v>
      </c>
    </row>
    <row r="419">
      <c r="A419" s="63" t="n">
        <v>40527</v>
      </c>
      <c r="B419" t="n">
        <v>2385754</v>
      </c>
    </row>
    <row r="420">
      <c r="A420" s="63" t="n">
        <v>40534</v>
      </c>
      <c r="B420" t="n">
        <v>2427921</v>
      </c>
    </row>
    <row r="421">
      <c r="A421" s="63" t="n">
        <v>40541</v>
      </c>
      <c r="B421" t="n">
        <v>2420570</v>
      </c>
    </row>
    <row r="422">
      <c r="A422" s="63" t="n">
        <v>40548</v>
      </c>
      <c r="B422" t="n">
        <v>2436064</v>
      </c>
    </row>
    <row r="423">
      <c r="A423" s="63" t="n">
        <v>40555</v>
      </c>
      <c r="B423" t="n">
        <v>2468131</v>
      </c>
    </row>
    <row r="424">
      <c r="A424" s="63" t="n">
        <v>40562</v>
      </c>
      <c r="B424" t="n">
        <v>2425164</v>
      </c>
    </row>
    <row r="425">
      <c r="A425" s="63" t="n">
        <v>40569</v>
      </c>
      <c r="B425" t="n">
        <v>2443527</v>
      </c>
    </row>
    <row r="426">
      <c r="A426" s="63" t="n">
        <v>40576</v>
      </c>
      <c r="B426" t="n">
        <v>2469419</v>
      </c>
    </row>
    <row r="427">
      <c r="A427" s="63" t="n">
        <v>40583</v>
      </c>
      <c r="B427" t="n">
        <v>2500481</v>
      </c>
    </row>
    <row r="428">
      <c r="A428" s="63" t="n">
        <v>40590</v>
      </c>
      <c r="B428" t="n">
        <v>2508868</v>
      </c>
    </row>
    <row r="429">
      <c r="A429" s="63" t="n">
        <v>40597</v>
      </c>
      <c r="B429" t="n">
        <v>2533221</v>
      </c>
    </row>
    <row r="430">
      <c r="A430" s="63" t="n">
        <v>40604</v>
      </c>
      <c r="B430" t="n">
        <v>2545119</v>
      </c>
    </row>
    <row r="431">
      <c r="A431" s="63" t="n">
        <v>40611</v>
      </c>
      <c r="B431" t="n">
        <v>2577076</v>
      </c>
    </row>
    <row r="432">
      <c r="A432" s="63" t="n">
        <v>40618</v>
      </c>
      <c r="B432" t="n">
        <v>2583046</v>
      </c>
    </row>
    <row r="433">
      <c r="A433" s="63" t="n">
        <v>40625</v>
      </c>
      <c r="B433" t="n">
        <v>2601341</v>
      </c>
    </row>
    <row r="434">
      <c r="A434" s="63" t="n">
        <v>40632</v>
      </c>
      <c r="B434" t="n">
        <v>2622523</v>
      </c>
    </row>
    <row r="435">
      <c r="A435" s="63" t="n">
        <v>40639</v>
      </c>
      <c r="B435" t="n">
        <v>2648676</v>
      </c>
    </row>
    <row r="436">
      <c r="A436" s="63" t="n">
        <v>40646</v>
      </c>
      <c r="B436" t="n">
        <v>2665408</v>
      </c>
    </row>
    <row r="437">
      <c r="A437" s="63" t="n">
        <v>40653</v>
      </c>
      <c r="B437" t="n">
        <v>2685782</v>
      </c>
    </row>
    <row r="438">
      <c r="A438" s="63" t="n">
        <v>40660</v>
      </c>
      <c r="B438" t="n">
        <v>2690985</v>
      </c>
    </row>
    <row r="439">
      <c r="A439" s="63" t="n">
        <v>40667</v>
      </c>
      <c r="B439" t="n">
        <v>2718757</v>
      </c>
    </row>
    <row r="440">
      <c r="A440" s="63" t="n">
        <v>40674</v>
      </c>
      <c r="B440" t="n">
        <v>2744498</v>
      </c>
    </row>
    <row r="441">
      <c r="A441" s="63" t="n">
        <v>40681</v>
      </c>
      <c r="B441" t="n">
        <v>2758009</v>
      </c>
    </row>
    <row r="442">
      <c r="A442" s="63" t="n">
        <v>40688</v>
      </c>
      <c r="B442" t="n">
        <v>2774996</v>
      </c>
    </row>
    <row r="443">
      <c r="A443" s="63" t="n">
        <v>40695</v>
      </c>
      <c r="B443" t="n">
        <v>2788723</v>
      </c>
    </row>
    <row r="444">
      <c r="A444" s="63" t="n">
        <v>40702</v>
      </c>
      <c r="B444" t="n">
        <v>2811206</v>
      </c>
    </row>
    <row r="445">
      <c r="A445" s="63" t="n">
        <v>40709</v>
      </c>
      <c r="B445" t="n">
        <v>2827549</v>
      </c>
    </row>
    <row r="446">
      <c r="A446" s="63" t="n">
        <v>40716</v>
      </c>
      <c r="B446" t="n">
        <v>2856403</v>
      </c>
    </row>
    <row r="447">
      <c r="A447" s="63" t="n">
        <v>40723</v>
      </c>
      <c r="B447" t="n">
        <v>2865251</v>
      </c>
    </row>
    <row r="448">
      <c r="A448" s="63" t="n">
        <v>40730</v>
      </c>
      <c r="B448" t="n">
        <v>2870103</v>
      </c>
    </row>
    <row r="449">
      <c r="A449" s="63" t="n">
        <v>40737</v>
      </c>
      <c r="B449" t="n">
        <v>2878074</v>
      </c>
    </row>
    <row r="450">
      <c r="A450" s="63" t="n">
        <v>40744</v>
      </c>
      <c r="B450" t="n">
        <v>2871301</v>
      </c>
    </row>
    <row r="451">
      <c r="A451" s="63" t="n">
        <v>40751</v>
      </c>
      <c r="B451" t="n">
        <v>2863576</v>
      </c>
    </row>
    <row r="452">
      <c r="A452" s="63" t="n">
        <v>40758</v>
      </c>
      <c r="B452" t="n">
        <v>2867215</v>
      </c>
    </row>
    <row r="453">
      <c r="A453" s="63" t="n">
        <v>40765</v>
      </c>
      <c r="B453" t="n">
        <v>2872423</v>
      </c>
    </row>
    <row r="454">
      <c r="A454" s="63" t="n">
        <v>40772</v>
      </c>
      <c r="B454" t="n">
        <v>2857906</v>
      </c>
    </row>
    <row r="455">
      <c r="A455" s="63" t="n">
        <v>40779</v>
      </c>
      <c r="B455" t="n">
        <v>2859433</v>
      </c>
    </row>
    <row r="456">
      <c r="A456" s="63" t="n">
        <v>40786</v>
      </c>
      <c r="B456" t="n">
        <v>2853888</v>
      </c>
    </row>
    <row r="457">
      <c r="A457" s="63" t="n">
        <v>40793</v>
      </c>
      <c r="B457" t="n">
        <v>2858660</v>
      </c>
    </row>
    <row r="458">
      <c r="A458" s="63" t="n">
        <v>40800</v>
      </c>
      <c r="B458" t="n">
        <v>2863540</v>
      </c>
    </row>
    <row r="459">
      <c r="A459" s="63" t="n">
        <v>40807</v>
      </c>
      <c r="B459" t="n">
        <v>2857747</v>
      </c>
    </row>
    <row r="460">
      <c r="A460" s="63" t="n">
        <v>40814</v>
      </c>
      <c r="B460" t="n">
        <v>2850921</v>
      </c>
    </row>
    <row r="461">
      <c r="A461" s="63" t="n">
        <v>40821</v>
      </c>
      <c r="B461" t="n">
        <v>2859701</v>
      </c>
    </row>
    <row r="462">
      <c r="A462" s="63" t="n">
        <v>40828</v>
      </c>
      <c r="B462" t="n">
        <v>2860822</v>
      </c>
    </row>
    <row r="463">
      <c r="A463" s="63" t="n">
        <v>40835</v>
      </c>
      <c r="B463" t="n">
        <v>2852390</v>
      </c>
    </row>
    <row r="464">
      <c r="A464" s="63" t="n">
        <v>40842</v>
      </c>
      <c r="B464" t="n">
        <v>2845685</v>
      </c>
    </row>
    <row r="465">
      <c r="A465" s="63" t="n">
        <v>40849</v>
      </c>
      <c r="B465" t="n">
        <v>2822034</v>
      </c>
    </row>
    <row r="466">
      <c r="A466" s="63" t="n">
        <v>40856</v>
      </c>
      <c r="B466" t="n">
        <v>2839786</v>
      </c>
    </row>
    <row r="467">
      <c r="A467" s="63" t="n">
        <v>40863</v>
      </c>
      <c r="B467" t="n">
        <v>2831576</v>
      </c>
    </row>
    <row r="468">
      <c r="A468" s="63" t="n">
        <v>40870</v>
      </c>
      <c r="B468" t="n">
        <v>2821980</v>
      </c>
    </row>
    <row r="469">
      <c r="A469" s="63" t="n">
        <v>40877</v>
      </c>
      <c r="B469" t="n">
        <v>2814235</v>
      </c>
    </row>
    <row r="470">
      <c r="A470" s="63" t="n">
        <v>40884</v>
      </c>
      <c r="B470" t="n">
        <v>2820691</v>
      </c>
    </row>
    <row r="471">
      <c r="A471" s="63" t="n">
        <v>40891</v>
      </c>
      <c r="B471" t="n">
        <v>2902488</v>
      </c>
    </row>
    <row r="472">
      <c r="A472" s="63" t="n">
        <v>40898</v>
      </c>
      <c r="B472" t="n">
        <v>2916085</v>
      </c>
    </row>
    <row r="473">
      <c r="A473" s="63" t="n">
        <v>40905</v>
      </c>
      <c r="B473" t="n">
        <v>2926095</v>
      </c>
    </row>
    <row r="474">
      <c r="A474" s="63" t="n">
        <v>40912</v>
      </c>
      <c r="B474" t="n">
        <v>2917689</v>
      </c>
    </row>
    <row r="475">
      <c r="A475" s="63" t="n">
        <v>40919</v>
      </c>
      <c r="B475" t="n">
        <v>2899149</v>
      </c>
    </row>
    <row r="476">
      <c r="A476" s="63" t="n">
        <v>40926</v>
      </c>
      <c r="B476" t="n">
        <v>2919423</v>
      </c>
    </row>
    <row r="477">
      <c r="A477" s="63" t="n">
        <v>40933</v>
      </c>
      <c r="B477" t="n">
        <v>2919545</v>
      </c>
    </row>
    <row r="478">
      <c r="A478" s="63" t="n">
        <v>40940</v>
      </c>
      <c r="B478" t="n">
        <v>2924947</v>
      </c>
    </row>
    <row r="479">
      <c r="A479" s="63" t="n">
        <v>40947</v>
      </c>
      <c r="B479" t="n">
        <v>2928275</v>
      </c>
    </row>
    <row r="480">
      <c r="A480" s="63" t="n">
        <v>40954</v>
      </c>
      <c r="B480" t="n">
        <v>2937893</v>
      </c>
    </row>
    <row r="481">
      <c r="A481" s="63" t="n">
        <v>40961</v>
      </c>
      <c r="B481" t="n">
        <v>2932813</v>
      </c>
    </row>
    <row r="482">
      <c r="A482" s="63" t="n">
        <v>40968</v>
      </c>
      <c r="B482" t="n">
        <v>2925722</v>
      </c>
    </row>
    <row r="483">
      <c r="A483" s="63" t="n">
        <v>40975</v>
      </c>
      <c r="B483" t="n">
        <v>2884747</v>
      </c>
    </row>
    <row r="484">
      <c r="A484" s="63" t="n">
        <v>40982</v>
      </c>
      <c r="B484" t="n">
        <v>2893560</v>
      </c>
    </row>
    <row r="485">
      <c r="A485" s="63" t="n">
        <v>40989</v>
      </c>
      <c r="B485" t="n">
        <v>2892646</v>
      </c>
    </row>
    <row r="486">
      <c r="A486" s="63" t="n">
        <v>40996</v>
      </c>
      <c r="B486" t="n">
        <v>2878137</v>
      </c>
    </row>
    <row r="487">
      <c r="A487" s="63" t="n">
        <v>41003</v>
      </c>
      <c r="B487" t="n">
        <v>2865478</v>
      </c>
    </row>
    <row r="488">
      <c r="A488" s="63" t="n">
        <v>41010</v>
      </c>
      <c r="B488" t="n">
        <v>2867200</v>
      </c>
    </row>
    <row r="489">
      <c r="A489" s="63" t="n">
        <v>41017</v>
      </c>
      <c r="B489" t="n">
        <v>2875470</v>
      </c>
    </row>
    <row r="490">
      <c r="A490" s="63" t="n">
        <v>41024</v>
      </c>
      <c r="B490" t="n">
        <v>2866561</v>
      </c>
    </row>
    <row r="491">
      <c r="A491" s="63" t="n">
        <v>41031</v>
      </c>
      <c r="B491" t="n">
        <v>2864280</v>
      </c>
    </row>
    <row r="492">
      <c r="A492" s="63" t="n">
        <v>41038</v>
      </c>
      <c r="B492" t="n">
        <v>2864150</v>
      </c>
    </row>
    <row r="493">
      <c r="A493" s="63" t="n">
        <v>41045</v>
      </c>
      <c r="B493" t="n">
        <v>2850984</v>
      </c>
    </row>
    <row r="494">
      <c r="A494" s="63" t="n">
        <v>41052</v>
      </c>
      <c r="B494" t="n">
        <v>2859495</v>
      </c>
    </row>
    <row r="495">
      <c r="A495" s="63" t="n">
        <v>41059</v>
      </c>
      <c r="B495" t="n">
        <v>2842654</v>
      </c>
    </row>
    <row r="496">
      <c r="A496" s="63" t="n">
        <v>41066</v>
      </c>
      <c r="B496" t="n">
        <v>2852018</v>
      </c>
    </row>
    <row r="497">
      <c r="A497" s="63" t="n">
        <v>41073</v>
      </c>
      <c r="B497" t="n">
        <v>2869071</v>
      </c>
    </row>
    <row r="498">
      <c r="A498" s="63" t="n">
        <v>41080</v>
      </c>
      <c r="B498" t="n">
        <v>2870846</v>
      </c>
    </row>
    <row r="499">
      <c r="A499" s="63" t="n">
        <v>41087</v>
      </c>
      <c r="B499" t="n">
        <v>2863547</v>
      </c>
    </row>
    <row r="500">
      <c r="A500" s="63" t="n">
        <v>41094</v>
      </c>
      <c r="B500" t="n">
        <v>2865858</v>
      </c>
    </row>
    <row r="501">
      <c r="A501" s="63" t="n">
        <v>41101</v>
      </c>
      <c r="B501" t="n">
        <v>2866279</v>
      </c>
    </row>
    <row r="502">
      <c r="A502" s="63" t="n">
        <v>41108</v>
      </c>
      <c r="B502" t="n">
        <v>2855807</v>
      </c>
    </row>
    <row r="503">
      <c r="A503" s="63" t="n">
        <v>41115</v>
      </c>
      <c r="B503" t="n">
        <v>2846757</v>
      </c>
    </row>
    <row r="504">
      <c r="A504" s="63" t="n">
        <v>41122</v>
      </c>
      <c r="B504" t="n">
        <v>2851118</v>
      </c>
    </row>
    <row r="505">
      <c r="A505" s="63" t="n">
        <v>41129</v>
      </c>
      <c r="B505" t="n">
        <v>2856181</v>
      </c>
    </row>
    <row r="506">
      <c r="A506" s="63" t="n">
        <v>41136</v>
      </c>
      <c r="B506" t="n">
        <v>2833317</v>
      </c>
    </row>
    <row r="507">
      <c r="A507" s="63" t="n">
        <v>41143</v>
      </c>
      <c r="B507" t="n">
        <v>2825661</v>
      </c>
    </row>
    <row r="508">
      <c r="A508" s="63" t="n">
        <v>41150</v>
      </c>
      <c r="B508" t="n">
        <v>2812806</v>
      </c>
    </row>
    <row r="509">
      <c r="A509" s="63" t="n">
        <v>41157</v>
      </c>
      <c r="B509" t="n">
        <v>2822169</v>
      </c>
    </row>
    <row r="510">
      <c r="A510" s="63" t="n">
        <v>41164</v>
      </c>
      <c r="B510" t="n">
        <v>2823448</v>
      </c>
    </row>
    <row r="511">
      <c r="A511" s="63" t="n">
        <v>41171</v>
      </c>
      <c r="B511" t="n">
        <v>2821574</v>
      </c>
    </row>
    <row r="512">
      <c r="A512" s="63" t="n">
        <v>41178</v>
      </c>
      <c r="B512" t="n">
        <v>2804457</v>
      </c>
    </row>
    <row r="513">
      <c r="A513" s="63" t="n">
        <v>41185</v>
      </c>
      <c r="B513" t="n">
        <v>2808512</v>
      </c>
    </row>
    <row r="514">
      <c r="A514" s="63" t="n">
        <v>41192</v>
      </c>
      <c r="B514" t="n">
        <v>2811623</v>
      </c>
    </row>
    <row r="515">
      <c r="A515" s="63" t="n">
        <v>41199</v>
      </c>
      <c r="B515" t="n">
        <v>2846920</v>
      </c>
    </row>
    <row r="516">
      <c r="A516" s="63" t="n">
        <v>41206</v>
      </c>
      <c r="B516" t="n">
        <v>2840964</v>
      </c>
    </row>
    <row r="517">
      <c r="A517" s="63" t="n">
        <v>41213</v>
      </c>
      <c r="B517" t="n">
        <v>2823137</v>
      </c>
    </row>
    <row r="518">
      <c r="A518" s="63" t="n">
        <v>41220</v>
      </c>
      <c r="B518" t="n">
        <v>2830791</v>
      </c>
    </row>
    <row r="519">
      <c r="A519" s="63" t="n">
        <v>41227</v>
      </c>
      <c r="B519" t="n">
        <v>2877244</v>
      </c>
    </row>
    <row r="520">
      <c r="A520" s="63" t="n">
        <v>41234</v>
      </c>
      <c r="B520" t="n">
        <v>2871161</v>
      </c>
    </row>
    <row r="521">
      <c r="A521" s="63" t="n">
        <v>41241</v>
      </c>
      <c r="B521" t="n">
        <v>2851362</v>
      </c>
    </row>
    <row r="522">
      <c r="A522" s="63" t="n">
        <v>41248</v>
      </c>
      <c r="B522" t="n">
        <v>2859807</v>
      </c>
    </row>
    <row r="523">
      <c r="A523" s="63" t="n">
        <v>41255</v>
      </c>
      <c r="B523" t="n">
        <v>2917260</v>
      </c>
    </row>
    <row r="524">
      <c r="A524" s="63" t="n">
        <v>41262</v>
      </c>
      <c r="B524" t="n">
        <v>2920231</v>
      </c>
    </row>
    <row r="525">
      <c r="A525" s="63" t="n">
        <v>41269</v>
      </c>
      <c r="B525" t="n">
        <v>2907300</v>
      </c>
    </row>
    <row r="526">
      <c r="A526" s="63" t="n">
        <v>41276</v>
      </c>
      <c r="B526" t="n">
        <v>2917189</v>
      </c>
    </row>
    <row r="527">
      <c r="A527" s="63" t="n">
        <v>41283</v>
      </c>
      <c r="B527" t="n">
        <v>2928728</v>
      </c>
    </row>
    <row r="528">
      <c r="A528" s="63" t="n">
        <v>41290</v>
      </c>
      <c r="B528" t="n">
        <v>2963812</v>
      </c>
    </row>
    <row r="529">
      <c r="A529" s="63" t="n">
        <v>41297</v>
      </c>
      <c r="B529" t="n">
        <v>3011697</v>
      </c>
    </row>
    <row r="530">
      <c r="A530" s="63" t="n">
        <v>41304</v>
      </c>
      <c r="B530" t="n">
        <v>3008704</v>
      </c>
    </row>
    <row r="531">
      <c r="A531" s="63" t="n">
        <v>41311</v>
      </c>
      <c r="B531" t="n">
        <v>3014975</v>
      </c>
    </row>
    <row r="532">
      <c r="A532" s="63" t="n">
        <v>41318</v>
      </c>
      <c r="B532" t="n">
        <v>3074225</v>
      </c>
    </row>
    <row r="533">
      <c r="A533" s="63" t="n">
        <v>41325</v>
      </c>
      <c r="B533" t="n">
        <v>3095150</v>
      </c>
    </row>
    <row r="534">
      <c r="A534" s="63" t="n">
        <v>41332</v>
      </c>
      <c r="B534" t="n">
        <v>3090600</v>
      </c>
    </row>
    <row r="535">
      <c r="A535" s="63" t="n">
        <v>41339</v>
      </c>
      <c r="B535" t="n">
        <v>3108805</v>
      </c>
    </row>
    <row r="536">
      <c r="A536" s="63" t="n">
        <v>41346</v>
      </c>
      <c r="B536" t="n">
        <v>3165396</v>
      </c>
    </row>
    <row r="537">
      <c r="A537" s="63" t="n">
        <v>41353</v>
      </c>
      <c r="B537" t="n">
        <v>3206888</v>
      </c>
    </row>
    <row r="538">
      <c r="A538" s="63" t="n">
        <v>41360</v>
      </c>
      <c r="B538" t="n">
        <v>3202256</v>
      </c>
    </row>
    <row r="539">
      <c r="A539" s="63" t="n">
        <v>41367</v>
      </c>
      <c r="B539" t="n">
        <v>3215432</v>
      </c>
    </row>
    <row r="540">
      <c r="A540" s="63" t="n">
        <v>41374</v>
      </c>
      <c r="B540" t="n">
        <v>3227762</v>
      </c>
    </row>
    <row r="541">
      <c r="A541" s="63" t="n">
        <v>41381</v>
      </c>
      <c r="B541" t="n">
        <v>3295109</v>
      </c>
    </row>
    <row r="542">
      <c r="A542" s="63" t="n">
        <v>41388</v>
      </c>
      <c r="B542" t="n">
        <v>3318649</v>
      </c>
    </row>
    <row r="543">
      <c r="A543" s="63" t="n">
        <v>41395</v>
      </c>
      <c r="B543" t="n">
        <v>3317194</v>
      </c>
    </row>
    <row r="544">
      <c r="A544" s="63" t="n">
        <v>41402</v>
      </c>
      <c r="B544" t="n">
        <v>3324615</v>
      </c>
    </row>
    <row r="545">
      <c r="A545" s="63" t="n">
        <v>41409</v>
      </c>
      <c r="B545" t="n">
        <v>3354269</v>
      </c>
    </row>
    <row r="546">
      <c r="A546" s="63" t="n">
        <v>41416</v>
      </c>
      <c r="B546" t="n">
        <v>3398713</v>
      </c>
    </row>
    <row r="547">
      <c r="A547" s="63" t="n">
        <v>41423</v>
      </c>
      <c r="B547" t="n">
        <v>3385128</v>
      </c>
    </row>
    <row r="548">
      <c r="A548" s="63" t="n">
        <v>41430</v>
      </c>
      <c r="B548" t="n">
        <v>3400183</v>
      </c>
    </row>
    <row r="549">
      <c r="A549" s="63" t="n">
        <v>41437</v>
      </c>
      <c r="B549" t="n">
        <v>3410842</v>
      </c>
    </row>
    <row r="550">
      <c r="A550" s="63" t="n">
        <v>41444</v>
      </c>
      <c r="B550" t="n">
        <v>3470530</v>
      </c>
    </row>
    <row r="551">
      <c r="A551" s="63" t="n">
        <v>41451</v>
      </c>
      <c r="B551" t="n">
        <v>3478672</v>
      </c>
    </row>
    <row r="552">
      <c r="A552" s="63" t="n">
        <v>41458</v>
      </c>
      <c r="B552" t="n">
        <v>3492742</v>
      </c>
    </row>
    <row r="553">
      <c r="A553" s="63" t="n">
        <v>41465</v>
      </c>
      <c r="B553" t="n">
        <v>3504095</v>
      </c>
    </row>
    <row r="554">
      <c r="A554" s="63" t="n">
        <v>41472</v>
      </c>
      <c r="B554" t="n">
        <v>3537861</v>
      </c>
    </row>
    <row r="555">
      <c r="A555" s="63" t="n">
        <v>41479</v>
      </c>
      <c r="B555" t="n">
        <v>3574574</v>
      </c>
    </row>
    <row r="556">
      <c r="A556" s="63" t="n">
        <v>41486</v>
      </c>
      <c r="B556" t="n">
        <v>3571797</v>
      </c>
    </row>
    <row r="557">
      <c r="A557" s="63" t="n">
        <v>41493</v>
      </c>
      <c r="B557" t="n">
        <v>3585359</v>
      </c>
    </row>
    <row r="558">
      <c r="A558" s="63" t="n">
        <v>41500</v>
      </c>
      <c r="B558" t="n">
        <v>3646323</v>
      </c>
    </row>
    <row r="559">
      <c r="A559" s="63" t="n">
        <v>41507</v>
      </c>
      <c r="B559" t="n">
        <v>3645668</v>
      </c>
    </row>
    <row r="560">
      <c r="A560" s="63" t="n">
        <v>41514</v>
      </c>
      <c r="B560" t="n">
        <v>3644456</v>
      </c>
    </row>
    <row r="561">
      <c r="A561" s="63" t="n">
        <v>41521</v>
      </c>
      <c r="B561" t="n">
        <v>3654182</v>
      </c>
    </row>
    <row r="562">
      <c r="A562" s="63" t="n">
        <v>41528</v>
      </c>
      <c r="B562" t="n">
        <v>3662035</v>
      </c>
    </row>
    <row r="563">
      <c r="A563" s="63" t="n">
        <v>41535</v>
      </c>
      <c r="B563" t="n">
        <v>3722192</v>
      </c>
    </row>
    <row r="564">
      <c r="A564" s="63" t="n">
        <v>41542</v>
      </c>
      <c r="B564" t="n">
        <v>3734018</v>
      </c>
    </row>
    <row r="565">
      <c r="A565" s="63" t="n">
        <v>41549</v>
      </c>
      <c r="B565" t="n">
        <v>3747387</v>
      </c>
    </row>
    <row r="566">
      <c r="A566" s="63" t="n">
        <v>41556</v>
      </c>
      <c r="B566" t="n">
        <v>3758663</v>
      </c>
    </row>
    <row r="567">
      <c r="A567" s="63" t="n">
        <v>41563</v>
      </c>
      <c r="B567" t="n">
        <v>3813599</v>
      </c>
    </row>
    <row r="568">
      <c r="A568" s="63" t="n">
        <v>41570</v>
      </c>
      <c r="B568" t="n">
        <v>3839033</v>
      </c>
    </row>
    <row r="569">
      <c r="A569" s="63" t="n">
        <v>41577</v>
      </c>
      <c r="B569" t="n">
        <v>3843396</v>
      </c>
    </row>
    <row r="570">
      <c r="A570" s="63" t="n">
        <v>41584</v>
      </c>
      <c r="B570" t="n">
        <v>3851623</v>
      </c>
    </row>
    <row r="571">
      <c r="A571" s="63" t="n">
        <v>41591</v>
      </c>
      <c r="B571" t="n">
        <v>3907424</v>
      </c>
    </row>
    <row r="572">
      <c r="A572" s="63" t="n">
        <v>41598</v>
      </c>
      <c r="B572" t="n">
        <v>3906620</v>
      </c>
    </row>
    <row r="573">
      <c r="A573" s="63" t="n">
        <v>41605</v>
      </c>
      <c r="B573" t="n">
        <v>3925876</v>
      </c>
    </row>
    <row r="574">
      <c r="A574" s="63" t="n">
        <v>41612</v>
      </c>
      <c r="B574" t="n">
        <v>3932626</v>
      </c>
    </row>
    <row r="575">
      <c r="A575" s="63" t="n">
        <v>41619</v>
      </c>
      <c r="B575" t="n">
        <v>3993955</v>
      </c>
    </row>
    <row r="576">
      <c r="A576" s="63" t="n">
        <v>41626</v>
      </c>
      <c r="B576" t="n">
        <v>4008062</v>
      </c>
    </row>
    <row r="577">
      <c r="A577" s="63" t="n">
        <v>41633</v>
      </c>
      <c r="B577" t="n">
        <v>4032575</v>
      </c>
    </row>
    <row r="578">
      <c r="A578" s="63" t="n">
        <v>41640</v>
      </c>
      <c r="B578" t="n">
        <v>4023640</v>
      </c>
    </row>
    <row r="579">
      <c r="A579" s="63" t="n">
        <v>41647</v>
      </c>
      <c r="B579" t="n">
        <v>4028185</v>
      </c>
    </row>
    <row r="580">
      <c r="A580" s="63" t="n">
        <v>41654</v>
      </c>
      <c r="B580" t="n">
        <v>4071528</v>
      </c>
    </row>
    <row r="581">
      <c r="A581" s="63" t="n">
        <v>41661</v>
      </c>
      <c r="B581" t="n">
        <v>4097914</v>
      </c>
    </row>
    <row r="582">
      <c r="A582" s="63" t="n">
        <v>41668</v>
      </c>
      <c r="B582" t="n">
        <v>4102138</v>
      </c>
    </row>
    <row r="583">
      <c r="A583" s="63" t="n">
        <v>41675</v>
      </c>
      <c r="B583" t="n">
        <v>4109285</v>
      </c>
    </row>
    <row r="584">
      <c r="A584" s="63" t="n">
        <v>41682</v>
      </c>
      <c r="B584" t="n">
        <v>4119474</v>
      </c>
    </row>
    <row r="585">
      <c r="A585" s="63" t="n">
        <v>41689</v>
      </c>
      <c r="B585" t="n">
        <v>4149224</v>
      </c>
    </row>
    <row r="586">
      <c r="A586" s="63" t="n">
        <v>41696</v>
      </c>
      <c r="B586" t="n">
        <v>4159972</v>
      </c>
    </row>
    <row r="587">
      <c r="A587" s="63" t="n">
        <v>41703</v>
      </c>
      <c r="B587" t="n">
        <v>4171762</v>
      </c>
    </row>
    <row r="588">
      <c r="A588" s="63" t="n">
        <v>41710</v>
      </c>
      <c r="B588" t="n">
        <v>4181361</v>
      </c>
    </row>
    <row r="589">
      <c r="A589" s="63" t="n">
        <v>41717</v>
      </c>
      <c r="B589" t="n">
        <v>4222081</v>
      </c>
    </row>
    <row r="590">
      <c r="A590" s="63" t="n">
        <v>41724</v>
      </c>
      <c r="B590" t="n">
        <v>4226971</v>
      </c>
    </row>
    <row r="591">
      <c r="A591" s="63" t="n">
        <v>41731</v>
      </c>
      <c r="B591" t="n">
        <v>4236441</v>
      </c>
    </row>
    <row r="592">
      <c r="A592" s="63" t="n">
        <v>41738</v>
      </c>
      <c r="B592" t="n">
        <v>4244188</v>
      </c>
    </row>
    <row r="593">
      <c r="A593" s="63" t="n">
        <v>41745</v>
      </c>
      <c r="B593" t="n">
        <v>4283967</v>
      </c>
    </row>
    <row r="594">
      <c r="A594" s="63" t="n">
        <v>41752</v>
      </c>
      <c r="B594" t="n">
        <v>4296339</v>
      </c>
    </row>
    <row r="595">
      <c r="A595" s="63" t="n">
        <v>41759</v>
      </c>
      <c r="B595" t="n">
        <v>4296049</v>
      </c>
    </row>
    <row r="596">
      <c r="A596" s="63" t="n">
        <v>41766</v>
      </c>
      <c r="B596" t="n">
        <v>4303143</v>
      </c>
    </row>
    <row r="597">
      <c r="A597" s="63" t="n">
        <v>41773</v>
      </c>
      <c r="B597" t="n">
        <v>4336649</v>
      </c>
    </row>
    <row r="598">
      <c r="A598" s="63" t="n">
        <v>41780</v>
      </c>
      <c r="B598" t="n">
        <v>4327560</v>
      </c>
    </row>
    <row r="599">
      <c r="A599" s="63" t="n">
        <v>41787</v>
      </c>
      <c r="B599" t="n">
        <v>4322654</v>
      </c>
    </row>
    <row r="600">
      <c r="A600" s="63" t="n">
        <v>41794</v>
      </c>
      <c r="B600" t="n">
        <v>4330917</v>
      </c>
    </row>
    <row r="601">
      <c r="A601" s="63" t="n">
        <v>41801</v>
      </c>
      <c r="B601" t="n">
        <v>4340904</v>
      </c>
    </row>
    <row r="602">
      <c r="A602" s="63" t="n">
        <v>41808</v>
      </c>
      <c r="B602" t="n">
        <v>4368168</v>
      </c>
    </row>
    <row r="603">
      <c r="A603" s="63" t="n">
        <v>41815</v>
      </c>
      <c r="B603" t="n">
        <v>4368348</v>
      </c>
    </row>
    <row r="604">
      <c r="A604" s="63" t="n">
        <v>41822</v>
      </c>
      <c r="B604" t="n">
        <v>4377031</v>
      </c>
    </row>
    <row r="605">
      <c r="A605" s="63" t="n">
        <v>41829</v>
      </c>
      <c r="B605" t="n">
        <v>4383401</v>
      </c>
    </row>
    <row r="606">
      <c r="A606" s="63" t="n">
        <v>41836</v>
      </c>
      <c r="B606" t="n">
        <v>4398201</v>
      </c>
    </row>
    <row r="607">
      <c r="A607" s="63" t="n">
        <v>41843</v>
      </c>
      <c r="B607" t="n">
        <v>4410746</v>
      </c>
    </row>
    <row r="608">
      <c r="A608" s="63" t="n">
        <v>41850</v>
      </c>
      <c r="B608" t="n">
        <v>4406637</v>
      </c>
    </row>
    <row r="609">
      <c r="A609" s="63" t="n">
        <v>41857</v>
      </c>
      <c r="B609" t="n">
        <v>4410111</v>
      </c>
    </row>
    <row r="610">
      <c r="A610" s="63" t="n">
        <v>41864</v>
      </c>
      <c r="B610" t="n">
        <v>4431923</v>
      </c>
    </row>
    <row r="611">
      <c r="A611" s="63" t="n">
        <v>41871</v>
      </c>
      <c r="B611" t="n">
        <v>4412924</v>
      </c>
    </row>
    <row r="612">
      <c r="A612" s="63" t="n">
        <v>41878</v>
      </c>
      <c r="B612" t="n">
        <v>4413736</v>
      </c>
    </row>
    <row r="613">
      <c r="A613" s="63" t="n">
        <v>41885</v>
      </c>
      <c r="B613" t="n">
        <v>4415587</v>
      </c>
    </row>
    <row r="614">
      <c r="A614" s="63" t="n">
        <v>41892</v>
      </c>
      <c r="B614" t="n">
        <v>4421408</v>
      </c>
    </row>
    <row r="615">
      <c r="A615" s="63" t="n">
        <v>41899</v>
      </c>
      <c r="B615" t="n">
        <v>4449588</v>
      </c>
    </row>
    <row r="616">
      <c r="A616" s="63" t="n">
        <v>41906</v>
      </c>
      <c r="B616" t="n">
        <v>4459050</v>
      </c>
    </row>
    <row r="617">
      <c r="A617" s="63" t="n">
        <v>41913</v>
      </c>
      <c r="B617" t="n">
        <v>4450260</v>
      </c>
    </row>
    <row r="618">
      <c r="A618" s="63" t="n">
        <v>41920</v>
      </c>
      <c r="B618" t="n">
        <v>4455403</v>
      </c>
    </row>
    <row r="619">
      <c r="A619" s="63" t="n">
        <v>41927</v>
      </c>
      <c r="B619" t="n">
        <v>4474360</v>
      </c>
    </row>
    <row r="620">
      <c r="A620" s="63" t="n">
        <v>41934</v>
      </c>
      <c r="B620" t="n">
        <v>4481616</v>
      </c>
    </row>
    <row r="621">
      <c r="A621" s="63" t="n">
        <v>41941</v>
      </c>
      <c r="B621" t="n">
        <v>4486754</v>
      </c>
    </row>
    <row r="622">
      <c r="A622" s="63" t="n">
        <v>41948</v>
      </c>
      <c r="B622" t="n">
        <v>4486585</v>
      </c>
    </row>
    <row r="623">
      <c r="A623" s="63" t="n">
        <v>41955</v>
      </c>
      <c r="B623" t="n">
        <v>4488895</v>
      </c>
    </row>
    <row r="624">
      <c r="A624" s="63" t="n">
        <v>41962</v>
      </c>
      <c r="B624" t="n">
        <v>4492759</v>
      </c>
    </row>
    <row r="625">
      <c r="A625" s="63" t="n">
        <v>41969</v>
      </c>
      <c r="B625" t="n">
        <v>4485931</v>
      </c>
    </row>
    <row r="626">
      <c r="A626" s="63" t="n">
        <v>41976</v>
      </c>
      <c r="B626" t="n">
        <v>4486190</v>
      </c>
    </row>
    <row r="627">
      <c r="A627" s="63" t="n">
        <v>41983</v>
      </c>
      <c r="B627" t="n">
        <v>4488865</v>
      </c>
    </row>
    <row r="628">
      <c r="A628" s="63" t="n">
        <v>41990</v>
      </c>
      <c r="B628" t="n">
        <v>4502247</v>
      </c>
    </row>
    <row r="629">
      <c r="A629" s="63" t="n">
        <v>41997</v>
      </c>
      <c r="B629" t="n">
        <v>4509462</v>
      </c>
    </row>
    <row r="630">
      <c r="A630" s="63" t="n">
        <v>42004</v>
      </c>
      <c r="B630" t="n">
        <v>4497660</v>
      </c>
    </row>
    <row r="631">
      <c r="A631" s="63" t="n">
        <v>42011</v>
      </c>
      <c r="B631" t="n">
        <v>4499524</v>
      </c>
    </row>
    <row r="632">
      <c r="A632" s="63" t="n">
        <v>42018</v>
      </c>
      <c r="B632" t="n">
        <v>4516077</v>
      </c>
    </row>
    <row r="633">
      <c r="A633" s="63" t="n">
        <v>42025</v>
      </c>
      <c r="B633" t="n">
        <v>4512936</v>
      </c>
    </row>
    <row r="634">
      <c r="A634" s="63" t="n">
        <v>42032</v>
      </c>
      <c r="B634" t="n">
        <v>4500064</v>
      </c>
    </row>
    <row r="635">
      <c r="A635" s="63" t="n">
        <v>42039</v>
      </c>
      <c r="B635" t="n">
        <v>4500348</v>
      </c>
    </row>
    <row r="636">
      <c r="A636" s="63" t="n">
        <v>42046</v>
      </c>
      <c r="B636" t="n">
        <v>4501685</v>
      </c>
    </row>
    <row r="637">
      <c r="A637" s="63" t="n">
        <v>42053</v>
      </c>
      <c r="B637" t="n">
        <v>4496851</v>
      </c>
    </row>
    <row r="638">
      <c r="A638" s="63" t="n">
        <v>42060</v>
      </c>
      <c r="B638" t="n">
        <v>4486725</v>
      </c>
    </row>
    <row r="639">
      <c r="A639" s="63" t="n">
        <v>42067</v>
      </c>
      <c r="B639" t="n">
        <v>4487583</v>
      </c>
    </row>
    <row r="640">
      <c r="A640" s="63" t="n">
        <v>42074</v>
      </c>
      <c r="B640" t="n">
        <v>4489279</v>
      </c>
    </row>
    <row r="641">
      <c r="A641" s="63" t="n">
        <v>42081</v>
      </c>
      <c r="B641" t="n">
        <v>4495888</v>
      </c>
    </row>
    <row r="642">
      <c r="A642" s="63" t="n">
        <v>42088</v>
      </c>
      <c r="B642" t="n">
        <v>4480603</v>
      </c>
    </row>
    <row r="643">
      <c r="A643" s="63" t="n">
        <v>42095</v>
      </c>
      <c r="B643" t="n">
        <v>4481799</v>
      </c>
    </row>
    <row r="644">
      <c r="A644" s="63" t="n">
        <v>42102</v>
      </c>
      <c r="B644" t="n">
        <v>4483419</v>
      </c>
    </row>
    <row r="645">
      <c r="A645" s="63" t="n">
        <v>42109</v>
      </c>
      <c r="B645" t="n">
        <v>4485366</v>
      </c>
    </row>
    <row r="646">
      <c r="A646" s="63" t="n">
        <v>42116</v>
      </c>
      <c r="B646" t="n">
        <v>4489695</v>
      </c>
    </row>
    <row r="647">
      <c r="A647" s="63" t="n">
        <v>42123</v>
      </c>
      <c r="B647" t="n">
        <v>4471499</v>
      </c>
    </row>
    <row r="648">
      <c r="A648" s="63" t="n">
        <v>42130</v>
      </c>
      <c r="B648" t="n">
        <v>4472703</v>
      </c>
    </row>
    <row r="649">
      <c r="A649" s="63" t="n">
        <v>42137</v>
      </c>
      <c r="B649" t="n">
        <v>4501188</v>
      </c>
    </row>
    <row r="650">
      <c r="A650" s="63" t="n">
        <v>42144</v>
      </c>
      <c r="B650" t="n">
        <v>4480384</v>
      </c>
    </row>
    <row r="651">
      <c r="A651" s="63" t="n">
        <v>42151</v>
      </c>
      <c r="B651" t="n">
        <v>4463981</v>
      </c>
    </row>
    <row r="652">
      <c r="A652" s="63" t="n">
        <v>42158</v>
      </c>
      <c r="B652" t="n">
        <v>4465360</v>
      </c>
    </row>
    <row r="653">
      <c r="A653" s="63" t="n">
        <v>42165</v>
      </c>
      <c r="B653" t="n">
        <v>4468005</v>
      </c>
    </row>
    <row r="654">
      <c r="A654" s="63" t="n">
        <v>42172</v>
      </c>
      <c r="B654" t="n">
        <v>4487817</v>
      </c>
    </row>
    <row r="655">
      <c r="A655" s="63" t="n">
        <v>42179</v>
      </c>
      <c r="B655" t="n">
        <v>4495055</v>
      </c>
    </row>
    <row r="656">
      <c r="A656" s="63" t="n">
        <v>42186</v>
      </c>
      <c r="B656" t="n">
        <v>4479130</v>
      </c>
    </row>
    <row r="657">
      <c r="A657" s="63" t="n">
        <v>42193</v>
      </c>
      <c r="B657" t="n">
        <v>4481289</v>
      </c>
    </row>
    <row r="658">
      <c r="A658" s="63" t="n">
        <v>42200</v>
      </c>
      <c r="B658" t="n">
        <v>4493605</v>
      </c>
    </row>
    <row r="659">
      <c r="A659" s="63" t="n">
        <v>42207</v>
      </c>
      <c r="B659" t="n">
        <v>4500503</v>
      </c>
    </row>
    <row r="660">
      <c r="A660" s="63" t="n">
        <v>42214</v>
      </c>
      <c r="B660" t="n">
        <v>4485480</v>
      </c>
    </row>
    <row r="661">
      <c r="A661" s="63" t="n">
        <v>42221</v>
      </c>
      <c r="B661" t="n">
        <v>4486329</v>
      </c>
    </row>
    <row r="662">
      <c r="A662" s="63" t="n">
        <v>42228</v>
      </c>
      <c r="B662" t="n">
        <v>4489250</v>
      </c>
    </row>
    <row r="663">
      <c r="A663" s="63" t="n">
        <v>42235</v>
      </c>
      <c r="B663" t="n">
        <v>4487208</v>
      </c>
    </row>
    <row r="664">
      <c r="A664" s="63" t="n">
        <v>42242</v>
      </c>
      <c r="B664" t="n">
        <v>4475105</v>
      </c>
    </row>
    <row r="665">
      <c r="A665" s="63" t="n">
        <v>42249</v>
      </c>
      <c r="B665" t="n">
        <v>4475886</v>
      </c>
    </row>
    <row r="666">
      <c r="A666" s="63" t="n">
        <v>42256</v>
      </c>
      <c r="B666" t="n">
        <v>4478213</v>
      </c>
    </row>
    <row r="667">
      <c r="A667" s="63" t="n">
        <v>42263</v>
      </c>
      <c r="B667" t="n">
        <v>4487809</v>
      </c>
    </row>
    <row r="668">
      <c r="A668" s="63" t="n">
        <v>42270</v>
      </c>
      <c r="B668" t="n">
        <v>4497484</v>
      </c>
    </row>
    <row r="669">
      <c r="A669" s="63" t="n">
        <v>42277</v>
      </c>
      <c r="B669" t="n">
        <v>4484111</v>
      </c>
    </row>
    <row r="670">
      <c r="A670" s="63" t="n">
        <v>42284</v>
      </c>
      <c r="B670" t="n">
        <v>4486185</v>
      </c>
    </row>
    <row r="671">
      <c r="A671" s="63" t="n">
        <v>42291</v>
      </c>
      <c r="B671" t="n">
        <v>4504704</v>
      </c>
    </row>
    <row r="672">
      <c r="A672" s="63" t="n">
        <v>42298</v>
      </c>
      <c r="B672" t="n">
        <v>4501372</v>
      </c>
    </row>
    <row r="673">
      <c r="A673" s="63" t="n">
        <v>42305</v>
      </c>
      <c r="B673" t="n">
        <v>4489339</v>
      </c>
    </row>
    <row r="674">
      <c r="A674" s="63" t="n">
        <v>42312</v>
      </c>
      <c r="B674" t="n">
        <v>4489702</v>
      </c>
    </row>
    <row r="675">
      <c r="A675" s="63" t="n">
        <v>42319</v>
      </c>
      <c r="B675" t="n">
        <v>4492012</v>
      </c>
    </row>
    <row r="676">
      <c r="A676" s="63" t="n">
        <v>42326</v>
      </c>
      <c r="B676" t="n">
        <v>4486721</v>
      </c>
    </row>
    <row r="677">
      <c r="A677" s="63" t="n">
        <v>42333</v>
      </c>
      <c r="B677" t="n">
        <v>4477088</v>
      </c>
    </row>
    <row r="678">
      <c r="A678" s="63" t="n">
        <v>42340</v>
      </c>
      <c r="B678" t="n">
        <v>4478069</v>
      </c>
    </row>
    <row r="679">
      <c r="A679" s="63" t="n">
        <v>42347</v>
      </c>
      <c r="B679" t="n">
        <v>4480436</v>
      </c>
    </row>
    <row r="680">
      <c r="A680" s="63" t="n">
        <v>42354</v>
      </c>
      <c r="B680" t="n">
        <v>4489593</v>
      </c>
    </row>
    <row r="681">
      <c r="A681" s="63" t="n">
        <v>42361</v>
      </c>
      <c r="B681" t="n">
        <v>4496523</v>
      </c>
    </row>
    <row r="682">
      <c r="A682" s="63" t="n">
        <v>42368</v>
      </c>
      <c r="B682" t="n">
        <v>4486587</v>
      </c>
    </row>
    <row r="683">
      <c r="A683" s="63" t="n">
        <v>42375</v>
      </c>
      <c r="B683" t="n">
        <v>4486606</v>
      </c>
    </row>
    <row r="684">
      <c r="A684" s="63" t="n">
        <v>42382</v>
      </c>
      <c r="B684" t="n">
        <v>4501695</v>
      </c>
    </row>
    <row r="685">
      <c r="A685" s="63" t="n">
        <v>42389</v>
      </c>
      <c r="B685" t="n">
        <v>4488840</v>
      </c>
    </row>
    <row r="686">
      <c r="A686" s="63" t="n">
        <v>42396</v>
      </c>
      <c r="B686" t="n">
        <v>4482349</v>
      </c>
    </row>
    <row r="687">
      <c r="A687" s="63" t="n">
        <v>42403</v>
      </c>
      <c r="B687" t="n">
        <v>4483495</v>
      </c>
    </row>
    <row r="688">
      <c r="A688" s="63" t="n">
        <v>42410</v>
      </c>
      <c r="B688" t="n">
        <v>4486278</v>
      </c>
    </row>
    <row r="689">
      <c r="A689" s="63" t="n">
        <v>42417</v>
      </c>
      <c r="B689" t="n">
        <v>4483629</v>
      </c>
    </row>
    <row r="690">
      <c r="A690" s="63" t="n">
        <v>42424</v>
      </c>
      <c r="B690" t="n">
        <v>4489796</v>
      </c>
    </row>
    <row r="691">
      <c r="A691" s="63" t="n">
        <v>42431</v>
      </c>
      <c r="B691" t="n">
        <v>4478485</v>
      </c>
    </row>
    <row r="692">
      <c r="A692" s="63" t="n">
        <v>42438</v>
      </c>
      <c r="B692" t="n">
        <v>4481083</v>
      </c>
    </row>
    <row r="693">
      <c r="A693" s="63" t="n">
        <v>42445</v>
      </c>
      <c r="B693" t="n">
        <v>4486333</v>
      </c>
    </row>
    <row r="694">
      <c r="A694" s="63" t="n">
        <v>42452</v>
      </c>
      <c r="B694" t="n">
        <v>4492857</v>
      </c>
    </row>
    <row r="695">
      <c r="A695" s="63" t="n">
        <v>42459</v>
      </c>
      <c r="B695" t="n">
        <v>4482840</v>
      </c>
    </row>
    <row r="696">
      <c r="A696" s="63" t="n">
        <v>42466</v>
      </c>
      <c r="B696" t="n">
        <v>4484069</v>
      </c>
    </row>
    <row r="697">
      <c r="A697" s="63" t="n">
        <v>42473</v>
      </c>
      <c r="B697" t="n">
        <v>4499729</v>
      </c>
    </row>
    <row r="698">
      <c r="A698" s="63" t="n">
        <v>42480</v>
      </c>
      <c r="B698" t="n">
        <v>4490131</v>
      </c>
    </row>
    <row r="699">
      <c r="A699" s="63" t="n">
        <v>42487</v>
      </c>
      <c r="B699" t="n">
        <v>4474665</v>
      </c>
    </row>
    <row r="700">
      <c r="A700" s="63" t="n">
        <v>42494</v>
      </c>
      <c r="B700" t="n">
        <v>4477270</v>
      </c>
    </row>
    <row r="701">
      <c r="A701" s="63" t="n">
        <v>42501</v>
      </c>
      <c r="B701" t="n">
        <v>4478411</v>
      </c>
    </row>
    <row r="702">
      <c r="A702" s="63" t="n">
        <v>42508</v>
      </c>
      <c r="B702" t="n">
        <v>4473741</v>
      </c>
    </row>
    <row r="703">
      <c r="A703" s="63" t="n">
        <v>42515</v>
      </c>
      <c r="B703" t="n">
        <v>4461111</v>
      </c>
    </row>
    <row r="704">
      <c r="A704" s="63" t="n">
        <v>42522</v>
      </c>
      <c r="B704" t="n">
        <v>4461393</v>
      </c>
    </row>
    <row r="705">
      <c r="A705" s="63" t="n">
        <v>42529</v>
      </c>
      <c r="B705" t="n">
        <v>4463542</v>
      </c>
    </row>
    <row r="706">
      <c r="A706" s="63" t="n">
        <v>42536</v>
      </c>
      <c r="B706" t="n">
        <v>4472817</v>
      </c>
    </row>
    <row r="707">
      <c r="A707" s="63" t="n">
        <v>42543</v>
      </c>
      <c r="B707" t="n">
        <v>4482009</v>
      </c>
    </row>
    <row r="708">
      <c r="A708" s="63" t="n">
        <v>42550</v>
      </c>
      <c r="B708" t="n">
        <v>4466482</v>
      </c>
    </row>
    <row r="709">
      <c r="A709" s="63" t="n">
        <v>42557</v>
      </c>
      <c r="B709" t="n">
        <v>4470605</v>
      </c>
    </row>
    <row r="710">
      <c r="A710" s="63" t="n">
        <v>42564</v>
      </c>
      <c r="B710" t="n">
        <v>4472202</v>
      </c>
    </row>
    <row r="711">
      <c r="A711" s="63" t="n">
        <v>42571</v>
      </c>
      <c r="B711" t="n">
        <v>4480973</v>
      </c>
    </row>
    <row r="712">
      <c r="A712" s="63" t="n">
        <v>42578</v>
      </c>
      <c r="B712" t="n">
        <v>4464498</v>
      </c>
    </row>
    <row r="713">
      <c r="A713" s="63" t="n">
        <v>42585</v>
      </c>
      <c r="B713" t="n">
        <v>4466793</v>
      </c>
    </row>
    <row r="714">
      <c r="A714" s="63" t="n">
        <v>42592</v>
      </c>
      <c r="B714" t="n">
        <v>4468929</v>
      </c>
    </row>
    <row r="715">
      <c r="A715" s="63" t="n">
        <v>42599</v>
      </c>
      <c r="B715" t="n">
        <v>4466476</v>
      </c>
    </row>
    <row r="716">
      <c r="A716" s="63" t="n">
        <v>42606</v>
      </c>
      <c r="B716" t="n">
        <v>4473840</v>
      </c>
    </row>
    <row r="717">
      <c r="A717" s="63" t="n">
        <v>42613</v>
      </c>
      <c r="B717" t="n">
        <v>4457907</v>
      </c>
    </row>
    <row r="718">
      <c r="A718" s="63" t="n">
        <v>42620</v>
      </c>
      <c r="B718" t="n">
        <v>4459394</v>
      </c>
    </row>
    <row r="719">
      <c r="A719" s="63" t="n">
        <v>42627</v>
      </c>
      <c r="B719" t="n">
        <v>4481635</v>
      </c>
    </row>
    <row r="720">
      <c r="A720" s="63" t="n">
        <v>42634</v>
      </c>
      <c r="B720" t="n">
        <v>4473032</v>
      </c>
    </row>
    <row r="721">
      <c r="A721" s="63" t="n">
        <v>42641</v>
      </c>
      <c r="B721" t="n">
        <v>4452002</v>
      </c>
    </row>
    <row r="722">
      <c r="A722" s="63" t="n">
        <v>42648</v>
      </c>
      <c r="B722" t="n">
        <v>4459407</v>
      </c>
    </row>
    <row r="723">
      <c r="A723" s="63" t="n">
        <v>42655</v>
      </c>
      <c r="B723" t="n">
        <v>4457698</v>
      </c>
    </row>
    <row r="724">
      <c r="A724" s="63" t="n">
        <v>42662</v>
      </c>
      <c r="B724" t="n">
        <v>4467382</v>
      </c>
    </row>
    <row r="725">
      <c r="A725" s="63" t="n">
        <v>42669</v>
      </c>
      <c r="B725" t="n">
        <v>4454326</v>
      </c>
    </row>
    <row r="726">
      <c r="A726" s="63" t="n">
        <v>42676</v>
      </c>
      <c r="B726" t="n">
        <v>4453087</v>
      </c>
    </row>
    <row r="727">
      <c r="A727" s="63" t="n">
        <v>42683</v>
      </c>
      <c r="B727" t="n">
        <v>4455087</v>
      </c>
    </row>
    <row r="728">
      <c r="A728" s="63" t="n">
        <v>42690</v>
      </c>
      <c r="B728" t="n">
        <v>4453633</v>
      </c>
    </row>
    <row r="729">
      <c r="A729" s="63" t="n">
        <v>42697</v>
      </c>
      <c r="B729" t="n">
        <v>4465782</v>
      </c>
    </row>
    <row r="730">
      <c r="A730" s="63" t="n">
        <v>42704</v>
      </c>
      <c r="B730" t="n">
        <v>4446307</v>
      </c>
    </row>
    <row r="731">
      <c r="A731" s="63" t="n">
        <v>42711</v>
      </c>
      <c r="B731" t="n">
        <v>4448618</v>
      </c>
    </row>
    <row r="732">
      <c r="A732" s="63" t="n">
        <v>42718</v>
      </c>
      <c r="B732" t="n">
        <v>4470973</v>
      </c>
    </row>
    <row r="733">
      <c r="A733" s="63" t="n">
        <v>42725</v>
      </c>
      <c r="B733" t="n">
        <v>4469089</v>
      </c>
    </row>
    <row r="734">
      <c r="A734" s="63" t="n">
        <v>42732</v>
      </c>
      <c r="B734" t="n">
        <v>4451451</v>
      </c>
    </row>
    <row r="735">
      <c r="A735" s="63" t="n">
        <v>42739</v>
      </c>
      <c r="B735" t="n">
        <v>4453101</v>
      </c>
    </row>
    <row r="736">
      <c r="A736" s="63" t="n">
        <v>42746</v>
      </c>
      <c r="B736" t="n">
        <v>4452509</v>
      </c>
    </row>
    <row r="737">
      <c r="A737" s="63" t="n">
        <v>42753</v>
      </c>
      <c r="B737" t="n">
        <v>4460758</v>
      </c>
    </row>
    <row r="738">
      <c r="A738" s="63" t="n">
        <v>42760</v>
      </c>
      <c r="B738" t="n">
        <v>4452838</v>
      </c>
    </row>
    <row r="739">
      <c r="A739" s="63" t="n">
        <v>42767</v>
      </c>
      <c r="B739" t="n">
        <v>4453881</v>
      </c>
    </row>
    <row r="740">
      <c r="A740" s="63" t="n">
        <v>42774</v>
      </c>
      <c r="B740" t="n">
        <v>4456236</v>
      </c>
    </row>
    <row r="741">
      <c r="A741" s="63" t="n">
        <v>42781</v>
      </c>
      <c r="B741" t="n">
        <v>4454676</v>
      </c>
    </row>
    <row r="742">
      <c r="A742" s="63" t="n">
        <v>42788</v>
      </c>
      <c r="B742" t="n">
        <v>4468702</v>
      </c>
    </row>
    <row r="743">
      <c r="A743" s="63" t="n">
        <v>42795</v>
      </c>
      <c r="B743" t="n">
        <v>4458018</v>
      </c>
    </row>
    <row r="744">
      <c r="A744" s="63" t="n">
        <v>42802</v>
      </c>
      <c r="B744" t="n">
        <v>4459840</v>
      </c>
    </row>
    <row r="745">
      <c r="A745" s="63" t="n">
        <v>42809</v>
      </c>
      <c r="B745" t="n">
        <v>4469577</v>
      </c>
    </row>
    <row r="746">
      <c r="A746" s="63" t="n">
        <v>42816</v>
      </c>
      <c r="B746" t="n">
        <v>4478236</v>
      </c>
    </row>
    <row r="747">
      <c r="A747" s="63" t="n">
        <v>42823</v>
      </c>
      <c r="B747" t="n">
        <v>4469618</v>
      </c>
    </row>
    <row r="748">
      <c r="A748" s="63" t="n">
        <v>42830</v>
      </c>
      <c r="B748" t="n">
        <v>4474634</v>
      </c>
    </row>
    <row r="749">
      <c r="A749" s="63" t="n">
        <v>42837</v>
      </c>
      <c r="B749" t="n">
        <v>4484492</v>
      </c>
    </row>
    <row r="750">
      <c r="A750" s="63" t="n">
        <v>42844</v>
      </c>
      <c r="B750" t="n">
        <v>4479270</v>
      </c>
    </row>
    <row r="751">
      <c r="A751" s="63" t="n">
        <v>42851</v>
      </c>
      <c r="B751" t="n">
        <v>4470142</v>
      </c>
    </row>
    <row r="752">
      <c r="A752" s="63" t="n">
        <v>42858</v>
      </c>
      <c r="B752" t="n">
        <v>4471246</v>
      </c>
    </row>
    <row r="753">
      <c r="A753" s="63" t="n">
        <v>42865</v>
      </c>
      <c r="B753" t="n">
        <v>4473459</v>
      </c>
    </row>
    <row r="754">
      <c r="A754" s="63" t="n">
        <v>42872</v>
      </c>
      <c r="B754" t="n">
        <v>4467108</v>
      </c>
    </row>
    <row r="755">
      <c r="A755" s="63" t="n">
        <v>42879</v>
      </c>
      <c r="B755" t="n">
        <v>4470852</v>
      </c>
    </row>
    <row r="756">
      <c r="A756" s="63" t="n">
        <v>42886</v>
      </c>
      <c r="B756" t="n">
        <v>4459914</v>
      </c>
    </row>
    <row r="757">
      <c r="A757" s="63" t="n">
        <v>42893</v>
      </c>
      <c r="B757" t="n">
        <v>4462443</v>
      </c>
    </row>
    <row r="758">
      <c r="A758" s="63" t="n">
        <v>42900</v>
      </c>
      <c r="B758" t="n">
        <v>4476269</v>
      </c>
    </row>
    <row r="759">
      <c r="A759" s="63" t="n">
        <v>42907</v>
      </c>
      <c r="B759" t="n">
        <v>4474257</v>
      </c>
    </row>
    <row r="760">
      <c r="A760" s="63" t="n">
        <v>42914</v>
      </c>
      <c r="B760" t="n">
        <v>4463347</v>
      </c>
    </row>
    <row r="761">
      <c r="A761" s="63" t="n">
        <v>42921</v>
      </c>
      <c r="B761" t="n">
        <v>4467272</v>
      </c>
    </row>
    <row r="762">
      <c r="A762" s="63" t="n">
        <v>42928</v>
      </c>
      <c r="B762" t="n">
        <v>4466702</v>
      </c>
    </row>
    <row r="763">
      <c r="A763" s="63" t="n">
        <v>42935</v>
      </c>
      <c r="B763" t="n">
        <v>4476903</v>
      </c>
    </row>
    <row r="764">
      <c r="A764" s="63" t="n">
        <v>42942</v>
      </c>
      <c r="B764" t="n">
        <v>4465284</v>
      </c>
    </row>
    <row r="765">
      <c r="A765" s="63" t="n">
        <v>42949</v>
      </c>
      <c r="B765" t="n">
        <v>4466846</v>
      </c>
    </row>
    <row r="766">
      <c r="A766" s="63" t="n">
        <v>42956</v>
      </c>
      <c r="B766" t="n">
        <v>4469083</v>
      </c>
    </row>
    <row r="767">
      <c r="A767" s="63" t="n">
        <v>42963</v>
      </c>
      <c r="B767" t="n">
        <v>4462871</v>
      </c>
    </row>
    <row r="768">
      <c r="A768" s="63" t="n">
        <v>42970</v>
      </c>
      <c r="B768" t="n">
        <v>4463837</v>
      </c>
    </row>
    <row r="769">
      <c r="A769" s="63" t="n">
        <v>42977</v>
      </c>
      <c r="B769" t="n">
        <v>4452360</v>
      </c>
    </row>
    <row r="770">
      <c r="A770" s="63" t="n">
        <v>42984</v>
      </c>
      <c r="B770" t="n">
        <v>4453474</v>
      </c>
    </row>
    <row r="771">
      <c r="A771" s="63" t="n">
        <v>42991</v>
      </c>
      <c r="B771" t="n">
        <v>4471174</v>
      </c>
    </row>
    <row r="772">
      <c r="A772" s="63" t="n">
        <v>42998</v>
      </c>
      <c r="B772" t="n">
        <v>4458576</v>
      </c>
    </row>
    <row r="773">
      <c r="A773" s="63" t="n">
        <v>43005</v>
      </c>
      <c r="B773" t="n">
        <v>4455661</v>
      </c>
    </row>
    <row r="774">
      <c r="A774" s="63" t="n">
        <v>43012</v>
      </c>
      <c r="B774" t="n">
        <v>4460422</v>
      </c>
    </row>
    <row r="775">
      <c r="A775" s="63" t="n">
        <v>43019</v>
      </c>
      <c r="B775" t="n">
        <v>4459415</v>
      </c>
    </row>
    <row r="776">
      <c r="A776" s="63" t="n">
        <v>43026</v>
      </c>
      <c r="B776" t="n">
        <v>4469723</v>
      </c>
    </row>
    <row r="777">
      <c r="A777" s="63" t="n">
        <v>43033</v>
      </c>
      <c r="B777" t="n">
        <v>4461117</v>
      </c>
    </row>
    <row r="778">
      <c r="A778" s="63" t="n">
        <v>43040</v>
      </c>
      <c r="B778" t="n">
        <v>4455887</v>
      </c>
    </row>
    <row r="779">
      <c r="A779" s="63" t="n">
        <v>43047</v>
      </c>
      <c r="B779" t="n">
        <v>4458552</v>
      </c>
    </row>
    <row r="780">
      <c r="A780" s="63" t="n">
        <v>43054</v>
      </c>
      <c r="B780" t="n">
        <v>4448289</v>
      </c>
    </row>
    <row r="781">
      <c r="A781" s="63" t="n">
        <v>43061</v>
      </c>
      <c r="B781" t="n">
        <v>4450615</v>
      </c>
    </row>
    <row r="782">
      <c r="A782" s="63" t="n">
        <v>43068</v>
      </c>
      <c r="B782" t="n">
        <v>4438592</v>
      </c>
    </row>
    <row r="783">
      <c r="A783" s="63" t="n">
        <v>43075</v>
      </c>
      <c r="B783" t="n">
        <v>4437148</v>
      </c>
    </row>
    <row r="784">
      <c r="A784" s="63" t="n">
        <v>43082</v>
      </c>
      <c r="B784" t="n">
        <v>4452726</v>
      </c>
    </row>
    <row r="785">
      <c r="A785" s="63" t="n">
        <v>43089</v>
      </c>
      <c r="B785" t="n">
        <v>4447470</v>
      </c>
    </row>
    <row r="786">
      <c r="A786" s="63" t="n">
        <v>43096</v>
      </c>
      <c r="B786" t="n">
        <v>4448680</v>
      </c>
    </row>
    <row r="787">
      <c r="A787" s="63" t="n">
        <v>43103</v>
      </c>
      <c r="B787" t="n">
        <v>4443718</v>
      </c>
    </row>
    <row r="788">
      <c r="A788" s="63" t="n">
        <v>43110</v>
      </c>
      <c r="B788" t="n">
        <v>4446062</v>
      </c>
    </row>
    <row r="789">
      <c r="A789" s="63" t="n">
        <v>43117</v>
      </c>
      <c r="B789" t="n">
        <v>4439145</v>
      </c>
    </row>
    <row r="790">
      <c r="A790" s="63" t="n">
        <v>43124</v>
      </c>
      <c r="B790" t="n">
        <v>4441317</v>
      </c>
    </row>
    <row r="791">
      <c r="A791" s="63" t="n">
        <v>43131</v>
      </c>
      <c r="B791" t="n">
        <v>4419225</v>
      </c>
    </row>
    <row r="792">
      <c r="A792" s="63" t="n">
        <v>43138</v>
      </c>
      <c r="B792" t="n">
        <v>4420745</v>
      </c>
    </row>
    <row r="793">
      <c r="A793" s="63" t="n">
        <v>43145</v>
      </c>
      <c r="B793" t="n">
        <v>4434863</v>
      </c>
    </row>
    <row r="794">
      <c r="A794" s="63" t="n">
        <v>43152</v>
      </c>
      <c r="B794" t="n">
        <v>4411660</v>
      </c>
    </row>
    <row r="795">
      <c r="A795" s="63" t="n">
        <v>43159</v>
      </c>
      <c r="B795" t="n">
        <v>4393401</v>
      </c>
    </row>
    <row r="796">
      <c r="A796" s="63" t="n">
        <v>43166</v>
      </c>
      <c r="B796" t="n">
        <v>4396097</v>
      </c>
    </row>
    <row r="797">
      <c r="A797" s="63" t="n">
        <v>43173</v>
      </c>
      <c r="B797" t="n">
        <v>4407258</v>
      </c>
    </row>
    <row r="798">
      <c r="A798" s="63" t="n">
        <v>43180</v>
      </c>
      <c r="B798" t="n">
        <v>4401222</v>
      </c>
    </row>
    <row r="799">
      <c r="A799" s="63" t="n">
        <v>43187</v>
      </c>
      <c r="B799" t="n">
        <v>4392198</v>
      </c>
    </row>
    <row r="800">
      <c r="A800" s="63" t="n">
        <v>43194</v>
      </c>
      <c r="B800" t="n">
        <v>4386104</v>
      </c>
    </row>
    <row r="801">
      <c r="A801" s="63" t="n">
        <v>43201</v>
      </c>
      <c r="B801" t="n">
        <v>4383684</v>
      </c>
    </row>
    <row r="802">
      <c r="A802" s="63" t="n">
        <v>43208</v>
      </c>
      <c r="B802" t="n">
        <v>4385903</v>
      </c>
    </row>
    <row r="803">
      <c r="A803" s="63" t="n">
        <v>43215</v>
      </c>
      <c r="B803" t="n">
        <v>4372886</v>
      </c>
    </row>
    <row r="804">
      <c r="A804" s="63" t="n">
        <v>43222</v>
      </c>
      <c r="B804" t="n">
        <v>4356129</v>
      </c>
    </row>
    <row r="805">
      <c r="A805" s="63" t="n">
        <v>43229</v>
      </c>
      <c r="B805" t="n">
        <v>4358207</v>
      </c>
    </row>
    <row r="806">
      <c r="A806" s="63" t="n">
        <v>43236</v>
      </c>
      <c r="B806" t="n">
        <v>4337609</v>
      </c>
    </row>
    <row r="807">
      <c r="A807" s="63" t="n">
        <v>43243</v>
      </c>
      <c r="B807" t="n">
        <v>4337301</v>
      </c>
    </row>
    <row r="808">
      <c r="A808" s="63" t="n">
        <v>43250</v>
      </c>
      <c r="B808" t="n">
        <v>4327519</v>
      </c>
    </row>
    <row r="809">
      <c r="A809" s="63" t="n">
        <v>43257</v>
      </c>
      <c r="B809" t="n">
        <v>4319191</v>
      </c>
    </row>
    <row r="810">
      <c r="A810" s="63" t="n">
        <v>43264</v>
      </c>
      <c r="B810" t="n">
        <v>4324906</v>
      </c>
    </row>
    <row r="811">
      <c r="A811" s="63" t="n">
        <v>43271</v>
      </c>
      <c r="B811" t="n">
        <v>4315896</v>
      </c>
    </row>
    <row r="812">
      <c r="A812" s="63" t="n">
        <v>43278</v>
      </c>
      <c r="B812" t="n">
        <v>4305491</v>
      </c>
    </row>
    <row r="813">
      <c r="A813" s="63" t="n">
        <v>43285</v>
      </c>
      <c r="B813" t="n">
        <v>4289764</v>
      </c>
    </row>
    <row r="814">
      <c r="A814" s="63" t="n">
        <v>43292</v>
      </c>
      <c r="B814" t="n">
        <v>4291201</v>
      </c>
    </row>
    <row r="815">
      <c r="A815" s="63" t="n">
        <v>43299</v>
      </c>
      <c r="B815" t="n">
        <v>4291615</v>
      </c>
    </row>
    <row r="816">
      <c r="A816" s="63" t="n">
        <v>43306</v>
      </c>
      <c r="B816" t="n">
        <v>4277681</v>
      </c>
    </row>
    <row r="817">
      <c r="A817" s="63" t="n">
        <v>43313</v>
      </c>
      <c r="B817" t="n">
        <v>4255653</v>
      </c>
    </row>
    <row r="818">
      <c r="A818" s="63" t="n">
        <v>43320</v>
      </c>
      <c r="B818" t="n">
        <v>4258030</v>
      </c>
    </row>
    <row r="819">
      <c r="A819" s="63" t="n">
        <v>43327</v>
      </c>
      <c r="B819" t="n">
        <v>4228924</v>
      </c>
    </row>
    <row r="820">
      <c r="A820" s="63" t="n">
        <v>43334</v>
      </c>
      <c r="B820" t="n">
        <v>4228818</v>
      </c>
    </row>
    <row r="821">
      <c r="A821" s="63" t="n">
        <v>43341</v>
      </c>
      <c r="B821" t="n">
        <v>4218914</v>
      </c>
    </row>
    <row r="822">
      <c r="A822" s="63" t="n">
        <v>43348</v>
      </c>
      <c r="B822" t="n">
        <v>4208496</v>
      </c>
    </row>
    <row r="823">
      <c r="A823" s="63" t="n">
        <v>43355</v>
      </c>
      <c r="B823" t="n">
        <v>4210812</v>
      </c>
    </row>
    <row r="824">
      <c r="A824" s="63" t="n">
        <v>43362</v>
      </c>
      <c r="B824" t="n">
        <v>4208059</v>
      </c>
    </row>
    <row r="825">
      <c r="A825" s="63" t="n">
        <v>43369</v>
      </c>
      <c r="B825" t="n">
        <v>4192909</v>
      </c>
    </row>
    <row r="826">
      <c r="A826" s="63" t="n">
        <v>43376</v>
      </c>
      <c r="B826" t="n">
        <v>4174704</v>
      </c>
    </row>
    <row r="827">
      <c r="A827" s="63" t="n">
        <v>43383</v>
      </c>
      <c r="B827" t="n">
        <v>4176906</v>
      </c>
    </row>
    <row r="828">
      <c r="A828" s="63" t="n">
        <v>43390</v>
      </c>
      <c r="B828" t="n">
        <v>4175446</v>
      </c>
    </row>
    <row r="829">
      <c r="A829" s="63" t="n">
        <v>43397</v>
      </c>
      <c r="B829" t="n">
        <v>4173070</v>
      </c>
    </row>
    <row r="830">
      <c r="A830" s="63" t="n">
        <v>43404</v>
      </c>
      <c r="B830" t="n">
        <v>4139731</v>
      </c>
    </row>
    <row r="831">
      <c r="A831" s="63" t="n">
        <v>43411</v>
      </c>
      <c r="B831" t="n">
        <v>4141936</v>
      </c>
    </row>
    <row r="832">
      <c r="A832" s="63" t="n">
        <v>43418</v>
      </c>
      <c r="B832" t="n">
        <v>4145892</v>
      </c>
    </row>
    <row r="833">
      <c r="A833" s="63" t="n">
        <v>43425</v>
      </c>
      <c r="B833" t="n">
        <v>4106198</v>
      </c>
    </row>
    <row r="834">
      <c r="A834" s="63" t="n">
        <v>43432</v>
      </c>
      <c r="B834" t="n">
        <v>4097170</v>
      </c>
    </row>
    <row r="835">
      <c r="A835" s="63" t="n">
        <v>43439</v>
      </c>
      <c r="B835" t="n">
        <v>4086044</v>
      </c>
    </row>
    <row r="836">
      <c r="A836" s="63" t="n">
        <v>43446</v>
      </c>
      <c r="B836" t="n">
        <v>4088314</v>
      </c>
    </row>
    <row r="837">
      <c r="A837" s="63" t="n">
        <v>43453</v>
      </c>
      <c r="B837" t="n">
        <v>4084274</v>
      </c>
    </row>
    <row r="838">
      <c r="A838" s="63" t="n">
        <v>43460</v>
      </c>
      <c r="B838" t="n">
        <v>4075636</v>
      </c>
    </row>
    <row r="839">
      <c r="A839" s="63" t="n">
        <v>43467</v>
      </c>
      <c r="B839" t="n">
        <v>4058378</v>
      </c>
    </row>
    <row r="840">
      <c r="A840" s="63" t="n">
        <v>43474</v>
      </c>
      <c r="B840" t="n">
        <v>4056563</v>
      </c>
    </row>
    <row r="841">
      <c r="A841" s="63" t="n">
        <v>43481</v>
      </c>
      <c r="B841" t="n">
        <v>4050044</v>
      </c>
    </row>
    <row r="842">
      <c r="A842" s="63" t="n">
        <v>43488</v>
      </c>
      <c r="B842" t="n">
        <v>4047052</v>
      </c>
    </row>
    <row r="843">
      <c r="A843" s="63" t="n">
        <v>43495</v>
      </c>
      <c r="B843" t="n">
        <v>4039678</v>
      </c>
    </row>
    <row r="844">
      <c r="A844" s="63" t="n">
        <v>43502</v>
      </c>
      <c r="B844" t="n">
        <v>4026350</v>
      </c>
    </row>
    <row r="845">
      <c r="A845" s="63" t="n">
        <v>43509</v>
      </c>
      <c r="B845" t="n">
        <v>4028431</v>
      </c>
    </row>
    <row r="846">
      <c r="A846" s="63" t="n">
        <v>43516</v>
      </c>
      <c r="B846" t="n">
        <v>3981420</v>
      </c>
    </row>
    <row r="847">
      <c r="A847" s="63" t="n">
        <v>43523</v>
      </c>
      <c r="B847" t="n">
        <v>3974590</v>
      </c>
    </row>
    <row r="848">
      <c r="A848" s="63" t="n">
        <v>43530</v>
      </c>
      <c r="B848" t="n">
        <v>3969134</v>
      </c>
    </row>
    <row r="849">
      <c r="A849" s="63" t="n">
        <v>43537</v>
      </c>
      <c r="B849" t="n">
        <v>3971559</v>
      </c>
    </row>
    <row r="850">
      <c r="A850" s="63" t="n">
        <v>43544</v>
      </c>
      <c r="B850" t="n">
        <v>3962748</v>
      </c>
    </row>
    <row r="851">
      <c r="A851" s="63" t="n">
        <v>43551</v>
      </c>
      <c r="B851" t="n">
        <v>3955617</v>
      </c>
    </row>
    <row r="852">
      <c r="A852" s="63" t="n">
        <v>43558</v>
      </c>
      <c r="B852" t="n">
        <v>3935509</v>
      </c>
    </row>
    <row r="853">
      <c r="A853" s="63" t="n">
        <v>43565</v>
      </c>
      <c r="B853" t="n">
        <v>3936784</v>
      </c>
    </row>
    <row r="854">
      <c r="A854" s="63" t="n">
        <v>43572</v>
      </c>
      <c r="B854" t="n">
        <v>3931827</v>
      </c>
    </row>
    <row r="855">
      <c r="A855" s="63" t="n">
        <v>43579</v>
      </c>
      <c r="B855" t="n">
        <v>3928273</v>
      </c>
    </row>
    <row r="856">
      <c r="A856" s="63" t="n">
        <v>43586</v>
      </c>
      <c r="B856" t="n">
        <v>3889691</v>
      </c>
    </row>
    <row r="857">
      <c r="A857" s="63" t="n">
        <v>43593</v>
      </c>
      <c r="B857" t="n">
        <v>3892216</v>
      </c>
    </row>
    <row r="858">
      <c r="A858" s="63" t="n">
        <v>43600</v>
      </c>
      <c r="B858" t="n">
        <v>3864749</v>
      </c>
    </row>
    <row r="859">
      <c r="A859" s="63" t="n">
        <v>43607</v>
      </c>
      <c r="B859" t="n">
        <v>3860435</v>
      </c>
    </row>
    <row r="860">
      <c r="A860" s="63" t="n">
        <v>43614</v>
      </c>
      <c r="B860" t="n">
        <v>3851444</v>
      </c>
    </row>
    <row r="861">
      <c r="A861" s="63" t="n">
        <v>43621</v>
      </c>
      <c r="B861" t="n">
        <v>3847645</v>
      </c>
    </row>
    <row r="862">
      <c r="A862" s="63" t="n">
        <v>43628</v>
      </c>
      <c r="B862" t="n">
        <v>3849955</v>
      </c>
    </row>
    <row r="863">
      <c r="A863" s="63" t="n">
        <v>43635</v>
      </c>
      <c r="B863" t="n">
        <v>3844016</v>
      </c>
    </row>
    <row r="864">
      <c r="A864" s="63" t="n">
        <v>43642</v>
      </c>
      <c r="B864" t="n">
        <v>3826817</v>
      </c>
    </row>
    <row r="865">
      <c r="A865" s="63" t="n">
        <v>43649</v>
      </c>
      <c r="B865" t="n">
        <v>3813198</v>
      </c>
    </row>
    <row r="866">
      <c r="A866" s="63" t="n">
        <v>43656</v>
      </c>
      <c r="B866" t="n">
        <v>3815038</v>
      </c>
    </row>
    <row r="867">
      <c r="A867" s="63" t="n">
        <v>43663</v>
      </c>
      <c r="B867" t="n">
        <v>3808110</v>
      </c>
    </row>
    <row r="868">
      <c r="A868" s="63" t="n">
        <v>43670</v>
      </c>
      <c r="B868" t="n">
        <v>3803436</v>
      </c>
    </row>
    <row r="869">
      <c r="A869" s="63" t="n">
        <v>43677</v>
      </c>
      <c r="B869" t="n">
        <v>3779102</v>
      </c>
    </row>
    <row r="870">
      <c r="A870" s="63" t="n">
        <v>43684</v>
      </c>
      <c r="B870" t="n">
        <v>3781543</v>
      </c>
    </row>
    <row r="871">
      <c r="A871" s="63" t="n">
        <v>43691</v>
      </c>
      <c r="B871" t="n">
        <v>3786018</v>
      </c>
    </row>
    <row r="872">
      <c r="A872" s="63" t="n">
        <v>43698</v>
      </c>
      <c r="B872" t="n">
        <v>3764866</v>
      </c>
    </row>
    <row r="873">
      <c r="A873" s="63" t="n">
        <v>43705</v>
      </c>
      <c r="B873" t="n">
        <v>3759946</v>
      </c>
    </row>
    <row r="874">
      <c r="A874" s="63" t="n">
        <v>43712</v>
      </c>
      <c r="B874" t="n">
        <v>3761508</v>
      </c>
    </row>
    <row r="875">
      <c r="A875" s="63" t="n">
        <v>43719</v>
      </c>
      <c r="B875" t="n">
        <v>3769673</v>
      </c>
    </row>
    <row r="876">
      <c r="A876" s="63" t="n">
        <v>43726</v>
      </c>
      <c r="B876" t="n">
        <v>3844695</v>
      </c>
    </row>
    <row r="877">
      <c r="A877" s="63" t="n">
        <v>43733</v>
      </c>
      <c r="B877" t="n">
        <v>3857715</v>
      </c>
    </row>
    <row r="878">
      <c r="A878" s="63" t="n">
        <v>43740</v>
      </c>
      <c r="B878" t="n">
        <v>3945831</v>
      </c>
    </row>
    <row r="879">
      <c r="A879" s="63" t="n">
        <v>43747</v>
      </c>
      <c r="B879" t="n">
        <v>3949955</v>
      </c>
    </row>
    <row r="880">
      <c r="A880" s="63" t="n">
        <v>43754</v>
      </c>
      <c r="B880" t="n">
        <v>3966471</v>
      </c>
    </row>
    <row r="881">
      <c r="A881" s="63" t="n">
        <v>43761</v>
      </c>
      <c r="B881" t="n">
        <v>3968700</v>
      </c>
    </row>
    <row r="882">
      <c r="A882" s="63" t="n">
        <v>43768</v>
      </c>
      <c r="B882" t="n">
        <v>4019823</v>
      </c>
    </row>
    <row r="883">
      <c r="A883" s="63" t="n">
        <v>43775</v>
      </c>
      <c r="B883" t="n">
        <v>4039443</v>
      </c>
    </row>
    <row r="884">
      <c r="A884" s="63" t="n">
        <v>43782</v>
      </c>
      <c r="B884" t="n">
        <v>4047882</v>
      </c>
    </row>
    <row r="885">
      <c r="A885" s="63" t="n">
        <v>43789</v>
      </c>
      <c r="B885" t="n">
        <v>4030249</v>
      </c>
    </row>
    <row r="886">
      <c r="A886" s="63" t="n">
        <v>43796</v>
      </c>
      <c r="B886" t="n">
        <v>4052875</v>
      </c>
    </row>
    <row r="887">
      <c r="A887" s="63" t="n">
        <v>43803</v>
      </c>
      <c r="B887" t="n">
        <v>4065696</v>
      </c>
    </row>
    <row r="888">
      <c r="A888" s="63" t="n">
        <v>43810</v>
      </c>
      <c r="B888" t="n">
        <v>4095491</v>
      </c>
    </row>
    <row r="889">
      <c r="A889" s="63" t="n">
        <v>43817</v>
      </c>
      <c r="B889" t="n">
        <v>4137052</v>
      </c>
    </row>
    <row r="890">
      <c r="A890" s="63" t="n">
        <v>43824</v>
      </c>
      <c r="B890" t="n">
        <v>4165591</v>
      </c>
    </row>
    <row r="891">
      <c r="A891" s="63" t="n">
        <v>43831</v>
      </c>
      <c r="B891" t="n">
        <v>4173626</v>
      </c>
    </row>
    <row r="892">
      <c r="A892" s="63" t="n">
        <v>43838</v>
      </c>
      <c r="B892" t="n">
        <v>4149544</v>
      </c>
    </row>
    <row r="893">
      <c r="A893" s="63" t="n">
        <v>43845</v>
      </c>
      <c r="B893" t="n">
        <v>4175850</v>
      </c>
    </row>
    <row r="894">
      <c r="A894" s="63" t="n">
        <v>43852</v>
      </c>
      <c r="B894" t="n">
        <v>4145912</v>
      </c>
    </row>
    <row r="895">
      <c r="A895" s="63" t="n">
        <v>43859</v>
      </c>
      <c r="B895" t="n">
        <v>4151630</v>
      </c>
    </row>
    <row r="896">
      <c r="A896" s="63" t="n">
        <v>43866</v>
      </c>
      <c r="B896" t="n">
        <v>4166707</v>
      </c>
    </row>
    <row r="897">
      <c r="A897" s="63" t="n">
        <v>43873</v>
      </c>
      <c r="B897" t="n">
        <v>4182689</v>
      </c>
    </row>
    <row r="898">
      <c r="A898" s="63" t="n">
        <v>43880</v>
      </c>
      <c r="B898" t="n">
        <v>4171570</v>
      </c>
    </row>
    <row r="899">
      <c r="A899" s="63" t="n">
        <v>43887</v>
      </c>
      <c r="B899" t="n">
        <v>4158637</v>
      </c>
    </row>
    <row r="900">
      <c r="A900" s="63" t="n">
        <v>43894</v>
      </c>
      <c r="B900" t="n">
        <v>4241507</v>
      </c>
    </row>
    <row r="901">
      <c r="A901" s="63" t="n">
        <v>43901</v>
      </c>
      <c r="B901" t="n">
        <v>4311911</v>
      </c>
    </row>
    <row r="902">
      <c r="A902" s="63" t="n">
        <v>43908</v>
      </c>
      <c r="B902" t="n">
        <v>4668212</v>
      </c>
    </row>
    <row r="903">
      <c r="A903" s="63" t="n">
        <v>43915</v>
      </c>
      <c r="B903" t="n">
        <v>5254278</v>
      </c>
    </row>
    <row r="904">
      <c r="A904" s="63" t="n">
        <v>43922</v>
      </c>
      <c r="B904" t="n">
        <v>5811607</v>
      </c>
    </row>
    <row r="905">
      <c r="A905" s="63" t="n">
        <v>43929</v>
      </c>
      <c r="B905" t="n">
        <v>6083141</v>
      </c>
    </row>
    <row r="906">
      <c r="A906" s="63" t="n">
        <v>43936</v>
      </c>
      <c r="B906" t="n">
        <v>6367887</v>
      </c>
    </row>
    <row r="907">
      <c r="A907" s="63" t="n">
        <v>43943</v>
      </c>
      <c r="B907" t="n">
        <v>6573136</v>
      </c>
    </row>
    <row r="908">
      <c r="A908" s="63" t="n">
        <v>43950</v>
      </c>
      <c r="B908" t="n">
        <v>6655929</v>
      </c>
    </row>
    <row r="909">
      <c r="A909" s="63" t="n">
        <v>43957</v>
      </c>
      <c r="B909" t="n">
        <v>6721420</v>
      </c>
    </row>
    <row r="910">
      <c r="A910" s="63" t="n">
        <v>43964</v>
      </c>
      <c r="B910" t="n">
        <v>6934227</v>
      </c>
    </row>
    <row r="911">
      <c r="A911" s="63" t="n">
        <v>43971</v>
      </c>
      <c r="B911" t="n">
        <v>7037258</v>
      </c>
    </row>
    <row r="912">
      <c r="A912" s="63" t="n">
        <v>43978</v>
      </c>
      <c r="B912" t="n">
        <v>7097316</v>
      </c>
    </row>
    <row r="913">
      <c r="A913" s="63" t="n">
        <v>43985</v>
      </c>
      <c r="B913" t="n">
        <v>7165217</v>
      </c>
    </row>
    <row r="914">
      <c r="A914" s="63" t="n">
        <v>43992</v>
      </c>
      <c r="B914" t="n">
        <v>7168936</v>
      </c>
    </row>
    <row r="915">
      <c r="A915" s="63" t="n">
        <v>43999</v>
      </c>
      <c r="B915" t="n">
        <v>7094690</v>
      </c>
    </row>
    <row r="916">
      <c r="A916" s="63" t="n">
        <v>44006</v>
      </c>
      <c r="B916" t="n">
        <v>7082302</v>
      </c>
    </row>
    <row r="917">
      <c r="A917" s="63" t="n">
        <v>44013</v>
      </c>
      <c r="B917" t="n">
        <v>7009040</v>
      </c>
    </row>
    <row r="918">
      <c r="A918" s="63" t="n">
        <v>44020</v>
      </c>
      <c r="B918" t="n">
        <v>6920716</v>
      </c>
    </row>
    <row r="919">
      <c r="A919" s="63" t="n">
        <v>44027</v>
      </c>
      <c r="B919" t="n">
        <v>6958604</v>
      </c>
    </row>
    <row r="920">
      <c r="A920" s="63" t="n">
        <v>44034</v>
      </c>
      <c r="B920" t="n">
        <v>6964755</v>
      </c>
    </row>
    <row r="921">
      <c r="A921" s="63" t="n">
        <v>44041</v>
      </c>
      <c r="B921" t="n">
        <v>6949032</v>
      </c>
    </row>
    <row r="922">
      <c r="A922" s="63" t="n">
        <v>44048</v>
      </c>
      <c r="B922" t="n">
        <v>6945237</v>
      </c>
    </row>
    <row r="923">
      <c r="A923" s="63" t="n">
        <v>44055</v>
      </c>
      <c r="B923" t="n">
        <v>6957277</v>
      </c>
    </row>
    <row r="924">
      <c r="A924" s="63" t="n">
        <v>44062</v>
      </c>
      <c r="B924" t="n">
        <v>7010637</v>
      </c>
    </row>
    <row r="925">
      <c r="A925" s="63" t="n">
        <v>44069</v>
      </c>
      <c r="B925" t="n">
        <v>6990418</v>
      </c>
    </row>
    <row r="926">
      <c r="A926" s="63" t="n">
        <v>44076</v>
      </c>
      <c r="B926" t="n">
        <v>7017492</v>
      </c>
    </row>
    <row r="927">
      <c r="A927" s="63" t="n">
        <v>44083</v>
      </c>
      <c r="B927" t="n">
        <v>7010614</v>
      </c>
    </row>
    <row r="928">
      <c r="A928" s="63" t="n">
        <v>44090</v>
      </c>
      <c r="B928" t="n">
        <v>7064475</v>
      </c>
    </row>
    <row r="929">
      <c r="A929" s="63" t="n">
        <v>44097</v>
      </c>
      <c r="B929" t="n">
        <v>7093161</v>
      </c>
    </row>
    <row r="930">
      <c r="A930" s="63" t="n">
        <v>44104</v>
      </c>
      <c r="B930" t="n">
        <v>7056129</v>
      </c>
    </row>
    <row r="931">
      <c r="A931" s="63" t="n">
        <v>44111</v>
      </c>
      <c r="B931" t="n">
        <v>7074649</v>
      </c>
    </row>
    <row r="932">
      <c r="A932" s="63" t="n">
        <v>44118</v>
      </c>
      <c r="B932" t="n">
        <v>7151426</v>
      </c>
    </row>
    <row r="933">
      <c r="A933" s="63" t="n">
        <v>44125</v>
      </c>
      <c r="B933" t="n">
        <v>7177265</v>
      </c>
    </row>
    <row r="934">
      <c r="A934" s="63" t="n">
        <v>44132</v>
      </c>
      <c r="B934" t="n">
        <v>7146306</v>
      </c>
    </row>
    <row r="935">
      <c r="A935" s="63" t="n">
        <v>44139</v>
      </c>
      <c r="B935" t="n">
        <v>7157479</v>
      </c>
    </row>
    <row r="936">
      <c r="A936" s="63" t="n">
        <v>44146</v>
      </c>
      <c r="B936" t="n">
        <v>7175417</v>
      </c>
    </row>
    <row r="937">
      <c r="A937" s="63" t="n">
        <v>44153</v>
      </c>
      <c r="B937" t="n">
        <v>7243080</v>
      </c>
    </row>
    <row r="938">
      <c r="A938" s="63" t="n">
        <v>44160</v>
      </c>
      <c r="B938" t="n">
        <v>7216480</v>
      </c>
    </row>
    <row r="939">
      <c r="A939" s="63" t="n">
        <v>44167</v>
      </c>
      <c r="B939" t="n">
        <v>7222414</v>
      </c>
    </row>
    <row r="940">
      <c r="A940" s="63" t="n">
        <v>44174</v>
      </c>
      <c r="B940" t="n">
        <v>7242658</v>
      </c>
    </row>
    <row r="941">
      <c r="A941" s="63" t="n">
        <v>44181</v>
      </c>
      <c r="B941" t="n">
        <v>7362592</v>
      </c>
    </row>
    <row r="942">
      <c r="A942" s="63" t="n">
        <v>44188</v>
      </c>
      <c r="B942" t="n">
        <v>7404039</v>
      </c>
    </row>
    <row r="943">
      <c r="A943" s="63" t="n">
        <v>44195</v>
      </c>
      <c r="B943" t="n">
        <v>7363351</v>
      </c>
    </row>
    <row r="944">
      <c r="A944" s="63" t="n">
        <v>44202</v>
      </c>
      <c r="B944" t="n">
        <v>7334809</v>
      </c>
    </row>
    <row r="945">
      <c r="A945" s="63" t="n">
        <v>44209</v>
      </c>
      <c r="B945" t="n">
        <v>7333968</v>
      </c>
    </row>
    <row r="946">
      <c r="A946" s="63" t="n">
        <v>44216</v>
      </c>
      <c r="B946" t="n">
        <v>7414942</v>
      </c>
    </row>
    <row r="947">
      <c r="A947" s="63" t="n">
        <v>44223</v>
      </c>
      <c r="B947" t="n">
        <v>7404926</v>
      </c>
    </row>
    <row r="948">
      <c r="A948" s="63" t="n">
        <v>44230</v>
      </c>
      <c r="B948" t="n">
        <v>7410598</v>
      </c>
    </row>
    <row r="949">
      <c r="A949" s="63" t="n">
        <v>44237</v>
      </c>
      <c r="B949" t="n">
        <v>7442225</v>
      </c>
    </row>
    <row r="950">
      <c r="A950" s="63" t="n">
        <v>44244</v>
      </c>
      <c r="B950" t="n">
        <v>7557402</v>
      </c>
    </row>
    <row r="951">
      <c r="A951" s="63" t="n">
        <v>44251</v>
      </c>
      <c r="B951" t="n">
        <v>7590111</v>
      </c>
    </row>
    <row r="952">
      <c r="A952" s="63" t="n">
        <v>44258</v>
      </c>
      <c r="B952" t="n">
        <v>7557524</v>
      </c>
    </row>
    <row r="953">
      <c r="A953" s="63" t="n">
        <v>44265</v>
      </c>
      <c r="B953" t="n">
        <v>7579901</v>
      </c>
    </row>
    <row r="954">
      <c r="A954" s="63" t="n">
        <v>44272</v>
      </c>
      <c r="B954" t="n">
        <v>7693506</v>
      </c>
    </row>
    <row r="955">
      <c r="A955" s="63" t="n">
        <v>44279</v>
      </c>
      <c r="B955" t="n">
        <v>7719622</v>
      </c>
    </row>
    <row r="956">
      <c r="A956" s="63" t="n">
        <v>44286</v>
      </c>
      <c r="B956" t="n">
        <v>7688988</v>
      </c>
    </row>
    <row r="957">
      <c r="A957" s="63" t="n">
        <v>44293</v>
      </c>
      <c r="B957" t="n">
        <v>7708882</v>
      </c>
    </row>
    <row r="958">
      <c r="A958" s="63" t="n">
        <v>44300</v>
      </c>
      <c r="B958" t="n">
        <v>7793104</v>
      </c>
    </row>
    <row r="959">
      <c r="A959" s="63" t="n">
        <v>44307</v>
      </c>
      <c r="B959" t="n">
        <v>7820948</v>
      </c>
    </row>
    <row r="960">
      <c r="A960" s="63" t="n">
        <v>44314</v>
      </c>
      <c r="B960" t="n">
        <v>7780962</v>
      </c>
    </row>
    <row r="961">
      <c r="A961" s="63" t="n">
        <v>44321</v>
      </c>
      <c r="B961" t="n">
        <v>7810486</v>
      </c>
    </row>
    <row r="962">
      <c r="A962" s="63" t="n">
        <v>44328</v>
      </c>
      <c r="B962" t="n">
        <v>7830663</v>
      </c>
    </row>
    <row r="963">
      <c r="A963" s="63" t="n">
        <v>44335</v>
      </c>
      <c r="B963" t="n">
        <v>7922883</v>
      </c>
    </row>
    <row r="964">
      <c r="A964" s="63" t="n">
        <v>44342</v>
      </c>
      <c r="B964" t="n">
        <v>7903541</v>
      </c>
    </row>
    <row r="965">
      <c r="A965" s="63" t="n">
        <v>44349</v>
      </c>
      <c r="B965" t="n">
        <v>7935703</v>
      </c>
    </row>
    <row r="966">
      <c r="A966" s="63" t="n">
        <v>44356</v>
      </c>
      <c r="B966" t="n">
        <v>7952327</v>
      </c>
    </row>
    <row r="967">
      <c r="A967" s="63" t="n">
        <v>44363</v>
      </c>
      <c r="B967" t="n">
        <v>8064257</v>
      </c>
    </row>
    <row r="968">
      <c r="A968" s="63" t="n">
        <v>44370</v>
      </c>
      <c r="B968" t="n">
        <v>8101945</v>
      </c>
    </row>
    <row r="969">
      <c r="A969" s="63" t="n">
        <v>44377</v>
      </c>
      <c r="B969" t="n">
        <v>8078544</v>
      </c>
    </row>
    <row r="970">
      <c r="A970" s="63" t="n">
        <v>44384</v>
      </c>
      <c r="B970" t="n">
        <v>8097773</v>
      </c>
    </row>
    <row r="971">
      <c r="A971" s="63" t="n">
        <v>44391</v>
      </c>
      <c r="B971" t="n">
        <v>8201651</v>
      </c>
    </row>
    <row r="972">
      <c r="A972" s="63" t="n">
        <v>44398</v>
      </c>
      <c r="B972" t="n">
        <v>8240530</v>
      </c>
    </row>
    <row r="973">
      <c r="A973" s="63" t="n">
        <v>44405</v>
      </c>
      <c r="B973" t="n">
        <v>8221473</v>
      </c>
    </row>
    <row r="974">
      <c r="A974" s="63" t="n">
        <v>44412</v>
      </c>
      <c r="B974" t="n">
        <v>8235073</v>
      </c>
    </row>
    <row r="975">
      <c r="A975" s="63" t="n">
        <v>44419</v>
      </c>
      <c r="B975" t="n">
        <v>8257159</v>
      </c>
    </row>
    <row r="976">
      <c r="A976" s="63" t="n">
        <v>44426</v>
      </c>
      <c r="B976" t="n">
        <v>8342598</v>
      </c>
    </row>
    <row r="977">
      <c r="A977" s="63" t="n">
        <v>44433</v>
      </c>
      <c r="B977" t="n">
        <v>8332743</v>
      </c>
    </row>
    <row r="978">
      <c r="A978" s="63" t="n">
        <v>44440</v>
      </c>
      <c r="B978" t="n">
        <v>8349173</v>
      </c>
    </row>
    <row r="979">
      <c r="A979" s="63" t="n">
        <v>44447</v>
      </c>
      <c r="B979" t="n">
        <v>8357314</v>
      </c>
    </row>
    <row r="980">
      <c r="A980" s="63" t="n">
        <v>44454</v>
      </c>
      <c r="B980" t="n">
        <v>8448770</v>
      </c>
    </row>
    <row r="981">
      <c r="A981" s="63" t="n">
        <v>44461</v>
      </c>
      <c r="B981" t="n">
        <v>8489824</v>
      </c>
    </row>
    <row r="982">
      <c r="A982" s="63" t="n">
        <v>44468</v>
      </c>
      <c r="B982" t="n">
        <v>8447981</v>
      </c>
    </row>
    <row r="983">
      <c r="A983" s="63" t="n">
        <v>44475</v>
      </c>
      <c r="B983" t="n">
        <v>8464032</v>
      </c>
    </row>
    <row r="984">
      <c r="A984" s="63" t="n">
        <v>44482</v>
      </c>
      <c r="B984" t="n">
        <v>8480942</v>
      </c>
    </row>
    <row r="985">
      <c r="A985" s="63" t="n">
        <v>44489</v>
      </c>
      <c r="B985" t="n">
        <v>8564943</v>
      </c>
    </row>
    <row r="986">
      <c r="A986" s="63" t="n">
        <v>44496</v>
      </c>
      <c r="B986" t="n">
        <v>8556181</v>
      </c>
    </row>
    <row r="987">
      <c r="A987" s="63" t="n">
        <v>44503</v>
      </c>
      <c r="B987" t="n">
        <v>8574871</v>
      </c>
    </row>
    <row r="988">
      <c r="A988" s="63" t="n">
        <v>44510</v>
      </c>
      <c r="B988" t="n">
        <v>8663117</v>
      </c>
    </row>
    <row r="989">
      <c r="A989" s="63" t="n">
        <v>44517</v>
      </c>
      <c r="B989" t="n">
        <v>8674970</v>
      </c>
    </row>
    <row r="990">
      <c r="A990" s="63" t="n">
        <v>44524</v>
      </c>
      <c r="B990" t="n">
        <v>8681771</v>
      </c>
    </row>
    <row r="991">
      <c r="A991" s="63" t="n">
        <v>44531</v>
      </c>
      <c r="B991" t="n">
        <v>8650402</v>
      </c>
    </row>
    <row r="992">
      <c r="A992" s="63" t="n">
        <v>44538</v>
      </c>
      <c r="B992" t="n">
        <v>8664524</v>
      </c>
    </row>
    <row r="993">
      <c r="A993" s="63" t="n">
        <v>44545</v>
      </c>
      <c r="B993" t="n">
        <v>8756666</v>
      </c>
    </row>
    <row r="994">
      <c r="A994" s="63" t="n">
        <v>44552</v>
      </c>
      <c r="B994" t="n">
        <v>8790495</v>
      </c>
    </row>
    <row r="995">
      <c r="A995" s="63" t="n">
        <v>44559</v>
      </c>
      <c r="B995" t="n">
        <v>8757460</v>
      </c>
    </row>
    <row r="996">
      <c r="A996" s="63" t="n">
        <v>44566</v>
      </c>
      <c r="B996" t="n">
        <v>8765721</v>
      </c>
    </row>
    <row r="997">
      <c r="A997" s="63" t="n">
        <v>44573</v>
      </c>
      <c r="B997" t="n">
        <v>8788278</v>
      </c>
    </row>
    <row r="998">
      <c r="A998" s="63" t="n">
        <v>44580</v>
      </c>
      <c r="B998" t="n">
        <v>8867834</v>
      </c>
    </row>
    <row r="999">
      <c r="A999" s="63" t="n">
        <v>44587</v>
      </c>
      <c r="B999" t="n">
        <v>8860485</v>
      </c>
    </row>
    <row r="1000">
      <c r="A1000" s="63" t="n">
        <v>44594</v>
      </c>
      <c r="B1000" t="n">
        <v>8873211</v>
      </c>
    </row>
    <row r="1001">
      <c r="A1001" s="63" t="n">
        <v>44601</v>
      </c>
      <c r="B1001" t="n">
        <v>8878009</v>
      </c>
    </row>
    <row r="1002">
      <c r="A1002" s="63" t="n">
        <v>44608</v>
      </c>
      <c r="B1002" t="n">
        <v>8911033</v>
      </c>
    </row>
    <row r="1003">
      <c r="A1003" s="63" t="n">
        <v>44615</v>
      </c>
      <c r="B1003" t="n">
        <v>8928129</v>
      </c>
    </row>
    <row r="1004">
      <c r="A1004" s="63" t="n">
        <v>44622</v>
      </c>
      <c r="B1004" t="n">
        <v>8904455</v>
      </c>
    </row>
    <row r="1005">
      <c r="A1005" s="63" t="n">
        <v>44629</v>
      </c>
      <c r="B1005" t="n">
        <v>8910748</v>
      </c>
    </row>
    <row r="1006">
      <c r="A1006" s="63" t="n">
        <v>44636</v>
      </c>
      <c r="B1006" t="n">
        <v>8954306</v>
      </c>
    </row>
    <row r="1007">
      <c r="A1007" s="63" t="n">
        <v>44643</v>
      </c>
      <c r="B1007" t="n">
        <v>8962474</v>
      </c>
    </row>
    <row r="1008">
      <c r="A1008" s="63" t="n">
        <v>44650</v>
      </c>
      <c r="B1008" t="n">
        <v>8937142</v>
      </c>
    </row>
    <row r="1009">
      <c r="A1009" s="63" t="n">
        <v>44657</v>
      </c>
      <c r="B1009" t="n">
        <v>8937592</v>
      </c>
    </row>
    <row r="1010">
      <c r="A1010" s="63" t="n">
        <v>44664</v>
      </c>
      <c r="B1010" t="n">
        <v>8965487</v>
      </c>
    </row>
    <row r="1011">
      <c r="A1011" s="63" t="n">
        <v>44671</v>
      </c>
      <c r="B1011" t="n">
        <v>8955851</v>
      </c>
    </row>
    <row r="1012">
      <c r="A1012" s="63" t="n">
        <v>44678</v>
      </c>
      <c r="B1012" t="n">
        <v>8939199</v>
      </c>
    </row>
    <row r="1013">
      <c r="A1013" s="63" t="n">
        <v>44685</v>
      </c>
      <c r="B1013" t="n">
        <v>8939972</v>
      </c>
    </row>
    <row r="1014">
      <c r="A1014" s="63" t="n">
        <v>44692</v>
      </c>
      <c r="B1014" t="n">
        <v>8942008</v>
      </c>
    </row>
    <row r="1015">
      <c r="A1015" s="63" t="n">
        <v>44699</v>
      </c>
      <c r="B1015" t="n">
        <v>8945898</v>
      </c>
    </row>
    <row r="1016">
      <c r="A1016" s="63" t="n">
        <v>44706</v>
      </c>
      <c r="B1016" t="n">
        <v>8914281</v>
      </c>
    </row>
    <row r="1017">
      <c r="A1017" s="63" t="n">
        <v>44713</v>
      </c>
      <c r="B1017" t="n">
        <v>8915050</v>
      </c>
    </row>
    <row r="1018">
      <c r="A1018" s="63" t="n">
        <v>44720</v>
      </c>
      <c r="B1018" t="n">
        <v>8918254</v>
      </c>
    </row>
    <row r="1019">
      <c r="A1019" s="63" t="n">
        <v>44727</v>
      </c>
      <c r="B1019" t="n">
        <v>8932420</v>
      </c>
    </row>
    <row r="1020">
      <c r="A1020" s="63" t="n">
        <v>44734</v>
      </c>
      <c r="B1020" t="n">
        <v>8934346</v>
      </c>
    </row>
    <row r="1021">
      <c r="A1021" s="63" t="n">
        <v>44741</v>
      </c>
      <c r="B1021" t="n">
        <v>8913553</v>
      </c>
    </row>
    <row r="1022">
      <c r="A1022" s="63" t="n">
        <v>44748</v>
      </c>
      <c r="B1022" t="n">
        <v>8891851</v>
      </c>
    </row>
    <row r="1023">
      <c r="A1023" s="63" t="n">
        <v>44755</v>
      </c>
      <c r="B1023" t="n">
        <v>8895867</v>
      </c>
    </row>
    <row r="1024">
      <c r="A1024" s="63" t="n">
        <v>44762</v>
      </c>
      <c r="B1024" t="n">
        <v>8899213</v>
      </c>
    </row>
    <row r="1025">
      <c r="A1025" s="63" t="n">
        <v>44769</v>
      </c>
      <c r="B1025" t="n">
        <v>8890004</v>
      </c>
    </row>
    <row r="1026">
      <c r="A1026" s="63" t="n">
        <v>44776</v>
      </c>
      <c r="B1026" t="n">
        <v>8874620</v>
      </c>
    </row>
    <row r="1027">
      <c r="A1027" s="63" t="n">
        <v>44783</v>
      </c>
      <c r="B1027" t="n">
        <v>8879138</v>
      </c>
    </row>
    <row r="1028">
      <c r="A1028" s="63" t="n">
        <v>44790</v>
      </c>
      <c r="B1028" t="n">
        <v>8849762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64"/>
  <sheetViews>
    <sheetView zoomScale="170" zoomScaleNormal="170" workbookViewId="0">
      <pane ySplit="1" topLeftCell="A330" activePane="bottomLeft" state="frozen"/>
      <selection pane="bottomLeft" activeCell="G356" sqref="G356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3" t="n">
        <v>34335</v>
      </c>
      <c r="C2" t="n">
        <v>5101946</v>
      </c>
    </row>
    <row r="3">
      <c r="A3" s="63" t="n">
        <v>34366</v>
      </c>
      <c r="C3" t="n">
        <v>5090257</v>
      </c>
    </row>
    <row r="4">
      <c r="A4" s="63" t="n">
        <v>34394</v>
      </c>
      <c r="C4" t="n">
        <v>5090257</v>
      </c>
    </row>
    <row r="5">
      <c r="A5" s="63" t="n">
        <v>34425</v>
      </c>
      <c r="C5" t="n">
        <v>5090257</v>
      </c>
    </row>
    <row r="6">
      <c r="A6" s="63" t="n">
        <v>34455</v>
      </c>
      <c r="C6" t="n">
        <v>5129836</v>
      </c>
    </row>
    <row r="7">
      <c r="A7" s="63" t="n">
        <v>34486</v>
      </c>
      <c r="C7" t="n">
        <v>5129836</v>
      </c>
    </row>
    <row r="8">
      <c r="A8" s="63" t="n">
        <v>34516</v>
      </c>
      <c r="C8" t="n">
        <v>5129836</v>
      </c>
    </row>
    <row r="9">
      <c r="A9" s="63" t="n">
        <v>34547</v>
      </c>
      <c r="C9" t="n">
        <v>5115209</v>
      </c>
    </row>
    <row r="10">
      <c r="A10" s="63" t="n">
        <v>34578</v>
      </c>
      <c r="C10" t="n">
        <v>5115209</v>
      </c>
    </row>
    <row r="11">
      <c r="A11" s="63" t="n">
        <v>34608</v>
      </c>
      <c r="C11" t="n">
        <v>5115209</v>
      </c>
    </row>
    <row r="12">
      <c r="A12" s="63" t="n">
        <v>34639</v>
      </c>
      <c r="C12" t="n">
        <v>5149860</v>
      </c>
    </row>
    <row r="13">
      <c r="A13" s="63" t="n">
        <v>34669</v>
      </c>
      <c r="C13" t="n">
        <v>5149860</v>
      </c>
    </row>
    <row r="14">
      <c r="A14" s="63" t="n">
        <v>34700</v>
      </c>
      <c r="C14" t="n">
        <v>5149860</v>
      </c>
    </row>
    <row r="15">
      <c r="A15" s="63" t="n">
        <v>34731</v>
      </c>
      <c r="C15" t="n">
        <v>5187778</v>
      </c>
    </row>
    <row r="16">
      <c r="A16" s="63" t="n">
        <v>34759</v>
      </c>
      <c r="C16" t="n">
        <v>5187778</v>
      </c>
    </row>
    <row r="17">
      <c r="A17" s="63" t="n">
        <v>34790</v>
      </c>
      <c r="C17" t="n">
        <v>5187778</v>
      </c>
    </row>
    <row r="18">
      <c r="A18" s="63" t="n">
        <v>34820</v>
      </c>
      <c r="C18" t="n">
        <v>5253652</v>
      </c>
    </row>
    <row r="19">
      <c r="A19" s="63" t="n">
        <v>34851</v>
      </c>
      <c r="C19" t="n">
        <v>5253652</v>
      </c>
    </row>
    <row r="20">
      <c r="A20" s="63" t="n">
        <v>34881</v>
      </c>
      <c r="C20" t="n">
        <v>5253652</v>
      </c>
    </row>
    <row r="21">
      <c r="A21" s="63" t="n">
        <v>34912</v>
      </c>
      <c r="C21" t="n">
        <v>5269820</v>
      </c>
    </row>
    <row r="22">
      <c r="A22" s="63" t="n">
        <v>34943</v>
      </c>
      <c r="C22" t="n">
        <v>5269820</v>
      </c>
    </row>
    <row r="23">
      <c r="A23" s="63" t="n">
        <v>34973</v>
      </c>
      <c r="C23" t="n">
        <v>5269820</v>
      </c>
    </row>
    <row r="24">
      <c r="A24" s="63" t="n">
        <v>35004</v>
      </c>
      <c r="C24" t="n">
        <v>5290494</v>
      </c>
    </row>
    <row r="25">
      <c r="A25" s="63" t="n">
        <v>35034</v>
      </c>
      <c r="C25" t="n">
        <v>5290494</v>
      </c>
    </row>
    <row r="26">
      <c r="A26" s="63" t="n">
        <v>35065</v>
      </c>
      <c r="C26" t="n">
        <v>5290494</v>
      </c>
    </row>
    <row r="27">
      <c r="A27" s="63" t="n">
        <v>35096</v>
      </c>
      <c r="C27" t="n">
        <v>5360150</v>
      </c>
    </row>
    <row r="28">
      <c r="A28" s="63" t="n">
        <v>35125</v>
      </c>
      <c r="C28" t="n">
        <v>5360150</v>
      </c>
    </row>
    <row r="29">
      <c r="A29" s="63" t="n">
        <v>35156</v>
      </c>
      <c r="C29" t="n">
        <v>5360150</v>
      </c>
    </row>
    <row r="30">
      <c r="A30" s="63" t="n">
        <v>35186</v>
      </c>
      <c r="C30" t="n">
        <v>5360996</v>
      </c>
    </row>
    <row r="31">
      <c r="A31" s="63" t="n">
        <v>35217</v>
      </c>
      <c r="C31" t="n">
        <v>5360996</v>
      </c>
    </row>
    <row r="32">
      <c r="A32" s="63" t="n">
        <v>35247</v>
      </c>
      <c r="C32" t="n">
        <v>5360996</v>
      </c>
    </row>
    <row r="33">
      <c r="A33" s="63" t="n">
        <v>35278</v>
      </c>
      <c r="C33" t="n">
        <v>5410979</v>
      </c>
    </row>
    <row r="34">
      <c r="A34" s="63" t="n">
        <v>35309</v>
      </c>
      <c r="C34" t="n">
        <v>5410979</v>
      </c>
    </row>
    <row r="35">
      <c r="A35" s="63" t="n">
        <v>35339</v>
      </c>
      <c r="C35" t="n">
        <v>5410979</v>
      </c>
    </row>
    <row r="36">
      <c r="A36" s="63" t="n">
        <v>35370</v>
      </c>
      <c r="C36" t="n">
        <v>5422513</v>
      </c>
    </row>
    <row r="37">
      <c r="A37" s="63" t="n">
        <v>35400</v>
      </c>
      <c r="C37" t="n">
        <v>5422513</v>
      </c>
    </row>
    <row r="38">
      <c r="A38" s="63" t="n">
        <v>35431</v>
      </c>
      <c r="C38" t="n">
        <v>5422513</v>
      </c>
    </row>
    <row r="39">
      <c r="A39" s="63" t="n">
        <v>35462</v>
      </c>
      <c r="C39" t="n">
        <v>5440841</v>
      </c>
    </row>
    <row r="40">
      <c r="A40" s="63" t="n">
        <v>35490</v>
      </c>
      <c r="C40" t="n">
        <v>5440841</v>
      </c>
    </row>
    <row r="41">
      <c r="A41" s="63" t="n">
        <v>35521</v>
      </c>
      <c r="C41" t="n">
        <v>5440841</v>
      </c>
    </row>
    <row r="42">
      <c r="A42" s="63" t="n">
        <v>35551</v>
      </c>
      <c r="C42" t="n">
        <v>5439599</v>
      </c>
    </row>
    <row r="43">
      <c r="A43" s="63" t="n">
        <v>35582</v>
      </c>
      <c r="C43" t="n">
        <v>5439599</v>
      </c>
    </row>
    <row r="44">
      <c r="A44" s="63" t="n">
        <v>35612</v>
      </c>
      <c r="C44" t="n">
        <v>5439599</v>
      </c>
    </row>
    <row r="45">
      <c r="A45" s="63" t="n">
        <v>35643</v>
      </c>
      <c r="C45" t="n">
        <v>5449569</v>
      </c>
    </row>
    <row r="46">
      <c r="A46" s="63" t="n">
        <v>35674</v>
      </c>
      <c r="C46" t="n">
        <v>5449569</v>
      </c>
    </row>
    <row r="47">
      <c r="A47" s="63" t="n">
        <v>35704</v>
      </c>
      <c r="C47" t="n">
        <v>5449569</v>
      </c>
    </row>
    <row r="48">
      <c r="A48" s="63" t="n">
        <v>35735</v>
      </c>
      <c r="C48" t="n">
        <v>5380157</v>
      </c>
    </row>
    <row r="49">
      <c r="A49" s="63" t="n">
        <v>35765</v>
      </c>
      <c r="C49" t="n">
        <v>5380157</v>
      </c>
    </row>
    <row r="50">
      <c r="A50" s="63" t="n">
        <v>35796</v>
      </c>
      <c r="C50" t="n">
        <v>5380157</v>
      </c>
    </row>
    <row r="51">
      <c r="A51" s="63" t="n">
        <v>35827</v>
      </c>
      <c r="C51" t="n">
        <v>5348854</v>
      </c>
    </row>
    <row r="52">
      <c r="A52" s="63" t="n">
        <v>35855</v>
      </c>
      <c r="C52" t="n">
        <v>5348854</v>
      </c>
    </row>
    <row r="53">
      <c r="A53" s="63" t="n">
        <v>35886</v>
      </c>
      <c r="B53" t="n">
        <v>800652</v>
      </c>
      <c r="C53" t="n">
        <v>5348854</v>
      </c>
      <c r="D53" t="n">
        <v>15641.259765625</v>
      </c>
    </row>
    <row r="54">
      <c r="A54" s="63" t="n">
        <v>35916</v>
      </c>
      <c r="B54" t="n">
        <v>771888</v>
      </c>
      <c r="C54" t="n">
        <v>5338467</v>
      </c>
      <c r="D54" t="n">
        <v>15670.7802734375</v>
      </c>
    </row>
    <row r="55">
      <c r="A55" s="63" t="n">
        <v>35947</v>
      </c>
      <c r="B55" t="n">
        <v>753964</v>
      </c>
      <c r="C55" t="n">
        <v>5338467</v>
      </c>
      <c r="D55" t="n">
        <v>15830.26953125</v>
      </c>
    </row>
    <row r="56">
      <c r="A56" s="63" t="n">
        <v>35977</v>
      </c>
      <c r="B56" t="n">
        <v>724375</v>
      </c>
      <c r="C56" t="n">
        <v>5338467</v>
      </c>
      <c r="D56" t="n">
        <v>16378.9697265625</v>
      </c>
    </row>
    <row r="57">
      <c r="A57" s="63" t="n">
        <v>36008</v>
      </c>
      <c r="B57" t="n">
        <v>763742</v>
      </c>
      <c r="C57" t="n">
        <v>5392616</v>
      </c>
      <c r="D57" t="n">
        <v>14107.8896484375</v>
      </c>
    </row>
    <row r="58">
      <c r="A58" s="63" t="n">
        <v>36039</v>
      </c>
      <c r="B58" t="n">
        <v>783667</v>
      </c>
      <c r="C58" t="n">
        <v>5392616</v>
      </c>
      <c r="D58" t="n">
        <v>13406.3896484375</v>
      </c>
    </row>
    <row r="59">
      <c r="A59" s="63" t="n">
        <v>36069</v>
      </c>
      <c r="B59" t="n">
        <v>775368</v>
      </c>
      <c r="C59" t="n">
        <v>5392616</v>
      </c>
      <c r="D59" t="n">
        <v>13564.509765625</v>
      </c>
    </row>
    <row r="60">
      <c r="A60" s="63" t="n">
        <v>36100</v>
      </c>
      <c r="B60" t="n">
        <v>883012</v>
      </c>
      <c r="C60" t="n">
        <v>5290863</v>
      </c>
      <c r="D60" t="n">
        <v>14883.7001953125</v>
      </c>
    </row>
    <row r="61">
      <c r="A61" s="63" t="n">
        <v>36130</v>
      </c>
      <c r="B61" t="n">
        <v>912382</v>
      </c>
      <c r="C61" t="n">
        <v>5290863</v>
      </c>
      <c r="D61" t="n">
        <v>13842.169921875</v>
      </c>
    </row>
    <row r="62">
      <c r="A62" s="63" t="n">
        <v>36161</v>
      </c>
      <c r="B62" t="n">
        <v>797188</v>
      </c>
      <c r="C62" t="n">
        <v>5290863</v>
      </c>
      <c r="D62" t="n">
        <v>14499.25</v>
      </c>
    </row>
    <row r="63">
      <c r="A63" s="63" t="n">
        <v>36192</v>
      </c>
      <c r="B63" t="n">
        <v>755897</v>
      </c>
      <c r="C63" t="n">
        <v>5291214</v>
      </c>
      <c r="D63" t="n">
        <v>14367.5400390625</v>
      </c>
    </row>
    <row r="64">
      <c r="A64" s="63" t="n">
        <v>36220</v>
      </c>
      <c r="B64" t="n">
        <v>797450</v>
      </c>
      <c r="C64" t="n">
        <v>5291214</v>
      </c>
      <c r="D64" t="n">
        <v>15836.58984375</v>
      </c>
    </row>
    <row r="65">
      <c r="A65" s="63" t="n">
        <v>36251</v>
      </c>
      <c r="B65" t="n">
        <v>791152</v>
      </c>
      <c r="C65" t="n">
        <v>5291214</v>
      </c>
      <c r="D65" t="n">
        <v>16701.529296875</v>
      </c>
    </row>
    <row r="66">
      <c r="A66" s="63" t="n">
        <v>36281</v>
      </c>
      <c r="B66" t="n">
        <v>744742</v>
      </c>
      <c r="C66" t="n">
        <v>5285356</v>
      </c>
      <c r="D66" t="n">
        <v>16111.650390625</v>
      </c>
    </row>
    <row r="67">
      <c r="A67" s="63" t="n">
        <v>36312</v>
      </c>
      <c r="B67" t="n">
        <v>734211</v>
      </c>
      <c r="C67" t="n">
        <v>5285356</v>
      </c>
      <c r="D67" t="n">
        <v>17529.740234375</v>
      </c>
    </row>
    <row r="68">
      <c r="A68" s="63" t="n">
        <v>36342</v>
      </c>
      <c r="B68" t="n">
        <v>686329</v>
      </c>
      <c r="C68" t="n">
        <v>5285356</v>
      </c>
      <c r="D68" t="n">
        <v>17861.859375</v>
      </c>
    </row>
    <row r="69">
      <c r="A69" s="63" t="n">
        <v>36373</v>
      </c>
      <c r="B69" t="n">
        <v>680224</v>
      </c>
      <c r="C69" t="n">
        <v>5278266</v>
      </c>
      <c r="D69" t="n">
        <v>17436.560546875</v>
      </c>
    </row>
    <row r="70">
      <c r="A70" s="63" t="n">
        <v>36404</v>
      </c>
      <c r="B70" t="n">
        <v>688207</v>
      </c>
      <c r="C70" t="n">
        <v>5278266</v>
      </c>
      <c r="D70" t="n">
        <v>17605.4609375</v>
      </c>
    </row>
    <row r="71">
      <c r="A71" s="63" t="n">
        <v>36434</v>
      </c>
      <c r="B71" t="n">
        <v>680064</v>
      </c>
      <c r="C71" t="n">
        <v>5278266</v>
      </c>
      <c r="D71" t="n">
        <v>17942.080078125</v>
      </c>
    </row>
    <row r="72">
      <c r="A72" s="63" t="n">
        <v>36465</v>
      </c>
      <c r="B72" t="n">
        <v>841508</v>
      </c>
      <c r="C72" t="n">
        <v>5351032</v>
      </c>
      <c r="D72" t="n">
        <v>18558.23046875</v>
      </c>
    </row>
    <row r="73">
      <c r="A73" s="63" t="n">
        <v>36495</v>
      </c>
      <c r="B73" t="n">
        <v>1113478</v>
      </c>
      <c r="C73" t="n">
        <v>5351032</v>
      </c>
      <c r="D73" t="n">
        <v>18934.33984375</v>
      </c>
    </row>
    <row r="74">
      <c r="A74" s="63" t="n">
        <v>36526</v>
      </c>
      <c r="B74" t="n">
        <v>905251</v>
      </c>
      <c r="C74" t="n">
        <v>5351032</v>
      </c>
      <c r="D74" t="n">
        <v>19539.69921875</v>
      </c>
    </row>
    <row r="75">
      <c r="A75" s="63" t="n">
        <v>36557</v>
      </c>
      <c r="B75" t="n">
        <v>941085</v>
      </c>
      <c r="C75" t="n">
        <v>5353656</v>
      </c>
      <c r="D75" t="n">
        <v>19959.51953125</v>
      </c>
    </row>
    <row r="76">
      <c r="A76" s="63" t="n">
        <v>36586</v>
      </c>
      <c r="B76" t="n">
        <v>1062017</v>
      </c>
      <c r="C76" t="n">
        <v>5353656</v>
      </c>
      <c r="D76" t="n">
        <v>20337.3203125</v>
      </c>
    </row>
    <row r="77">
      <c r="A77" s="63" t="n">
        <v>36617</v>
      </c>
      <c r="B77" t="n">
        <v>797289</v>
      </c>
      <c r="C77" t="n">
        <v>5353656</v>
      </c>
      <c r="D77" t="n">
        <v>17973.69921875</v>
      </c>
    </row>
    <row r="78">
      <c r="A78" s="63" t="n">
        <v>36647</v>
      </c>
      <c r="B78" t="n">
        <v>838507</v>
      </c>
      <c r="C78" t="n">
        <v>5344526</v>
      </c>
      <c r="D78" t="n">
        <v>16332.4501953125</v>
      </c>
    </row>
    <row r="79">
      <c r="A79" s="63" t="n">
        <v>36678</v>
      </c>
      <c r="B79" t="n">
        <v>837194</v>
      </c>
      <c r="C79" t="n">
        <v>5344526</v>
      </c>
      <c r="D79" t="n">
        <v>17411.05078125</v>
      </c>
    </row>
    <row r="80">
      <c r="A80" s="63" t="n">
        <v>36708</v>
      </c>
      <c r="B80" t="n">
        <v>807840</v>
      </c>
      <c r="C80" t="n">
        <v>5344526</v>
      </c>
      <c r="D80" t="n">
        <v>15727.490234375</v>
      </c>
    </row>
    <row r="81">
      <c r="A81" s="63" t="n">
        <v>36739</v>
      </c>
      <c r="B81" t="n">
        <v>885391</v>
      </c>
      <c r="C81" t="n">
        <v>5378051</v>
      </c>
      <c r="D81" t="n">
        <v>16861.259765625</v>
      </c>
    </row>
    <row r="82">
      <c r="A82" s="63" t="n">
        <v>36770</v>
      </c>
      <c r="B82" t="n">
        <v>853390</v>
      </c>
      <c r="C82" t="n">
        <v>5378051</v>
      </c>
      <c r="D82" t="n">
        <v>15747.259765625</v>
      </c>
    </row>
    <row r="83">
      <c r="A83" s="63" t="n">
        <v>36800</v>
      </c>
      <c r="B83" t="n">
        <v>920988</v>
      </c>
      <c r="C83" t="n">
        <v>5378051</v>
      </c>
      <c r="D83" t="n">
        <v>14539.599609375</v>
      </c>
    </row>
    <row r="84">
      <c r="A84" s="63" t="n">
        <v>36831</v>
      </c>
      <c r="B84" t="n">
        <v>1054097</v>
      </c>
      <c r="C84" t="n">
        <v>5426373</v>
      </c>
      <c r="D84" t="n">
        <v>14648.509765625</v>
      </c>
    </row>
    <row r="85">
      <c r="A85" s="63" t="n">
        <v>36861</v>
      </c>
      <c r="B85" t="n">
        <v>1067962</v>
      </c>
      <c r="C85" t="n">
        <v>5426373</v>
      </c>
      <c r="D85" t="n">
        <v>13785.6904296875</v>
      </c>
    </row>
    <row r="86">
      <c r="A86" s="63" t="n">
        <v>36892</v>
      </c>
      <c r="B86" t="n">
        <v>1078487</v>
      </c>
      <c r="C86" t="n">
        <v>5426373</v>
      </c>
      <c r="D86" t="n">
        <v>13843.5498046875</v>
      </c>
    </row>
    <row r="87">
      <c r="A87" s="63" t="n">
        <v>36923</v>
      </c>
      <c r="B87" t="n">
        <v>1102160</v>
      </c>
      <c r="C87" t="n">
        <v>5341968</v>
      </c>
      <c r="D87" t="n">
        <v>12883.5400390625</v>
      </c>
    </row>
    <row r="88">
      <c r="A88" s="63" t="n">
        <v>36951</v>
      </c>
      <c r="B88" t="n">
        <v>1150959</v>
      </c>
      <c r="C88" t="n">
        <v>5341968</v>
      </c>
      <c r="D88" t="n">
        <v>12999.7001953125</v>
      </c>
    </row>
    <row r="89">
      <c r="A89" s="63" t="n">
        <v>36982</v>
      </c>
      <c r="B89" t="n">
        <v>1123259</v>
      </c>
      <c r="C89" t="n">
        <v>5341968</v>
      </c>
      <c r="D89" t="n">
        <v>13934.3203125</v>
      </c>
    </row>
    <row r="90">
      <c r="A90" s="63" t="n">
        <v>37012</v>
      </c>
      <c r="B90" t="n">
        <v>1138146</v>
      </c>
      <c r="C90" t="n">
        <v>5270062</v>
      </c>
      <c r="D90" t="n">
        <v>13262.1396484375</v>
      </c>
    </row>
    <row r="91">
      <c r="A91" s="63" t="n">
        <v>37043</v>
      </c>
      <c r="B91" t="n">
        <v>1169329</v>
      </c>
      <c r="C91" t="n">
        <v>5270062</v>
      </c>
      <c r="D91" t="n">
        <v>12969.0498046875</v>
      </c>
    </row>
    <row r="92">
      <c r="A92" s="63" t="n">
        <v>37073</v>
      </c>
      <c r="B92" t="n">
        <v>1163779</v>
      </c>
      <c r="C92" t="n">
        <v>5270062</v>
      </c>
      <c r="D92" t="n">
        <v>11860.76953125</v>
      </c>
    </row>
    <row r="93">
      <c r="A93" s="63" t="n">
        <v>37104</v>
      </c>
      <c r="B93" t="n">
        <v>1133882</v>
      </c>
      <c r="C93" t="n">
        <v>5239654</v>
      </c>
      <c r="D93" t="n">
        <v>10713.509765625</v>
      </c>
    </row>
    <row r="94">
      <c r="A94" s="63" t="n">
        <v>37135</v>
      </c>
      <c r="B94" t="n">
        <v>1156156</v>
      </c>
      <c r="C94" t="n">
        <v>5239654</v>
      </c>
      <c r="D94" t="n">
        <v>9774.6796875</v>
      </c>
    </row>
    <row r="95">
      <c r="A95" s="63" t="n">
        <v>37165</v>
      </c>
      <c r="B95" t="n">
        <v>1107271</v>
      </c>
      <c r="C95" t="n">
        <v>5239654</v>
      </c>
      <c r="D95" t="n">
        <v>10366.33984375</v>
      </c>
    </row>
    <row r="96">
      <c r="A96" s="63" t="n">
        <v>37196</v>
      </c>
      <c r="B96" t="n">
        <v>1133942</v>
      </c>
      <c r="C96" t="n">
        <v>5255337</v>
      </c>
      <c r="D96" t="n">
        <v>10697.4404296875</v>
      </c>
    </row>
    <row r="97">
      <c r="A97" s="63" t="n">
        <v>37226</v>
      </c>
      <c r="B97" t="n">
        <v>1175079</v>
      </c>
      <c r="C97" t="n">
        <v>5255337</v>
      </c>
      <c r="D97" t="n">
        <v>10542.6201171875</v>
      </c>
    </row>
    <row r="98">
      <c r="A98" s="63" t="n">
        <v>37257</v>
      </c>
      <c r="B98" t="n">
        <v>1224388</v>
      </c>
      <c r="C98" t="n">
        <v>5255337</v>
      </c>
      <c r="D98" t="n">
        <v>9997.7998046875</v>
      </c>
    </row>
    <row r="99">
      <c r="A99" s="63" t="n">
        <v>37288</v>
      </c>
      <c r="B99" t="n">
        <v>1313520</v>
      </c>
      <c r="C99" t="n">
        <v>5241538</v>
      </c>
      <c r="D99" t="n">
        <v>10587.830078125</v>
      </c>
    </row>
    <row r="100">
      <c r="A100" s="63" t="n">
        <v>37316</v>
      </c>
      <c r="B100" t="n">
        <v>1385648</v>
      </c>
      <c r="C100" t="n">
        <v>5241538</v>
      </c>
      <c r="D100" t="n">
        <v>11024.9404296875</v>
      </c>
    </row>
    <row r="101">
      <c r="A101" s="63" t="n">
        <v>37347</v>
      </c>
      <c r="B101" t="n">
        <v>1328094</v>
      </c>
      <c r="C101" t="n">
        <v>5241538</v>
      </c>
      <c r="D101" t="n">
        <v>11492.5400390625</v>
      </c>
    </row>
    <row r="102">
      <c r="A102" s="63" t="n">
        <v>37377</v>
      </c>
      <c r="B102" t="n">
        <v>1279453</v>
      </c>
      <c r="C102" t="n">
        <v>5241975</v>
      </c>
      <c r="D102" t="n">
        <v>11763.7001953125</v>
      </c>
    </row>
    <row r="103">
      <c r="A103" s="63" t="n">
        <v>37408</v>
      </c>
      <c r="B103" t="n">
        <v>1241193</v>
      </c>
      <c r="C103" t="n">
        <v>5241975</v>
      </c>
      <c r="D103" t="n">
        <v>10621.83984375</v>
      </c>
    </row>
    <row r="104">
      <c r="A104" s="63" t="n">
        <v>37438</v>
      </c>
      <c r="B104" t="n">
        <v>1265421</v>
      </c>
      <c r="C104" t="n">
        <v>5241975</v>
      </c>
      <c r="D104" t="n">
        <v>9877.9404296875</v>
      </c>
    </row>
    <row r="105">
      <c r="A105" s="63" t="n">
        <v>37469</v>
      </c>
      <c r="B105" t="n">
        <v>1284793</v>
      </c>
      <c r="C105" t="n">
        <v>5244572</v>
      </c>
      <c r="D105" t="n">
        <v>9619.2998046875</v>
      </c>
    </row>
    <row r="106">
      <c r="A106" s="63" t="n">
        <v>37500</v>
      </c>
      <c r="B106" t="n">
        <v>1244691</v>
      </c>
      <c r="C106" t="n">
        <v>5244572</v>
      </c>
      <c r="D106" t="n">
        <v>9383.2900390625</v>
      </c>
    </row>
    <row r="107">
      <c r="A107" s="63" t="n">
        <v>37530</v>
      </c>
      <c r="B107" t="n">
        <v>1246432</v>
      </c>
      <c r="C107" t="n">
        <v>5244572</v>
      </c>
      <c r="D107" t="n">
        <v>8640.48046875</v>
      </c>
    </row>
    <row r="108">
      <c r="A108" s="63" t="n">
        <v>37561</v>
      </c>
      <c r="B108" t="n">
        <v>1250866</v>
      </c>
      <c r="C108" t="n">
        <v>5213960</v>
      </c>
      <c r="D108" t="n">
        <v>9215.5595703125</v>
      </c>
    </row>
    <row r="109">
      <c r="A109" s="63" t="n">
        <v>37591</v>
      </c>
      <c r="B109" t="n">
        <v>1251263</v>
      </c>
      <c r="C109" t="n">
        <v>5213960</v>
      </c>
      <c r="D109" t="n">
        <v>8578.9501953125</v>
      </c>
    </row>
    <row r="110">
      <c r="A110" s="63" t="n">
        <v>37622</v>
      </c>
      <c r="B110" t="n">
        <v>1245386</v>
      </c>
      <c r="C110" t="n">
        <v>5213960</v>
      </c>
      <c r="D110" t="n">
        <v>8339.9404296875</v>
      </c>
    </row>
    <row r="111">
      <c r="A111" s="63" t="n">
        <v>37653</v>
      </c>
      <c r="B111" t="n">
        <v>1325273</v>
      </c>
      <c r="C111" t="n">
        <v>5245361</v>
      </c>
      <c r="D111" t="n">
        <v>8363.0400390625</v>
      </c>
    </row>
    <row r="112">
      <c r="A112" s="63" t="n">
        <v>37681</v>
      </c>
      <c r="B112" t="n">
        <v>1411674</v>
      </c>
      <c r="C112" t="n">
        <v>5245361</v>
      </c>
      <c r="D112" t="n">
        <v>7972.7099609375</v>
      </c>
    </row>
    <row r="113">
      <c r="A113" s="63" t="n">
        <v>37712</v>
      </c>
      <c r="B113" t="n">
        <v>1283101</v>
      </c>
      <c r="C113" t="n">
        <v>5245361</v>
      </c>
      <c r="D113" t="n">
        <v>7831.419921875</v>
      </c>
    </row>
    <row r="114">
      <c r="A114" s="63" t="n">
        <v>37742</v>
      </c>
      <c r="B114" t="n">
        <v>1306815</v>
      </c>
      <c r="C114" t="n">
        <v>5243363</v>
      </c>
      <c r="D114" t="n">
        <v>8424.509765625</v>
      </c>
    </row>
    <row r="115">
      <c r="A115" s="63" t="n">
        <v>37773</v>
      </c>
      <c r="B115" t="n">
        <v>1252605</v>
      </c>
      <c r="C115" t="n">
        <v>5243363</v>
      </c>
      <c r="D115" t="n">
        <v>9083.1103515625</v>
      </c>
    </row>
    <row r="116">
      <c r="A116" s="63" t="n">
        <v>37803</v>
      </c>
      <c r="B116" t="n">
        <v>1263771</v>
      </c>
      <c r="C116" t="n">
        <v>5243363</v>
      </c>
      <c r="D116" t="n">
        <v>9563.2099609375</v>
      </c>
    </row>
    <row r="117">
      <c r="A117" s="63" t="n">
        <v>37834</v>
      </c>
      <c r="B117" t="n">
        <v>1283228</v>
      </c>
      <c r="C117" t="n">
        <v>5264111</v>
      </c>
      <c r="D117" t="n">
        <v>10343.5498046875</v>
      </c>
    </row>
    <row r="118">
      <c r="A118" s="63" t="n">
        <v>37865</v>
      </c>
      <c r="B118" t="n">
        <v>1339295</v>
      </c>
      <c r="C118" t="n">
        <v>5264111</v>
      </c>
      <c r="D118" t="n">
        <v>10219.0498046875</v>
      </c>
    </row>
    <row r="119">
      <c r="A119" s="63" t="n">
        <v>37895</v>
      </c>
      <c r="B119" t="n">
        <v>1322521</v>
      </c>
      <c r="C119" t="n">
        <v>5264111</v>
      </c>
      <c r="D119" t="n">
        <v>10559.58984375</v>
      </c>
    </row>
    <row r="120">
      <c r="A120" s="63" t="n">
        <v>37926</v>
      </c>
      <c r="B120" t="n">
        <v>1347558</v>
      </c>
      <c r="C120" t="n">
        <v>5293191</v>
      </c>
      <c r="D120" t="n">
        <v>10100.5703125</v>
      </c>
    </row>
    <row r="121">
      <c r="A121" s="63" t="n">
        <v>37956</v>
      </c>
      <c r="B121" t="n">
        <v>1313685</v>
      </c>
      <c r="C121" t="n">
        <v>5293191</v>
      </c>
      <c r="D121" t="n">
        <v>10676.6396484375</v>
      </c>
    </row>
    <row r="122">
      <c r="A122" s="63" t="n">
        <v>37987</v>
      </c>
      <c r="B122" t="n">
        <v>1354300</v>
      </c>
      <c r="C122" t="n">
        <v>5293191</v>
      </c>
      <c r="D122" t="n">
        <v>10783.6103515625</v>
      </c>
    </row>
    <row r="123">
      <c r="A123" s="63" t="n">
        <v>38018</v>
      </c>
      <c r="B123" t="n">
        <v>1405509</v>
      </c>
      <c r="C123" t="n">
        <v>5276932</v>
      </c>
      <c r="D123" t="n">
        <v>11041.919921875</v>
      </c>
    </row>
    <row r="124">
      <c r="A124" s="63" t="n">
        <v>38047</v>
      </c>
      <c r="B124" t="n">
        <v>1493819</v>
      </c>
      <c r="C124" t="n">
        <v>5276932</v>
      </c>
      <c r="D124" t="n">
        <v>11715.3896484375</v>
      </c>
    </row>
    <row r="125">
      <c r="A125" s="63" t="n">
        <v>38078</v>
      </c>
      <c r="B125" t="n">
        <v>1382514</v>
      </c>
      <c r="C125" t="n">
        <v>5276932</v>
      </c>
      <c r="D125" t="n">
        <v>11761.7900390625</v>
      </c>
    </row>
    <row r="126">
      <c r="A126" s="63" t="n">
        <v>38108</v>
      </c>
      <c r="B126" t="n">
        <v>1390667</v>
      </c>
      <c r="C126" t="n">
        <v>5304592</v>
      </c>
      <c r="D126" t="n">
        <v>11236.3701171875</v>
      </c>
    </row>
    <row r="127">
      <c r="A127" s="63" t="n">
        <v>38139</v>
      </c>
      <c r="B127" t="n">
        <v>1347362</v>
      </c>
      <c r="C127" t="n">
        <v>5304592</v>
      </c>
      <c r="D127" t="n">
        <v>11858.8701171875</v>
      </c>
    </row>
    <row r="128">
      <c r="A128" s="63" t="n">
        <v>38169</v>
      </c>
      <c r="B128" t="n">
        <v>1314783</v>
      </c>
      <c r="C128" t="n">
        <v>5304592</v>
      </c>
      <c r="D128" t="n">
        <v>11325.7802734375</v>
      </c>
    </row>
    <row r="129">
      <c r="A129" s="63" t="n">
        <v>38200</v>
      </c>
      <c r="B129" t="n">
        <v>1382251</v>
      </c>
      <c r="C129" t="n">
        <v>5299006</v>
      </c>
      <c r="D129" t="n">
        <v>11081.7900390625</v>
      </c>
    </row>
    <row r="130">
      <c r="A130" s="63" t="n">
        <v>38231</v>
      </c>
      <c r="B130" t="n">
        <v>1394564</v>
      </c>
      <c r="C130" t="n">
        <v>5299006</v>
      </c>
      <c r="D130" t="n">
        <v>10823.5703125</v>
      </c>
    </row>
    <row r="131">
      <c r="A131" s="63" t="n">
        <v>38261</v>
      </c>
      <c r="B131" t="n">
        <v>1384015</v>
      </c>
      <c r="C131" t="n">
        <v>5299006</v>
      </c>
      <c r="D131" t="n">
        <v>10771.419921875</v>
      </c>
    </row>
    <row r="132">
      <c r="A132" s="63" t="n">
        <v>38292</v>
      </c>
      <c r="B132" t="n">
        <v>1478802</v>
      </c>
      <c r="C132" t="n">
        <v>5298575</v>
      </c>
      <c r="D132" t="n">
        <v>10899.25</v>
      </c>
    </row>
    <row r="133">
      <c r="A133" s="63" t="n">
        <v>38322</v>
      </c>
      <c r="B133" t="n">
        <v>1445467</v>
      </c>
      <c r="C133" t="n">
        <v>5298575</v>
      </c>
      <c r="D133" t="n">
        <v>11488.759765625</v>
      </c>
    </row>
    <row r="134">
      <c r="A134" s="63" t="n">
        <v>38353</v>
      </c>
      <c r="B134" t="n">
        <v>1473561</v>
      </c>
      <c r="C134" t="n">
        <v>5298575</v>
      </c>
      <c r="D134" t="n">
        <v>11387.58984375</v>
      </c>
    </row>
    <row r="135">
      <c r="A135" s="63" t="n">
        <v>38384</v>
      </c>
      <c r="B135" t="n">
        <v>1514085</v>
      </c>
      <c r="C135" t="n">
        <v>5314449</v>
      </c>
      <c r="D135" t="n">
        <v>11740.599609375</v>
      </c>
    </row>
    <row r="136">
      <c r="A136" s="63" t="n">
        <v>38412</v>
      </c>
      <c r="B136" t="n">
        <v>1505173</v>
      </c>
      <c r="C136" t="n">
        <v>5314449</v>
      </c>
      <c r="D136" t="n">
        <v>11668.9501953125</v>
      </c>
    </row>
    <row r="137">
      <c r="A137" s="63" t="n">
        <v>38443</v>
      </c>
      <c r="B137" t="n">
        <v>1473513</v>
      </c>
      <c r="C137" t="n">
        <v>5314449</v>
      </c>
      <c r="D137" t="n">
        <v>11008.900390625</v>
      </c>
    </row>
    <row r="138">
      <c r="A138" s="63" t="n">
        <v>38473</v>
      </c>
      <c r="B138" t="n">
        <v>1477619</v>
      </c>
      <c r="C138" t="n">
        <v>5345955</v>
      </c>
      <c r="D138" t="n">
        <v>11276.58984375</v>
      </c>
    </row>
    <row r="139">
      <c r="A139" s="63" t="n">
        <v>38504</v>
      </c>
      <c r="B139" t="n">
        <v>1442122</v>
      </c>
      <c r="C139" t="n">
        <v>5345955</v>
      </c>
      <c r="D139" t="n">
        <v>11584.009765625</v>
      </c>
    </row>
    <row r="140">
      <c r="A140" s="63" t="n">
        <v>38534</v>
      </c>
      <c r="B140" t="n">
        <v>1476503</v>
      </c>
      <c r="C140" t="n">
        <v>5345955</v>
      </c>
      <c r="D140" t="n">
        <v>11899.599609375</v>
      </c>
    </row>
    <row r="141">
      <c r="A141" s="63" t="n">
        <v>38565</v>
      </c>
      <c r="B141" t="n">
        <v>1513847</v>
      </c>
      <c r="C141" t="n">
        <v>5347177</v>
      </c>
      <c r="D141" t="n">
        <v>12413.599609375</v>
      </c>
    </row>
    <row r="142">
      <c r="A142" s="63" t="n">
        <v>38596</v>
      </c>
      <c r="B142" t="n">
        <v>1481357</v>
      </c>
      <c r="C142" t="n">
        <v>5347177</v>
      </c>
      <c r="D142" t="n">
        <v>13574.2998046875</v>
      </c>
    </row>
    <row r="143">
      <c r="A143" s="63" t="n">
        <v>38626</v>
      </c>
      <c r="B143" t="n">
        <v>1477546</v>
      </c>
      <c r="C143" t="n">
        <v>5347177</v>
      </c>
      <c r="D143" t="n">
        <v>13606.5</v>
      </c>
    </row>
    <row r="144">
      <c r="A144" s="63" t="n">
        <v>38657</v>
      </c>
      <c r="B144" t="n">
        <v>1519701</v>
      </c>
      <c r="C144" t="n">
        <v>5344256</v>
      </c>
      <c r="D144" t="n">
        <v>14872.150390625</v>
      </c>
    </row>
    <row r="145">
      <c r="A145" s="63" t="n">
        <v>38687</v>
      </c>
      <c r="B145" t="n">
        <v>1556071</v>
      </c>
      <c r="C145" t="n">
        <v>5344256</v>
      </c>
      <c r="D145" t="n">
        <v>16111.4296875</v>
      </c>
    </row>
    <row r="146">
      <c r="A146" s="63" t="n">
        <v>38718</v>
      </c>
      <c r="B146" t="n">
        <v>1528656</v>
      </c>
      <c r="C146" t="n">
        <v>5344256</v>
      </c>
      <c r="D146" t="n">
        <v>16649.8203125</v>
      </c>
    </row>
    <row r="147">
      <c r="A147" s="63" t="n">
        <v>38749</v>
      </c>
      <c r="B147" t="n">
        <v>1523477</v>
      </c>
      <c r="C147" t="n">
        <v>5341417</v>
      </c>
      <c r="D147" t="n">
        <v>16205.4296875</v>
      </c>
    </row>
    <row r="148">
      <c r="A148" s="63" t="n">
        <v>38777</v>
      </c>
      <c r="B148" t="n">
        <v>1448629</v>
      </c>
      <c r="C148" t="n">
        <v>5341417</v>
      </c>
      <c r="D148" t="n">
        <v>17059.66015625</v>
      </c>
    </row>
    <row r="149">
      <c r="A149" s="63" t="n">
        <v>38808</v>
      </c>
      <c r="B149" t="n">
        <v>1299799</v>
      </c>
      <c r="C149" t="n">
        <v>5341417</v>
      </c>
      <c r="D149" t="n">
        <v>16906.23046875</v>
      </c>
    </row>
    <row r="150">
      <c r="A150" s="63" t="n">
        <v>38838</v>
      </c>
      <c r="B150" t="n">
        <v>1227935</v>
      </c>
      <c r="C150" t="n">
        <v>5323969</v>
      </c>
      <c r="D150" t="n">
        <v>15467.330078125</v>
      </c>
    </row>
    <row r="151">
      <c r="A151" s="63" t="n">
        <v>38869</v>
      </c>
      <c r="B151" t="n">
        <v>1138328</v>
      </c>
      <c r="C151" t="n">
        <v>5323969</v>
      </c>
      <c r="D151" t="n">
        <v>15505.1796875</v>
      </c>
    </row>
    <row r="152">
      <c r="A152" s="63" t="n">
        <v>38899</v>
      </c>
      <c r="B152" t="n">
        <v>1159675</v>
      </c>
      <c r="C152" t="n">
        <v>5323969</v>
      </c>
      <c r="D152" t="n">
        <v>15456.8095703125</v>
      </c>
    </row>
    <row r="153">
      <c r="A153" s="63" t="n">
        <v>38930</v>
      </c>
      <c r="B153" t="n">
        <v>1132672</v>
      </c>
      <c r="C153" t="n">
        <v>5397145</v>
      </c>
      <c r="D153" t="n">
        <v>16140.759765625</v>
      </c>
    </row>
    <row r="154">
      <c r="A154" s="63" t="n">
        <v>38961</v>
      </c>
      <c r="B154" t="n">
        <v>1174523</v>
      </c>
      <c r="C154" t="n">
        <v>5397145</v>
      </c>
      <c r="D154" t="n">
        <v>16127.580078125</v>
      </c>
    </row>
    <row r="155">
      <c r="A155" s="63" t="n">
        <v>38991</v>
      </c>
      <c r="B155" t="n">
        <v>1151993</v>
      </c>
      <c r="C155" t="n">
        <v>5397145</v>
      </c>
      <c r="D155" t="n">
        <v>16399.390625</v>
      </c>
    </row>
    <row r="156">
      <c r="A156" s="63" t="n">
        <v>39022</v>
      </c>
      <c r="B156" t="n">
        <v>1185414</v>
      </c>
      <c r="C156" t="n">
        <v>5418281</v>
      </c>
      <c r="D156" t="n">
        <v>16274.330078125</v>
      </c>
    </row>
    <row r="157">
      <c r="A157" s="63" t="n">
        <v>39052</v>
      </c>
      <c r="B157" t="n">
        <v>1155436</v>
      </c>
      <c r="C157" t="n">
        <v>5418281</v>
      </c>
      <c r="D157" t="n">
        <v>17225.830078125</v>
      </c>
    </row>
    <row r="158">
      <c r="A158" s="63" t="n">
        <v>39083</v>
      </c>
      <c r="B158" t="n">
        <v>1146223</v>
      </c>
      <c r="C158" t="n">
        <v>5418281</v>
      </c>
      <c r="D158" t="n">
        <v>17383.419921875</v>
      </c>
    </row>
    <row r="159">
      <c r="A159" s="63" t="n">
        <v>39114</v>
      </c>
      <c r="B159" t="n">
        <v>1176947</v>
      </c>
      <c r="C159" t="n">
        <v>5422959</v>
      </c>
      <c r="D159" t="n">
        <v>17604.119140625</v>
      </c>
    </row>
    <row r="160">
      <c r="A160" s="63" t="n">
        <v>39142</v>
      </c>
      <c r="B160" t="n">
        <v>1127409</v>
      </c>
      <c r="C160" t="n">
        <v>5422959</v>
      </c>
      <c r="D160" t="n">
        <v>17287.650390625</v>
      </c>
    </row>
    <row r="161">
      <c r="A161" s="63" t="n">
        <v>39173</v>
      </c>
      <c r="B161" t="n">
        <v>1060053</v>
      </c>
      <c r="C161" t="n">
        <v>5422959</v>
      </c>
      <c r="D161" t="n">
        <v>17400.41015625</v>
      </c>
    </row>
    <row r="162">
      <c r="A162" s="63" t="n">
        <v>39203</v>
      </c>
      <c r="B162" t="n">
        <v>1075105</v>
      </c>
      <c r="C162" t="n">
        <v>5367001</v>
      </c>
      <c r="D162" t="n">
        <v>17875.75</v>
      </c>
    </row>
    <row r="163">
      <c r="A163" s="63" t="n">
        <v>39234</v>
      </c>
      <c r="B163" t="n">
        <v>1000712</v>
      </c>
      <c r="C163" t="n">
        <v>5367001</v>
      </c>
      <c r="D163" t="n">
        <v>18138.359375</v>
      </c>
    </row>
    <row r="164">
      <c r="A164" s="63" t="n">
        <v>39264</v>
      </c>
      <c r="B164" t="n">
        <v>1077171</v>
      </c>
      <c r="C164" t="n">
        <v>5367001</v>
      </c>
      <c r="D164" t="n">
        <v>17248.890625</v>
      </c>
    </row>
    <row r="165">
      <c r="A165" s="63" t="n">
        <v>39295</v>
      </c>
      <c r="B165" t="n">
        <v>1107917</v>
      </c>
      <c r="C165" t="n">
        <v>5364149</v>
      </c>
      <c r="D165" t="n">
        <v>16569.08984375</v>
      </c>
    </row>
    <row r="166">
      <c r="A166" s="63" t="n">
        <v>39326</v>
      </c>
      <c r="B166" t="n">
        <v>1110324</v>
      </c>
      <c r="C166" t="n">
        <v>5364149</v>
      </c>
      <c r="D166" t="n">
        <v>16785.689453125</v>
      </c>
    </row>
    <row r="167">
      <c r="A167" s="63" t="n">
        <v>39356</v>
      </c>
      <c r="B167" t="n">
        <v>1073472</v>
      </c>
      <c r="C167" t="n">
        <v>5364149</v>
      </c>
      <c r="D167" t="n">
        <v>16737.630859375</v>
      </c>
    </row>
    <row r="168">
      <c r="A168" s="63" t="n">
        <v>39387</v>
      </c>
      <c r="B168" t="n">
        <v>1114939</v>
      </c>
      <c r="C168" t="n">
        <v>5374678</v>
      </c>
      <c r="D168" t="n">
        <v>15680.669921875</v>
      </c>
    </row>
    <row r="169">
      <c r="A169" s="63" t="n">
        <v>39417</v>
      </c>
      <c r="B169" t="n">
        <v>1112844</v>
      </c>
      <c r="C169" t="n">
        <v>5374678</v>
      </c>
      <c r="D169" t="n">
        <v>15307.7802734375</v>
      </c>
    </row>
    <row r="170">
      <c r="A170" s="63" t="n">
        <v>39448</v>
      </c>
      <c r="B170" t="n">
        <v>1130604</v>
      </c>
      <c r="C170" t="n">
        <v>5374678</v>
      </c>
      <c r="D170" t="n">
        <v>13592.4697265625</v>
      </c>
    </row>
    <row r="171">
      <c r="A171" s="63" t="n">
        <v>39479</v>
      </c>
      <c r="B171" t="n">
        <v>1142477</v>
      </c>
      <c r="C171" t="n">
        <v>5339335</v>
      </c>
      <c r="D171" t="n">
        <v>13603.01953125</v>
      </c>
    </row>
    <row r="172">
      <c r="A172" s="63" t="n">
        <v>39508</v>
      </c>
      <c r="B172" t="n">
        <v>1134262</v>
      </c>
      <c r="C172" t="n">
        <v>5339335</v>
      </c>
      <c r="D172" t="n">
        <v>12525.5400390625</v>
      </c>
    </row>
    <row r="173">
      <c r="A173" s="63" t="n">
        <v>39539</v>
      </c>
      <c r="B173" t="n">
        <v>1072225</v>
      </c>
      <c r="C173" t="n">
        <v>5339335</v>
      </c>
      <c r="D173" t="n">
        <v>13849.990234375</v>
      </c>
    </row>
    <row r="174">
      <c r="A174" s="63" t="n">
        <v>39569</v>
      </c>
      <c r="B174" t="n">
        <v>1101273</v>
      </c>
      <c r="C174" t="n">
        <v>5234256</v>
      </c>
      <c r="D174" t="n">
        <v>14338.5400390625</v>
      </c>
    </row>
    <row r="175">
      <c r="A175" s="63" t="n">
        <v>39600</v>
      </c>
      <c r="B175" t="n">
        <v>1014199</v>
      </c>
      <c r="C175" t="n">
        <v>5234256</v>
      </c>
      <c r="D175" t="n">
        <v>13481.3798828125</v>
      </c>
    </row>
    <row r="176">
      <c r="A176" s="63" t="n">
        <v>39630</v>
      </c>
      <c r="B176" t="n">
        <v>1083652</v>
      </c>
      <c r="C176" t="n">
        <v>5234256</v>
      </c>
      <c r="D176" t="n">
        <v>13376.8095703125</v>
      </c>
    </row>
    <row r="177">
      <c r="A177" s="63" t="n">
        <v>39661</v>
      </c>
      <c r="B177" t="n">
        <v>1098870</v>
      </c>
      <c r="C177" t="n">
        <v>5164869</v>
      </c>
      <c r="D177" t="n">
        <v>13072.8701171875</v>
      </c>
    </row>
    <row r="178">
      <c r="A178" s="63" t="n">
        <v>39692</v>
      </c>
      <c r="B178" t="n">
        <v>1125287</v>
      </c>
      <c r="C178" t="n">
        <v>5164869</v>
      </c>
      <c r="D178" t="n">
        <v>11259.8603515625</v>
      </c>
    </row>
    <row r="179">
      <c r="A179" s="63" t="n">
        <v>39722</v>
      </c>
      <c r="B179" t="n">
        <v>1168028</v>
      </c>
      <c r="C179" t="n">
        <v>5164869</v>
      </c>
      <c r="D179" t="n">
        <v>8576.98046875</v>
      </c>
    </row>
    <row r="180">
      <c r="A180" s="63" t="n">
        <v>39753</v>
      </c>
      <c r="B180" t="n">
        <v>1215262</v>
      </c>
      <c r="C180" t="n">
        <v>4923078</v>
      </c>
      <c r="D180" t="n">
        <v>8512.26953125</v>
      </c>
    </row>
    <row r="181">
      <c r="A181" s="63" t="n">
        <v>39783</v>
      </c>
      <c r="B181" t="n">
        <v>1227708</v>
      </c>
      <c r="C181" t="n">
        <v>4923078</v>
      </c>
      <c r="D181" t="n">
        <v>8859.5595703125</v>
      </c>
    </row>
    <row r="182">
      <c r="A182" s="63" t="n">
        <v>39814</v>
      </c>
      <c r="B182" t="n">
        <v>1195135</v>
      </c>
      <c r="C182" t="n">
        <v>4923078</v>
      </c>
      <c r="D182" t="n">
        <v>7994.0498046875</v>
      </c>
    </row>
    <row r="183">
      <c r="A183" s="63" t="n">
        <v>39845</v>
      </c>
      <c r="B183" t="n">
        <v>1221730</v>
      </c>
      <c r="C183" t="n">
        <v>4980885</v>
      </c>
      <c r="D183" t="n">
        <v>7568.419921875</v>
      </c>
    </row>
    <row r="184">
      <c r="A184" s="63" t="n">
        <v>39873</v>
      </c>
      <c r="B184" t="n">
        <v>1238886</v>
      </c>
      <c r="C184" t="n">
        <v>4980885</v>
      </c>
      <c r="D184" t="n">
        <v>8109.52978515625</v>
      </c>
    </row>
    <row r="185">
      <c r="A185" s="63" t="n">
        <v>39904</v>
      </c>
      <c r="B185" t="n">
        <v>1147983</v>
      </c>
      <c r="C185" t="n">
        <v>4980885</v>
      </c>
      <c r="D185" t="n">
        <v>8828.259765625</v>
      </c>
    </row>
    <row r="186">
      <c r="A186" s="63" t="n">
        <v>39934</v>
      </c>
      <c r="B186" t="n">
        <v>1187973</v>
      </c>
      <c r="C186" t="n">
        <v>4936921</v>
      </c>
      <c r="D186" t="n">
        <v>9522.5</v>
      </c>
    </row>
    <row r="187">
      <c r="A187" s="63" t="n">
        <v>39965</v>
      </c>
      <c r="B187" t="n">
        <v>1098429</v>
      </c>
      <c r="C187" t="n">
        <v>4936921</v>
      </c>
      <c r="D187" t="n">
        <v>9958.4404296875</v>
      </c>
    </row>
    <row r="188">
      <c r="A188" s="63" t="n">
        <v>39995</v>
      </c>
      <c r="B188" t="n">
        <v>1147349</v>
      </c>
      <c r="C188" t="n">
        <v>4936921</v>
      </c>
      <c r="D188" t="n">
        <v>10356.830078125</v>
      </c>
    </row>
    <row r="189">
      <c r="A189" s="63" t="n">
        <v>40026</v>
      </c>
      <c r="B189" t="n">
        <v>1171842</v>
      </c>
      <c r="C189" t="n">
        <v>4961333</v>
      </c>
      <c r="D189" t="n">
        <v>10492.5302734375</v>
      </c>
    </row>
    <row r="190">
      <c r="A190" s="63" t="n">
        <v>40057</v>
      </c>
      <c r="B190" t="n">
        <v>1163248</v>
      </c>
      <c r="C190" t="n">
        <v>4961333</v>
      </c>
      <c r="D190" t="n">
        <v>10133.23046875</v>
      </c>
    </row>
    <row r="191">
      <c r="A191" s="63" t="n">
        <v>40087</v>
      </c>
      <c r="B191" t="n">
        <v>1114000</v>
      </c>
      <c r="C191" t="n">
        <v>4961333</v>
      </c>
      <c r="D191" t="n">
        <v>10034.740234375</v>
      </c>
    </row>
    <row r="192">
      <c r="A192" s="63" t="n">
        <v>40118</v>
      </c>
      <c r="B192" t="n">
        <v>1172964</v>
      </c>
      <c r="C192" t="n">
        <v>5015565</v>
      </c>
      <c r="D192" t="n">
        <v>9345.5498046875</v>
      </c>
    </row>
    <row r="193">
      <c r="A193" s="63" t="n">
        <v>40148</v>
      </c>
      <c r="B193" t="n">
        <v>1225336</v>
      </c>
      <c r="C193" t="n">
        <v>5015565</v>
      </c>
      <c r="D193" t="n">
        <v>10546.4404296875</v>
      </c>
    </row>
    <row r="194">
      <c r="A194" s="63" t="n">
        <v>40179</v>
      </c>
      <c r="B194" t="n">
        <v>1224342</v>
      </c>
      <c r="C194" t="n">
        <v>5015565</v>
      </c>
      <c r="D194" t="n">
        <v>10198.0400390625</v>
      </c>
    </row>
    <row r="195">
      <c r="A195" s="63" t="n">
        <v>40210</v>
      </c>
      <c r="B195" t="n">
        <v>1267675</v>
      </c>
      <c r="C195" t="n">
        <v>5052150</v>
      </c>
      <c r="D195" t="n">
        <v>10126.0302734375</v>
      </c>
    </row>
    <row r="196">
      <c r="A196" s="63" t="n">
        <v>40238</v>
      </c>
      <c r="B196" t="n">
        <v>1218241</v>
      </c>
      <c r="C196" t="n">
        <v>5052150</v>
      </c>
      <c r="D196" t="n">
        <v>11089.9404296875</v>
      </c>
    </row>
    <row r="197">
      <c r="A197" s="63" t="n">
        <v>40269</v>
      </c>
      <c r="B197" t="n">
        <v>1142013</v>
      </c>
      <c r="C197" t="n">
        <v>5052150</v>
      </c>
      <c r="D197" t="n">
        <v>11057.400390625</v>
      </c>
    </row>
    <row r="198">
      <c r="A198" s="63" t="n">
        <v>40299</v>
      </c>
      <c r="B198" t="n">
        <v>1209586</v>
      </c>
      <c r="C198" t="n">
        <v>5109964</v>
      </c>
      <c r="D198" t="n">
        <v>9768.7001953125</v>
      </c>
    </row>
    <row r="199">
      <c r="A199" s="63" t="n">
        <v>40330</v>
      </c>
      <c r="B199" t="n">
        <v>1132336</v>
      </c>
      <c r="C199" t="n">
        <v>5109964</v>
      </c>
      <c r="D199" t="n">
        <v>9382.6396484375</v>
      </c>
    </row>
    <row r="200">
      <c r="A200" s="63" t="n">
        <v>40360</v>
      </c>
      <c r="B200" t="n">
        <v>1173742</v>
      </c>
      <c r="C200" t="n">
        <v>5109964</v>
      </c>
      <c r="D200" t="n">
        <v>9537.2998046875</v>
      </c>
    </row>
    <row r="201">
      <c r="A201" s="63" t="n">
        <v>40391</v>
      </c>
      <c r="B201" t="n">
        <v>1230414</v>
      </c>
      <c r="C201" t="n">
        <v>5050157</v>
      </c>
      <c r="D201" t="n">
        <v>8824.0595703125</v>
      </c>
    </row>
    <row r="202">
      <c r="A202" s="63" t="n">
        <v>40422</v>
      </c>
      <c r="B202" t="n">
        <v>1203317</v>
      </c>
      <c r="C202" t="n">
        <v>5050157</v>
      </c>
      <c r="D202" t="n">
        <v>9369.349609375</v>
      </c>
    </row>
    <row r="203">
      <c r="A203" s="63" t="n">
        <v>40452</v>
      </c>
      <c r="B203" t="n">
        <v>1214171</v>
      </c>
      <c r="C203" t="n">
        <v>5050157</v>
      </c>
      <c r="D203" t="n">
        <v>9202.4501953125</v>
      </c>
    </row>
    <row r="204">
      <c r="A204" s="63" t="n">
        <v>40483</v>
      </c>
      <c r="B204" t="n">
        <v>1270457</v>
      </c>
      <c r="C204" t="n">
        <v>4986689</v>
      </c>
      <c r="D204" t="n">
        <v>9937.0400390625</v>
      </c>
    </row>
    <row r="205">
      <c r="A205" s="63" t="n">
        <v>40513</v>
      </c>
      <c r="B205" t="n">
        <v>1287104</v>
      </c>
      <c r="C205" t="n">
        <v>4986689</v>
      </c>
      <c r="D205" t="n">
        <v>10228.919921875</v>
      </c>
    </row>
    <row r="206">
      <c r="A206" s="63" t="n">
        <v>40544</v>
      </c>
      <c r="B206" t="n">
        <v>1279996</v>
      </c>
      <c r="C206" t="n">
        <v>4986689</v>
      </c>
      <c r="D206" t="n">
        <v>10237.919921875</v>
      </c>
    </row>
    <row r="207">
      <c r="A207" s="63" t="n">
        <v>40575</v>
      </c>
      <c r="B207" t="n">
        <v>1301181</v>
      </c>
      <c r="C207" t="n">
        <v>4909102</v>
      </c>
      <c r="D207" t="n">
        <v>10624.08984375</v>
      </c>
    </row>
    <row r="208">
      <c r="A208" s="63" t="n">
        <v>40603</v>
      </c>
      <c r="B208" t="n">
        <v>1423631</v>
      </c>
      <c r="C208" t="n">
        <v>4909102</v>
      </c>
      <c r="D208" t="n">
        <v>9755.099609375</v>
      </c>
    </row>
    <row r="209">
      <c r="A209" s="63" t="n">
        <v>40634</v>
      </c>
      <c r="B209" t="n">
        <v>1346213</v>
      </c>
      <c r="C209" t="n">
        <v>4909102</v>
      </c>
      <c r="D209" t="n">
        <v>9849.740234375</v>
      </c>
    </row>
    <row r="210">
      <c r="A210" s="63" t="n">
        <v>40664</v>
      </c>
      <c r="B210" t="n">
        <v>1351200</v>
      </c>
      <c r="C210" t="n">
        <v>5011131</v>
      </c>
      <c r="D210" t="n">
        <v>9693.73046875</v>
      </c>
    </row>
    <row r="211">
      <c r="A211" s="63" t="n">
        <v>40695</v>
      </c>
      <c r="B211" t="n">
        <v>1295844</v>
      </c>
      <c r="C211" t="n">
        <v>5011131</v>
      </c>
      <c r="D211" t="n">
        <v>9816.08984375</v>
      </c>
    </row>
    <row r="212">
      <c r="A212" s="63" t="n">
        <v>40725</v>
      </c>
      <c r="B212" t="n">
        <v>1344737</v>
      </c>
      <c r="C212" t="n">
        <v>5011131</v>
      </c>
      <c r="D212" t="n">
        <v>9833.0302734375</v>
      </c>
    </row>
    <row r="213">
      <c r="A213" s="63" t="n">
        <v>40756</v>
      </c>
      <c r="B213" t="n">
        <v>1414829</v>
      </c>
      <c r="C213" t="n">
        <v>5000586</v>
      </c>
      <c r="D213" t="n">
        <v>8955.2001953125</v>
      </c>
    </row>
    <row r="214">
      <c r="A214" s="63" t="n">
        <v>40787</v>
      </c>
      <c r="B214" t="n">
        <v>1376890</v>
      </c>
      <c r="C214" t="n">
        <v>5000586</v>
      </c>
      <c r="D214" t="n">
        <v>8700.2900390625</v>
      </c>
    </row>
    <row r="215">
      <c r="A215" s="63" t="n">
        <v>40817</v>
      </c>
      <c r="B215" t="n">
        <v>1329858</v>
      </c>
      <c r="C215" t="n">
        <v>5000586</v>
      </c>
      <c r="D215" t="n">
        <v>8988.3896484375</v>
      </c>
    </row>
    <row r="216">
      <c r="A216" s="63" t="n">
        <v>40848</v>
      </c>
      <c r="B216" t="n">
        <v>1432056</v>
      </c>
      <c r="C216" t="n">
        <v>5073216</v>
      </c>
      <c r="D216" t="n">
        <v>8434.6103515625</v>
      </c>
    </row>
    <row r="217">
      <c r="A217" s="63" t="n">
        <v>40878</v>
      </c>
      <c r="B217" t="n">
        <v>1430219</v>
      </c>
      <c r="C217" t="n">
        <v>5073216</v>
      </c>
      <c r="D217" t="n">
        <v>8455.349609375</v>
      </c>
    </row>
    <row r="218">
      <c r="A218" s="63" t="n">
        <v>40909</v>
      </c>
      <c r="B218" t="n">
        <v>1369064</v>
      </c>
      <c r="C218" t="n">
        <v>5073216</v>
      </c>
      <c r="D218" t="n">
        <v>8802.509765625</v>
      </c>
    </row>
    <row r="219">
      <c r="A219" s="63" t="n">
        <v>40940</v>
      </c>
      <c r="B219" t="n">
        <v>1442443</v>
      </c>
      <c r="C219" t="n">
        <v>5004039</v>
      </c>
      <c r="D219" t="n">
        <v>9723.240234375</v>
      </c>
    </row>
    <row r="220">
      <c r="A220" s="63" t="n">
        <v>40969</v>
      </c>
      <c r="B220" t="n">
        <v>1394569</v>
      </c>
      <c r="C220" t="n">
        <v>5004039</v>
      </c>
      <c r="D220" t="n">
        <v>10083.5595703125</v>
      </c>
    </row>
    <row r="221">
      <c r="A221" s="63" t="n">
        <v>41000</v>
      </c>
      <c r="B221" t="n">
        <v>1412065</v>
      </c>
      <c r="C221" t="n">
        <v>5004039</v>
      </c>
      <c r="D221" t="n">
        <v>9520.8896484375</v>
      </c>
    </row>
    <row r="222">
      <c r="A222" s="63" t="n">
        <v>41030</v>
      </c>
      <c r="B222" t="n">
        <v>1428007</v>
      </c>
      <c r="C222" t="n">
        <v>4975587</v>
      </c>
      <c r="D222" t="n">
        <v>8542.73046875</v>
      </c>
    </row>
    <row r="223">
      <c r="A223" s="63" t="n">
        <v>41061</v>
      </c>
      <c r="B223" t="n">
        <v>1436265</v>
      </c>
      <c r="C223" t="n">
        <v>4975587</v>
      </c>
      <c r="D223" t="n">
        <v>9006.7802734375</v>
      </c>
    </row>
    <row r="224">
      <c r="A224" s="63" t="n">
        <v>41091</v>
      </c>
      <c r="B224" t="n">
        <v>1454954</v>
      </c>
      <c r="C224" t="n">
        <v>4975587</v>
      </c>
      <c r="D224" t="n">
        <v>8695.0595703125</v>
      </c>
    </row>
    <row r="225">
      <c r="A225" s="63" t="n">
        <v>41122</v>
      </c>
      <c r="B225" t="n">
        <v>1499672</v>
      </c>
      <c r="C225" t="n">
        <v>4971271</v>
      </c>
      <c r="D225" t="n">
        <v>8839.91015625</v>
      </c>
    </row>
    <row r="226">
      <c r="A226" s="63" t="n">
        <v>41153</v>
      </c>
      <c r="B226" t="n">
        <v>1499208</v>
      </c>
      <c r="C226" t="n">
        <v>4971271</v>
      </c>
      <c r="D226" t="n">
        <v>8870.16015625</v>
      </c>
    </row>
    <row r="227">
      <c r="A227" s="63" t="n">
        <v>41183</v>
      </c>
      <c r="B227" t="n">
        <v>1537316</v>
      </c>
      <c r="C227" t="n">
        <v>4971271</v>
      </c>
      <c r="D227" t="n">
        <v>8928.2900390625</v>
      </c>
    </row>
    <row r="228">
      <c r="A228" s="63" t="n">
        <v>41214</v>
      </c>
      <c r="B228" t="n">
        <v>1563579</v>
      </c>
      <c r="C228" t="n">
        <v>5029918</v>
      </c>
      <c r="D228" t="n">
        <v>9446.009765625</v>
      </c>
    </row>
    <row r="229">
      <c r="A229" s="63" t="n">
        <v>41244</v>
      </c>
      <c r="B229" t="n">
        <v>1583627</v>
      </c>
      <c r="C229" t="n">
        <v>5029918</v>
      </c>
      <c r="D229" t="n">
        <v>10395.1796875</v>
      </c>
    </row>
    <row r="230">
      <c r="A230" s="63" t="n">
        <v>41275</v>
      </c>
      <c r="B230" t="n">
        <v>1597903</v>
      </c>
      <c r="C230" t="n">
        <v>5029918</v>
      </c>
      <c r="D230" t="n">
        <v>11138.66015625</v>
      </c>
    </row>
    <row r="231">
      <c r="A231" s="63" t="n">
        <v>41306</v>
      </c>
      <c r="B231" t="n">
        <v>1635325</v>
      </c>
      <c r="C231" t="n">
        <v>5076368</v>
      </c>
      <c r="D231" t="n">
        <v>11559.3603515625</v>
      </c>
    </row>
    <row r="232">
      <c r="A232" s="63" t="n">
        <v>41334</v>
      </c>
      <c r="B232" t="n">
        <v>1648127</v>
      </c>
      <c r="C232" t="n">
        <v>5076368</v>
      </c>
      <c r="D232" t="n">
        <v>12397.91015625</v>
      </c>
    </row>
    <row r="233">
      <c r="A233" s="63" t="n">
        <v>41365</v>
      </c>
      <c r="B233" t="n">
        <v>1746913</v>
      </c>
      <c r="C233" t="n">
        <v>5076368</v>
      </c>
      <c r="D233" t="n">
        <v>13860.8603515625</v>
      </c>
    </row>
    <row r="234">
      <c r="A234" s="63" t="n">
        <v>41395</v>
      </c>
      <c r="B234" t="n">
        <v>1842861</v>
      </c>
      <c r="C234" t="n">
        <v>5128400</v>
      </c>
      <c r="D234" t="n">
        <v>13774.5400390625</v>
      </c>
    </row>
    <row r="235">
      <c r="A235" s="63" t="n">
        <v>41426</v>
      </c>
      <c r="B235" t="n">
        <v>1870684</v>
      </c>
      <c r="C235" t="n">
        <v>5128400</v>
      </c>
      <c r="D235" t="n">
        <v>13677.3203125</v>
      </c>
    </row>
    <row r="236">
      <c r="A236" s="63" t="n">
        <v>41456</v>
      </c>
      <c r="B236" t="n">
        <v>1967581</v>
      </c>
      <c r="C236" t="n">
        <v>5128400</v>
      </c>
      <c r="D236" t="n">
        <v>13668.3203125</v>
      </c>
    </row>
    <row r="237">
      <c r="A237" s="63" t="n">
        <v>41487</v>
      </c>
      <c r="B237" t="n">
        <v>2056918</v>
      </c>
      <c r="C237" t="n">
        <v>5124238</v>
      </c>
      <c r="D237" t="n">
        <v>13388.8603515625</v>
      </c>
    </row>
    <row r="238">
      <c r="A238" s="63" t="n">
        <v>41518</v>
      </c>
      <c r="B238" t="n">
        <v>2088625</v>
      </c>
      <c r="C238" t="n">
        <v>5124238</v>
      </c>
      <c r="D238" t="n">
        <v>14455.7998046875</v>
      </c>
    </row>
    <row r="239">
      <c r="A239" s="63" t="n">
        <v>41548</v>
      </c>
      <c r="B239" t="n">
        <v>2155142</v>
      </c>
      <c r="C239" t="n">
        <v>5124238</v>
      </c>
      <c r="D239" t="n">
        <v>14327.9404296875</v>
      </c>
    </row>
    <row r="240">
      <c r="A240" s="63" t="n">
        <v>41579</v>
      </c>
      <c r="B240" t="n">
        <v>2240888</v>
      </c>
      <c r="C240" t="n">
        <v>5167512</v>
      </c>
      <c r="D240" t="n">
        <v>15661.8701171875</v>
      </c>
    </row>
    <row r="241">
      <c r="A241" s="63" t="n">
        <v>41609</v>
      </c>
      <c r="B241" t="n">
        <v>2241897</v>
      </c>
      <c r="C241" t="n">
        <v>5167512</v>
      </c>
      <c r="D241" t="n">
        <v>16291.3095703125</v>
      </c>
    </row>
    <row r="242">
      <c r="A242" s="63" t="n">
        <v>41640</v>
      </c>
      <c r="B242" t="n">
        <v>2321780</v>
      </c>
      <c r="C242" t="n">
        <v>5167512</v>
      </c>
      <c r="D242" t="n">
        <v>14914.5302734375</v>
      </c>
    </row>
    <row r="243">
      <c r="A243" s="63" t="n">
        <v>41671</v>
      </c>
      <c r="B243" t="n">
        <v>2404502</v>
      </c>
      <c r="C243" t="n">
        <v>5179022</v>
      </c>
      <c r="D243" t="n">
        <v>14841.0703125</v>
      </c>
    </row>
    <row r="244">
      <c r="A244" s="63" t="n">
        <v>41699</v>
      </c>
      <c r="B244" t="n">
        <v>2415798</v>
      </c>
      <c r="C244" t="n">
        <v>5179022</v>
      </c>
      <c r="D244" t="n">
        <v>14827.830078125</v>
      </c>
    </row>
    <row r="245">
      <c r="A245" s="63" t="n">
        <v>41730</v>
      </c>
      <c r="B245" t="n">
        <v>2461764</v>
      </c>
      <c r="C245" t="n">
        <v>5179022</v>
      </c>
      <c r="D245" t="n">
        <v>14304.1103515625</v>
      </c>
    </row>
    <row r="246">
      <c r="A246" s="63" t="n">
        <v>41760</v>
      </c>
      <c r="B246" t="n">
        <v>2539730</v>
      </c>
      <c r="C246" t="n">
        <v>5182049</v>
      </c>
      <c r="D246" t="n">
        <v>14632.3798828125</v>
      </c>
    </row>
    <row r="247">
      <c r="A247" s="63" t="n">
        <v>41791</v>
      </c>
      <c r="B247" t="n">
        <v>2577613</v>
      </c>
      <c r="C247" t="n">
        <v>5182049</v>
      </c>
      <c r="D247" t="n">
        <v>15162.099609375</v>
      </c>
    </row>
    <row r="248">
      <c r="A248" s="63" t="n">
        <v>41821</v>
      </c>
      <c r="B248" t="n">
        <v>2689676</v>
      </c>
      <c r="C248" t="n">
        <v>5182049</v>
      </c>
      <c r="D248" t="n">
        <v>15620.76953125</v>
      </c>
    </row>
    <row r="249">
      <c r="A249" s="63" t="n">
        <v>41852</v>
      </c>
      <c r="B249" t="n">
        <v>2758955</v>
      </c>
      <c r="C249" t="n">
        <v>5221023</v>
      </c>
      <c r="D249" t="n">
        <v>15424.58984375</v>
      </c>
    </row>
    <row r="250">
      <c r="A250" s="63" t="n">
        <v>41883</v>
      </c>
      <c r="B250" t="n">
        <v>2770994</v>
      </c>
      <c r="C250" t="n">
        <v>5221023</v>
      </c>
      <c r="D250" t="n">
        <v>16173.51953125</v>
      </c>
    </row>
    <row r="251">
      <c r="A251" s="63" t="n">
        <v>41913</v>
      </c>
      <c r="B251" t="n">
        <v>2868380</v>
      </c>
      <c r="C251" t="n">
        <v>5221023</v>
      </c>
      <c r="D251" t="n">
        <v>16413.759765625</v>
      </c>
    </row>
    <row r="252">
      <c r="A252" s="63" t="n">
        <v>41944</v>
      </c>
      <c r="B252" t="n">
        <v>2973747</v>
      </c>
      <c r="C252" t="n">
        <v>5348311</v>
      </c>
      <c r="D252" t="n">
        <v>17459.849609375</v>
      </c>
    </row>
    <row r="253">
      <c r="A253" s="63" t="n">
        <v>41974</v>
      </c>
      <c r="B253" t="n">
        <v>3002117</v>
      </c>
      <c r="C253" t="n">
        <v>5348311</v>
      </c>
      <c r="D253" t="n">
        <v>17450.76953125</v>
      </c>
    </row>
    <row r="254">
      <c r="A254" s="63" t="n">
        <v>42005</v>
      </c>
      <c r="B254" t="n">
        <v>3111731</v>
      </c>
      <c r="C254" t="n">
        <v>5348311</v>
      </c>
      <c r="D254" t="n">
        <v>17674.390625</v>
      </c>
    </row>
    <row r="255">
      <c r="A255" s="63" t="n">
        <v>42036</v>
      </c>
      <c r="B255" t="n">
        <v>3204418</v>
      </c>
      <c r="C255" t="n">
        <v>5381040</v>
      </c>
      <c r="D255" t="n">
        <v>18797.939453125</v>
      </c>
    </row>
    <row r="256">
      <c r="A256" s="63" t="n">
        <v>42064</v>
      </c>
      <c r="B256" t="n">
        <v>3235937</v>
      </c>
      <c r="C256" t="n">
        <v>5381040</v>
      </c>
      <c r="D256" t="n">
        <v>19206.990234375</v>
      </c>
    </row>
    <row r="257">
      <c r="A257" s="63" t="n">
        <v>42095</v>
      </c>
      <c r="B257" t="n">
        <v>3328186</v>
      </c>
      <c r="C257" t="n">
        <v>5381040</v>
      </c>
      <c r="D257" t="n">
        <v>19520.009765625</v>
      </c>
    </row>
    <row r="258">
      <c r="A258" s="63" t="n">
        <v>42125</v>
      </c>
      <c r="B258" t="n">
        <v>3431402</v>
      </c>
      <c r="C258" t="n">
        <v>5399376</v>
      </c>
      <c r="D258" t="n">
        <v>20563.150390625</v>
      </c>
    </row>
    <row r="259">
      <c r="A259" s="63" t="n">
        <v>42156</v>
      </c>
      <c r="B259" t="n">
        <v>3454395</v>
      </c>
      <c r="C259" t="n">
        <v>5399376</v>
      </c>
      <c r="D259" t="n">
        <v>20235.73046875</v>
      </c>
    </row>
    <row r="260">
      <c r="A260" s="63" t="n">
        <v>42186</v>
      </c>
      <c r="B260" t="n">
        <v>3542941</v>
      </c>
      <c r="C260" t="n">
        <v>5399376</v>
      </c>
      <c r="D260" t="n">
        <v>20585.240234375</v>
      </c>
    </row>
    <row r="261">
      <c r="A261" s="63" t="n">
        <v>42217</v>
      </c>
      <c r="B261" t="n">
        <v>3614591</v>
      </c>
      <c r="C261" t="n">
        <v>5393553</v>
      </c>
      <c r="D261" t="n">
        <v>18890.48046875</v>
      </c>
    </row>
    <row r="262">
      <c r="A262" s="63" t="n">
        <v>42248</v>
      </c>
      <c r="B262" t="n">
        <v>3661278</v>
      </c>
      <c r="C262" t="n">
        <v>5393553</v>
      </c>
      <c r="D262" t="n">
        <v>17388.150390625</v>
      </c>
    </row>
    <row r="263">
      <c r="A263" s="63" t="n">
        <v>42278</v>
      </c>
      <c r="B263" t="n">
        <v>3735537</v>
      </c>
      <c r="C263" t="n">
        <v>5393553</v>
      </c>
      <c r="D263" t="n">
        <v>19083.099609375</v>
      </c>
    </row>
    <row r="264">
      <c r="A264" s="63" t="n">
        <v>42309</v>
      </c>
      <c r="B264" t="n">
        <v>3812542</v>
      </c>
      <c r="C264" t="n">
        <v>5451749</v>
      </c>
      <c r="D264" t="n">
        <v>19747.470703125</v>
      </c>
    </row>
    <row r="265">
      <c r="A265" s="63" t="n">
        <v>42339</v>
      </c>
      <c r="B265" t="n">
        <v>3831076</v>
      </c>
      <c r="C265" t="n">
        <v>5451749</v>
      </c>
      <c r="D265" t="n">
        <v>19033.7109375</v>
      </c>
    </row>
    <row r="266">
      <c r="A266" s="63" t="n">
        <v>42370</v>
      </c>
      <c r="B266" t="n">
        <v>3964498</v>
      </c>
      <c r="C266" t="n">
        <v>5451749</v>
      </c>
      <c r="D266" t="n">
        <v>17518.30078125</v>
      </c>
    </row>
    <row r="267">
      <c r="A267" s="63" t="n">
        <v>42401</v>
      </c>
      <c r="B267" t="n">
        <v>4037909</v>
      </c>
      <c r="C267" t="n">
        <v>5433273</v>
      </c>
      <c r="D267" t="n">
        <v>16026.759765625</v>
      </c>
    </row>
    <row r="268">
      <c r="A268" s="63" t="n">
        <v>42430</v>
      </c>
      <c r="B268" t="n">
        <v>4056481</v>
      </c>
      <c r="C268" t="n">
        <v>5433273</v>
      </c>
      <c r="D268" t="n">
        <v>16758.669921875</v>
      </c>
    </row>
    <row r="269">
      <c r="A269" s="63" t="n">
        <v>42461</v>
      </c>
      <c r="B269" t="n">
        <v>4144163</v>
      </c>
      <c r="C269" t="n">
        <v>5433273</v>
      </c>
      <c r="D269" t="n">
        <v>16666.05078125</v>
      </c>
    </row>
    <row r="270">
      <c r="A270" s="63" t="n">
        <v>42491</v>
      </c>
      <c r="B270" t="n">
        <v>4256697</v>
      </c>
      <c r="C270" t="n">
        <v>5436845</v>
      </c>
      <c r="D270" t="n">
        <v>17234.98046875</v>
      </c>
    </row>
    <row r="271">
      <c r="A271" s="63" t="n">
        <v>42522</v>
      </c>
      <c r="B271" t="n">
        <v>4327586</v>
      </c>
      <c r="C271" t="n">
        <v>5436845</v>
      </c>
      <c r="D271" t="n">
        <v>15575.919921875</v>
      </c>
    </row>
    <row r="272">
      <c r="A272" s="63" t="n">
        <v>42552</v>
      </c>
      <c r="B272" t="n">
        <v>4430848</v>
      </c>
      <c r="C272" t="n">
        <v>5436845</v>
      </c>
      <c r="D272" t="n">
        <v>16569.26953125</v>
      </c>
    </row>
    <row r="273">
      <c r="A273" s="63" t="n">
        <v>42583</v>
      </c>
      <c r="B273" t="n">
        <v>4529802</v>
      </c>
      <c r="C273" t="n">
        <v>5446102</v>
      </c>
      <c r="D273" t="n">
        <v>16887.400390625</v>
      </c>
    </row>
    <row r="274">
      <c r="A274" s="63" t="n">
        <v>42614</v>
      </c>
      <c r="B274" t="n">
        <v>4568058</v>
      </c>
      <c r="C274" t="n">
        <v>5446102</v>
      </c>
      <c r="D274" t="n">
        <v>16449.83984375</v>
      </c>
    </row>
    <row r="275">
      <c r="A275" s="63" t="n">
        <v>42644</v>
      </c>
      <c r="B275" t="n">
        <v>4633922</v>
      </c>
      <c r="C275" t="n">
        <v>5446102</v>
      </c>
      <c r="D275" t="n">
        <v>17425.01953125</v>
      </c>
    </row>
    <row r="276">
      <c r="A276" s="63" t="n">
        <v>42675</v>
      </c>
      <c r="B276" t="n">
        <v>4711310</v>
      </c>
      <c r="C276" t="n">
        <v>5474638</v>
      </c>
      <c r="D276" t="n">
        <v>18308.48046875</v>
      </c>
    </row>
    <row r="277">
      <c r="A277" s="63" t="n">
        <v>42705</v>
      </c>
      <c r="B277" t="n">
        <v>4764980</v>
      </c>
      <c r="C277" t="n">
        <v>5474638</v>
      </c>
      <c r="D277" t="n">
        <v>19114.369140625</v>
      </c>
    </row>
    <row r="278">
      <c r="A278" s="63" t="n">
        <v>42736</v>
      </c>
      <c r="B278" t="n">
        <v>4819817</v>
      </c>
      <c r="C278" t="n">
        <v>5474638</v>
      </c>
      <c r="D278" t="n">
        <v>19041.33984375</v>
      </c>
    </row>
    <row r="279">
      <c r="A279" s="63" t="n">
        <v>42767</v>
      </c>
      <c r="B279" t="n">
        <v>4879011</v>
      </c>
      <c r="C279" t="n">
        <v>5506804</v>
      </c>
      <c r="D279" t="n">
        <v>19118.990234375</v>
      </c>
    </row>
    <row r="280">
      <c r="A280" s="63" t="n">
        <v>42795</v>
      </c>
      <c r="B280" t="n">
        <v>4900893</v>
      </c>
      <c r="C280" t="n">
        <v>5506804</v>
      </c>
      <c r="D280" t="n">
        <v>18909.259765625</v>
      </c>
    </row>
    <row r="281">
      <c r="A281" s="63" t="n">
        <v>42826</v>
      </c>
      <c r="B281" t="n">
        <v>4977463</v>
      </c>
      <c r="C281" t="n">
        <v>5506804</v>
      </c>
      <c r="D281" t="n">
        <v>19196.740234375</v>
      </c>
    </row>
    <row r="282">
      <c r="A282" s="63" t="n">
        <v>42856</v>
      </c>
      <c r="B282" t="n">
        <v>5008008</v>
      </c>
      <c r="C282" t="n">
        <v>5572458</v>
      </c>
      <c r="D282" t="n">
        <v>19650.5703125</v>
      </c>
    </row>
    <row r="283">
      <c r="A283" s="63" t="n">
        <v>42887</v>
      </c>
      <c r="B283" t="n">
        <v>5021084</v>
      </c>
      <c r="C283" t="n">
        <v>5572458</v>
      </c>
      <c r="D283" t="n">
        <v>20033.4296875</v>
      </c>
    </row>
    <row r="284">
      <c r="A284" s="63" t="n">
        <v>42917</v>
      </c>
      <c r="B284" t="n">
        <v>5055602</v>
      </c>
      <c r="C284" t="n">
        <v>5572458</v>
      </c>
      <c r="D284" t="n">
        <v>19925.1796875</v>
      </c>
    </row>
    <row r="285">
      <c r="A285" s="63" t="n">
        <v>42948</v>
      </c>
      <c r="B285" t="n">
        <v>5115845</v>
      </c>
      <c r="C285" t="n">
        <v>5568052</v>
      </c>
      <c r="D285" t="n">
        <v>19646.240234375</v>
      </c>
    </row>
    <row r="286">
      <c r="A286" s="63" t="n">
        <v>42979</v>
      </c>
      <c r="B286" t="n">
        <v>5134438</v>
      </c>
      <c r="C286" t="n">
        <v>5568052</v>
      </c>
      <c r="D286" t="n">
        <v>20356.279296875</v>
      </c>
    </row>
    <row r="287">
      <c r="A287" s="63" t="n">
        <v>43009</v>
      </c>
      <c r="B287" t="n">
        <v>5180461</v>
      </c>
      <c r="C287" t="n">
        <v>5568052</v>
      </c>
      <c r="D287" t="n">
        <v>22011.609375</v>
      </c>
    </row>
    <row r="288">
      <c r="A288" s="63" t="n">
        <v>43040</v>
      </c>
      <c r="B288" t="n">
        <v>5218600</v>
      </c>
      <c r="C288" t="n">
        <v>5580568</v>
      </c>
      <c r="D288" t="n">
        <v>22724.9609375</v>
      </c>
    </row>
    <row r="289">
      <c r="A289" s="63" t="n">
        <v>43070</v>
      </c>
      <c r="B289" t="n">
        <v>5214161</v>
      </c>
      <c r="C289" t="n">
        <v>5580568</v>
      </c>
      <c r="D289" t="n">
        <v>22764.939453125</v>
      </c>
    </row>
    <row r="290">
      <c r="A290" s="63" t="n">
        <v>43101</v>
      </c>
      <c r="B290" t="n">
        <v>5267036</v>
      </c>
      <c r="C290" t="n">
        <v>5580568</v>
      </c>
      <c r="D290" t="n">
        <v>23098.2890625</v>
      </c>
    </row>
    <row r="291">
      <c r="A291" s="63" t="n">
        <v>43132</v>
      </c>
      <c r="B291" t="n">
        <v>5331792</v>
      </c>
      <c r="C291" t="n">
        <v>5592952</v>
      </c>
      <c r="D291" t="n">
        <v>22068.240234375</v>
      </c>
    </row>
    <row r="292">
      <c r="A292" s="63" t="n">
        <v>43160</v>
      </c>
      <c r="B292" t="n">
        <v>5282856</v>
      </c>
      <c r="C292" t="n">
        <v>5592952</v>
      </c>
      <c r="D292" t="n">
        <v>21454.30078125</v>
      </c>
    </row>
    <row r="293">
      <c r="A293" s="63" t="n">
        <v>43191</v>
      </c>
      <c r="B293" t="n">
        <v>5350510</v>
      </c>
      <c r="C293" t="n">
        <v>5592952</v>
      </c>
      <c r="D293" t="n">
        <v>22467.869140625</v>
      </c>
    </row>
    <row r="294">
      <c r="A294" s="63" t="n">
        <v>43221</v>
      </c>
      <c r="B294" t="n">
        <v>5408036</v>
      </c>
      <c r="C294" t="n">
        <v>5554021</v>
      </c>
      <c r="D294" t="n">
        <v>22201.8203125</v>
      </c>
    </row>
    <row r="295">
      <c r="A295" s="63" t="n">
        <v>43252</v>
      </c>
      <c r="B295" t="n">
        <v>5370168</v>
      </c>
      <c r="C295" t="n">
        <v>5554021</v>
      </c>
      <c r="D295" t="n">
        <v>22304.509765625</v>
      </c>
    </row>
    <row r="296">
      <c r="A296" s="63" t="n">
        <v>43282</v>
      </c>
      <c r="B296" t="n">
        <v>5463108</v>
      </c>
      <c r="C296" t="n">
        <v>5554021</v>
      </c>
      <c r="D296" t="n">
        <v>22553.720703125</v>
      </c>
    </row>
    <row r="297">
      <c r="A297" s="63" t="n">
        <v>43313</v>
      </c>
      <c r="B297" t="n">
        <v>5509363</v>
      </c>
      <c r="C297" t="n">
        <v>5533929</v>
      </c>
      <c r="D297" t="n">
        <v>22865.150390625</v>
      </c>
    </row>
    <row r="298">
      <c r="A298" s="63" t="n">
        <v>43344</v>
      </c>
      <c r="B298" t="n">
        <v>5456615</v>
      </c>
      <c r="C298" t="n">
        <v>5533929</v>
      </c>
      <c r="D298" t="n">
        <v>24120.0390625</v>
      </c>
    </row>
    <row r="299">
      <c r="A299" s="63" t="n">
        <v>43374</v>
      </c>
      <c r="B299" t="n">
        <v>5518054</v>
      </c>
      <c r="C299" t="n">
        <v>5533929</v>
      </c>
      <c r="D299" t="n">
        <v>21920.4609375</v>
      </c>
    </row>
    <row r="300">
      <c r="A300" s="63" t="n">
        <v>43405</v>
      </c>
      <c r="B300" t="n">
        <v>5555010</v>
      </c>
      <c r="C300" t="n">
        <v>5586561</v>
      </c>
      <c r="D300" t="n">
        <v>22351.060546875</v>
      </c>
    </row>
    <row r="301">
      <c r="A301" s="63" t="n">
        <v>43435</v>
      </c>
      <c r="B301" t="n">
        <v>5520843</v>
      </c>
      <c r="C301" t="n">
        <v>5586561</v>
      </c>
      <c r="D301" t="n">
        <v>20014.76953125</v>
      </c>
    </row>
    <row r="302">
      <c r="A302" s="63" t="n">
        <v>43466</v>
      </c>
      <c r="B302" t="n">
        <v>5569180</v>
      </c>
      <c r="C302" t="n">
        <v>5586561</v>
      </c>
      <c r="D302" t="n">
        <v>20773.490234375</v>
      </c>
    </row>
    <row r="303">
      <c r="A303" s="63" t="n">
        <v>43497</v>
      </c>
      <c r="B303" t="n">
        <v>5619262</v>
      </c>
      <c r="C303" t="n">
        <v>5616985</v>
      </c>
      <c r="D303" t="n">
        <v>21385.16015625</v>
      </c>
    </row>
    <row r="304">
      <c r="A304" s="63" t="n">
        <v>43525</v>
      </c>
      <c r="B304" t="n">
        <v>5570243</v>
      </c>
      <c r="C304" t="n">
        <v>5616985</v>
      </c>
      <c r="D304" t="n">
        <v>21205.810546875</v>
      </c>
    </row>
    <row r="305">
      <c r="A305" s="63" t="n">
        <v>43556</v>
      </c>
      <c r="B305" t="n">
        <v>5620357</v>
      </c>
      <c r="C305" t="n">
        <v>5616985</v>
      </c>
      <c r="D305" t="n">
        <v>22258.73046875</v>
      </c>
    </row>
    <row r="306">
      <c r="A306" s="63" t="n">
        <v>43586</v>
      </c>
      <c r="B306" t="n">
        <v>5671565</v>
      </c>
      <c r="C306" t="n">
        <v>5618592</v>
      </c>
      <c r="D306" t="n">
        <v>20601.189453125</v>
      </c>
    </row>
    <row r="307">
      <c r="A307" s="63" t="n">
        <v>43617</v>
      </c>
      <c r="B307" t="n">
        <v>5648665</v>
      </c>
      <c r="C307" t="n">
        <v>5618592</v>
      </c>
      <c r="D307" t="n">
        <v>21275.919921875</v>
      </c>
    </row>
    <row r="308">
      <c r="A308" s="63" t="n">
        <v>43647</v>
      </c>
      <c r="B308" t="n">
        <v>5683142</v>
      </c>
      <c r="C308" t="n">
        <v>5618592</v>
      </c>
      <c r="D308" t="n">
        <v>21521.529296875</v>
      </c>
    </row>
    <row r="309">
      <c r="A309" s="63" t="n">
        <v>43678</v>
      </c>
      <c r="B309" t="n">
        <v>5727192</v>
      </c>
      <c r="C309" t="n">
        <v>5498857</v>
      </c>
      <c r="D309" t="n">
        <v>20704.369140625</v>
      </c>
    </row>
    <row r="310">
      <c r="A310" s="63" t="n">
        <v>43709</v>
      </c>
      <c r="B310" t="n">
        <v>5698026</v>
      </c>
      <c r="C310" t="n">
        <v>5498857</v>
      </c>
      <c r="D310" t="n">
        <v>21755.83984375</v>
      </c>
    </row>
    <row r="311">
      <c r="A311" s="63" t="n">
        <v>43739</v>
      </c>
      <c r="B311" t="n">
        <v>5756702</v>
      </c>
      <c r="C311" t="n">
        <v>5498857</v>
      </c>
      <c r="D311" t="n">
        <v>22927.0390625</v>
      </c>
    </row>
    <row r="312">
      <c r="A312" s="63" t="n">
        <v>43770</v>
      </c>
      <c r="B312" t="n">
        <v>5785322</v>
      </c>
      <c r="C312" t="n">
        <v>5526441</v>
      </c>
      <c r="D312" t="n">
        <v>23293.91015625</v>
      </c>
    </row>
    <row r="313">
      <c r="A313" s="63" t="n">
        <v>43800</v>
      </c>
      <c r="B313" t="n">
        <v>5730531</v>
      </c>
      <c r="C313" t="n">
        <v>5526441</v>
      </c>
      <c r="D313" t="n">
        <v>23656.619140625</v>
      </c>
    </row>
    <row r="314">
      <c r="A314" s="63" t="n">
        <v>43831</v>
      </c>
      <c r="B314" t="n">
        <v>5783352</v>
      </c>
      <c r="C314" t="n">
        <v>5526441</v>
      </c>
      <c r="D314" t="n">
        <v>23205.1796875</v>
      </c>
    </row>
    <row r="315">
      <c r="A315" s="63" t="n">
        <v>43862</v>
      </c>
      <c r="B315" t="n">
        <v>5849208</v>
      </c>
      <c r="C315" t="n">
        <v>5106713</v>
      </c>
      <c r="D315" t="n">
        <v>21142.9609375</v>
      </c>
    </row>
    <row r="316">
      <c r="A316" s="63" t="n">
        <v>43891</v>
      </c>
      <c r="B316" t="n">
        <v>6044846</v>
      </c>
      <c r="C316" t="n">
        <v>5106713</v>
      </c>
      <c r="D316" t="n">
        <v>18917.009765625</v>
      </c>
    </row>
    <row r="317">
      <c r="A317" s="63" t="n">
        <v>43922</v>
      </c>
      <c r="B317" t="n">
        <v>6190306</v>
      </c>
      <c r="C317" t="n">
        <v>5106713</v>
      </c>
      <c r="D317" t="n">
        <v>20193.689453125</v>
      </c>
    </row>
    <row r="318">
      <c r="A318" s="63" t="n">
        <v>43952</v>
      </c>
      <c r="B318" t="n">
        <v>6385922</v>
      </c>
      <c r="C318" t="n">
        <v>5385787</v>
      </c>
      <c r="D318" t="n">
        <v>21877.890625</v>
      </c>
    </row>
    <row r="319">
      <c r="A319" s="63" t="n">
        <v>43983</v>
      </c>
      <c r="B319" t="n">
        <v>6489462</v>
      </c>
      <c r="C319" t="n">
        <v>5385787</v>
      </c>
      <c r="D319" t="n">
        <v>22288.140625</v>
      </c>
    </row>
    <row r="320">
      <c r="A320" s="63" t="n">
        <v>44013</v>
      </c>
      <c r="B320" t="n">
        <v>6658852</v>
      </c>
      <c r="C320" t="n">
        <v>5385787</v>
      </c>
      <c r="D320" t="n">
        <v>21710</v>
      </c>
    </row>
    <row r="321">
      <c r="A321" s="63" t="n">
        <v>44044</v>
      </c>
      <c r="B321" t="n">
        <v>6828990</v>
      </c>
      <c r="C321" t="n">
        <v>5461555</v>
      </c>
      <c r="D321" t="n">
        <v>23139.759765625</v>
      </c>
    </row>
    <row r="322">
      <c r="A322" s="63" t="n">
        <v>44075</v>
      </c>
      <c r="B322" t="n">
        <v>6900269</v>
      </c>
      <c r="C322" t="n">
        <v>5461555</v>
      </c>
      <c r="D322" t="n">
        <v>23185.119140625</v>
      </c>
    </row>
    <row r="323">
      <c r="A323" s="63" t="n">
        <v>44105</v>
      </c>
      <c r="B323" t="n">
        <v>6982309</v>
      </c>
      <c r="C323" t="n">
        <v>5461555</v>
      </c>
      <c r="D323" t="n">
        <v>22977.130859375</v>
      </c>
    </row>
    <row r="324">
      <c r="A324" s="63" t="n">
        <v>44136</v>
      </c>
      <c r="B324" t="n">
        <v>7053047</v>
      </c>
      <c r="C324" t="n">
        <v>5428505</v>
      </c>
      <c r="D324" t="n">
        <v>26433.619140625</v>
      </c>
    </row>
    <row r="325">
      <c r="A325" s="63" t="n">
        <v>44166</v>
      </c>
      <c r="B325" t="n">
        <v>7025822</v>
      </c>
      <c r="C325" t="n">
        <v>5428505</v>
      </c>
      <c r="D325" t="n">
        <v>27444.169921875</v>
      </c>
    </row>
    <row r="326">
      <c r="A326" s="63" t="n">
        <v>44197</v>
      </c>
      <c r="B326" t="n">
        <v>7094935</v>
      </c>
      <c r="C326" t="n">
        <v>5428505</v>
      </c>
      <c r="D326" t="n">
        <v>27663.390625</v>
      </c>
    </row>
    <row r="327">
      <c r="A327" s="63" t="n">
        <v>44228</v>
      </c>
      <c r="B327" t="n">
        <v>7126021</v>
      </c>
      <c r="C327" t="n">
        <v>5419293</v>
      </c>
      <c r="D327" t="n">
        <v>28966.009765625</v>
      </c>
    </row>
    <row r="328">
      <c r="A328" s="63" t="n">
        <v>44256</v>
      </c>
      <c r="B328" t="n">
        <v>7145566</v>
      </c>
      <c r="C328" t="n">
        <v>5419293</v>
      </c>
      <c r="D328" t="n">
        <v>29178.80078125</v>
      </c>
    </row>
    <row r="329">
      <c r="A329" s="63" t="n">
        <v>44287</v>
      </c>
      <c r="B329" t="n">
        <v>7202316</v>
      </c>
      <c r="C329" t="n">
        <v>5419293</v>
      </c>
      <c r="D329" t="n">
        <v>28812.630859375</v>
      </c>
    </row>
    <row r="330">
      <c r="A330" s="63" t="n">
        <v>44317</v>
      </c>
      <c r="B330" t="n">
        <v>7246409</v>
      </c>
      <c r="C330" t="n">
        <v>5393014</v>
      </c>
      <c r="D330" t="n">
        <v>28860.080078125</v>
      </c>
    </row>
    <row r="331">
      <c r="A331" s="63" t="n">
        <v>44348</v>
      </c>
      <c r="B331" t="n">
        <v>7169006</v>
      </c>
      <c r="C331" t="n">
        <v>5393014</v>
      </c>
      <c r="D331" t="n">
        <v>28791.529296875</v>
      </c>
    </row>
    <row r="332">
      <c r="A332" s="63" t="n">
        <v>44378</v>
      </c>
      <c r="B332" t="n">
        <v>7229429</v>
      </c>
      <c r="C332" t="n">
        <v>5393014</v>
      </c>
      <c r="D332" t="n">
        <v>27283.58984375</v>
      </c>
    </row>
    <row r="333">
      <c r="A333" s="63" t="n">
        <v>44409</v>
      </c>
      <c r="B333" t="n">
        <v>7267102</v>
      </c>
      <c r="C333" t="n">
        <v>5418651</v>
      </c>
      <c r="D333" t="n">
        <v>28089.5390625</v>
      </c>
    </row>
    <row r="334">
      <c r="A334" s="63" t="n">
        <v>44440</v>
      </c>
      <c r="B334" t="n">
        <v>7240579</v>
      </c>
      <c r="C334" t="n">
        <v>5418651</v>
      </c>
      <c r="D334" t="n">
        <v>29452.66015625</v>
      </c>
    </row>
    <row r="335">
      <c r="A335" s="63" t="n">
        <v>44470</v>
      </c>
      <c r="B335" t="n">
        <v>7251886</v>
      </c>
      <c r="C335" t="n">
        <v>5418651</v>
      </c>
      <c r="D335" t="n">
        <v>28892.689453125</v>
      </c>
    </row>
    <row r="336">
      <c r="A336" s="63" t="n">
        <v>44501</v>
      </c>
      <c r="B336" t="n">
        <v>7282186</v>
      </c>
      <c r="C336" t="n">
        <v>5438732</v>
      </c>
      <c r="D336" t="n">
        <v>27821.759765625</v>
      </c>
    </row>
    <row r="337">
      <c r="A337" s="63" t="n">
        <v>44531</v>
      </c>
      <c r="B337" t="n">
        <v>7237659</v>
      </c>
      <c r="C337" t="n">
        <v>5438732</v>
      </c>
      <c r="D337" t="n">
        <v>28791.7109375</v>
      </c>
    </row>
    <row r="338">
      <c r="A338" s="63" t="n">
        <v>44562</v>
      </c>
      <c r="B338" t="n">
        <v>7251444</v>
      </c>
      <c r="C338" t="n">
        <v>5438732</v>
      </c>
      <c r="D338" t="n">
        <v>27001.98046875</v>
      </c>
    </row>
    <row r="339">
      <c r="A339" s="63" t="n">
        <v>44593</v>
      </c>
      <c r="B339" t="n">
        <v>7305553</v>
      </c>
      <c r="C339" t="n">
        <v>5453931</v>
      </c>
      <c r="D339" t="n">
        <v>26526.8203125</v>
      </c>
    </row>
    <row r="340">
      <c r="A340" s="63" t="n">
        <v>44602</v>
      </c>
      <c r="D340" t="n">
        <v>27696.080078125</v>
      </c>
    </row>
    <row r="341">
      <c r="A341" s="63" t="n">
        <v>44617</v>
      </c>
      <c r="D341" t="n">
        <v>26476.5</v>
      </c>
    </row>
    <row r="342">
      <c r="A342" s="63" t="n">
        <v>44621</v>
      </c>
      <c r="B342" t="n">
        <v>7362535</v>
      </c>
      <c r="C342" t="n">
        <v>5453931</v>
      </c>
      <c r="D342" t="n">
        <v>27821.4296875</v>
      </c>
    </row>
    <row r="343">
      <c r="A343" s="63" t="n">
        <v>44624</v>
      </c>
      <c r="D343" t="n">
        <v>25985.470703125</v>
      </c>
    </row>
    <row r="344">
      <c r="A344" s="63" t="n">
        <v>44631</v>
      </c>
      <c r="D344" t="n">
        <v>25162.779296875</v>
      </c>
    </row>
    <row r="345">
      <c r="A345" s="63" t="n">
        <v>44638</v>
      </c>
      <c r="D345" t="n">
        <v>26827.4296875</v>
      </c>
    </row>
    <row r="346">
      <c r="A346" s="63" t="n">
        <v>44645</v>
      </c>
      <c r="D346" t="n">
        <v>28149.83984375</v>
      </c>
    </row>
    <row r="347">
      <c r="A347" s="63" t="n">
        <v>44652</v>
      </c>
      <c r="B347" t="n">
        <v>7386915</v>
      </c>
      <c r="C347" t="n">
        <v>5453931</v>
      </c>
      <c r="D347" t="n">
        <v>26847.900390625</v>
      </c>
    </row>
    <row r="348">
      <c r="A348" s="63" t="n">
        <v>44659</v>
      </c>
      <c r="D348" t="n">
        <v>26985.80078125</v>
      </c>
    </row>
    <row r="349">
      <c r="A349" s="63" t="n">
        <v>44666</v>
      </c>
      <c r="D349" t="n">
        <v>27093.189453125</v>
      </c>
    </row>
    <row r="350">
      <c r="A350" s="63" t="n">
        <v>44682</v>
      </c>
      <c r="B350" t="n">
        <v>7364911</v>
      </c>
      <c r="D350" t="n">
        <v>27279.80078125</v>
      </c>
    </row>
    <row r="351">
      <c r="A351" s="63" t="n">
        <v>44683</v>
      </c>
      <c r="D351" t="n">
        <v>26818.529296875</v>
      </c>
    </row>
    <row r="352">
      <c r="A352" s="63" t="n">
        <v>44694</v>
      </c>
      <c r="D352" t="n">
        <v>26427.650390625</v>
      </c>
    </row>
    <row r="353">
      <c r="A353" s="63" t="n">
        <v>44708</v>
      </c>
      <c r="D353" t="n">
        <v>26781.6796875</v>
      </c>
    </row>
    <row r="354">
      <c r="A354" s="63" t="n">
        <v>44713</v>
      </c>
      <c r="B354" t="n">
        <v>7327306</v>
      </c>
      <c r="D354" t="n">
        <v>26393.0390625</v>
      </c>
    </row>
    <row r="355">
      <c r="A355" s="63" t="n">
        <v>44715</v>
      </c>
      <c r="D355" t="n">
        <v>27761.5703125</v>
      </c>
    </row>
    <row r="356">
      <c r="A356" s="63" t="n">
        <v>44722</v>
      </c>
      <c r="D356" t="n">
        <v>27824.2890625</v>
      </c>
    </row>
    <row r="357">
      <c r="A357" s="63" t="n">
        <v>44729</v>
      </c>
      <c r="D357" t="n">
        <v>25963</v>
      </c>
    </row>
    <row r="358">
      <c r="A358" s="63" t="n">
        <v>44736</v>
      </c>
      <c r="D358" t="n">
        <v>26491.970703125</v>
      </c>
    </row>
    <row r="359">
      <c r="A359" s="63" t="n">
        <v>44743</v>
      </c>
      <c r="B359" t="n">
        <v>7253573</v>
      </c>
      <c r="D359" t="n">
        <v>27801.640625</v>
      </c>
    </row>
    <row r="360">
      <c r="A360" s="63" t="n">
        <v>44750</v>
      </c>
      <c r="D360" t="n">
        <v>26517.189453125</v>
      </c>
    </row>
    <row r="361">
      <c r="A361" s="63" t="n">
        <v>44757</v>
      </c>
      <c r="D361" t="n">
        <v>26788.470703125</v>
      </c>
    </row>
    <row r="362">
      <c r="A362" s="63" t="n">
        <v>44771</v>
      </c>
      <c r="D362" t="n">
        <v>27801.640625</v>
      </c>
    </row>
    <row r="363">
      <c r="A363" s="63" t="n">
        <v>44774</v>
      </c>
      <c r="D363" t="n">
        <v>28942.140625</v>
      </c>
    </row>
    <row r="364">
      <c r="A364" s="63" t="n">
        <v>44792</v>
      </c>
      <c r="D364" t="n">
        <v>28930.330078125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34"/>
  <sheetViews>
    <sheetView zoomScale="200" zoomScaleNormal="200" workbookViewId="0">
      <pane ySplit="1" topLeftCell="A1211" activePane="bottomLeft" state="frozen"/>
      <selection pane="bottomLeft" activeCell="A1206" sqref="A1206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3" t="n">
        <v>36161</v>
      </c>
      <c r="B2" t="n">
        <v>697160</v>
      </c>
    </row>
    <row r="3">
      <c r="A3" s="63" t="n">
        <v>36168</v>
      </c>
      <c r="B3" t="n">
        <v>685128</v>
      </c>
    </row>
    <row r="4">
      <c r="A4" s="63" t="n">
        <v>36175</v>
      </c>
      <c r="B4" t="n">
        <v>686992</v>
      </c>
    </row>
    <row r="5">
      <c r="A5" s="63" t="n">
        <v>36182</v>
      </c>
      <c r="B5" t="n">
        <v>667622</v>
      </c>
    </row>
    <row r="6">
      <c r="A6" s="63" t="n">
        <v>36189</v>
      </c>
      <c r="B6" t="n">
        <v>694638</v>
      </c>
    </row>
    <row r="7">
      <c r="A7" s="63" t="n">
        <v>36196</v>
      </c>
      <c r="B7" t="n">
        <v>687447</v>
      </c>
    </row>
    <row r="8">
      <c r="A8" s="63" t="n">
        <v>36203</v>
      </c>
      <c r="B8" t="n">
        <v>680236</v>
      </c>
    </row>
    <row r="9">
      <c r="A9" s="63" t="n">
        <v>36210</v>
      </c>
      <c r="B9" t="n">
        <v>681891</v>
      </c>
    </row>
    <row r="10">
      <c r="A10" s="63" t="n">
        <v>36217</v>
      </c>
      <c r="B10" t="n">
        <v>692641</v>
      </c>
    </row>
    <row r="11">
      <c r="A11" s="63" t="n">
        <v>36224</v>
      </c>
      <c r="B11" t="n">
        <v>698073</v>
      </c>
    </row>
    <row r="12">
      <c r="A12" s="63" t="n">
        <v>36231</v>
      </c>
      <c r="B12" t="n">
        <v>693054</v>
      </c>
    </row>
    <row r="13">
      <c r="A13" s="63" t="n">
        <v>36238</v>
      </c>
      <c r="B13" t="n">
        <v>668283</v>
      </c>
    </row>
    <row r="14">
      <c r="A14" s="63" t="n">
        <v>36245</v>
      </c>
      <c r="B14" t="n">
        <v>699396</v>
      </c>
    </row>
    <row r="15">
      <c r="A15" s="63" t="n">
        <v>36252</v>
      </c>
      <c r="B15" t="n">
        <v>774421</v>
      </c>
    </row>
    <row r="16">
      <c r="A16" s="63" t="n">
        <v>36259</v>
      </c>
      <c r="B16" t="n">
        <v>679468</v>
      </c>
    </row>
    <row r="17">
      <c r="A17" s="63" t="n">
        <v>36266</v>
      </c>
      <c r="B17" t="n">
        <v>705590</v>
      </c>
    </row>
    <row r="18">
      <c r="A18" s="63" t="n">
        <v>36273</v>
      </c>
      <c r="B18" t="n">
        <v>691717</v>
      </c>
    </row>
    <row r="19">
      <c r="A19" s="63" t="n">
        <v>36280</v>
      </c>
      <c r="B19" t="n">
        <v>698296</v>
      </c>
    </row>
    <row r="20">
      <c r="A20" s="63" t="n">
        <v>36287</v>
      </c>
      <c r="B20" t="n">
        <v>692124</v>
      </c>
    </row>
    <row r="21">
      <c r="A21" s="63" t="n">
        <v>36294</v>
      </c>
      <c r="B21" t="n">
        <v>687527</v>
      </c>
    </row>
    <row r="22">
      <c r="A22" s="63" t="n">
        <v>36301</v>
      </c>
      <c r="B22" t="n">
        <v>691085</v>
      </c>
    </row>
    <row r="23">
      <c r="A23" s="63" t="n">
        <v>36308</v>
      </c>
      <c r="B23" t="n">
        <v>705060</v>
      </c>
    </row>
    <row r="24">
      <c r="A24" s="63" t="n">
        <v>36315</v>
      </c>
      <c r="B24" t="n">
        <v>706426</v>
      </c>
    </row>
    <row r="25">
      <c r="A25" s="63" t="n">
        <v>36322</v>
      </c>
      <c r="B25" t="n">
        <v>697053</v>
      </c>
    </row>
    <row r="26">
      <c r="A26" s="63" t="n">
        <v>36329</v>
      </c>
      <c r="B26" t="n">
        <v>691771</v>
      </c>
    </row>
    <row r="27">
      <c r="A27" s="63" t="n">
        <v>36336</v>
      </c>
      <c r="B27" t="n">
        <v>695644</v>
      </c>
    </row>
    <row r="28">
      <c r="A28" s="63" t="n">
        <v>36343</v>
      </c>
      <c r="B28" t="n">
        <v>722715</v>
      </c>
    </row>
    <row r="29">
      <c r="A29" s="63" t="n">
        <v>36350</v>
      </c>
      <c r="B29" t="n">
        <v>722715</v>
      </c>
    </row>
    <row r="30">
      <c r="A30" s="63" t="n">
        <v>36357</v>
      </c>
      <c r="B30" t="n">
        <v>721569</v>
      </c>
    </row>
    <row r="31">
      <c r="A31" s="63" t="n">
        <v>36364</v>
      </c>
      <c r="B31" t="n">
        <v>721882</v>
      </c>
    </row>
    <row r="32">
      <c r="A32" s="63" t="n">
        <v>36371</v>
      </c>
      <c r="B32" t="n">
        <v>739725</v>
      </c>
    </row>
    <row r="33">
      <c r="A33" s="63" t="n">
        <v>36378</v>
      </c>
      <c r="B33" t="n">
        <v>722964</v>
      </c>
    </row>
    <row r="34">
      <c r="A34" s="63" t="n">
        <v>36385</v>
      </c>
      <c r="B34" t="n">
        <v>716260</v>
      </c>
    </row>
    <row r="35">
      <c r="A35" s="63" t="n">
        <v>36392</v>
      </c>
      <c r="B35" t="n">
        <v>713379</v>
      </c>
    </row>
    <row r="36">
      <c r="A36" s="63" t="n">
        <v>36399</v>
      </c>
      <c r="B36" t="n">
        <v>733966</v>
      </c>
    </row>
    <row r="37">
      <c r="A37" s="63" t="n">
        <v>36406</v>
      </c>
      <c r="B37" t="n">
        <v>727128</v>
      </c>
    </row>
    <row r="38">
      <c r="A38" s="63" t="n">
        <v>36413</v>
      </c>
      <c r="B38" t="n">
        <v>721270</v>
      </c>
    </row>
    <row r="39">
      <c r="A39" s="63" t="n">
        <v>36420</v>
      </c>
      <c r="B39" t="n">
        <v>717914</v>
      </c>
    </row>
    <row r="40">
      <c r="A40" s="63" t="n">
        <v>36427</v>
      </c>
      <c r="B40" t="n">
        <v>728600</v>
      </c>
    </row>
    <row r="41">
      <c r="A41" s="63" t="n">
        <v>36434</v>
      </c>
      <c r="B41" t="n">
        <v>730616</v>
      </c>
    </row>
    <row r="42">
      <c r="A42" s="63" t="n">
        <v>36441</v>
      </c>
      <c r="B42" t="n">
        <v>729413</v>
      </c>
    </row>
    <row r="43">
      <c r="A43" s="63" t="n">
        <v>36448</v>
      </c>
      <c r="B43" t="n">
        <v>724358</v>
      </c>
    </row>
    <row r="44">
      <c r="A44" s="63" t="n">
        <v>36455</v>
      </c>
      <c r="B44" t="n">
        <v>709946</v>
      </c>
    </row>
    <row r="45">
      <c r="A45" s="63" t="n">
        <v>36462</v>
      </c>
      <c r="B45" t="n">
        <v>742624</v>
      </c>
    </row>
    <row r="46">
      <c r="A46" s="63" t="n">
        <v>36469</v>
      </c>
      <c r="B46" t="n">
        <v>737141</v>
      </c>
    </row>
    <row r="47">
      <c r="A47" s="63" t="n">
        <v>36476</v>
      </c>
      <c r="B47" t="n">
        <v>733848</v>
      </c>
    </row>
    <row r="48">
      <c r="A48" s="63" t="n">
        <v>36483</v>
      </c>
      <c r="B48" t="n">
        <v>734998</v>
      </c>
    </row>
    <row r="49">
      <c r="A49" s="63" t="n">
        <v>36490</v>
      </c>
      <c r="B49" t="n">
        <v>743495</v>
      </c>
    </row>
    <row r="50">
      <c r="A50" s="63" t="n">
        <v>36497</v>
      </c>
      <c r="B50" t="n">
        <v>747164</v>
      </c>
    </row>
    <row r="51">
      <c r="A51" s="63" t="n">
        <v>36504</v>
      </c>
      <c r="B51" t="n">
        <v>764737</v>
      </c>
    </row>
    <row r="52">
      <c r="A52" s="63" t="n">
        <v>36511</v>
      </c>
      <c r="B52" t="n">
        <v>753217</v>
      </c>
    </row>
    <row r="53">
      <c r="A53" s="63" t="n">
        <v>36518</v>
      </c>
      <c r="B53" t="n">
        <v>760669</v>
      </c>
    </row>
    <row r="54">
      <c r="A54" s="63" t="n">
        <v>36525</v>
      </c>
      <c r="B54" t="n">
        <v>803192</v>
      </c>
    </row>
    <row r="55">
      <c r="A55" s="63" t="n">
        <v>36532</v>
      </c>
      <c r="B55" t="n">
        <v>791851</v>
      </c>
    </row>
    <row r="56">
      <c r="A56" s="63" t="n">
        <v>36539</v>
      </c>
      <c r="B56" t="n">
        <v>736485</v>
      </c>
    </row>
    <row r="57">
      <c r="A57" s="63" t="n">
        <v>36546</v>
      </c>
      <c r="B57" t="n">
        <v>745291</v>
      </c>
    </row>
    <row r="58">
      <c r="A58" s="63" t="n">
        <v>36553</v>
      </c>
      <c r="B58" t="n">
        <v>772749</v>
      </c>
    </row>
    <row r="59">
      <c r="A59" s="63" t="n">
        <v>36560</v>
      </c>
      <c r="B59" t="n">
        <v>762476</v>
      </c>
    </row>
    <row r="60">
      <c r="A60" s="63" t="n">
        <v>36567</v>
      </c>
      <c r="B60" t="n">
        <v>759425</v>
      </c>
    </row>
    <row r="61">
      <c r="A61" s="63" t="n">
        <v>36574</v>
      </c>
      <c r="B61" t="n">
        <v>755854</v>
      </c>
    </row>
    <row r="62">
      <c r="A62" s="63" t="n">
        <v>36581</v>
      </c>
      <c r="B62" t="n">
        <v>752207</v>
      </c>
    </row>
    <row r="63">
      <c r="A63" s="63" t="n">
        <v>36588</v>
      </c>
      <c r="B63" t="n">
        <v>777649</v>
      </c>
    </row>
    <row r="64">
      <c r="A64" s="63" t="n">
        <v>36595</v>
      </c>
      <c r="B64" t="n">
        <v>759989</v>
      </c>
    </row>
    <row r="65">
      <c r="A65" s="63" t="n">
        <v>36602</v>
      </c>
      <c r="B65" t="n">
        <v>757188</v>
      </c>
    </row>
    <row r="66">
      <c r="A66" s="63" t="n">
        <v>36609</v>
      </c>
      <c r="B66" t="n">
        <v>761178</v>
      </c>
    </row>
    <row r="67">
      <c r="A67" s="63" t="n">
        <v>36616</v>
      </c>
      <c r="B67" t="n">
        <v>774421</v>
      </c>
    </row>
    <row r="68">
      <c r="A68" s="63" t="n">
        <v>36623</v>
      </c>
      <c r="B68" t="n">
        <v>770428</v>
      </c>
    </row>
    <row r="69">
      <c r="A69" s="63" t="n">
        <v>36630</v>
      </c>
      <c r="B69" t="n">
        <v>765602</v>
      </c>
    </row>
    <row r="70">
      <c r="A70" s="63" t="n">
        <v>36637</v>
      </c>
      <c r="B70" t="n">
        <v>777205</v>
      </c>
    </row>
    <row r="71">
      <c r="A71" s="63" t="n">
        <v>36644</v>
      </c>
      <c r="B71" t="n">
        <v>782962</v>
      </c>
    </row>
    <row r="72">
      <c r="A72" s="63" t="n">
        <v>36651</v>
      </c>
      <c r="B72" t="n">
        <v>786480</v>
      </c>
    </row>
    <row r="73">
      <c r="A73" s="63" t="n">
        <v>36658</v>
      </c>
      <c r="B73" t="n">
        <v>768074</v>
      </c>
    </row>
    <row r="74">
      <c r="A74" s="63" t="n">
        <v>36665</v>
      </c>
      <c r="B74" t="n">
        <v>775903</v>
      </c>
    </row>
    <row r="75">
      <c r="A75" s="63" t="n">
        <v>36672</v>
      </c>
      <c r="B75" t="n">
        <v>779222</v>
      </c>
    </row>
    <row r="76">
      <c r="A76" s="63" t="n">
        <v>36679</v>
      </c>
      <c r="B76" t="n">
        <v>774894</v>
      </c>
    </row>
    <row r="77">
      <c r="A77" s="63" t="n">
        <v>36686</v>
      </c>
      <c r="B77" t="n">
        <v>769982</v>
      </c>
    </row>
    <row r="78">
      <c r="A78" s="63" t="n">
        <v>36693</v>
      </c>
      <c r="B78" t="n">
        <v>774819</v>
      </c>
    </row>
    <row r="79">
      <c r="A79" s="63" t="n">
        <v>36700</v>
      </c>
      <c r="B79" t="n">
        <v>776768</v>
      </c>
    </row>
    <row r="80">
      <c r="A80" s="63" t="n">
        <v>36707</v>
      </c>
      <c r="B80" t="n">
        <v>812468</v>
      </c>
    </row>
    <row r="81">
      <c r="A81" s="63" t="n">
        <v>36714</v>
      </c>
      <c r="B81" t="n">
        <v>793480</v>
      </c>
    </row>
    <row r="82">
      <c r="A82" s="63" t="n">
        <v>36721</v>
      </c>
      <c r="B82" t="n">
        <v>791179</v>
      </c>
    </row>
    <row r="83">
      <c r="A83" s="63" t="n">
        <v>36728</v>
      </c>
      <c r="B83" t="n">
        <v>786691</v>
      </c>
    </row>
    <row r="84">
      <c r="A84" s="63" t="n">
        <v>36735</v>
      </c>
      <c r="B84" t="n">
        <v>800725</v>
      </c>
    </row>
    <row r="85">
      <c r="A85" s="63" t="n">
        <v>36742</v>
      </c>
      <c r="B85" t="n">
        <v>792086</v>
      </c>
    </row>
    <row r="86">
      <c r="A86" s="63" t="n">
        <v>36749</v>
      </c>
      <c r="B86" t="n">
        <v>783778</v>
      </c>
    </row>
    <row r="87">
      <c r="A87" s="63" t="n">
        <v>36756</v>
      </c>
      <c r="B87" t="n">
        <v>794289</v>
      </c>
    </row>
    <row r="88">
      <c r="A88" s="63" t="n">
        <v>36763</v>
      </c>
      <c r="B88" t="n">
        <v>796968</v>
      </c>
    </row>
    <row r="89">
      <c r="A89" s="63" t="n">
        <v>36770</v>
      </c>
      <c r="B89" t="n">
        <v>802418</v>
      </c>
    </row>
    <row r="90">
      <c r="A90" s="63" t="n">
        <v>36777</v>
      </c>
      <c r="B90" t="n">
        <v>797766</v>
      </c>
    </row>
    <row r="91">
      <c r="A91" s="63" t="n">
        <v>36784</v>
      </c>
      <c r="B91" t="n">
        <v>792783</v>
      </c>
    </row>
    <row r="92">
      <c r="A92" s="63" t="n">
        <v>36791</v>
      </c>
      <c r="B92" t="n">
        <v>788510</v>
      </c>
    </row>
    <row r="93">
      <c r="A93" s="63" t="n">
        <v>36798</v>
      </c>
      <c r="B93" t="n">
        <v>826310</v>
      </c>
    </row>
    <row r="94">
      <c r="A94" s="63" t="n">
        <v>36805</v>
      </c>
      <c r="B94" t="n">
        <v>821621</v>
      </c>
    </row>
    <row r="95">
      <c r="A95" s="63" t="n">
        <v>36812</v>
      </c>
      <c r="B95" t="n">
        <v>816322</v>
      </c>
    </row>
    <row r="96">
      <c r="A96" s="63" t="n">
        <v>36819</v>
      </c>
      <c r="B96" t="n">
        <v>809796</v>
      </c>
    </row>
    <row r="97">
      <c r="A97" s="63" t="n">
        <v>36826</v>
      </c>
      <c r="B97" t="n">
        <v>822086</v>
      </c>
    </row>
    <row r="98">
      <c r="A98" s="63" t="n">
        <v>36833</v>
      </c>
      <c r="B98" t="n">
        <v>821281</v>
      </c>
    </row>
    <row r="99">
      <c r="A99" s="63" t="n">
        <v>36840</v>
      </c>
      <c r="B99" t="n">
        <v>821918</v>
      </c>
    </row>
    <row r="100">
      <c r="A100" s="63" t="n">
        <v>36847</v>
      </c>
      <c r="B100" t="n">
        <v>818956</v>
      </c>
    </row>
    <row r="101">
      <c r="A101" s="63" t="n">
        <v>36854</v>
      </c>
      <c r="B101" t="n">
        <v>833103</v>
      </c>
    </row>
    <row r="102">
      <c r="A102" s="63" t="n">
        <v>36861</v>
      </c>
      <c r="B102" t="n">
        <v>834584</v>
      </c>
    </row>
    <row r="103">
      <c r="A103" s="63" t="n">
        <v>36868</v>
      </c>
      <c r="B103" t="n">
        <v>855968</v>
      </c>
    </row>
    <row r="104">
      <c r="A104" s="63" t="n">
        <v>36875</v>
      </c>
      <c r="B104" t="n">
        <v>854381</v>
      </c>
    </row>
    <row r="105">
      <c r="A105" s="63" t="n">
        <v>36882</v>
      </c>
      <c r="B105" t="n">
        <v>848610</v>
      </c>
    </row>
    <row r="106">
      <c r="A106" s="63" t="n">
        <v>36889</v>
      </c>
      <c r="B106" t="n">
        <v>835065</v>
      </c>
    </row>
    <row r="107">
      <c r="A107" s="63" t="n">
        <v>36896</v>
      </c>
      <c r="B107" t="n">
        <v>843751</v>
      </c>
    </row>
    <row r="108">
      <c r="A108" s="63" t="n">
        <v>36903</v>
      </c>
      <c r="B108" t="n">
        <v>836782</v>
      </c>
    </row>
    <row r="109">
      <c r="A109" s="63" t="n">
        <v>36910</v>
      </c>
      <c r="B109" t="n">
        <v>840210</v>
      </c>
    </row>
    <row r="110">
      <c r="A110" s="63" t="n">
        <v>36917</v>
      </c>
      <c r="B110" t="n">
        <v>853462</v>
      </c>
    </row>
    <row r="111">
      <c r="A111" s="63" t="n">
        <v>36924</v>
      </c>
      <c r="B111" t="n">
        <v>835215</v>
      </c>
    </row>
    <row r="112">
      <c r="A112" s="63" t="n">
        <v>36931</v>
      </c>
      <c r="B112" t="n">
        <v>829737</v>
      </c>
    </row>
    <row r="113">
      <c r="A113" s="63" t="n">
        <v>36938</v>
      </c>
      <c r="B113" t="n">
        <v>811621</v>
      </c>
    </row>
    <row r="114">
      <c r="A114" s="63" t="n">
        <v>36945</v>
      </c>
      <c r="B114" t="n">
        <v>871589</v>
      </c>
    </row>
    <row r="115">
      <c r="A115" s="63" t="n">
        <v>36952</v>
      </c>
      <c r="B115" t="n">
        <v>831539</v>
      </c>
    </row>
    <row r="116">
      <c r="A116" s="63" t="n">
        <v>36959</v>
      </c>
      <c r="B116" t="n">
        <v>818190</v>
      </c>
    </row>
    <row r="117">
      <c r="A117" s="63" t="n">
        <v>36966</v>
      </c>
      <c r="B117" t="n">
        <v>840112</v>
      </c>
    </row>
    <row r="118">
      <c r="A118" s="63" t="n">
        <v>36973</v>
      </c>
      <c r="B118" t="n">
        <v>832777</v>
      </c>
    </row>
    <row r="119">
      <c r="A119" s="63" t="n">
        <v>36980</v>
      </c>
      <c r="B119" t="n">
        <v>847959</v>
      </c>
    </row>
    <row r="120">
      <c r="A120" s="63" t="n">
        <v>36987</v>
      </c>
      <c r="B120" t="n">
        <v>829109</v>
      </c>
    </row>
    <row r="121">
      <c r="A121" s="63" t="n">
        <v>36994</v>
      </c>
      <c r="B121" t="n">
        <v>814720</v>
      </c>
    </row>
    <row r="122">
      <c r="A122" s="63" t="n">
        <v>37001</v>
      </c>
      <c r="B122" t="n">
        <v>858769</v>
      </c>
    </row>
    <row r="123">
      <c r="A123" s="63" t="n">
        <v>37008</v>
      </c>
      <c r="B123" t="n">
        <v>839272</v>
      </c>
    </row>
    <row r="124">
      <c r="A124" s="63" t="n">
        <v>37015</v>
      </c>
      <c r="B124" t="n">
        <v>819675</v>
      </c>
    </row>
    <row r="125">
      <c r="A125" s="63" t="n">
        <v>37022</v>
      </c>
      <c r="B125" t="n">
        <v>820898</v>
      </c>
    </row>
    <row r="126">
      <c r="A126" s="63" t="n">
        <v>37029</v>
      </c>
      <c r="B126" t="n">
        <v>814941</v>
      </c>
    </row>
    <row r="127">
      <c r="A127" s="63" t="n">
        <v>37036</v>
      </c>
      <c r="B127" t="n">
        <v>825427</v>
      </c>
    </row>
    <row r="128">
      <c r="A128" s="63" t="n">
        <v>37043</v>
      </c>
      <c r="B128" t="n">
        <v>830431</v>
      </c>
    </row>
    <row r="129">
      <c r="A129" s="63" t="n">
        <v>37050</v>
      </c>
      <c r="B129" t="n">
        <v>827440</v>
      </c>
    </row>
    <row r="130">
      <c r="A130" s="63" t="n">
        <v>37057</v>
      </c>
      <c r="B130" t="n">
        <v>819049</v>
      </c>
    </row>
    <row r="131">
      <c r="A131" s="63" t="n">
        <v>37064</v>
      </c>
      <c r="B131" t="n">
        <v>824444</v>
      </c>
    </row>
    <row r="132">
      <c r="A132" s="63" t="n">
        <v>37071</v>
      </c>
      <c r="B132" t="n">
        <v>862767</v>
      </c>
    </row>
    <row r="133">
      <c r="A133" s="63" t="n">
        <v>37078</v>
      </c>
      <c r="B133" t="n">
        <v>852890</v>
      </c>
    </row>
    <row r="134">
      <c r="A134" s="63" t="n">
        <v>37085</v>
      </c>
      <c r="B134" t="n">
        <v>842370</v>
      </c>
    </row>
    <row r="135">
      <c r="A135" s="63" t="n">
        <v>37092</v>
      </c>
      <c r="B135" t="n">
        <v>841946</v>
      </c>
    </row>
    <row r="136">
      <c r="A136" s="63" t="n">
        <v>37099</v>
      </c>
      <c r="B136" t="n">
        <v>862061</v>
      </c>
    </row>
    <row r="137">
      <c r="A137" s="63" t="n">
        <v>37106</v>
      </c>
      <c r="B137" t="n">
        <v>852105</v>
      </c>
    </row>
    <row r="138">
      <c r="A138" s="63" t="n">
        <v>37113</v>
      </c>
      <c r="B138" t="n">
        <v>840988</v>
      </c>
    </row>
    <row r="139">
      <c r="A139" s="63" t="n">
        <v>37120</v>
      </c>
      <c r="B139" t="n">
        <v>840603</v>
      </c>
    </row>
    <row r="140">
      <c r="A140" s="63" t="n">
        <v>37127</v>
      </c>
      <c r="B140" t="n">
        <v>832360</v>
      </c>
    </row>
    <row r="141">
      <c r="A141" s="63" t="n">
        <v>37134</v>
      </c>
      <c r="B141" t="n">
        <v>833389</v>
      </c>
    </row>
    <row r="142">
      <c r="A142" s="63" t="n">
        <v>37141</v>
      </c>
      <c r="B142" t="n">
        <v>828051</v>
      </c>
    </row>
    <row r="143">
      <c r="A143" s="63" t="n">
        <v>37148</v>
      </c>
      <c r="B143" t="n">
        <v>820690</v>
      </c>
    </row>
    <row r="144">
      <c r="A144" s="63" t="n">
        <v>37155</v>
      </c>
      <c r="B144" t="n">
        <v>806105</v>
      </c>
    </row>
    <row r="145">
      <c r="A145" s="63" t="n">
        <v>37162</v>
      </c>
      <c r="B145" t="n">
        <v>817364</v>
      </c>
    </row>
    <row r="146">
      <c r="A146" s="63" t="n">
        <v>37169</v>
      </c>
      <c r="B146" t="n">
        <v>798851</v>
      </c>
    </row>
    <row r="147">
      <c r="A147" s="63" t="n">
        <v>37176</v>
      </c>
      <c r="B147" t="n">
        <v>782084</v>
      </c>
    </row>
    <row r="148">
      <c r="A148" s="63" t="n">
        <v>37183</v>
      </c>
      <c r="B148" t="n">
        <v>810439</v>
      </c>
    </row>
    <row r="149">
      <c r="A149" s="63" t="n">
        <v>37190</v>
      </c>
      <c r="B149" t="n">
        <v>809996</v>
      </c>
    </row>
    <row r="150">
      <c r="A150" s="63" t="n">
        <v>37197</v>
      </c>
      <c r="B150" t="n">
        <v>795654</v>
      </c>
    </row>
    <row r="151">
      <c r="A151" s="63" t="n">
        <v>37204</v>
      </c>
      <c r="B151" t="n">
        <v>771984</v>
      </c>
    </row>
    <row r="152">
      <c r="A152" s="63" t="n">
        <v>37211</v>
      </c>
      <c r="B152" t="n">
        <v>821504</v>
      </c>
    </row>
    <row r="153">
      <c r="A153" s="63" t="n">
        <v>37218</v>
      </c>
      <c r="B153" t="n">
        <v>802491</v>
      </c>
    </row>
    <row r="154">
      <c r="A154" s="63" t="n">
        <v>37225</v>
      </c>
      <c r="B154" t="n">
        <v>810690</v>
      </c>
    </row>
    <row r="155">
      <c r="A155" s="63" t="n">
        <v>37232</v>
      </c>
      <c r="B155" t="n">
        <v>809860</v>
      </c>
    </row>
    <row r="156">
      <c r="A156" s="63" t="n">
        <v>37239</v>
      </c>
      <c r="B156" t="n">
        <v>805551</v>
      </c>
    </row>
    <row r="157">
      <c r="A157" s="63" t="n">
        <v>37246</v>
      </c>
      <c r="B157" t="n">
        <v>795432</v>
      </c>
    </row>
    <row r="158">
      <c r="A158" s="63" t="n">
        <v>37253</v>
      </c>
      <c r="B158" t="n">
        <v>814662</v>
      </c>
    </row>
    <row r="159">
      <c r="A159" s="63" t="n">
        <v>37260</v>
      </c>
      <c r="B159" t="n">
        <v>899232</v>
      </c>
    </row>
    <row r="160">
      <c r="A160" s="63" t="n">
        <v>37267</v>
      </c>
      <c r="B160" t="n">
        <v>872101</v>
      </c>
    </row>
    <row r="161">
      <c r="A161" s="63" t="n">
        <v>37274</v>
      </c>
      <c r="B161" t="n">
        <v>864853</v>
      </c>
    </row>
    <row r="162">
      <c r="A162" s="63" t="n">
        <v>37281</v>
      </c>
      <c r="B162" t="n">
        <v>839687</v>
      </c>
    </row>
    <row r="163">
      <c r="A163" s="63" t="n">
        <v>37288</v>
      </c>
      <c r="B163" t="n">
        <v>810126</v>
      </c>
    </row>
    <row r="164">
      <c r="A164" s="63" t="n">
        <v>37295</v>
      </c>
      <c r="B164" t="n">
        <v>796924</v>
      </c>
    </row>
    <row r="165">
      <c r="A165" s="63" t="n">
        <v>37302</v>
      </c>
      <c r="B165" t="n">
        <v>796794</v>
      </c>
    </row>
    <row r="166">
      <c r="A166" s="63" t="n">
        <v>37309</v>
      </c>
      <c r="B166" t="n">
        <v>777402</v>
      </c>
    </row>
    <row r="167">
      <c r="A167" s="63" t="n">
        <v>37316</v>
      </c>
      <c r="B167" t="n">
        <v>790171</v>
      </c>
    </row>
    <row r="168">
      <c r="A168" s="63" t="n">
        <v>37323</v>
      </c>
      <c r="B168" t="n">
        <v>786325</v>
      </c>
    </row>
    <row r="169">
      <c r="A169" s="63" t="n">
        <v>37330</v>
      </c>
      <c r="B169" t="n">
        <v>778974</v>
      </c>
    </row>
    <row r="170">
      <c r="A170" s="63" t="n">
        <v>37337</v>
      </c>
      <c r="B170" t="n">
        <v>781840</v>
      </c>
    </row>
    <row r="171">
      <c r="A171" s="63" t="n">
        <v>37344</v>
      </c>
      <c r="B171" t="n">
        <v>814901</v>
      </c>
    </row>
    <row r="172">
      <c r="A172" s="63" t="n">
        <v>37351</v>
      </c>
      <c r="B172" t="n">
        <v>800142</v>
      </c>
    </row>
    <row r="173">
      <c r="A173" s="63" t="n">
        <v>37358</v>
      </c>
      <c r="B173" t="n">
        <v>782916</v>
      </c>
    </row>
    <row r="174">
      <c r="A174" s="63" t="n">
        <v>37365</v>
      </c>
      <c r="B174" t="n">
        <v>778804</v>
      </c>
    </row>
    <row r="175">
      <c r="A175" s="63" t="n">
        <v>37372</v>
      </c>
      <c r="B175" t="n">
        <v>788835</v>
      </c>
    </row>
    <row r="176">
      <c r="A176" s="63" t="n">
        <v>37379</v>
      </c>
      <c r="B176" t="n">
        <v>783833</v>
      </c>
    </row>
    <row r="177">
      <c r="A177" s="63" t="n">
        <v>37386</v>
      </c>
      <c r="B177" t="n">
        <v>791617</v>
      </c>
    </row>
    <row r="178">
      <c r="A178" s="63" t="n">
        <v>37393</v>
      </c>
      <c r="B178" t="n">
        <v>785510</v>
      </c>
    </row>
    <row r="179">
      <c r="A179" s="63" t="n">
        <v>37400</v>
      </c>
      <c r="B179" t="n">
        <v>788812</v>
      </c>
    </row>
    <row r="180">
      <c r="A180" s="63" t="n">
        <v>37407</v>
      </c>
      <c r="B180" t="n">
        <v>793333</v>
      </c>
    </row>
    <row r="181">
      <c r="A181" s="63" t="n">
        <v>37414</v>
      </c>
      <c r="B181" t="n">
        <v>788433</v>
      </c>
    </row>
    <row r="182">
      <c r="A182" s="63" t="n">
        <v>37421</v>
      </c>
      <c r="B182" t="n">
        <v>783564</v>
      </c>
    </row>
    <row r="183">
      <c r="A183" s="63" t="n">
        <v>37428</v>
      </c>
      <c r="B183" t="n">
        <v>793674</v>
      </c>
    </row>
    <row r="184">
      <c r="A184" s="63" t="n">
        <v>37435</v>
      </c>
      <c r="B184" t="n">
        <v>780845</v>
      </c>
    </row>
    <row r="185">
      <c r="A185" s="63" t="n">
        <v>37442</v>
      </c>
      <c r="B185" t="n">
        <v>764716</v>
      </c>
    </row>
    <row r="186">
      <c r="A186" s="63" t="n">
        <v>37449</v>
      </c>
      <c r="B186" t="n">
        <v>765635</v>
      </c>
    </row>
    <row r="187">
      <c r="A187" s="63" t="n">
        <v>37456</v>
      </c>
      <c r="B187" t="n">
        <v>775995</v>
      </c>
    </row>
    <row r="188">
      <c r="A188" s="63" t="n">
        <v>37463</v>
      </c>
      <c r="B188" t="n">
        <v>783540</v>
      </c>
    </row>
    <row r="189">
      <c r="A189" s="63" t="n">
        <v>37470</v>
      </c>
      <c r="B189" t="n">
        <v>771591</v>
      </c>
    </row>
    <row r="190">
      <c r="A190" s="63" t="n">
        <v>37477</v>
      </c>
      <c r="B190" t="n">
        <v>768630</v>
      </c>
    </row>
    <row r="191">
      <c r="A191" s="63" t="n">
        <v>37484</v>
      </c>
      <c r="B191" t="n">
        <v>763509</v>
      </c>
    </row>
    <row r="192">
      <c r="A192" s="63" t="n">
        <v>37491</v>
      </c>
      <c r="B192" t="n">
        <v>764092</v>
      </c>
    </row>
    <row r="193">
      <c r="A193" s="63" t="n">
        <v>37498</v>
      </c>
      <c r="B193" t="n">
        <v>770838</v>
      </c>
    </row>
    <row r="194">
      <c r="A194" s="63" t="n">
        <v>37505</v>
      </c>
      <c r="B194" t="n">
        <v>765573</v>
      </c>
    </row>
    <row r="195">
      <c r="A195" s="63" t="n">
        <v>37512</v>
      </c>
      <c r="B195" t="n">
        <v>762139</v>
      </c>
    </row>
    <row r="196">
      <c r="A196" s="63" t="n">
        <v>37519</v>
      </c>
      <c r="B196" t="n">
        <v>772638</v>
      </c>
    </row>
    <row r="197">
      <c r="A197" s="63" t="n">
        <v>37526</v>
      </c>
      <c r="B197" t="n">
        <v>772822</v>
      </c>
    </row>
    <row r="198">
      <c r="A198" s="63" t="n">
        <v>37533</v>
      </c>
      <c r="B198" t="n">
        <v>778337</v>
      </c>
    </row>
    <row r="199">
      <c r="A199" s="63" t="n">
        <v>37540</v>
      </c>
      <c r="B199" t="n">
        <v>778706</v>
      </c>
    </row>
    <row r="200">
      <c r="A200" s="63" t="n">
        <v>37547</v>
      </c>
      <c r="B200" t="n">
        <v>774314</v>
      </c>
    </row>
    <row r="201">
      <c r="A201" s="63" t="n">
        <v>37554</v>
      </c>
      <c r="B201" t="n">
        <v>798028</v>
      </c>
    </row>
    <row r="202">
      <c r="A202" s="63" t="n">
        <v>37561</v>
      </c>
      <c r="B202" t="n">
        <v>779659</v>
      </c>
    </row>
    <row r="203">
      <c r="A203" s="63" t="n">
        <v>37568</v>
      </c>
      <c r="B203" t="n">
        <v>777495</v>
      </c>
    </row>
    <row r="204">
      <c r="A204" s="63" t="n">
        <v>37575</v>
      </c>
      <c r="B204" t="n">
        <v>773332</v>
      </c>
    </row>
    <row r="205">
      <c r="A205" s="63" t="n">
        <v>37582</v>
      </c>
      <c r="B205" t="n">
        <v>788667</v>
      </c>
    </row>
    <row r="206">
      <c r="A206" s="63" t="n">
        <v>37589</v>
      </c>
      <c r="B206" t="n">
        <v>796464</v>
      </c>
    </row>
    <row r="207">
      <c r="A207" s="63" t="n">
        <v>37596</v>
      </c>
      <c r="B207" t="n">
        <v>812706</v>
      </c>
    </row>
    <row r="208">
      <c r="A208" s="63" t="n">
        <v>37603</v>
      </c>
      <c r="B208" t="n">
        <v>818720</v>
      </c>
    </row>
    <row r="209">
      <c r="A209" s="63" t="n">
        <v>37610</v>
      </c>
      <c r="B209" t="n">
        <v>820448</v>
      </c>
    </row>
    <row r="210">
      <c r="A210" s="63" t="n">
        <v>37617</v>
      </c>
      <c r="B210" t="n">
        <v>832558</v>
      </c>
    </row>
    <row r="211">
      <c r="A211" s="63" t="n">
        <v>37624</v>
      </c>
      <c r="B211" t="n">
        <v>794992</v>
      </c>
    </row>
    <row r="212">
      <c r="A212" s="63" t="n">
        <v>37631</v>
      </c>
      <c r="B212" t="n">
        <v>786619</v>
      </c>
    </row>
    <row r="213">
      <c r="A213" s="63" t="n">
        <v>37638</v>
      </c>
      <c r="B213" t="n">
        <v>773267</v>
      </c>
    </row>
    <row r="214">
      <c r="A214" s="63" t="n">
        <v>37645</v>
      </c>
      <c r="B214" t="n">
        <v>778863</v>
      </c>
    </row>
    <row r="215">
      <c r="A215" s="63" t="n">
        <v>37652</v>
      </c>
      <c r="B215" t="n">
        <v>786730</v>
      </c>
    </row>
    <row r="216">
      <c r="A216" s="63" t="n">
        <v>37659</v>
      </c>
      <c r="B216" t="n">
        <v>782044</v>
      </c>
    </row>
    <row r="217">
      <c r="A217" s="63" t="n">
        <v>37666</v>
      </c>
      <c r="B217" t="n">
        <v>775370</v>
      </c>
    </row>
    <row r="218">
      <c r="A218" s="63" t="n">
        <v>37673</v>
      </c>
      <c r="B218" t="n">
        <v>784809</v>
      </c>
    </row>
    <row r="219">
      <c r="A219" s="63" t="n">
        <v>37680</v>
      </c>
      <c r="B219" t="n">
        <v>790649</v>
      </c>
    </row>
    <row r="220">
      <c r="A220" s="63" t="n">
        <v>37687</v>
      </c>
      <c r="B220" t="n">
        <v>749960</v>
      </c>
    </row>
    <row r="221">
      <c r="A221" s="63" t="n">
        <v>37694</v>
      </c>
      <c r="B221" t="n">
        <v>838923</v>
      </c>
    </row>
    <row r="222">
      <c r="A222" s="63" t="n">
        <v>37701</v>
      </c>
      <c r="B222" t="n">
        <v>802273</v>
      </c>
    </row>
    <row r="223">
      <c r="A223" s="63" t="n">
        <v>37708</v>
      </c>
      <c r="B223" t="n">
        <v>798674</v>
      </c>
    </row>
    <row r="224">
      <c r="A224" s="63" t="n">
        <v>37715</v>
      </c>
      <c r="B224" t="n">
        <v>774429</v>
      </c>
    </row>
    <row r="225">
      <c r="A225" s="63" t="n">
        <v>37722</v>
      </c>
      <c r="B225" t="n">
        <v>770550</v>
      </c>
    </row>
    <row r="226">
      <c r="A226" s="63" t="n">
        <v>37729</v>
      </c>
      <c r="B226" t="n">
        <v>776461</v>
      </c>
    </row>
    <row r="227">
      <c r="A227" s="63" t="n">
        <v>37736</v>
      </c>
      <c r="B227" t="n">
        <v>800643</v>
      </c>
    </row>
    <row r="228">
      <c r="A228" s="63" t="n">
        <v>37743</v>
      </c>
      <c r="B228" t="n">
        <v>760351</v>
      </c>
    </row>
    <row r="229">
      <c r="A229" s="63" t="n">
        <v>37750</v>
      </c>
      <c r="B229" t="n">
        <v>765135</v>
      </c>
    </row>
    <row r="230">
      <c r="A230" s="63" t="n">
        <v>37757</v>
      </c>
      <c r="B230" t="n">
        <v>771868</v>
      </c>
    </row>
    <row r="231">
      <c r="A231" s="63" t="n">
        <v>37764</v>
      </c>
      <c r="B231" t="n">
        <v>793894</v>
      </c>
    </row>
    <row r="232">
      <c r="A232" s="63" t="n">
        <v>37771</v>
      </c>
      <c r="B232" t="n">
        <v>801435</v>
      </c>
    </row>
    <row r="233">
      <c r="A233" s="63" t="n">
        <v>37778</v>
      </c>
      <c r="B233" t="n">
        <v>777056</v>
      </c>
    </row>
    <row r="234">
      <c r="A234" s="63" t="n">
        <v>37785</v>
      </c>
      <c r="B234" t="n">
        <v>801670</v>
      </c>
    </row>
    <row r="235">
      <c r="A235" s="63" t="n">
        <v>37792</v>
      </c>
      <c r="B235" t="n">
        <v>791707</v>
      </c>
    </row>
    <row r="236">
      <c r="A236" s="63" t="n">
        <v>37799</v>
      </c>
      <c r="B236" t="n">
        <v>813568</v>
      </c>
    </row>
    <row r="237">
      <c r="A237" s="63" t="n">
        <v>37806</v>
      </c>
      <c r="B237" t="n">
        <v>802107</v>
      </c>
    </row>
    <row r="238">
      <c r="A238" s="63" t="n">
        <v>37813</v>
      </c>
      <c r="B238" t="n">
        <v>797996</v>
      </c>
    </row>
    <row r="239">
      <c r="A239" s="63" t="n">
        <v>37820</v>
      </c>
      <c r="B239" t="n">
        <v>795274</v>
      </c>
    </row>
    <row r="240">
      <c r="A240" s="63" t="n">
        <v>37827</v>
      </c>
      <c r="B240" t="n">
        <v>828475</v>
      </c>
    </row>
    <row r="241">
      <c r="A241" s="63" t="n">
        <v>37834</v>
      </c>
      <c r="B241" t="n">
        <v>802942</v>
      </c>
    </row>
    <row r="242">
      <c r="A242" s="63" t="n">
        <v>37841</v>
      </c>
      <c r="B242" t="n">
        <v>812583</v>
      </c>
    </row>
    <row r="243">
      <c r="A243" s="63" t="n">
        <v>37848</v>
      </c>
      <c r="B243" t="n">
        <v>798392</v>
      </c>
    </row>
    <row r="244">
      <c r="A244" s="63" t="n">
        <v>37855</v>
      </c>
      <c r="B244" t="n">
        <v>800214</v>
      </c>
    </row>
    <row r="245">
      <c r="A245" s="63" t="n">
        <v>37862</v>
      </c>
      <c r="B245" t="n">
        <v>814810</v>
      </c>
    </row>
    <row r="246">
      <c r="A246" s="63" t="n">
        <v>37869</v>
      </c>
      <c r="B246" t="n">
        <v>809501</v>
      </c>
    </row>
    <row r="247">
      <c r="A247" s="63" t="n">
        <v>37876</v>
      </c>
      <c r="B247" t="n">
        <v>804358</v>
      </c>
    </row>
    <row r="248">
      <c r="A248" s="63" t="n">
        <v>37883</v>
      </c>
      <c r="B248" t="n">
        <v>813574</v>
      </c>
    </row>
    <row r="249">
      <c r="A249" s="63" t="n">
        <v>37890</v>
      </c>
      <c r="B249" t="n">
        <v>829239</v>
      </c>
    </row>
    <row r="250">
      <c r="A250" s="63" t="n">
        <v>37897</v>
      </c>
      <c r="B250" t="n">
        <v>813612</v>
      </c>
    </row>
    <row r="251">
      <c r="A251" s="63" t="n">
        <v>37904</v>
      </c>
      <c r="B251" t="n">
        <v>815927</v>
      </c>
    </row>
    <row r="252">
      <c r="A252" s="63" t="n">
        <v>37911</v>
      </c>
      <c r="B252" t="n">
        <v>803678</v>
      </c>
    </row>
    <row r="253">
      <c r="A253" s="63" t="n">
        <v>37918</v>
      </c>
      <c r="B253" t="n">
        <v>812517</v>
      </c>
    </row>
    <row r="254">
      <c r="A254" s="63" t="n">
        <v>37925</v>
      </c>
      <c r="B254" t="n">
        <v>818606</v>
      </c>
    </row>
    <row r="255">
      <c r="A255" s="63" t="n">
        <v>37932</v>
      </c>
      <c r="B255" t="n">
        <v>813549</v>
      </c>
    </row>
    <row r="256">
      <c r="A256" s="63" t="n">
        <v>37939</v>
      </c>
      <c r="B256" t="n">
        <v>811863</v>
      </c>
    </row>
    <row r="257">
      <c r="A257" s="63" t="n">
        <v>37946</v>
      </c>
      <c r="B257" t="n">
        <v>827063</v>
      </c>
    </row>
    <row r="258">
      <c r="A258" s="63" t="n">
        <v>37953</v>
      </c>
      <c r="B258" t="n">
        <v>833339</v>
      </c>
    </row>
    <row r="259">
      <c r="A259" s="63" t="n">
        <v>37960</v>
      </c>
      <c r="B259" t="n">
        <v>858338</v>
      </c>
    </row>
    <row r="260">
      <c r="A260" s="63" t="n">
        <v>37967</v>
      </c>
      <c r="B260" t="n">
        <v>847045</v>
      </c>
    </row>
    <row r="261">
      <c r="A261" s="63" t="n">
        <v>37974</v>
      </c>
      <c r="B261" t="n">
        <v>848705</v>
      </c>
    </row>
    <row r="262">
      <c r="A262" s="63" t="n">
        <v>37981</v>
      </c>
      <c r="B262" t="n">
        <v>835157</v>
      </c>
    </row>
    <row r="263">
      <c r="A263" s="63" t="n">
        <v>37988</v>
      </c>
      <c r="B263" t="n">
        <v>838321</v>
      </c>
    </row>
    <row r="264">
      <c r="A264" s="63" t="n">
        <v>37995</v>
      </c>
      <c r="B264" t="n">
        <v>811951</v>
      </c>
    </row>
    <row r="265">
      <c r="A265" s="63" t="n">
        <v>38002</v>
      </c>
      <c r="B265" t="n">
        <v>812604</v>
      </c>
    </row>
    <row r="266">
      <c r="A266" s="63" t="n">
        <v>38009</v>
      </c>
      <c r="B266" t="n">
        <v>823280</v>
      </c>
    </row>
    <row r="267">
      <c r="A267" s="63" t="n">
        <v>38016</v>
      </c>
      <c r="B267" t="n">
        <v>824392</v>
      </c>
    </row>
    <row r="268">
      <c r="A268" s="63" t="n">
        <v>38023</v>
      </c>
      <c r="B268" t="n">
        <v>817014</v>
      </c>
    </row>
    <row r="269">
      <c r="A269" s="63" t="n">
        <v>38030</v>
      </c>
      <c r="B269" t="n">
        <v>813160</v>
      </c>
    </row>
    <row r="270">
      <c r="A270" s="63" t="n">
        <v>38037</v>
      </c>
      <c r="B270" t="n">
        <v>816931</v>
      </c>
    </row>
    <row r="271">
      <c r="A271" s="63" t="n">
        <v>38044</v>
      </c>
      <c r="B271" t="n">
        <v>824024</v>
      </c>
    </row>
    <row r="272">
      <c r="A272" s="63" t="n">
        <v>38051</v>
      </c>
      <c r="B272" t="n">
        <v>826792</v>
      </c>
    </row>
    <row r="273">
      <c r="A273" s="63" t="n">
        <v>38058</v>
      </c>
      <c r="B273" t="n">
        <v>819689</v>
      </c>
    </row>
    <row r="274">
      <c r="A274" s="63" t="n">
        <v>38065</v>
      </c>
      <c r="B274" t="n">
        <v>822845</v>
      </c>
    </row>
    <row r="275">
      <c r="A275" s="63" t="n">
        <v>38072</v>
      </c>
      <c r="B275" t="n">
        <v>830349</v>
      </c>
    </row>
    <row r="276">
      <c r="A276" s="63" t="n">
        <v>38079</v>
      </c>
      <c r="B276" t="n">
        <v>847083</v>
      </c>
    </row>
    <row r="277">
      <c r="A277" s="63" t="n">
        <v>38086</v>
      </c>
      <c r="B277" t="n">
        <v>848113</v>
      </c>
    </row>
    <row r="278">
      <c r="A278" s="63" t="n">
        <v>38093</v>
      </c>
      <c r="B278" t="n">
        <v>835256</v>
      </c>
    </row>
    <row r="279">
      <c r="A279" s="63" t="n">
        <v>38100</v>
      </c>
      <c r="B279" t="n">
        <v>842718</v>
      </c>
    </row>
    <row r="280">
      <c r="A280" s="63" t="n">
        <v>38107</v>
      </c>
      <c r="B280" t="n">
        <v>853538</v>
      </c>
    </row>
    <row r="281">
      <c r="A281" s="63" t="n">
        <v>38114</v>
      </c>
      <c r="B281" t="n">
        <v>846214</v>
      </c>
    </row>
    <row r="282">
      <c r="A282" s="63" t="n">
        <v>38121</v>
      </c>
      <c r="B282" t="n">
        <v>842046</v>
      </c>
    </row>
    <row r="283">
      <c r="A283" s="63" t="n">
        <v>38128</v>
      </c>
      <c r="B283" t="n">
        <v>859992</v>
      </c>
    </row>
    <row r="284">
      <c r="A284" s="63" t="n">
        <v>38135</v>
      </c>
      <c r="B284" t="n">
        <v>867250</v>
      </c>
    </row>
    <row r="285">
      <c r="A285" s="63" t="n">
        <v>38142</v>
      </c>
      <c r="B285" t="n">
        <v>870114</v>
      </c>
    </row>
    <row r="286">
      <c r="A286" s="63" t="n">
        <v>38149</v>
      </c>
      <c r="B286" t="n">
        <v>869053</v>
      </c>
    </row>
    <row r="287">
      <c r="A287" s="63" t="n">
        <v>38156</v>
      </c>
      <c r="B287" t="n">
        <v>867795</v>
      </c>
    </row>
    <row r="288">
      <c r="A288" s="63" t="n">
        <v>38163</v>
      </c>
      <c r="B288" t="n">
        <v>895838</v>
      </c>
    </row>
    <row r="289">
      <c r="A289" s="63" t="n">
        <v>38170</v>
      </c>
      <c r="B289" t="n">
        <v>882359</v>
      </c>
    </row>
    <row r="290">
      <c r="A290" s="63" t="n">
        <v>38177</v>
      </c>
      <c r="B290" t="n">
        <v>881026</v>
      </c>
    </row>
    <row r="291">
      <c r="A291" s="63" t="n">
        <v>38184</v>
      </c>
      <c r="B291" t="n">
        <v>868840</v>
      </c>
    </row>
    <row r="292">
      <c r="A292" s="63" t="n">
        <v>38191</v>
      </c>
      <c r="B292" t="n">
        <v>887631</v>
      </c>
    </row>
    <row r="293">
      <c r="A293" s="63" t="n">
        <v>38198</v>
      </c>
      <c r="B293" t="n">
        <v>883749</v>
      </c>
    </row>
    <row r="294">
      <c r="A294" s="63" t="n">
        <v>38205</v>
      </c>
      <c r="B294" t="n">
        <v>880177</v>
      </c>
    </row>
    <row r="295">
      <c r="A295" s="63" t="n">
        <v>38212</v>
      </c>
      <c r="B295" t="n">
        <v>871636</v>
      </c>
    </row>
    <row r="296">
      <c r="A296" s="63" t="n">
        <v>38219</v>
      </c>
      <c r="B296" t="n">
        <v>871976</v>
      </c>
    </row>
    <row r="297">
      <c r="A297" s="63" t="n">
        <v>38226</v>
      </c>
      <c r="B297" t="n">
        <v>881876</v>
      </c>
    </row>
    <row r="298">
      <c r="A298" s="63" t="n">
        <v>38233</v>
      </c>
      <c r="B298" t="n">
        <v>876603</v>
      </c>
    </row>
    <row r="299">
      <c r="A299" s="63" t="n">
        <v>38240</v>
      </c>
      <c r="B299" t="n">
        <v>874610</v>
      </c>
    </row>
    <row r="300">
      <c r="A300" s="63" t="n">
        <v>38247</v>
      </c>
      <c r="B300" t="n">
        <v>875248</v>
      </c>
    </row>
    <row r="301">
      <c r="A301" s="63" t="n">
        <v>38254</v>
      </c>
      <c r="B301" t="n">
        <v>885811</v>
      </c>
    </row>
    <row r="302">
      <c r="A302" s="63" t="n">
        <v>38261</v>
      </c>
      <c r="B302" t="n">
        <v>882294</v>
      </c>
    </row>
    <row r="303">
      <c r="A303" s="63" t="n">
        <v>38268</v>
      </c>
      <c r="B303" t="n">
        <v>880574</v>
      </c>
    </row>
    <row r="304">
      <c r="A304" s="63" t="n">
        <v>38275</v>
      </c>
      <c r="B304" t="n">
        <v>868406</v>
      </c>
    </row>
    <row r="305">
      <c r="A305" s="63" t="n">
        <v>38282</v>
      </c>
      <c r="B305" t="n">
        <v>875418</v>
      </c>
    </row>
    <row r="306">
      <c r="A306" s="63" t="n">
        <v>38289</v>
      </c>
      <c r="B306" t="n">
        <v>893778</v>
      </c>
    </row>
    <row r="307">
      <c r="A307" s="63" t="n">
        <v>38296</v>
      </c>
      <c r="B307" t="n">
        <v>893246</v>
      </c>
    </row>
    <row r="308">
      <c r="A308" s="63" t="n">
        <v>38303</v>
      </c>
      <c r="B308" t="n">
        <v>887079</v>
      </c>
    </row>
    <row r="309">
      <c r="A309" s="63" t="n">
        <v>38310</v>
      </c>
      <c r="B309" t="n">
        <v>893837</v>
      </c>
    </row>
    <row r="310">
      <c r="A310" s="63" t="n">
        <v>38317</v>
      </c>
      <c r="B310" t="n">
        <v>899065</v>
      </c>
    </row>
    <row r="311">
      <c r="A311" s="63" t="n">
        <v>38324</v>
      </c>
      <c r="B311" t="n">
        <v>905475</v>
      </c>
    </row>
    <row r="312">
      <c r="A312" s="63" t="n">
        <v>38331</v>
      </c>
      <c r="B312" t="n">
        <v>914229</v>
      </c>
    </row>
    <row r="313">
      <c r="A313" s="63" t="n">
        <v>38338</v>
      </c>
      <c r="B313" t="n">
        <v>909199</v>
      </c>
    </row>
    <row r="314">
      <c r="A314" s="63" t="n">
        <v>38345</v>
      </c>
      <c r="B314" t="n">
        <v>915706</v>
      </c>
    </row>
    <row r="315">
      <c r="A315" s="63" t="n">
        <v>38352</v>
      </c>
      <c r="B315" t="n">
        <v>884233</v>
      </c>
    </row>
    <row r="316">
      <c r="A316" s="63" t="n">
        <v>38359</v>
      </c>
      <c r="B316" t="n">
        <v>873637</v>
      </c>
    </row>
    <row r="317">
      <c r="A317" s="63" t="n">
        <v>38366</v>
      </c>
      <c r="B317" t="n">
        <v>881046</v>
      </c>
    </row>
    <row r="318">
      <c r="A318" s="63" t="n">
        <v>38373</v>
      </c>
      <c r="B318" t="n">
        <v>896168</v>
      </c>
    </row>
    <row r="319">
      <c r="A319" s="63" t="n">
        <v>38380</v>
      </c>
      <c r="B319" t="n">
        <v>894782</v>
      </c>
    </row>
    <row r="320">
      <c r="A320" s="63" t="n">
        <v>38387</v>
      </c>
      <c r="B320" t="n">
        <v>899472</v>
      </c>
    </row>
    <row r="321">
      <c r="A321" s="63" t="n">
        <v>38394</v>
      </c>
      <c r="B321" t="n">
        <v>897105</v>
      </c>
    </row>
    <row r="322">
      <c r="A322" s="63" t="n">
        <v>38401</v>
      </c>
      <c r="B322" t="n">
        <v>900338</v>
      </c>
    </row>
    <row r="323">
      <c r="A323" s="63" t="n">
        <v>38408</v>
      </c>
      <c r="B323" t="n">
        <v>913849</v>
      </c>
    </row>
    <row r="324">
      <c r="A324" s="63" t="n">
        <v>38415</v>
      </c>
      <c r="B324" t="n">
        <v>906928</v>
      </c>
    </row>
    <row r="325">
      <c r="A325" s="63" t="n">
        <v>38422</v>
      </c>
      <c r="B325" t="n">
        <v>905375</v>
      </c>
    </row>
    <row r="326">
      <c r="A326" s="63" t="n">
        <v>38429</v>
      </c>
      <c r="B326" t="n">
        <v>912660</v>
      </c>
    </row>
    <row r="327">
      <c r="A327" s="63" t="n">
        <v>38436</v>
      </c>
      <c r="B327" t="n">
        <v>926434</v>
      </c>
    </row>
    <row r="328">
      <c r="A328" s="63" t="n">
        <v>38443</v>
      </c>
      <c r="B328" t="n">
        <v>927154</v>
      </c>
    </row>
    <row r="329">
      <c r="A329" s="63" t="n">
        <v>38450</v>
      </c>
      <c r="B329" t="n">
        <v>927243</v>
      </c>
    </row>
    <row r="330">
      <c r="A330" s="63" t="n">
        <v>38457</v>
      </c>
      <c r="B330" t="n">
        <v>922198</v>
      </c>
    </row>
    <row r="331">
      <c r="A331" s="63" t="n">
        <v>38464</v>
      </c>
      <c r="B331" t="n">
        <v>934543</v>
      </c>
    </row>
    <row r="332">
      <c r="A332" s="63" t="n">
        <v>38471</v>
      </c>
      <c r="B332" t="n">
        <v>934479</v>
      </c>
    </row>
    <row r="333">
      <c r="A333" s="63" t="n">
        <v>38478</v>
      </c>
      <c r="B333" t="n">
        <v>927113</v>
      </c>
    </row>
    <row r="334">
      <c r="A334" s="63" t="n">
        <v>38485</v>
      </c>
      <c r="B334" t="n">
        <v>922942</v>
      </c>
    </row>
    <row r="335">
      <c r="A335" s="63" t="n">
        <v>38492</v>
      </c>
      <c r="B335" t="n">
        <v>929804</v>
      </c>
    </row>
    <row r="336">
      <c r="A336" s="63" t="n">
        <v>38499</v>
      </c>
      <c r="B336" t="n">
        <v>927781</v>
      </c>
    </row>
    <row r="337">
      <c r="A337" s="63" t="n">
        <v>38506</v>
      </c>
      <c r="B337" t="n">
        <v>940150</v>
      </c>
    </row>
    <row r="338">
      <c r="A338" s="63" t="n">
        <v>38513</v>
      </c>
      <c r="B338" t="n">
        <v>937965</v>
      </c>
    </row>
    <row r="339">
      <c r="A339" s="63" t="n">
        <v>38520</v>
      </c>
      <c r="B339" t="n">
        <v>940839</v>
      </c>
    </row>
    <row r="340">
      <c r="A340" s="63" t="n">
        <v>38527</v>
      </c>
      <c r="B340" t="n">
        <v>967868</v>
      </c>
    </row>
    <row r="341">
      <c r="A341" s="63" t="n">
        <v>38534</v>
      </c>
      <c r="B341" t="n">
        <v>988441</v>
      </c>
    </row>
    <row r="342">
      <c r="A342" s="63" t="n">
        <v>38541</v>
      </c>
      <c r="B342" t="n">
        <v>988731</v>
      </c>
    </row>
    <row r="343">
      <c r="A343" s="63" t="n">
        <v>38548</v>
      </c>
      <c r="B343" t="n">
        <v>979453</v>
      </c>
    </row>
    <row r="344">
      <c r="A344" s="63" t="n">
        <v>38555</v>
      </c>
      <c r="B344" t="n">
        <v>989661</v>
      </c>
    </row>
    <row r="345">
      <c r="A345" s="63" t="n">
        <v>38562</v>
      </c>
      <c r="B345" t="n">
        <v>996796</v>
      </c>
    </row>
    <row r="346">
      <c r="A346" s="63" t="n">
        <v>38569</v>
      </c>
      <c r="B346" t="n">
        <v>994865</v>
      </c>
    </row>
    <row r="347">
      <c r="A347" s="63" t="n">
        <v>38576</v>
      </c>
      <c r="B347" t="n">
        <v>987757</v>
      </c>
    </row>
    <row r="348">
      <c r="A348" s="63" t="n">
        <v>38583</v>
      </c>
      <c r="B348" t="n">
        <v>984106</v>
      </c>
    </row>
    <row r="349">
      <c r="A349" s="63" t="n">
        <v>38590</v>
      </c>
      <c r="B349" t="n">
        <v>992270</v>
      </c>
    </row>
    <row r="350">
      <c r="A350" s="63" t="n">
        <v>38597</v>
      </c>
      <c r="B350" t="n">
        <v>977000</v>
      </c>
    </row>
    <row r="351">
      <c r="A351" s="63" t="n">
        <v>38604</v>
      </c>
      <c r="B351" t="n">
        <v>978982</v>
      </c>
    </row>
    <row r="352">
      <c r="A352" s="63" t="n">
        <v>38611</v>
      </c>
      <c r="B352" t="n">
        <v>964249</v>
      </c>
    </row>
    <row r="353">
      <c r="A353" s="63" t="n">
        <v>38618</v>
      </c>
      <c r="B353" t="n">
        <v>974180</v>
      </c>
    </row>
    <row r="354">
      <c r="A354" s="63" t="n">
        <v>38625</v>
      </c>
      <c r="B354" t="n">
        <v>996044</v>
      </c>
    </row>
    <row r="355">
      <c r="A355" s="63" t="n">
        <v>38632</v>
      </c>
      <c r="B355" t="n">
        <v>990996</v>
      </c>
    </row>
    <row r="356">
      <c r="A356" s="63" t="n">
        <v>38639</v>
      </c>
      <c r="B356" t="n">
        <v>983351</v>
      </c>
    </row>
    <row r="357">
      <c r="A357" s="63" t="n">
        <v>38646</v>
      </c>
      <c r="B357" t="n">
        <v>998552</v>
      </c>
    </row>
    <row r="358">
      <c r="A358" s="63" t="n">
        <v>38653</v>
      </c>
      <c r="B358" t="n">
        <v>1003504</v>
      </c>
    </row>
    <row r="359">
      <c r="A359" s="63" t="n">
        <v>38660</v>
      </c>
      <c r="B359" t="n">
        <v>998615</v>
      </c>
    </row>
    <row r="360">
      <c r="A360" s="63" t="n">
        <v>38667</v>
      </c>
      <c r="B360" t="n">
        <v>998301</v>
      </c>
    </row>
    <row r="361">
      <c r="A361" s="63" t="n">
        <v>38674</v>
      </c>
      <c r="B361" t="n">
        <v>999149</v>
      </c>
    </row>
    <row r="362">
      <c r="A362" s="63" t="n">
        <v>38681</v>
      </c>
      <c r="B362" t="n">
        <v>1017239</v>
      </c>
    </row>
    <row r="363">
      <c r="A363" s="63" t="n">
        <v>38688</v>
      </c>
      <c r="B363" t="n">
        <v>1013538</v>
      </c>
    </row>
    <row r="364">
      <c r="A364" s="63" t="n">
        <v>38695</v>
      </c>
      <c r="B364" t="n">
        <v>1041792</v>
      </c>
    </row>
    <row r="365">
      <c r="A365" s="63" t="n">
        <v>38702</v>
      </c>
      <c r="B365" t="n">
        <v>1016943</v>
      </c>
    </row>
    <row r="366">
      <c r="A366" s="63" t="n">
        <v>38709</v>
      </c>
      <c r="B366" t="n">
        <v>1019749</v>
      </c>
    </row>
    <row r="367">
      <c r="A367" s="63" t="n">
        <v>38716</v>
      </c>
      <c r="B367" t="n">
        <v>1038152</v>
      </c>
    </row>
    <row r="368">
      <c r="A368" s="63" t="n">
        <v>38723</v>
      </c>
      <c r="B368" t="n">
        <v>1038614</v>
      </c>
    </row>
    <row r="369">
      <c r="A369" s="63" t="n">
        <v>38730</v>
      </c>
      <c r="B369" t="n">
        <v>1033258</v>
      </c>
    </row>
    <row r="370">
      <c r="A370" s="63" t="n">
        <v>38737</v>
      </c>
      <c r="B370" t="n">
        <v>1051180</v>
      </c>
    </row>
    <row r="371">
      <c r="A371" s="63" t="n">
        <v>38744</v>
      </c>
      <c r="B371" t="n">
        <v>1055186</v>
      </c>
    </row>
    <row r="372">
      <c r="A372" s="63" t="n">
        <v>38751</v>
      </c>
      <c r="B372" t="n">
        <v>1030373</v>
      </c>
    </row>
    <row r="373">
      <c r="A373" s="63" t="n">
        <v>38758</v>
      </c>
      <c r="B373" t="n">
        <v>1035376</v>
      </c>
    </row>
    <row r="374">
      <c r="A374" s="63" t="n">
        <v>38765</v>
      </c>
      <c r="B374" t="n">
        <v>1039333</v>
      </c>
    </row>
    <row r="375">
      <c r="A375" s="63" t="n">
        <v>38772</v>
      </c>
      <c r="B375" t="n">
        <v>1062732</v>
      </c>
    </row>
    <row r="376">
      <c r="A376" s="63" t="n">
        <v>38779</v>
      </c>
      <c r="B376" t="n">
        <v>1055765</v>
      </c>
    </row>
    <row r="377">
      <c r="A377" s="63" t="n">
        <v>38786</v>
      </c>
      <c r="B377" t="n">
        <v>1052256</v>
      </c>
    </row>
    <row r="378">
      <c r="A378" s="63" t="n">
        <v>38793</v>
      </c>
      <c r="B378" t="n">
        <v>1043998</v>
      </c>
    </row>
    <row r="379">
      <c r="A379" s="63" t="n">
        <v>38800</v>
      </c>
      <c r="B379" t="n">
        <v>1056127</v>
      </c>
    </row>
    <row r="380">
      <c r="A380" s="63" t="n">
        <v>38807</v>
      </c>
      <c r="B380" t="n">
        <v>1067477</v>
      </c>
    </row>
    <row r="381">
      <c r="A381" s="63" t="n">
        <v>38814</v>
      </c>
      <c r="B381" t="n">
        <v>1067024</v>
      </c>
    </row>
    <row r="382">
      <c r="A382" s="63" t="n">
        <v>38821</v>
      </c>
      <c r="B382" t="n">
        <v>1075146</v>
      </c>
    </row>
    <row r="383">
      <c r="A383" s="63" t="n">
        <v>38828</v>
      </c>
      <c r="B383" t="n">
        <v>1084807</v>
      </c>
    </row>
    <row r="384">
      <c r="A384" s="63" t="n">
        <v>38835</v>
      </c>
      <c r="B384" t="n">
        <v>1080389</v>
      </c>
    </row>
    <row r="385">
      <c r="A385" s="63" t="n">
        <v>38842</v>
      </c>
      <c r="B385" t="n">
        <v>1079264</v>
      </c>
    </row>
    <row r="386">
      <c r="A386" s="63" t="n">
        <v>38849</v>
      </c>
      <c r="B386" t="n">
        <v>1075694</v>
      </c>
    </row>
    <row r="387">
      <c r="A387" s="63" t="n">
        <v>38856</v>
      </c>
      <c r="B387" t="n">
        <v>1076409</v>
      </c>
    </row>
    <row r="388">
      <c r="A388" s="63" t="n">
        <v>38863</v>
      </c>
      <c r="B388" t="n">
        <v>1084094</v>
      </c>
    </row>
    <row r="389">
      <c r="A389" s="63" t="n">
        <v>38870</v>
      </c>
      <c r="B389" t="n">
        <v>1084486</v>
      </c>
    </row>
    <row r="390">
      <c r="A390" s="63" t="n">
        <v>38877</v>
      </c>
      <c r="B390" t="n">
        <v>1080532</v>
      </c>
    </row>
    <row r="391">
      <c r="A391" s="63" t="n">
        <v>38884</v>
      </c>
      <c r="B391" t="n">
        <v>1087256</v>
      </c>
    </row>
    <row r="392">
      <c r="A392" s="63" t="n">
        <v>38891</v>
      </c>
      <c r="B392" t="n">
        <v>1112518</v>
      </c>
    </row>
    <row r="393">
      <c r="A393" s="63" t="n">
        <v>38898</v>
      </c>
      <c r="B393" t="n">
        <v>1112770</v>
      </c>
    </row>
    <row r="394">
      <c r="A394" s="63" t="n">
        <v>38905</v>
      </c>
      <c r="B394" t="n">
        <v>1111397</v>
      </c>
    </row>
    <row r="395">
      <c r="A395" s="63" t="n">
        <v>38912</v>
      </c>
      <c r="B395" t="n">
        <v>1107838</v>
      </c>
    </row>
    <row r="396">
      <c r="A396" s="63" t="n">
        <v>38919</v>
      </c>
      <c r="B396" t="n">
        <v>1125154</v>
      </c>
    </row>
    <row r="397">
      <c r="A397" s="63" t="n">
        <v>38926</v>
      </c>
      <c r="B397" t="n">
        <v>1128285</v>
      </c>
    </row>
    <row r="398">
      <c r="A398" s="63" t="n">
        <v>38933</v>
      </c>
      <c r="B398" t="n">
        <v>1114627</v>
      </c>
    </row>
    <row r="399">
      <c r="A399" s="63" t="n">
        <v>38940</v>
      </c>
      <c r="B399" t="n">
        <v>1112702</v>
      </c>
    </row>
    <row r="400">
      <c r="A400" s="63" t="n">
        <v>38947</v>
      </c>
      <c r="B400" t="n">
        <v>1103912</v>
      </c>
    </row>
    <row r="401">
      <c r="A401" s="63" t="n">
        <v>38954</v>
      </c>
      <c r="B401" t="n">
        <v>1113025</v>
      </c>
    </row>
    <row r="402">
      <c r="A402" s="63" t="n">
        <v>38961</v>
      </c>
      <c r="B402" t="n">
        <v>1107252</v>
      </c>
    </row>
    <row r="403">
      <c r="A403" s="63" t="n">
        <v>38968</v>
      </c>
      <c r="B403" t="n">
        <v>1105398</v>
      </c>
    </row>
    <row r="404">
      <c r="A404" s="63" t="n">
        <v>38975</v>
      </c>
      <c r="B404" t="n">
        <v>1102153</v>
      </c>
    </row>
    <row r="405">
      <c r="A405" s="63" t="n">
        <v>38982</v>
      </c>
      <c r="B405" t="n">
        <v>1112530</v>
      </c>
    </row>
    <row r="406">
      <c r="A406" s="63" t="n">
        <v>38989</v>
      </c>
      <c r="B406" t="n">
        <v>1118315</v>
      </c>
    </row>
    <row r="407">
      <c r="A407" s="63" t="n">
        <v>38996</v>
      </c>
      <c r="B407" t="n">
        <v>1114603</v>
      </c>
    </row>
    <row r="408">
      <c r="A408" s="63" t="n">
        <v>39003</v>
      </c>
      <c r="B408" t="n">
        <v>1110166</v>
      </c>
    </row>
    <row r="409">
      <c r="A409" s="63" t="n">
        <v>39010</v>
      </c>
      <c r="B409" t="n">
        <v>1121281</v>
      </c>
    </row>
    <row r="410">
      <c r="A410" s="63" t="n">
        <v>39017</v>
      </c>
      <c r="B410" t="n">
        <v>1118736</v>
      </c>
    </row>
    <row r="411">
      <c r="A411" s="63" t="n">
        <v>39024</v>
      </c>
      <c r="B411" t="n">
        <v>1113170</v>
      </c>
    </row>
    <row r="412">
      <c r="A412" s="63" t="n">
        <v>39031</v>
      </c>
      <c r="B412" t="n">
        <v>1112832</v>
      </c>
    </row>
    <row r="413">
      <c r="A413" s="63" t="n">
        <v>39038</v>
      </c>
      <c r="B413" t="n">
        <v>1113236</v>
      </c>
    </row>
    <row r="414">
      <c r="A414" s="63" t="n">
        <v>39045</v>
      </c>
      <c r="B414" t="n">
        <v>1133314</v>
      </c>
    </row>
    <row r="415">
      <c r="A415" s="63" t="n">
        <v>39052</v>
      </c>
      <c r="B415" t="n">
        <v>1126144</v>
      </c>
    </row>
    <row r="416">
      <c r="A416" s="63" t="n">
        <v>39059</v>
      </c>
      <c r="B416" t="n">
        <v>1146252</v>
      </c>
    </row>
    <row r="417">
      <c r="A417" s="63" t="n">
        <v>39066</v>
      </c>
      <c r="B417" t="n">
        <v>1138254</v>
      </c>
    </row>
    <row r="418">
      <c r="A418" s="63" t="n">
        <v>39073</v>
      </c>
      <c r="B418" t="n">
        <v>1142321</v>
      </c>
    </row>
    <row r="419">
      <c r="A419" s="63" t="n">
        <v>39080</v>
      </c>
      <c r="B419" t="n">
        <v>1150980</v>
      </c>
    </row>
    <row r="420">
      <c r="A420" s="63" t="n">
        <v>39087</v>
      </c>
      <c r="B420" t="n">
        <v>1154416</v>
      </c>
    </row>
    <row r="421">
      <c r="A421" s="63" t="n">
        <v>39094</v>
      </c>
      <c r="B421" t="n">
        <v>1138300</v>
      </c>
    </row>
    <row r="422">
      <c r="A422" s="63" t="n">
        <v>39101</v>
      </c>
      <c r="B422" t="n">
        <v>1141226</v>
      </c>
    </row>
    <row r="423">
      <c r="A423" s="63" t="n">
        <v>39108</v>
      </c>
      <c r="B423" t="n">
        <v>1148148</v>
      </c>
    </row>
    <row r="424">
      <c r="A424" s="63" t="n">
        <v>39115</v>
      </c>
      <c r="B424" t="n">
        <v>1136671</v>
      </c>
    </row>
    <row r="425">
      <c r="A425" s="63" t="n">
        <v>39122</v>
      </c>
      <c r="B425" t="n">
        <v>1127196</v>
      </c>
    </row>
    <row r="426">
      <c r="A426" s="63" t="n">
        <v>39129</v>
      </c>
      <c r="B426" t="n">
        <v>1135090</v>
      </c>
    </row>
    <row r="427">
      <c r="A427" s="63" t="n">
        <v>39136</v>
      </c>
      <c r="B427" t="n">
        <v>1150396</v>
      </c>
    </row>
    <row r="428">
      <c r="A428" s="63" t="n">
        <v>39143</v>
      </c>
      <c r="B428" t="n">
        <v>1148229</v>
      </c>
    </row>
    <row r="429">
      <c r="A429" s="63" t="n">
        <v>39150</v>
      </c>
      <c r="B429" t="n">
        <v>1139826</v>
      </c>
    </row>
    <row r="430">
      <c r="A430" s="63" t="n">
        <v>39157</v>
      </c>
      <c r="B430" t="n">
        <v>1129997</v>
      </c>
    </row>
    <row r="431">
      <c r="A431" s="63" t="n">
        <v>39164</v>
      </c>
      <c r="B431" t="n">
        <v>1142656</v>
      </c>
    </row>
    <row r="432">
      <c r="A432" s="63" t="n">
        <v>39171</v>
      </c>
      <c r="B432" t="n">
        <v>1162604</v>
      </c>
    </row>
    <row r="433">
      <c r="A433" s="63" t="n">
        <v>39178</v>
      </c>
      <c r="B433" t="n">
        <v>1171420</v>
      </c>
    </row>
    <row r="434">
      <c r="A434" s="63" t="n">
        <v>39185</v>
      </c>
      <c r="B434" t="n">
        <v>1161570</v>
      </c>
    </row>
    <row r="435">
      <c r="A435" s="63" t="n">
        <v>39192</v>
      </c>
      <c r="B435" t="n">
        <v>1164245</v>
      </c>
    </row>
    <row r="436">
      <c r="A436" s="63" t="n">
        <v>39199</v>
      </c>
      <c r="B436" t="n">
        <v>1176308</v>
      </c>
    </row>
    <row r="437">
      <c r="A437" s="63" t="n">
        <v>39206</v>
      </c>
      <c r="B437" t="n">
        <v>1165355</v>
      </c>
    </row>
    <row r="438">
      <c r="A438" s="63" t="n">
        <v>39213</v>
      </c>
      <c r="B438" t="n">
        <v>1164245</v>
      </c>
    </row>
    <row r="439">
      <c r="A439" s="63" t="n">
        <v>39220</v>
      </c>
      <c r="B439" t="n">
        <v>1168993</v>
      </c>
    </row>
    <row r="440">
      <c r="A440" s="63" t="n">
        <v>39227</v>
      </c>
      <c r="B440" t="n">
        <v>1187052</v>
      </c>
    </row>
    <row r="441">
      <c r="A441" s="63" t="n">
        <v>39234</v>
      </c>
      <c r="B441" t="n">
        <v>1178439</v>
      </c>
    </row>
    <row r="442">
      <c r="A442" s="63" t="n">
        <v>39241</v>
      </c>
      <c r="B442" t="n">
        <v>1176346</v>
      </c>
    </row>
    <row r="443">
      <c r="A443" s="63" t="n">
        <v>39248</v>
      </c>
      <c r="B443" t="n">
        <v>1180260</v>
      </c>
    </row>
    <row r="444">
      <c r="A444" s="63" t="n">
        <v>39255</v>
      </c>
      <c r="B444" t="n">
        <v>1186672</v>
      </c>
    </row>
    <row r="445">
      <c r="A445" s="63" t="n">
        <v>39262</v>
      </c>
      <c r="B445" t="n">
        <v>1208453</v>
      </c>
    </row>
    <row r="446">
      <c r="A446" s="63" t="n">
        <v>39269</v>
      </c>
      <c r="B446" t="n">
        <v>1191757</v>
      </c>
    </row>
    <row r="447">
      <c r="A447" s="63" t="n">
        <v>39276</v>
      </c>
      <c r="B447" t="n">
        <v>1185364</v>
      </c>
    </row>
    <row r="448">
      <c r="A448" s="63" t="n">
        <v>39283</v>
      </c>
      <c r="B448" t="n">
        <v>1196419</v>
      </c>
    </row>
    <row r="449">
      <c r="A449" s="63" t="n">
        <v>39290</v>
      </c>
      <c r="B449" t="n">
        <v>1212584</v>
      </c>
    </row>
    <row r="450">
      <c r="A450" s="63" t="n">
        <v>39297</v>
      </c>
      <c r="B450" t="n">
        <v>1195123</v>
      </c>
    </row>
    <row r="451">
      <c r="A451" s="63" t="n">
        <v>39304</v>
      </c>
      <c r="B451" t="n">
        <v>1253098</v>
      </c>
    </row>
    <row r="452">
      <c r="A452" s="63" t="n">
        <v>39311</v>
      </c>
      <c r="B452" t="n">
        <v>1207703</v>
      </c>
    </row>
    <row r="453">
      <c r="A453" s="63" t="n">
        <v>39318</v>
      </c>
      <c r="B453" t="n">
        <v>1216884</v>
      </c>
    </row>
    <row r="454">
      <c r="A454" s="63" t="n">
        <v>39325</v>
      </c>
      <c r="B454" t="n">
        <v>1157534</v>
      </c>
    </row>
    <row r="455">
      <c r="A455" s="63" t="n">
        <v>39332</v>
      </c>
      <c r="B455" t="n">
        <v>1207383</v>
      </c>
    </row>
    <row r="456">
      <c r="A456" s="63" t="n">
        <v>39339</v>
      </c>
      <c r="B456" t="n">
        <v>1299307</v>
      </c>
    </row>
    <row r="457">
      <c r="A457" s="63" t="n">
        <v>39346</v>
      </c>
      <c r="B457" t="n">
        <v>1189583</v>
      </c>
    </row>
    <row r="458">
      <c r="A458" s="63" t="n">
        <v>39353</v>
      </c>
      <c r="B458" t="n">
        <v>1250396</v>
      </c>
    </row>
    <row r="459">
      <c r="A459" s="63" t="n">
        <v>39360</v>
      </c>
      <c r="B459" t="n">
        <v>1228352</v>
      </c>
    </row>
    <row r="460">
      <c r="A460" s="63" t="n">
        <v>39367</v>
      </c>
      <c r="B460" t="n">
        <v>1289118</v>
      </c>
    </row>
    <row r="461">
      <c r="A461" s="63" t="n">
        <v>39374</v>
      </c>
      <c r="B461" t="n">
        <v>1249327</v>
      </c>
    </row>
    <row r="462">
      <c r="A462" s="63" t="n">
        <v>39381</v>
      </c>
      <c r="B462" t="n">
        <v>1263504</v>
      </c>
    </row>
    <row r="463">
      <c r="A463" s="63" t="n">
        <v>39388</v>
      </c>
      <c r="B463" t="n">
        <v>1256261</v>
      </c>
    </row>
    <row r="464">
      <c r="A464" s="63" t="n">
        <v>39395</v>
      </c>
      <c r="B464" t="n">
        <v>1248472</v>
      </c>
    </row>
    <row r="465">
      <c r="A465" s="63" t="n">
        <v>39402</v>
      </c>
      <c r="B465" t="n">
        <v>1271761</v>
      </c>
    </row>
    <row r="466">
      <c r="A466" s="63" t="n">
        <v>39409</v>
      </c>
      <c r="B466" t="n">
        <v>1285523</v>
      </c>
    </row>
    <row r="467">
      <c r="A467" s="63" t="n">
        <v>39416</v>
      </c>
      <c r="B467" t="n">
        <v>1297266</v>
      </c>
    </row>
    <row r="468">
      <c r="A468" s="63" t="n">
        <v>39423</v>
      </c>
      <c r="B468" t="n">
        <v>1293026</v>
      </c>
    </row>
    <row r="469">
      <c r="A469" s="63" t="n">
        <v>39430</v>
      </c>
      <c r="B469" t="n">
        <v>1338418</v>
      </c>
    </row>
    <row r="470">
      <c r="A470" s="63" t="n">
        <v>39437</v>
      </c>
      <c r="B470" t="n">
        <v>1472961</v>
      </c>
    </row>
    <row r="471">
      <c r="A471" s="63" t="n">
        <v>39444</v>
      </c>
      <c r="B471" t="n">
        <v>1511244</v>
      </c>
    </row>
    <row r="472">
      <c r="A472" s="63" t="n">
        <v>39451</v>
      </c>
      <c r="B472" t="n">
        <v>1285790</v>
      </c>
    </row>
    <row r="473">
      <c r="A473" s="63" t="n">
        <v>39458</v>
      </c>
      <c r="B473" t="n">
        <v>1311062</v>
      </c>
    </row>
    <row r="474">
      <c r="A474" s="63" t="n">
        <v>39465</v>
      </c>
      <c r="B474" t="n">
        <v>1350779</v>
      </c>
    </row>
    <row r="475">
      <c r="A475" s="63" t="n">
        <v>39472</v>
      </c>
      <c r="B475" t="n">
        <v>1337542</v>
      </c>
    </row>
    <row r="476">
      <c r="A476" s="63" t="n">
        <v>39479</v>
      </c>
      <c r="B476" t="n">
        <v>1330918</v>
      </c>
    </row>
    <row r="477">
      <c r="A477" s="63" t="n">
        <v>39486</v>
      </c>
      <c r="B477" t="n">
        <v>1328292</v>
      </c>
    </row>
    <row r="478">
      <c r="A478" s="63" t="n">
        <v>39493</v>
      </c>
      <c r="B478" t="n">
        <v>1348061</v>
      </c>
    </row>
    <row r="479">
      <c r="A479" s="63" t="n">
        <v>39500</v>
      </c>
      <c r="B479" t="n">
        <v>1338874</v>
      </c>
    </row>
    <row r="480">
      <c r="A480" s="63" t="n">
        <v>39507</v>
      </c>
      <c r="B480" t="n">
        <v>1336758</v>
      </c>
    </row>
    <row r="481">
      <c r="A481" s="63" t="n">
        <v>39514</v>
      </c>
      <c r="B481" t="n">
        <v>1332977</v>
      </c>
    </row>
    <row r="482">
      <c r="A482" s="63" t="n">
        <v>39521</v>
      </c>
      <c r="B482" t="n">
        <v>1367702</v>
      </c>
    </row>
    <row r="483">
      <c r="A483" s="63" t="n">
        <v>39528</v>
      </c>
      <c r="B483" t="n">
        <v>1378930</v>
      </c>
    </row>
    <row r="484">
      <c r="A484" s="63" t="n">
        <v>39535</v>
      </c>
      <c r="B484" t="n">
        <v>1390804</v>
      </c>
    </row>
    <row r="485">
      <c r="A485" s="63" t="n">
        <v>39542</v>
      </c>
      <c r="B485" t="n">
        <v>1365793</v>
      </c>
    </row>
    <row r="486">
      <c r="A486" s="63" t="n">
        <v>39549</v>
      </c>
      <c r="B486" t="n">
        <v>1357162</v>
      </c>
    </row>
    <row r="487">
      <c r="A487" s="63" t="n">
        <v>39556</v>
      </c>
      <c r="B487" t="n">
        <v>1433190</v>
      </c>
    </row>
    <row r="488">
      <c r="A488" s="63" t="n">
        <v>39563</v>
      </c>
      <c r="B488" t="n">
        <v>1405859</v>
      </c>
    </row>
    <row r="489">
      <c r="A489" s="63" t="n">
        <v>39570</v>
      </c>
      <c r="B489" t="n">
        <v>1399774</v>
      </c>
    </row>
    <row r="490">
      <c r="A490" s="63" t="n">
        <v>39577</v>
      </c>
      <c r="B490" t="n">
        <v>1392863</v>
      </c>
    </row>
    <row r="491">
      <c r="A491" s="63" t="n">
        <v>39584</v>
      </c>
      <c r="B491" t="n">
        <v>1440879</v>
      </c>
    </row>
    <row r="492">
      <c r="A492" s="63" t="n">
        <v>39591</v>
      </c>
      <c r="B492" t="n">
        <v>1423797</v>
      </c>
    </row>
    <row r="493">
      <c r="A493" s="63" t="n">
        <v>39598</v>
      </c>
      <c r="B493" t="n">
        <v>1423245</v>
      </c>
    </row>
    <row r="494">
      <c r="A494" s="63" t="n">
        <v>39605</v>
      </c>
      <c r="B494" t="n">
        <v>1407746</v>
      </c>
    </row>
    <row r="495">
      <c r="A495" s="63" t="n">
        <v>39612</v>
      </c>
      <c r="B495" t="n">
        <v>1442612</v>
      </c>
    </row>
    <row r="496">
      <c r="A496" s="63" t="n">
        <v>39619</v>
      </c>
      <c r="B496" t="n">
        <v>1441151</v>
      </c>
    </row>
    <row r="497">
      <c r="A497" s="63" t="n">
        <v>39626</v>
      </c>
      <c r="B497" t="n">
        <v>1462710</v>
      </c>
    </row>
    <row r="498">
      <c r="A498" s="63" t="n">
        <v>39633</v>
      </c>
      <c r="B498" t="n">
        <v>1404892</v>
      </c>
    </row>
    <row r="499">
      <c r="A499" s="63" t="n">
        <v>39640</v>
      </c>
      <c r="B499" t="n">
        <v>1452177</v>
      </c>
    </row>
    <row r="500">
      <c r="A500" s="63" t="n">
        <v>39647</v>
      </c>
      <c r="B500" t="n">
        <v>1427348</v>
      </c>
    </row>
    <row r="501">
      <c r="A501" s="63" t="n">
        <v>39654</v>
      </c>
      <c r="B501" t="n">
        <v>1450899</v>
      </c>
    </row>
    <row r="502">
      <c r="A502" s="63" t="n">
        <v>39661</v>
      </c>
      <c r="B502" t="n">
        <v>1444562</v>
      </c>
    </row>
    <row r="503">
      <c r="A503" s="63" t="n">
        <v>39668</v>
      </c>
      <c r="B503" t="n">
        <v>1441639</v>
      </c>
    </row>
    <row r="504">
      <c r="A504" s="63" t="n">
        <v>39675</v>
      </c>
      <c r="B504" t="n">
        <v>1460207</v>
      </c>
    </row>
    <row r="505">
      <c r="A505" s="63" t="n">
        <v>39682</v>
      </c>
      <c r="B505" t="n">
        <v>1434957</v>
      </c>
    </row>
    <row r="506">
      <c r="A506" s="63" t="n">
        <v>39689</v>
      </c>
      <c r="B506" t="n">
        <v>1449139</v>
      </c>
    </row>
    <row r="507">
      <c r="A507" s="63" t="n">
        <v>39696</v>
      </c>
      <c r="B507" t="n">
        <v>1441019</v>
      </c>
    </row>
    <row r="508">
      <c r="A508" s="63" t="n">
        <v>39703</v>
      </c>
      <c r="B508" t="n">
        <v>1457726</v>
      </c>
    </row>
    <row r="509">
      <c r="A509" s="63" t="n">
        <v>39710</v>
      </c>
      <c r="B509" t="n">
        <v>1460585</v>
      </c>
    </row>
    <row r="510">
      <c r="A510" s="63" t="n">
        <v>39717</v>
      </c>
      <c r="B510" t="n">
        <v>1518548</v>
      </c>
    </row>
    <row r="511">
      <c r="A511" s="63" t="n">
        <v>39724</v>
      </c>
      <c r="B511" t="n">
        <v>1758697</v>
      </c>
    </row>
    <row r="512">
      <c r="A512" s="63" t="n">
        <v>39731</v>
      </c>
      <c r="B512" t="n">
        <v>1881854</v>
      </c>
    </row>
    <row r="513">
      <c r="A513" s="63" t="n">
        <v>39738</v>
      </c>
      <c r="B513" t="n">
        <v>1973084</v>
      </c>
    </row>
    <row r="514">
      <c r="A514" s="63" t="n">
        <v>39745</v>
      </c>
      <c r="B514" t="n">
        <v>1958164</v>
      </c>
    </row>
    <row r="515">
      <c r="A515" s="63" t="n">
        <v>39752</v>
      </c>
      <c r="B515" t="n">
        <v>2031447</v>
      </c>
    </row>
    <row r="516">
      <c r="A516" s="63" t="n">
        <v>39759</v>
      </c>
      <c r="B516" t="n">
        <v>1940367</v>
      </c>
    </row>
    <row r="517">
      <c r="A517" s="63" t="n">
        <v>39766</v>
      </c>
      <c r="B517" t="n">
        <v>1998720</v>
      </c>
    </row>
    <row r="518">
      <c r="A518" s="63" t="n">
        <v>39773</v>
      </c>
      <c r="B518" t="n">
        <v>1973981</v>
      </c>
    </row>
    <row r="519">
      <c r="A519" s="63" t="n">
        <v>39780</v>
      </c>
      <c r="B519" t="n">
        <v>1979051</v>
      </c>
    </row>
    <row r="520">
      <c r="A520" s="63" t="n">
        <v>39787</v>
      </c>
      <c r="B520" t="n">
        <v>2036524</v>
      </c>
    </row>
    <row r="521">
      <c r="A521" s="63" t="n">
        <v>39794</v>
      </c>
      <c r="B521" t="n">
        <v>2053837</v>
      </c>
    </row>
    <row r="522">
      <c r="A522" s="63" t="n">
        <v>39801</v>
      </c>
      <c r="B522" t="n">
        <v>2021484</v>
      </c>
    </row>
    <row r="523">
      <c r="A523" s="63" t="n">
        <v>39808</v>
      </c>
      <c r="B523" t="n">
        <v>2043465</v>
      </c>
    </row>
    <row r="524">
      <c r="A524" s="63" t="n">
        <v>39815</v>
      </c>
      <c r="B524" t="n">
        <v>2088878</v>
      </c>
    </row>
    <row r="525">
      <c r="A525" s="63" t="n">
        <v>39822</v>
      </c>
      <c r="B525" t="n">
        <v>2045566</v>
      </c>
    </row>
    <row r="526">
      <c r="A526" s="63" t="n">
        <v>39829</v>
      </c>
      <c r="B526" t="n">
        <v>2010655</v>
      </c>
    </row>
    <row r="527">
      <c r="A527" s="63" t="n">
        <v>39836</v>
      </c>
      <c r="B527" t="n">
        <v>2039799</v>
      </c>
    </row>
    <row r="528">
      <c r="A528" s="63" t="n">
        <v>39843</v>
      </c>
      <c r="B528" t="n">
        <v>1906979</v>
      </c>
    </row>
    <row r="529">
      <c r="A529" s="63" t="n">
        <v>39850</v>
      </c>
      <c r="B529" t="n">
        <v>1893796</v>
      </c>
    </row>
    <row r="530">
      <c r="A530" s="63" t="n">
        <v>39857</v>
      </c>
      <c r="B530" t="n">
        <v>1834051</v>
      </c>
    </row>
    <row r="531">
      <c r="A531" s="63" t="n">
        <v>39864</v>
      </c>
      <c r="B531" t="n">
        <v>1858375</v>
      </c>
    </row>
    <row r="532">
      <c r="A532" s="63" t="n">
        <v>39871</v>
      </c>
      <c r="B532" t="n">
        <v>1820268</v>
      </c>
    </row>
    <row r="533">
      <c r="A533" s="63" t="n">
        <v>39878</v>
      </c>
      <c r="B533" t="n">
        <v>1840819</v>
      </c>
    </row>
    <row r="534">
      <c r="A534" s="63" t="n">
        <v>39885</v>
      </c>
      <c r="B534" t="n">
        <v>1829433</v>
      </c>
    </row>
    <row r="535">
      <c r="A535" s="63" t="n">
        <v>39892</v>
      </c>
      <c r="B535" t="n">
        <v>1822548</v>
      </c>
    </row>
    <row r="536">
      <c r="A536" s="63" t="n">
        <v>39899</v>
      </c>
      <c r="B536" t="n">
        <v>1803083</v>
      </c>
    </row>
    <row r="537">
      <c r="A537" s="63" t="n">
        <v>39906</v>
      </c>
      <c r="B537" t="n">
        <v>1836384</v>
      </c>
    </row>
    <row r="538">
      <c r="A538" s="63" t="n">
        <v>39913</v>
      </c>
      <c r="B538" t="n">
        <v>1827798</v>
      </c>
    </row>
    <row r="539">
      <c r="A539" s="63" t="n">
        <v>39920</v>
      </c>
      <c r="B539" t="n">
        <v>1840083</v>
      </c>
    </row>
    <row r="540">
      <c r="A540" s="63" t="n">
        <v>39927</v>
      </c>
      <c r="B540" t="n">
        <v>1823963</v>
      </c>
    </row>
    <row r="541">
      <c r="A541" s="63" t="n">
        <v>39934</v>
      </c>
      <c r="B541" t="n">
        <v>1799225</v>
      </c>
    </row>
    <row r="542">
      <c r="A542" s="63" t="n">
        <v>39941</v>
      </c>
      <c r="B542" t="n">
        <v>1795099</v>
      </c>
    </row>
    <row r="543">
      <c r="A543" s="63" t="n">
        <v>39948</v>
      </c>
      <c r="B543" t="n">
        <v>1764158</v>
      </c>
    </row>
    <row r="544">
      <c r="A544" s="63" t="n">
        <v>39955</v>
      </c>
      <c r="B544" t="n">
        <v>1736870</v>
      </c>
    </row>
    <row r="545">
      <c r="A545" s="63" t="n">
        <v>39962</v>
      </c>
      <c r="B545" t="n">
        <v>1799610</v>
      </c>
    </row>
    <row r="546">
      <c r="A546" s="63" t="n">
        <v>39969</v>
      </c>
      <c r="B546" t="n">
        <v>1747838</v>
      </c>
    </row>
    <row r="547">
      <c r="A547" s="63" t="n">
        <v>39976</v>
      </c>
      <c r="B547" t="n">
        <v>1726624</v>
      </c>
    </row>
    <row r="548">
      <c r="A548" s="63" t="n">
        <v>39983</v>
      </c>
      <c r="B548" t="n">
        <v>1719718</v>
      </c>
    </row>
    <row r="549">
      <c r="A549" s="63" t="n">
        <v>39990</v>
      </c>
      <c r="B549" t="n">
        <v>1997319</v>
      </c>
    </row>
    <row r="550">
      <c r="A550" s="63" t="n">
        <v>39997</v>
      </c>
      <c r="B550" t="n">
        <v>1911628</v>
      </c>
    </row>
    <row r="551">
      <c r="A551" s="63" t="n">
        <v>40004</v>
      </c>
      <c r="B551" t="n">
        <v>1888909</v>
      </c>
    </row>
    <row r="552">
      <c r="A552" s="63" t="n">
        <v>40011</v>
      </c>
      <c r="B552" t="n">
        <v>1875712</v>
      </c>
    </row>
    <row r="553">
      <c r="A553" s="63" t="n">
        <v>40018</v>
      </c>
      <c r="B553" t="n">
        <v>1867848</v>
      </c>
    </row>
    <row r="554">
      <c r="A554" s="63" t="n">
        <v>40025</v>
      </c>
      <c r="B554" t="n">
        <v>1854093</v>
      </c>
    </row>
    <row r="555">
      <c r="A555" s="63" t="n">
        <v>40032</v>
      </c>
      <c r="B555" t="n">
        <v>1835895</v>
      </c>
    </row>
    <row r="556">
      <c r="A556" s="63" t="n">
        <v>40039</v>
      </c>
      <c r="B556" t="n">
        <v>1801757</v>
      </c>
    </row>
    <row r="557">
      <c r="A557" s="63" t="n">
        <v>40046</v>
      </c>
      <c r="B557" t="n">
        <v>1798364</v>
      </c>
    </row>
    <row r="558">
      <c r="A558" s="63" t="n">
        <v>40053</v>
      </c>
      <c r="B558" t="n">
        <v>1821371</v>
      </c>
    </row>
    <row r="559">
      <c r="A559" s="63" t="n">
        <v>40060</v>
      </c>
      <c r="B559" t="n">
        <v>1819488</v>
      </c>
    </row>
    <row r="560">
      <c r="A560" s="63" t="n">
        <v>40067</v>
      </c>
      <c r="B560" t="n">
        <v>1802473</v>
      </c>
    </row>
    <row r="561">
      <c r="A561" s="63" t="n">
        <v>40074</v>
      </c>
      <c r="B561" t="n">
        <v>1792972</v>
      </c>
    </row>
    <row r="562">
      <c r="A562" s="63" t="n">
        <v>40081</v>
      </c>
      <c r="B562" t="n">
        <v>1790242</v>
      </c>
    </row>
    <row r="563">
      <c r="A563" s="63" t="n">
        <v>40088</v>
      </c>
      <c r="B563" t="n">
        <v>1844567</v>
      </c>
    </row>
    <row r="564">
      <c r="A564" s="63" t="n">
        <v>40095</v>
      </c>
      <c r="B564" t="n">
        <v>1802742</v>
      </c>
    </row>
    <row r="565">
      <c r="A565" s="63" t="n">
        <v>40102</v>
      </c>
      <c r="B565" t="n">
        <v>1801388</v>
      </c>
    </row>
    <row r="566">
      <c r="A566" s="63" t="n">
        <v>40109</v>
      </c>
      <c r="B566" t="n">
        <v>1786122</v>
      </c>
    </row>
    <row r="567">
      <c r="A567" s="63" t="n">
        <v>40116</v>
      </c>
      <c r="B567" t="n">
        <v>1779000</v>
      </c>
    </row>
    <row r="568">
      <c r="A568" s="63" t="n">
        <v>40123</v>
      </c>
      <c r="B568" t="n">
        <v>1773685</v>
      </c>
    </row>
    <row r="569">
      <c r="A569" s="63" t="n">
        <v>40130</v>
      </c>
      <c r="B569" t="n">
        <v>1759605</v>
      </c>
    </row>
    <row r="570">
      <c r="A570" s="63" t="n">
        <v>40137</v>
      </c>
      <c r="B570" t="n">
        <v>1761476</v>
      </c>
    </row>
    <row r="571">
      <c r="A571" s="63" t="n">
        <v>40144</v>
      </c>
      <c r="B571" t="n">
        <v>1759186</v>
      </c>
    </row>
    <row r="572">
      <c r="A572" s="63" t="n">
        <v>40151</v>
      </c>
      <c r="B572" t="n">
        <v>1759429</v>
      </c>
    </row>
    <row r="573">
      <c r="A573" s="63" t="n">
        <v>40158</v>
      </c>
      <c r="B573" t="n">
        <v>1744542</v>
      </c>
    </row>
    <row r="574">
      <c r="A574" s="63" t="n">
        <v>40165</v>
      </c>
      <c r="B574" t="n">
        <v>1842352</v>
      </c>
    </row>
    <row r="575">
      <c r="A575" s="63" t="n">
        <v>40172</v>
      </c>
      <c r="B575" t="n">
        <v>1852463</v>
      </c>
    </row>
    <row r="576">
      <c r="A576" s="63" t="n">
        <v>40179</v>
      </c>
      <c r="B576" t="n">
        <v>1904935</v>
      </c>
    </row>
    <row r="577">
      <c r="A577" s="63" t="n">
        <v>40186</v>
      </c>
      <c r="B577" t="n">
        <v>1879590</v>
      </c>
    </row>
    <row r="578">
      <c r="A578" s="63" t="n">
        <v>40193</v>
      </c>
      <c r="B578" t="n">
        <v>1870606</v>
      </c>
    </row>
    <row r="579">
      <c r="A579" s="63" t="n">
        <v>40200</v>
      </c>
      <c r="B579" t="n">
        <v>1870342</v>
      </c>
    </row>
    <row r="580">
      <c r="A580" s="63" t="n">
        <v>40207</v>
      </c>
      <c r="B580" t="n">
        <v>1877655</v>
      </c>
    </row>
    <row r="581">
      <c r="A581" s="63" t="n">
        <v>40214</v>
      </c>
      <c r="B581" t="n">
        <v>1874500</v>
      </c>
    </row>
    <row r="582">
      <c r="A582" s="63" t="n">
        <v>40221</v>
      </c>
      <c r="B582" t="n">
        <v>1874687</v>
      </c>
    </row>
    <row r="583">
      <c r="A583" s="63" t="n">
        <v>40228</v>
      </c>
      <c r="B583" t="n">
        <v>1880871</v>
      </c>
    </row>
    <row r="584">
      <c r="A584" s="63" t="n">
        <v>40235</v>
      </c>
      <c r="B584" t="n">
        <v>1889017</v>
      </c>
    </row>
    <row r="585">
      <c r="A585" s="63" t="n">
        <v>40242</v>
      </c>
      <c r="B585" t="n">
        <v>1890311</v>
      </c>
    </row>
    <row r="586">
      <c r="A586" s="63" t="n">
        <v>40249</v>
      </c>
      <c r="B586" t="n">
        <v>1886697</v>
      </c>
    </row>
    <row r="587">
      <c r="A587" s="63" t="n">
        <v>40256</v>
      </c>
      <c r="B587" t="n">
        <v>1889712</v>
      </c>
    </row>
    <row r="588">
      <c r="A588" s="63" t="n">
        <v>40263</v>
      </c>
      <c r="B588" t="n">
        <v>1894898</v>
      </c>
    </row>
    <row r="589">
      <c r="A589" s="63" t="n">
        <v>40270</v>
      </c>
      <c r="B589" t="n">
        <v>1942548</v>
      </c>
    </row>
    <row r="590">
      <c r="A590" s="63" t="n">
        <v>40277</v>
      </c>
      <c r="B590" t="n">
        <v>1936654</v>
      </c>
    </row>
    <row r="591">
      <c r="A591" s="63" t="n">
        <v>40284</v>
      </c>
      <c r="B591" t="n">
        <v>1939989</v>
      </c>
    </row>
    <row r="592">
      <c r="A592" s="63" t="n">
        <v>40291</v>
      </c>
      <c r="B592" t="n">
        <v>1943260</v>
      </c>
    </row>
    <row r="593">
      <c r="A593" s="63" t="n">
        <v>40298</v>
      </c>
      <c r="B593" t="n">
        <v>1956819</v>
      </c>
    </row>
    <row r="594">
      <c r="A594" s="63" t="n">
        <v>40305</v>
      </c>
      <c r="B594" t="n">
        <v>1983241</v>
      </c>
    </row>
    <row r="595">
      <c r="A595" s="63" t="n">
        <v>40312</v>
      </c>
      <c r="B595" t="n">
        <v>2062943</v>
      </c>
    </row>
    <row r="596">
      <c r="A596" s="63" t="n">
        <v>40319</v>
      </c>
      <c r="B596" t="n">
        <v>2069968</v>
      </c>
    </row>
    <row r="597">
      <c r="A597" s="63" t="n">
        <v>40326</v>
      </c>
      <c r="B597" t="n">
        <v>2088450</v>
      </c>
    </row>
    <row r="598">
      <c r="A598" s="63" t="n">
        <v>40333</v>
      </c>
      <c r="B598" t="n">
        <v>2098508</v>
      </c>
    </row>
    <row r="599">
      <c r="A599" s="63" t="n">
        <v>40340</v>
      </c>
      <c r="B599" t="n">
        <v>2107126</v>
      </c>
    </row>
    <row r="600">
      <c r="A600" s="63" t="n">
        <v>40347</v>
      </c>
      <c r="B600" t="n">
        <v>2124740</v>
      </c>
    </row>
    <row r="601">
      <c r="A601" s="63" t="n">
        <v>40354</v>
      </c>
      <c r="B601" t="n">
        <v>2154245</v>
      </c>
    </row>
    <row r="602">
      <c r="A602" s="63" t="n">
        <v>40361</v>
      </c>
      <c r="B602" t="n">
        <v>2049811</v>
      </c>
    </row>
    <row r="603">
      <c r="A603" s="63" t="n">
        <v>40368</v>
      </c>
      <c r="B603" t="n">
        <v>2004747</v>
      </c>
    </row>
    <row r="604">
      <c r="A604" s="63" t="n">
        <v>40375</v>
      </c>
      <c r="B604" t="n">
        <v>1986989</v>
      </c>
    </row>
    <row r="605">
      <c r="A605" s="63" t="n">
        <v>40382</v>
      </c>
      <c r="B605" t="n">
        <v>1993612</v>
      </c>
    </row>
    <row r="606">
      <c r="A606" s="63" t="n">
        <v>40389</v>
      </c>
      <c r="B606" t="n">
        <v>2001660</v>
      </c>
    </row>
    <row r="607">
      <c r="A607" s="63" t="n">
        <v>40396</v>
      </c>
      <c r="B607" t="n">
        <v>1964906</v>
      </c>
    </row>
    <row r="608">
      <c r="A608" s="63" t="n">
        <v>40403</v>
      </c>
      <c r="B608" t="n">
        <v>1953086</v>
      </c>
    </row>
    <row r="609">
      <c r="A609" s="63" t="n">
        <v>40410</v>
      </c>
      <c r="B609" t="n">
        <v>1956064</v>
      </c>
    </row>
    <row r="610">
      <c r="A610" s="63" t="n">
        <v>40417</v>
      </c>
      <c r="B610" t="n">
        <v>1957926</v>
      </c>
    </row>
    <row r="611">
      <c r="A611" s="63" t="n">
        <v>40424</v>
      </c>
      <c r="B611" t="n">
        <v>1963223</v>
      </c>
    </row>
    <row r="612">
      <c r="A612" s="63" t="n">
        <v>40431</v>
      </c>
      <c r="B612" t="n">
        <v>1973255</v>
      </c>
    </row>
    <row r="613">
      <c r="A613" s="63" t="n">
        <v>40438</v>
      </c>
      <c r="B613" t="n">
        <v>1970482</v>
      </c>
    </row>
    <row r="614">
      <c r="A614" s="63" t="n">
        <v>40445</v>
      </c>
      <c r="B614" t="n">
        <v>1971356</v>
      </c>
    </row>
    <row r="615">
      <c r="A615" s="63" t="n">
        <v>40452</v>
      </c>
      <c r="B615" t="n">
        <v>1865885</v>
      </c>
    </row>
    <row r="616">
      <c r="A616" s="63" t="n">
        <v>40459</v>
      </c>
      <c r="B616" t="n">
        <v>1867952</v>
      </c>
    </row>
    <row r="617">
      <c r="A617" s="63" t="n">
        <v>40466</v>
      </c>
      <c r="B617" t="n">
        <v>1876946</v>
      </c>
    </row>
    <row r="618">
      <c r="A618" s="63" t="n">
        <v>40473</v>
      </c>
      <c r="B618" t="n">
        <v>1877963</v>
      </c>
    </row>
    <row r="619">
      <c r="A619" s="63" t="n">
        <v>40480</v>
      </c>
      <c r="B619" t="n">
        <v>1895679</v>
      </c>
    </row>
    <row r="620">
      <c r="A620" s="63" t="n">
        <v>40487</v>
      </c>
      <c r="B620" t="n">
        <v>1886353</v>
      </c>
    </row>
    <row r="621">
      <c r="A621" s="63" t="n">
        <v>40494</v>
      </c>
      <c r="B621" t="n">
        <v>1878979</v>
      </c>
    </row>
    <row r="622">
      <c r="A622" s="63" t="n">
        <v>40501</v>
      </c>
      <c r="B622" t="n">
        <v>1888388</v>
      </c>
    </row>
    <row r="623">
      <c r="A623" s="63" t="n">
        <v>40508</v>
      </c>
      <c r="B623" t="n">
        <v>1915961</v>
      </c>
    </row>
    <row r="624">
      <c r="A624" s="63" t="n">
        <v>40515</v>
      </c>
      <c r="B624" t="n">
        <v>1924130</v>
      </c>
    </row>
    <row r="625">
      <c r="A625" s="63" t="n">
        <v>40522</v>
      </c>
      <c r="B625" t="n">
        <v>1951661</v>
      </c>
    </row>
    <row r="626">
      <c r="A626" s="63" t="n">
        <v>40529</v>
      </c>
      <c r="B626" t="n">
        <v>1945232</v>
      </c>
    </row>
    <row r="627">
      <c r="A627" s="63" t="n">
        <v>40536</v>
      </c>
      <c r="B627" t="n">
        <v>1926154</v>
      </c>
    </row>
    <row r="628">
      <c r="A628" s="63" t="n">
        <v>40543</v>
      </c>
      <c r="B628" t="n">
        <v>2004432</v>
      </c>
    </row>
    <row r="629">
      <c r="A629" s="63" t="n">
        <v>40550</v>
      </c>
      <c r="B629" t="n">
        <v>1965895</v>
      </c>
    </row>
    <row r="630">
      <c r="A630" s="63" t="n">
        <v>40557</v>
      </c>
      <c r="B630" t="n">
        <v>1957146</v>
      </c>
    </row>
    <row r="631">
      <c r="A631" s="63" t="n">
        <v>40564</v>
      </c>
      <c r="B631" t="n">
        <v>1961122</v>
      </c>
    </row>
    <row r="632">
      <c r="A632" s="63" t="n">
        <v>40571</v>
      </c>
      <c r="B632" t="n">
        <v>1965568</v>
      </c>
    </row>
    <row r="633">
      <c r="A633" s="63" t="n">
        <v>40578</v>
      </c>
      <c r="B633" t="n">
        <v>2015599</v>
      </c>
    </row>
    <row r="634">
      <c r="A634" s="63" t="n">
        <v>40585</v>
      </c>
      <c r="B634" t="n">
        <v>1956143</v>
      </c>
    </row>
    <row r="635">
      <c r="A635" s="63" t="n">
        <v>40592</v>
      </c>
      <c r="B635" t="n">
        <v>1958491</v>
      </c>
    </row>
    <row r="636">
      <c r="A636" s="63" t="n">
        <v>40599</v>
      </c>
      <c r="B636" t="n">
        <v>1952278</v>
      </c>
    </row>
    <row r="637">
      <c r="A637" s="63" t="n">
        <v>40606</v>
      </c>
      <c r="B637" t="n">
        <v>1939219</v>
      </c>
    </row>
    <row r="638">
      <c r="A638" s="63" t="n">
        <v>40613</v>
      </c>
      <c r="B638" t="n">
        <v>1953018</v>
      </c>
    </row>
    <row r="639">
      <c r="A639" s="63" t="n">
        <v>40620</v>
      </c>
      <c r="B639" t="n">
        <v>1940378</v>
      </c>
    </row>
    <row r="640">
      <c r="A640" s="63" t="n">
        <v>40627</v>
      </c>
      <c r="B640" t="n">
        <v>1928055</v>
      </c>
    </row>
    <row r="641">
      <c r="A641" s="63" t="n">
        <v>40634</v>
      </c>
      <c r="B641" t="n">
        <v>1888496</v>
      </c>
    </row>
    <row r="642">
      <c r="A642" s="63" t="n">
        <v>40641</v>
      </c>
      <c r="B642" t="n">
        <v>1873111</v>
      </c>
    </row>
    <row r="643">
      <c r="A643" s="63" t="n">
        <v>40648</v>
      </c>
      <c r="B643" t="n">
        <v>1885017</v>
      </c>
    </row>
    <row r="644">
      <c r="A644" s="63" t="n">
        <v>40655</v>
      </c>
      <c r="B644" t="n">
        <v>1887882</v>
      </c>
    </row>
    <row r="645">
      <c r="A645" s="63" t="n">
        <v>40662</v>
      </c>
      <c r="B645" t="n">
        <v>1894101</v>
      </c>
    </row>
    <row r="646">
      <c r="A646" s="63" t="n">
        <v>40669</v>
      </c>
      <c r="B646" t="n">
        <v>1901850</v>
      </c>
    </row>
    <row r="647">
      <c r="A647" s="63" t="n">
        <v>40676</v>
      </c>
      <c r="B647" t="n">
        <v>1898665</v>
      </c>
    </row>
    <row r="648">
      <c r="A648" s="63" t="n">
        <v>40683</v>
      </c>
      <c r="B648" t="n">
        <v>1895870</v>
      </c>
    </row>
    <row r="649">
      <c r="A649" s="63" t="n">
        <v>40690</v>
      </c>
      <c r="B649" t="n">
        <v>1900610</v>
      </c>
    </row>
    <row r="650">
      <c r="A650" s="63" t="n">
        <v>40697</v>
      </c>
      <c r="B650" t="n">
        <v>1898989</v>
      </c>
    </row>
    <row r="651">
      <c r="A651" s="63" t="n">
        <v>40704</v>
      </c>
      <c r="B651" t="n">
        <v>1892579</v>
      </c>
    </row>
    <row r="652">
      <c r="A652" s="63" t="n">
        <v>40711</v>
      </c>
      <c r="B652" t="n">
        <v>1914538</v>
      </c>
    </row>
    <row r="653">
      <c r="A653" s="63" t="n">
        <v>40718</v>
      </c>
      <c r="B653" t="n">
        <v>1972174</v>
      </c>
    </row>
    <row r="654">
      <c r="A654" s="63" t="n">
        <v>40725</v>
      </c>
      <c r="B654" t="n">
        <v>1944583</v>
      </c>
    </row>
    <row r="655">
      <c r="A655" s="63" t="n">
        <v>40732</v>
      </c>
      <c r="B655" t="n">
        <v>1919501</v>
      </c>
    </row>
    <row r="656">
      <c r="A656" s="63" t="n">
        <v>40739</v>
      </c>
      <c r="B656" t="n">
        <v>1957194</v>
      </c>
    </row>
    <row r="657">
      <c r="A657" s="63" t="n">
        <v>40746</v>
      </c>
      <c r="B657" t="n">
        <v>2006061</v>
      </c>
    </row>
    <row r="658">
      <c r="A658" s="63" t="n">
        <v>40753</v>
      </c>
      <c r="B658" t="n">
        <v>2000471</v>
      </c>
    </row>
    <row r="659">
      <c r="A659" s="63" t="n">
        <v>40760</v>
      </c>
      <c r="B659" t="n">
        <v>2004290</v>
      </c>
    </row>
    <row r="660">
      <c r="A660" s="63" t="n">
        <v>40767</v>
      </c>
      <c r="B660" t="n">
        <v>2073026</v>
      </c>
    </row>
    <row r="661">
      <c r="A661" s="63" t="n">
        <v>40774</v>
      </c>
      <c r="B661" t="n">
        <v>2076647</v>
      </c>
    </row>
    <row r="662">
      <c r="A662" s="63" t="n">
        <v>40781</v>
      </c>
      <c r="B662" t="n">
        <v>2071633</v>
      </c>
    </row>
    <row r="663">
      <c r="A663" s="63" t="n">
        <v>40788</v>
      </c>
      <c r="B663" t="n">
        <v>2073122</v>
      </c>
    </row>
    <row r="664">
      <c r="A664" s="63" t="n">
        <v>40795</v>
      </c>
      <c r="B664" t="n">
        <v>2086364</v>
      </c>
    </row>
    <row r="665">
      <c r="A665" s="63" t="n">
        <v>40802</v>
      </c>
      <c r="B665" t="n">
        <v>2134721</v>
      </c>
    </row>
    <row r="666">
      <c r="A666" s="63" t="n">
        <v>40809</v>
      </c>
      <c r="B666" t="n">
        <v>2180075</v>
      </c>
    </row>
    <row r="667">
      <c r="A667" s="63" t="n">
        <v>40816</v>
      </c>
      <c r="B667" t="n">
        <v>2288571</v>
      </c>
    </row>
    <row r="668">
      <c r="A668" s="63" t="n">
        <v>40823</v>
      </c>
      <c r="B668" t="n">
        <v>2295727</v>
      </c>
    </row>
    <row r="669">
      <c r="A669" s="63" t="n">
        <v>40830</v>
      </c>
      <c r="B669" t="n">
        <v>2310857</v>
      </c>
    </row>
    <row r="670">
      <c r="A670" s="63" t="n">
        <v>40837</v>
      </c>
      <c r="B670" t="n">
        <v>2313175</v>
      </c>
    </row>
    <row r="671">
      <c r="A671" s="63" t="n">
        <v>40844</v>
      </c>
      <c r="B671" t="n">
        <v>2333373</v>
      </c>
    </row>
    <row r="672">
      <c r="A672" s="63" t="n">
        <v>40851</v>
      </c>
      <c r="B672" t="n">
        <v>2328553</v>
      </c>
    </row>
    <row r="673">
      <c r="A673" s="63" t="n">
        <v>40858</v>
      </c>
      <c r="B673" t="n">
        <v>2343547</v>
      </c>
    </row>
    <row r="674">
      <c r="A674" s="63" t="n">
        <v>40865</v>
      </c>
      <c r="B674" t="n">
        <v>2393350</v>
      </c>
    </row>
    <row r="675">
      <c r="A675" s="63" t="n">
        <v>40872</v>
      </c>
      <c r="B675" t="n">
        <v>2419548</v>
      </c>
    </row>
    <row r="676">
      <c r="A676" s="63" t="n">
        <v>40879</v>
      </c>
      <c r="B676" t="n">
        <v>2435688</v>
      </c>
    </row>
    <row r="677">
      <c r="A677" s="63" t="n">
        <v>40886</v>
      </c>
      <c r="B677" t="n">
        <v>2460813</v>
      </c>
    </row>
    <row r="678">
      <c r="A678" s="63" t="n">
        <v>40893</v>
      </c>
      <c r="B678" t="n">
        <v>2493806</v>
      </c>
    </row>
    <row r="679">
      <c r="A679" s="63" t="n">
        <v>40900</v>
      </c>
      <c r="B679" t="n">
        <v>2733235</v>
      </c>
    </row>
    <row r="680">
      <c r="A680" s="63" t="n">
        <v>40907</v>
      </c>
      <c r="B680" t="n">
        <v>2735628</v>
      </c>
    </row>
    <row r="681">
      <c r="A681" s="63" t="n">
        <v>40914</v>
      </c>
      <c r="B681" t="n">
        <v>2687871</v>
      </c>
    </row>
    <row r="682">
      <c r="A682" s="63" t="n">
        <v>40921</v>
      </c>
      <c r="B682" t="n">
        <v>2676987</v>
      </c>
    </row>
    <row r="683">
      <c r="A683" s="63" t="n">
        <v>40928</v>
      </c>
      <c r="B683" t="n">
        <v>2706197</v>
      </c>
    </row>
    <row r="684">
      <c r="A684" s="63" t="n">
        <v>40935</v>
      </c>
      <c r="B684" t="n">
        <v>2682576</v>
      </c>
    </row>
    <row r="685">
      <c r="A685" s="63" t="n">
        <v>40942</v>
      </c>
      <c r="B685" t="n">
        <v>2662126</v>
      </c>
    </row>
    <row r="686">
      <c r="A686" s="63" t="n">
        <v>40949</v>
      </c>
      <c r="B686" t="n">
        <v>2655784</v>
      </c>
    </row>
    <row r="687">
      <c r="A687" s="63" t="n">
        <v>40956</v>
      </c>
      <c r="B687" t="n">
        <v>2663261</v>
      </c>
    </row>
    <row r="688">
      <c r="A688" s="63" t="n">
        <v>40963</v>
      </c>
      <c r="B688" t="n">
        <v>2692598</v>
      </c>
    </row>
    <row r="689">
      <c r="A689" s="63" t="n">
        <v>40970</v>
      </c>
      <c r="B689" t="n">
        <v>3023159</v>
      </c>
    </row>
    <row r="690">
      <c r="A690" s="63" t="n">
        <v>40977</v>
      </c>
      <c r="B690" t="n">
        <v>3005782</v>
      </c>
    </row>
    <row r="691">
      <c r="A691" s="63" t="n">
        <v>40984</v>
      </c>
      <c r="B691" t="n">
        <v>2986294</v>
      </c>
    </row>
    <row r="692">
      <c r="A692" s="63" t="n">
        <v>40991</v>
      </c>
      <c r="B692" t="n">
        <v>2982849</v>
      </c>
    </row>
    <row r="693">
      <c r="A693" s="63" t="n">
        <v>40998</v>
      </c>
      <c r="B693" t="n">
        <v>2964427</v>
      </c>
    </row>
    <row r="694">
      <c r="A694" s="63" t="n">
        <v>41005</v>
      </c>
      <c r="B694" t="n">
        <v>2965333</v>
      </c>
    </row>
    <row r="695">
      <c r="A695" s="63" t="n">
        <v>41012</v>
      </c>
      <c r="B695" t="n">
        <v>2974859</v>
      </c>
    </row>
    <row r="696">
      <c r="A696" s="63" t="n">
        <v>41019</v>
      </c>
      <c r="B696" t="n">
        <v>2967109</v>
      </c>
    </row>
    <row r="697">
      <c r="A697" s="63" t="n">
        <v>41026</v>
      </c>
      <c r="B697" t="n">
        <v>2962103</v>
      </c>
    </row>
    <row r="698">
      <c r="A698" s="63" t="n">
        <v>41033</v>
      </c>
      <c r="B698" t="n">
        <v>2960317</v>
      </c>
    </row>
    <row r="699">
      <c r="A699" s="63" t="n">
        <v>41040</v>
      </c>
      <c r="B699" t="n">
        <v>2971515</v>
      </c>
    </row>
    <row r="700">
      <c r="A700" s="63" t="n">
        <v>41047</v>
      </c>
      <c r="B700" t="n">
        <v>2975261</v>
      </c>
    </row>
    <row r="701">
      <c r="A701" s="63" t="n">
        <v>41054</v>
      </c>
      <c r="B701" t="n">
        <v>2980310</v>
      </c>
    </row>
    <row r="702">
      <c r="A702" s="63" t="n">
        <v>41061</v>
      </c>
      <c r="B702" t="n">
        <v>3002593</v>
      </c>
    </row>
    <row r="703">
      <c r="A703" s="63" t="n">
        <v>41068</v>
      </c>
      <c r="B703" t="n">
        <v>3009684</v>
      </c>
    </row>
    <row r="704">
      <c r="A704" s="63" t="n">
        <v>41075</v>
      </c>
      <c r="B704" t="n">
        <v>3027305</v>
      </c>
    </row>
    <row r="705">
      <c r="A705" s="63" t="n">
        <v>41082</v>
      </c>
      <c r="B705" t="n">
        <v>3057892</v>
      </c>
    </row>
    <row r="706">
      <c r="A706" s="63" t="n">
        <v>41089</v>
      </c>
      <c r="B706" t="n">
        <v>3102227</v>
      </c>
    </row>
    <row r="707">
      <c r="A707" s="63" t="n">
        <v>41096</v>
      </c>
      <c r="B707" t="n">
        <v>3085006</v>
      </c>
    </row>
    <row r="708">
      <c r="A708" s="63" t="n">
        <v>41103</v>
      </c>
      <c r="B708" t="n">
        <v>3099646</v>
      </c>
    </row>
    <row r="709">
      <c r="A709" s="63" t="n">
        <v>41110</v>
      </c>
      <c r="B709" t="n">
        <v>3079749</v>
      </c>
    </row>
    <row r="710">
      <c r="A710" s="63" t="n">
        <v>41117</v>
      </c>
      <c r="B710" t="n">
        <v>3094144</v>
      </c>
    </row>
    <row r="711">
      <c r="A711" s="63" t="n">
        <v>41124</v>
      </c>
      <c r="B711" t="n">
        <v>3085214</v>
      </c>
    </row>
    <row r="712">
      <c r="A712" s="63" t="n">
        <v>41131</v>
      </c>
      <c r="B712" t="n">
        <v>3086822</v>
      </c>
    </row>
    <row r="713">
      <c r="A713" s="63" t="n">
        <v>41138</v>
      </c>
      <c r="B713" t="n">
        <v>3085845</v>
      </c>
    </row>
    <row r="714">
      <c r="A714" s="63" t="n">
        <v>41145</v>
      </c>
      <c r="B714" t="n">
        <v>3080452</v>
      </c>
    </row>
    <row r="715">
      <c r="A715" s="63" t="n">
        <v>41152</v>
      </c>
      <c r="B715" t="n">
        <v>3084769</v>
      </c>
    </row>
    <row r="716">
      <c r="A716" s="63" t="n">
        <v>41159</v>
      </c>
      <c r="B716" t="n">
        <v>3073494</v>
      </c>
    </row>
    <row r="717">
      <c r="A717" s="63" t="n">
        <v>41166</v>
      </c>
      <c r="B717" t="n">
        <v>3061012</v>
      </c>
    </row>
    <row r="718">
      <c r="A718" s="63" t="n">
        <v>41173</v>
      </c>
      <c r="B718" t="n">
        <v>3049539</v>
      </c>
    </row>
    <row r="719">
      <c r="A719" s="63" t="n">
        <v>41180</v>
      </c>
      <c r="B719" t="n">
        <v>3082432</v>
      </c>
    </row>
    <row r="720">
      <c r="A720" s="63" t="n">
        <v>41187</v>
      </c>
      <c r="B720" t="n">
        <v>3062589</v>
      </c>
    </row>
    <row r="721">
      <c r="A721" s="63" t="n">
        <v>41194</v>
      </c>
      <c r="B721" t="n">
        <v>3053641</v>
      </c>
    </row>
    <row r="722">
      <c r="A722" s="63" t="n">
        <v>41201</v>
      </c>
      <c r="B722" t="n">
        <v>3046569</v>
      </c>
    </row>
    <row r="723">
      <c r="A723" s="63" t="n">
        <v>41208</v>
      </c>
      <c r="B723" t="n">
        <v>3046543</v>
      </c>
    </row>
    <row r="724">
      <c r="A724" s="63" t="n">
        <v>41215</v>
      </c>
      <c r="B724" t="n">
        <v>3040693</v>
      </c>
    </row>
    <row r="725">
      <c r="A725" s="63" t="n">
        <v>41222</v>
      </c>
      <c r="B725" t="n">
        <v>3038871</v>
      </c>
    </row>
    <row r="726">
      <c r="A726" s="63" t="n">
        <v>41229</v>
      </c>
      <c r="B726" t="n">
        <v>3041305</v>
      </c>
    </row>
    <row r="727">
      <c r="A727" s="63" t="n">
        <v>41236</v>
      </c>
      <c r="B727" t="n">
        <v>3035280</v>
      </c>
    </row>
    <row r="728">
      <c r="A728" s="63" t="n">
        <v>41243</v>
      </c>
      <c r="B728" t="n">
        <v>3033294</v>
      </c>
    </row>
    <row r="729">
      <c r="A729" s="63" t="n">
        <v>41250</v>
      </c>
      <c r="B729" t="n">
        <v>3030422</v>
      </c>
    </row>
    <row r="730">
      <c r="A730" s="63" t="n">
        <v>41257</v>
      </c>
      <c r="B730" t="n">
        <v>3024812</v>
      </c>
    </row>
    <row r="731">
      <c r="A731" s="63" t="n">
        <v>41264</v>
      </c>
      <c r="B731" t="n">
        <v>3011200</v>
      </c>
    </row>
    <row r="732">
      <c r="A732" s="63" t="n">
        <v>41271</v>
      </c>
      <c r="B732" t="n">
        <v>3018198</v>
      </c>
    </row>
    <row r="733">
      <c r="A733" s="63" t="n">
        <v>41278</v>
      </c>
      <c r="B733" t="n">
        <v>2956165</v>
      </c>
    </row>
    <row r="734">
      <c r="A734" s="63" t="n">
        <v>41285</v>
      </c>
      <c r="B734" t="n">
        <v>2952532</v>
      </c>
    </row>
    <row r="735">
      <c r="A735" s="63" t="n">
        <v>41292</v>
      </c>
      <c r="B735" t="n">
        <v>2942211</v>
      </c>
    </row>
    <row r="736">
      <c r="A736" s="63" t="n">
        <v>41299</v>
      </c>
      <c r="B736" t="n">
        <v>2928781</v>
      </c>
    </row>
    <row r="737">
      <c r="A737" s="63" t="n">
        <v>41306</v>
      </c>
      <c r="B737" t="n">
        <v>2769695</v>
      </c>
    </row>
    <row r="738">
      <c r="A738" s="63" t="n">
        <v>41313</v>
      </c>
      <c r="B738" t="n">
        <v>2767571</v>
      </c>
    </row>
    <row r="739">
      <c r="A739" s="63" t="n">
        <v>41320</v>
      </c>
      <c r="B739" t="n">
        <v>2755725</v>
      </c>
    </row>
    <row r="740">
      <c r="A740" s="63" t="n">
        <v>41327</v>
      </c>
      <c r="B740" t="n">
        <v>2748823</v>
      </c>
    </row>
    <row r="741">
      <c r="A741" s="63" t="n">
        <v>41334</v>
      </c>
      <c r="B741" t="n">
        <v>2680619</v>
      </c>
    </row>
    <row r="742">
      <c r="A742" s="63" t="n">
        <v>41341</v>
      </c>
      <c r="B742" t="n">
        <v>2665947</v>
      </c>
    </row>
    <row r="743">
      <c r="A743" s="63" t="n">
        <v>41348</v>
      </c>
      <c r="B743" t="n">
        <v>2647844</v>
      </c>
    </row>
    <row r="744">
      <c r="A744" s="63" t="n">
        <v>41355</v>
      </c>
      <c r="B744" t="n">
        <v>2642700</v>
      </c>
    </row>
    <row r="745">
      <c r="A745" s="63" t="n">
        <v>41362</v>
      </c>
      <c r="B745" t="n">
        <v>2648126</v>
      </c>
    </row>
    <row r="746">
      <c r="A746" s="63" t="n">
        <v>41369</v>
      </c>
      <c r="B746" t="n">
        <v>2647097</v>
      </c>
    </row>
    <row r="747">
      <c r="A747" s="63" t="n">
        <v>41376</v>
      </c>
      <c r="B747" t="n">
        <v>2634454</v>
      </c>
    </row>
    <row r="748">
      <c r="A748" s="63" t="n">
        <v>41383</v>
      </c>
      <c r="B748" t="n">
        <v>2617263</v>
      </c>
    </row>
    <row r="749">
      <c r="A749" s="63" t="n">
        <v>41390</v>
      </c>
      <c r="B749" t="n">
        <v>2611252</v>
      </c>
    </row>
    <row r="750">
      <c r="A750" s="63" t="n">
        <v>41397</v>
      </c>
      <c r="B750" t="n">
        <v>2608120</v>
      </c>
    </row>
    <row r="751">
      <c r="A751" s="63" t="n">
        <v>41404</v>
      </c>
      <c r="B751" t="n">
        <v>2606277</v>
      </c>
    </row>
    <row r="752">
      <c r="A752" s="63" t="n">
        <v>41411</v>
      </c>
      <c r="B752" t="n">
        <v>2577406</v>
      </c>
    </row>
    <row r="753">
      <c r="A753" s="63" t="n">
        <v>41418</v>
      </c>
      <c r="B753" t="n">
        <v>2560202</v>
      </c>
    </row>
    <row r="754">
      <c r="A754" s="63" t="n">
        <v>41425</v>
      </c>
      <c r="B754" t="n">
        <v>2549449</v>
      </c>
    </row>
    <row r="755">
      <c r="A755" s="63" t="n">
        <v>41432</v>
      </c>
      <c r="B755" t="n">
        <v>2546600</v>
      </c>
    </row>
    <row r="756">
      <c r="A756" s="63" t="n">
        <v>41439</v>
      </c>
      <c r="B756" t="n">
        <v>2550684</v>
      </c>
    </row>
    <row r="757">
      <c r="A757" s="63" t="n">
        <v>41446</v>
      </c>
      <c r="B757" t="n">
        <v>2545321</v>
      </c>
    </row>
    <row r="758">
      <c r="A758" s="63" t="n">
        <v>41453</v>
      </c>
      <c r="B758" t="n">
        <v>2430423</v>
      </c>
    </row>
    <row r="759">
      <c r="A759" s="63" t="n">
        <v>41460</v>
      </c>
      <c r="B759" t="n">
        <v>2420347</v>
      </c>
    </row>
    <row r="760">
      <c r="A760" s="63" t="n">
        <v>41467</v>
      </c>
      <c r="B760" t="n">
        <v>2403333</v>
      </c>
    </row>
    <row r="761">
      <c r="A761" s="63" t="n">
        <v>41474</v>
      </c>
      <c r="B761" t="n">
        <v>2398959</v>
      </c>
    </row>
    <row r="762">
      <c r="A762" s="63" t="n">
        <v>41481</v>
      </c>
      <c r="B762" t="n">
        <v>2396181</v>
      </c>
    </row>
    <row r="763">
      <c r="A763" s="63" t="n">
        <v>41488</v>
      </c>
      <c r="B763" t="n">
        <v>2391090</v>
      </c>
    </row>
    <row r="764">
      <c r="A764" s="63" t="n">
        <v>41495</v>
      </c>
      <c r="B764" t="n">
        <v>2379322</v>
      </c>
    </row>
    <row r="765">
      <c r="A765" s="63" t="n">
        <v>41502</v>
      </c>
      <c r="B765" t="n">
        <v>2368521</v>
      </c>
    </row>
    <row r="766">
      <c r="A766" s="63" t="n">
        <v>41509</v>
      </c>
      <c r="B766" t="n">
        <v>2360832</v>
      </c>
    </row>
    <row r="767">
      <c r="A767" s="63" t="n">
        <v>41516</v>
      </c>
      <c r="B767" t="n">
        <v>2360639</v>
      </c>
    </row>
    <row r="768">
      <c r="A768" s="63" t="n">
        <v>41523</v>
      </c>
      <c r="B768" t="n">
        <v>2356675</v>
      </c>
    </row>
    <row r="769">
      <c r="A769" s="63" t="n">
        <v>41530</v>
      </c>
      <c r="B769" t="n">
        <v>2350127</v>
      </c>
    </row>
    <row r="770">
      <c r="A770" s="63" t="n">
        <v>41537</v>
      </c>
      <c r="B770" t="n">
        <v>2346591</v>
      </c>
    </row>
    <row r="771">
      <c r="A771" s="63" t="n">
        <v>41544</v>
      </c>
      <c r="B771" t="n">
        <v>2338044</v>
      </c>
    </row>
    <row r="772">
      <c r="A772" s="63" t="n">
        <v>41551</v>
      </c>
      <c r="B772" t="n">
        <v>2350580</v>
      </c>
    </row>
    <row r="773">
      <c r="A773" s="63" t="n">
        <v>41558</v>
      </c>
      <c r="B773" t="n">
        <v>2340421</v>
      </c>
    </row>
    <row r="774">
      <c r="A774" s="63" t="n">
        <v>41565</v>
      </c>
      <c r="B774" t="n">
        <v>2327962</v>
      </c>
    </row>
    <row r="775">
      <c r="A775" s="63" t="n">
        <v>41572</v>
      </c>
      <c r="B775" t="n">
        <v>2318744</v>
      </c>
    </row>
    <row r="776">
      <c r="A776" s="63" t="n">
        <v>41579</v>
      </c>
      <c r="B776" t="n">
        <v>2314393</v>
      </c>
    </row>
    <row r="777">
      <c r="A777" s="63" t="n">
        <v>41586</v>
      </c>
      <c r="B777" t="n">
        <v>2305431</v>
      </c>
    </row>
    <row r="778">
      <c r="A778" s="63" t="n">
        <v>41593</v>
      </c>
      <c r="B778" t="n">
        <v>2299017</v>
      </c>
    </row>
    <row r="779">
      <c r="A779" s="63" t="n">
        <v>41600</v>
      </c>
      <c r="B779" t="n">
        <v>2293601</v>
      </c>
    </row>
    <row r="780">
      <c r="A780" s="63" t="n">
        <v>41607</v>
      </c>
      <c r="B780" t="n">
        <v>2290956</v>
      </c>
    </row>
    <row r="781">
      <c r="A781" s="63" t="n">
        <v>41614</v>
      </c>
      <c r="B781" t="n">
        <v>2280794</v>
      </c>
    </row>
    <row r="782">
      <c r="A782" s="63" t="n">
        <v>41621</v>
      </c>
      <c r="B782" t="n">
        <v>2283020</v>
      </c>
    </row>
    <row r="783">
      <c r="A783" s="63" t="n">
        <v>41628</v>
      </c>
      <c r="B783" t="n">
        <v>2287531</v>
      </c>
    </row>
    <row r="784">
      <c r="A784" s="63" t="n">
        <v>41635</v>
      </c>
      <c r="B784" t="n">
        <v>2285399</v>
      </c>
    </row>
    <row r="785">
      <c r="A785" s="63" t="n">
        <v>41642</v>
      </c>
      <c r="B785" t="n">
        <v>2278560</v>
      </c>
    </row>
    <row r="786">
      <c r="A786" s="63" t="n">
        <v>41649</v>
      </c>
      <c r="B786" t="n">
        <v>2220507</v>
      </c>
    </row>
    <row r="787">
      <c r="A787" s="63" t="n">
        <v>41656</v>
      </c>
      <c r="B787" t="n">
        <v>2197860</v>
      </c>
    </row>
    <row r="788">
      <c r="A788" s="63" t="n">
        <v>41663</v>
      </c>
      <c r="B788" t="n">
        <v>2221296</v>
      </c>
    </row>
    <row r="789">
      <c r="A789" s="63" t="n">
        <v>41670</v>
      </c>
      <c r="B789" t="n">
        <v>2217061</v>
      </c>
    </row>
    <row r="790">
      <c r="A790" s="63" t="n">
        <v>41677</v>
      </c>
      <c r="B790" t="n">
        <v>2190338</v>
      </c>
    </row>
    <row r="791">
      <c r="A791" s="63" t="n">
        <v>41684</v>
      </c>
      <c r="B791" t="n">
        <v>2190099</v>
      </c>
    </row>
    <row r="792">
      <c r="A792" s="63" t="n">
        <v>41691</v>
      </c>
      <c r="B792" t="n">
        <v>2184848</v>
      </c>
    </row>
    <row r="793">
      <c r="A793" s="63" t="n">
        <v>41698</v>
      </c>
      <c r="B793" t="n">
        <v>2181079</v>
      </c>
    </row>
    <row r="794">
      <c r="A794" s="63" t="n">
        <v>41705</v>
      </c>
      <c r="B794" t="n">
        <v>2172324</v>
      </c>
    </row>
    <row r="795">
      <c r="A795" s="63" t="n">
        <v>41712</v>
      </c>
      <c r="B795" t="n">
        <v>2167771</v>
      </c>
    </row>
    <row r="796">
      <c r="A796" s="63" t="n">
        <v>41719</v>
      </c>
      <c r="B796" t="n">
        <v>2166080</v>
      </c>
    </row>
    <row r="797">
      <c r="A797" s="63" t="n">
        <v>41726</v>
      </c>
      <c r="B797" t="n">
        <v>2152103</v>
      </c>
    </row>
    <row r="798">
      <c r="A798" s="63" t="n">
        <v>41733</v>
      </c>
      <c r="B798" t="n">
        <v>2160987</v>
      </c>
    </row>
    <row r="799">
      <c r="A799" s="63" t="n">
        <v>41740</v>
      </c>
      <c r="B799" t="n">
        <v>2169081</v>
      </c>
    </row>
    <row r="800">
      <c r="A800" s="63" t="n">
        <v>41747</v>
      </c>
      <c r="B800" t="n">
        <v>2167801</v>
      </c>
    </row>
    <row r="801">
      <c r="A801" s="63" t="n">
        <v>41754</v>
      </c>
      <c r="B801" t="n">
        <v>2169061</v>
      </c>
    </row>
    <row r="802">
      <c r="A802" s="63" t="n">
        <v>41761</v>
      </c>
      <c r="B802" t="n">
        <v>2217128</v>
      </c>
    </row>
    <row r="803">
      <c r="A803" s="63" t="n">
        <v>41768</v>
      </c>
      <c r="B803" t="n">
        <v>2167718</v>
      </c>
    </row>
    <row r="804">
      <c r="A804" s="63" t="n">
        <v>41775</v>
      </c>
      <c r="B804" t="n">
        <v>2185009</v>
      </c>
    </row>
    <row r="805">
      <c r="A805" s="63" t="n">
        <v>41782</v>
      </c>
      <c r="B805" t="n">
        <v>2163727</v>
      </c>
    </row>
    <row r="806">
      <c r="A806" s="63" t="n">
        <v>41789</v>
      </c>
      <c r="B806" t="n">
        <v>2197095</v>
      </c>
    </row>
    <row r="807">
      <c r="A807" s="63" t="n">
        <v>41796</v>
      </c>
      <c r="B807" t="n">
        <v>2172316</v>
      </c>
    </row>
    <row r="808">
      <c r="A808" s="63" t="n">
        <v>41803</v>
      </c>
      <c r="B808" t="n">
        <v>2124281</v>
      </c>
    </row>
    <row r="809">
      <c r="A809" s="63" t="n">
        <v>41810</v>
      </c>
      <c r="B809" t="n">
        <v>2079975</v>
      </c>
    </row>
    <row r="810">
      <c r="A810" s="63" t="n">
        <v>41817</v>
      </c>
      <c r="B810" t="n">
        <v>2088099</v>
      </c>
    </row>
    <row r="811">
      <c r="A811" s="63" t="n">
        <v>41824</v>
      </c>
      <c r="B811" t="n">
        <v>2070293</v>
      </c>
    </row>
    <row r="812">
      <c r="A812" s="63" t="n">
        <v>41831</v>
      </c>
      <c r="B812" t="n">
        <v>2057083</v>
      </c>
    </row>
    <row r="813">
      <c r="A813" s="63" t="n">
        <v>41838</v>
      </c>
      <c r="B813" t="n">
        <v>2062474</v>
      </c>
    </row>
    <row r="814">
      <c r="A814" s="63" t="n">
        <v>41845</v>
      </c>
      <c r="B814" t="n">
        <v>2044312</v>
      </c>
    </row>
    <row r="815">
      <c r="A815" s="63" t="n">
        <v>41852</v>
      </c>
      <c r="B815" t="n">
        <v>2059683</v>
      </c>
    </row>
    <row r="816">
      <c r="A816" s="63" t="n">
        <v>41859</v>
      </c>
      <c r="B816" t="n">
        <v>2025258</v>
      </c>
    </row>
    <row r="817">
      <c r="A817" s="63" t="n">
        <v>41866</v>
      </c>
      <c r="B817" t="n">
        <v>2023176</v>
      </c>
    </row>
    <row r="818">
      <c r="A818" s="63" t="n">
        <v>41873</v>
      </c>
      <c r="B818" t="n">
        <v>2013019</v>
      </c>
    </row>
    <row r="819">
      <c r="A819" s="63" t="n">
        <v>41880</v>
      </c>
      <c r="B819" t="n">
        <v>2038716</v>
      </c>
    </row>
    <row r="820">
      <c r="A820" s="63" t="n">
        <v>41887</v>
      </c>
      <c r="B820" t="n">
        <v>2012130</v>
      </c>
    </row>
    <row r="821">
      <c r="A821" s="63" t="n">
        <v>41894</v>
      </c>
      <c r="B821" t="n">
        <v>2003802</v>
      </c>
    </row>
    <row r="822">
      <c r="A822" s="63" t="n">
        <v>41901</v>
      </c>
      <c r="B822" t="n">
        <v>1988153</v>
      </c>
    </row>
    <row r="823">
      <c r="A823" s="63" t="n">
        <v>41908</v>
      </c>
      <c r="B823" t="n">
        <v>2038235</v>
      </c>
    </row>
    <row r="824">
      <c r="A824" s="63" t="n">
        <v>41915</v>
      </c>
      <c r="B824" t="n">
        <v>2053668</v>
      </c>
    </row>
    <row r="825">
      <c r="A825" s="63" t="n">
        <v>41922</v>
      </c>
      <c r="B825" t="n">
        <v>2042685</v>
      </c>
    </row>
    <row r="826">
      <c r="A826" s="63" t="n">
        <v>41929</v>
      </c>
      <c r="B826" t="n">
        <v>2029725</v>
      </c>
    </row>
    <row r="827">
      <c r="A827" s="63" t="n">
        <v>41936</v>
      </c>
      <c r="B827" t="n">
        <v>2032783</v>
      </c>
    </row>
    <row r="828">
      <c r="A828" s="63" t="n">
        <v>41943</v>
      </c>
      <c r="B828" t="n">
        <v>2052070</v>
      </c>
    </row>
    <row r="829">
      <c r="A829" s="63" t="n">
        <v>41950</v>
      </c>
      <c r="B829" t="n">
        <v>2029737</v>
      </c>
    </row>
    <row r="830">
      <c r="A830" s="63" t="n">
        <v>41957</v>
      </c>
      <c r="B830" t="n">
        <v>2028156</v>
      </c>
    </row>
    <row r="831">
      <c r="A831" s="63" t="n">
        <v>41964</v>
      </c>
      <c r="B831" t="n">
        <v>2033165</v>
      </c>
    </row>
    <row r="832">
      <c r="A832" s="63" t="n">
        <v>41971</v>
      </c>
      <c r="B832" t="n">
        <v>2053892</v>
      </c>
    </row>
    <row r="833">
      <c r="A833" s="63" t="n">
        <v>41978</v>
      </c>
      <c r="B833" t="n">
        <v>2038091</v>
      </c>
    </row>
    <row r="834">
      <c r="A834" s="63" t="n">
        <v>41985</v>
      </c>
      <c r="B834" t="n">
        <v>2034746</v>
      </c>
    </row>
    <row r="835">
      <c r="A835" s="63" t="n">
        <v>41992</v>
      </c>
      <c r="B835" t="n">
        <v>2134802</v>
      </c>
    </row>
    <row r="836">
      <c r="A836" s="63" t="n">
        <v>41999</v>
      </c>
      <c r="B836" t="n">
        <v>2150247</v>
      </c>
    </row>
    <row r="837">
      <c r="A837" s="63" t="n">
        <v>42006</v>
      </c>
      <c r="B837" t="n">
        <v>2215995</v>
      </c>
    </row>
    <row r="838">
      <c r="A838" s="63" t="n">
        <v>42013</v>
      </c>
      <c r="B838" t="n">
        <v>2168821</v>
      </c>
    </row>
    <row r="839">
      <c r="A839" s="63" t="n">
        <v>42020</v>
      </c>
      <c r="B839" t="n">
        <v>2158222</v>
      </c>
    </row>
    <row r="840">
      <c r="A840" s="63" t="n">
        <v>42027</v>
      </c>
      <c r="B840" t="n">
        <v>2159796</v>
      </c>
    </row>
    <row r="841">
      <c r="A841" s="63" t="n">
        <v>42034</v>
      </c>
      <c r="B841" t="n">
        <v>2181954</v>
      </c>
    </row>
    <row r="842">
      <c r="A842" s="63" t="n">
        <v>42041</v>
      </c>
      <c r="B842" t="n">
        <v>2150212</v>
      </c>
    </row>
    <row r="843">
      <c r="A843" s="63" t="n">
        <v>42048</v>
      </c>
      <c r="B843" t="n">
        <v>2153125</v>
      </c>
    </row>
    <row r="844">
      <c r="A844" s="63" t="n">
        <v>42055</v>
      </c>
      <c r="B844" t="n">
        <v>2167794</v>
      </c>
    </row>
    <row r="845">
      <c r="A845" s="63" t="n">
        <v>42062</v>
      </c>
      <c r="B845" t="n">
        <v>2155836</v>
      </c>
    </row>
    <row r="846">
      <c r="A846" s="63" t="n">
        <v>42069</v>
      </c>
      <c r="B846" t="n">
        <v>2134819</v>
      </c>
    </row>
    <row r="847">
      <c r="A847" s="63" t="n">
        <v>42076</v>
      </c>
      <c r="B847" t="n">
        <v>2142116</v>
      </c>
    </row>
    <row r="848">
      <c r="A848" s="63" t="n">
        <v>42083</v>
      </c>
      <c r="B848" t="n">
        <v>2157841</v>
      </c>
    </row>
    <row r="849">
      <c r="A849" s="63" t="n">
        <v>42090</v>
      </c>
      <c r="B849" t="n">
        <v>2250801</v>
      </c>
    </row>
    <row r="850">
      <c r="A850" s="63" t="n">
        <v>42097</v>
      </c>
      <c r="B850" t="n">
        <v>2334126</v>
      </c>
    </row>
    <row r="851">
      <c r="A851" s="63" t="n">
        <v>42104</v>
      </c>
      <c r="B851" t="n">
        <v>2348963</v>
      </c>
    </row>
    <row r="852">
      <c r="A852" s="63" t="n">
        <v>42111</v>
      </c>
      <c r="B852" t="n">
        <v>2344062</v>
      </c>
    </row>
    <row r="853">
      <c r="A853" s="63" t="n">
        <v>42118</v>
      </c>
      <c r="B853" t="n">
        <v>2360790</v>
      </c>
    </row>
    <row r="854">
      <c r="A854" s="63" t="n">
        <v>42125</v>
      </c>
      <c r="B854" t="n">
        <v>2372553</v>
      </c>
    </row>
    <row r="855">
      <c r="A855" s="63" t="n">
        <v>42132</v>
      </c>
      <c r="B855" t="n">
        <v>2377854</v>
      </c>
    </row>
    <row r="856">
      <c r="A856" s="63" t="n">
        <v>42139</v>
      </c>
      <c r="B856" t="n">
        <v>2388627</v>
      </c>
    </row>
    <row r="857">
      <c r="A857" s="63" t="n">
        <v>42146</v>
      </c>
      <c r="B857" t="n">
        <v>2402553</v>
      </c>
    </row>
    <row r="858">
      <c r="A858" s="63" t="n">
        <v>42153</v>
      </c>
      <c r="B858" t="n">
        <v>2416666</v>
      </c>
    </row>
    <row r="859">
      <c r="A859" s="63" t="n">
        <v>42160</v>
      </c>
      <c r="B859" t="n">
        <v>2428326</v>
      </c>
    </row>
    <row r="860">
      <c r="A860" s="63" t="n">
        <v>42167</v>
      </c>
      <c r="B860" t="n">
        <v>2442098</v>
      </c>
    </row>
    <row r="861">
      <c r="A861" s="63" t="n">
        <v>42174</v>
      </c>
      <c r="B861" t="n">
        <v>2451947</v>
      </c>
    </row>
    <row r="862">
      <c r="A862" s="63" t="n">
        <v>42181</v>
      </c>
      <c r="B862" t="n">
        <v>2539544</v>
      </c>
    </row>
    <row r="863">
      <c r="A863" s="63" t="n">
        <v>42188</v>
      </c>
      <c r="B863" t="n">
        <v>2497003</v>
      </c>
    </row>
    <row r="864">
      <c r="A864" s="63" t="n">
        <v>42195</v>
      </c>
      <c r="B864" t="n">
        <v>2508195</v>
      </c>
    </row>
    <row r="865">
      <c r="A865" s="63" t="n">
        <v>42202</v>
      </c>
      <c r="B865" t="n">
        <v>2518972</v>
      </c>
    </row>
    <row r="866">
      <c r="A866" s="63" t="n">
        <v>42209</v>
      </c>
      <c r="B866" t="n">
        <v>2525159</v>
      </c>
    </row>
    <row r="867">
      <c r="A867" s="63" t="n">
        <v>42216</v>
      </c>
      <c r="B867" t="n">
        <v>2536592</v>
      </c>
    </row>
    <row r="868">
      <c r="A868" s="63" t="n">
        <v>42223</v>
      </c>
      <c r="B868" t="n">
        <v>2536634</v>
      </c>
    </row>
    <row r="869">
      <c r="A869" s="63" t="n">
        <v>42230</v>
      </c>
      <c r="B869" t="n">
        <v>2541947</v>
      </c>
    </row>
    <row r="870">
      <c r="A870" s="63" t="n">
        <v>42237</v>
      </c>
      <c r="B870" t="n">
        <v>2549254</v>
      </c>
    </row>
    <row r="871">
      <c r="A871" s="63" t="n">
        <v>42244</v>
      </c>
      <c r="B871" t="n">
        <v>2558780</v>
      </c>
    </row>
    <row r="872">
      <c r="A872" s="63" t="n">
        <v>42251</v>
      </c>
      <c r="B872" t="n">
        <v>2568311</v>
      </c>
    </row>
    <row r="873">
      <c r="A873" s="63" t="n">
        <v>42258</v>
      </c>
      <c r="B873" t="n">
        <v>2587280</v>
      </c>
    </row>
    <row r="874">
      <c r="A874" s="63" t="n">
        <v>42265</v>
      </c>
      <c r="B874" t="n">
        <v>2602314</v>
      </c>
    </row>
    <row r="875">
      <c r="A875" s="63" t="n">
        <v>42272</v>
      </c>
      <c r="B875" t="n">
        <v>2620631</v>
      </c>
    </row>
    <row r="876">
      <c r="A876" s="63" t="n">
        <v>42279</v>
      </c>
      <c r="B876" t="n">
        <v>2626835</v>
      </c>
    </row>
    <row r="877">
      <c r="A877" s="63" t="n">
        <v>42286</v>
      </c>
      <c r="B877" t="n">
        <v>2632300</v>
      </c>
    </row>
    <row r="878">
      <c r="A878" s="63" t="n">
        <v>42293</v>
      </c>
      <c r="B878" t="n">
        <v>2640557</v>
      </c>
    </row>
    <row r="879">
      <c r="A879" s="63" t="n">
        <v>42300</v>
      </c>
      <c r="B879" t="n">
        <v>2653233</v>
      </c>
    </row>
    <row r="880">
      <c r="A880" s="63" t="n">
        <v>42307</v>
      </c>
      <c r="B880" t="n">
        <v>2664996</v>
      </c>
    </row>
    <row r="881">
      <c r="A881" s="63" t="n">
        <v>42314</v>
      </c>
      <c r="B881" t="n">
        <v>2668903</v>
      </c>
    </row>
    <row r="882">
      <c r="A882" s="63" t="n">
        <v>42321</v>
      </c>
      <c r="B882" t="n">
        <v>2682374</v>
      </c>
    </row>
    <row r="883">
      <c r="A883" s="63" t="n">
        <v>42328</v>
      </c>
      <c r="B883" t="n">
        <v>2692443</v>
      </c>
    </row>
    <row r="884">
      <c r="A884" s="63" t="n">
        <v>42335</v>
      </c>
      <c r="B884" t="n">
        <v>2706740</v>
      </c>
    </row>
    <row r="885">
      <c r="A885" s="63" t="n">
        <v>42342</v>
      </c>
      <c r="B885" t="n">
        <v>2718650</v>
      </c>
    </row>
    <row r="886">
      <c r="A886" s="63" t="n">
        <v>42349</v>
      </c>
      <c r="B886" t="n">
        <v>2731936</v>
      </c>
    </row>
    <row r="887">
      <c r="A887" s="63" t="n">
        <v>42356</v>
      </c>
      <c r="B887" t="n">
        <v>2759255</v>
      </c>
    </row>
    <row r="888">
      <c r="A888" s="63" t="n">
        <v>42363</v>
      </c>
      <c r="B888" t="n">
        <v>2767815</v>
      </c>
    </row>
    <row r="889">
      <c r="A889" s="63" t="n">
        <v>42370</v>
      </c>
      <c r="B889" t="n">
        <v>2781145</v>
      </c>
    </row>
    <row r="890">
      <c r="A890" s="63" t="n">
        <v>42377</v>
      </c>
      <c r="B890" t="n">
        <v>2766889</v>
      </c>
    </row>
    <row r="891">
      <c r="A891" s="63" t="n">
        <v>42384</v>
      </c>
      <c r="B891" t="n">
        <v>2778265</v>
      </c>
    </row>
    <row r="892">
      <c r="A892" s="63" t="n">
        <v>42391</v>
      </c>
      <c r="B892" t="n">
        <v>2794527</v>
      </c>
    </row>
    <row r="893">
      <c r="A893" s="63" t="n">
        <v>42398</v>
      </c>
      <c r="B893" t="n">
        <v>2808331</v>
      </c>
    </row>
    <row r="894">
      <c r="A894" s="63" t="n">
        <v>42405</v>
      </c>
      <c r="B894" t="n">
        <v>2811913</v>
      </c>
    </row>
    <row r="895">
      <c r="A895" s="63" t="n">
        <v>42412</v>
      </c>
      <c r="B895" t="n">
        <v>2827603</v>
      </c>
    </row>
    <row r="896">
      <c r="A896" s="63" t="n">
        <v>42419</v>
      </c>
      <c r="B896" t="n">
        <v>2837575</v>
      </c>
    </row>
    <row r="897">
      <c r="A897" s="63" t="n">
        <v>42426</v>
      </c>
      <c r="B897" t="n">
        <v>2850299</v>
      </c>
    </row>
    <row r="898">
      <c r="A898" s="63" t="n">
        <v>42433</v>
      </c>
      <c r="B898" t="n">
        <v>2859841</v>
      </c>
    </row>
    <row r="899">
      <c r="A899" s="63" t="n">
        <v>42440</v>
      </c>
      <c r="B899" t="n">
        <v>2872321</v>
      </c>
    </row>
    <row r="900">
      <c r="A900" s="63" t="n">
        <v>42447</v>
      </c>
      <c r="B900" t="n">
        <v>2886198</v>
      </c>
    </row>
    <row r="901">
      <c r="A901" s="63" t="n">
        <v>42454</v>
      </c>
      <c r="B901" t="n">
        <v>2897696</v>
      </c>
    </row>
    <row r="902">
      <c r="A902" s="63" t="n">
        <v>42461</v>
      </c>
      <c r="B902" t="n">
        <v>2941761</v>
      </c>
    </row>
    <row r="903">
      <c r="A903" s="63" t="n">
        <v>42468</v>
      </c>
      <c r="B903" t="n">
        <v>2953136</v>
      </c>
    </row>
    <row r="904">
      <c r="A904" s="63" t="n">
        <v>42475</v>
      </c>
      <c r="B904" t="n">
        <v>2966107</v>
      </c>
    </row>
    <row r="905">
      <c r="A905" s="63" t="n">
        <v>42482</v>
      </c>
      <c r="B905" t="n">
        <v>2983183</v>
      </c>
    </row>
    <row r="906">
      <c r="A906" s="63" t="n">
        <v>42489</v>
      </c>
      <c r="B906" t="n">
        <v>3000759</v>
      </c>
    </row>
    <row r="907">
      <c r="A907" s="63" t="n">
        <v>42496</v>
      </c>
      <c r="B907" t="n">
        <v>3017789</v>
      </c>
    </row>
    <row r="908">
      <c r="A908" s="63" t="n">
        <v>42503</v>
      </c>
      <c r="B908" t="n">
        <v>3032840</v>
      </c>
    </row>
    <row r="909">
      <c r="A909" s="63" t="n">
        <v>42510</v>
      </c>
      <c r="B909" t="n">
        <v>3054101</v>
      </c>
    </row>
    <row r="910">
      <c r="A910" s="63" t="n">
        <v>42517</v>
      </c>
      <c r="B910" t="n">
        <v>3067481</v>
      </c>
    </row>
    <row r="911">
      <c r="A911" s="63" t="n">
        <v>42524</v>
      </c>
      <c r="B911" t="n">
        <v>3078612</v>
      </c>
    </row>
    <row r="912">
      <c r="A912" s="63" t="n">
        <v>42531</v>
      </c>
      <c r="B912" t="n">
        <v>3093866</v>
      </c>
    </row>
    <row r="913">
      <c r="A913" s="63" t="n">
        <v>42538</v>
      </c>
      <c r="B913" t="n">
        <v>3109588</v>
      </c>
    </row>
    <row r="914">
      <c r="A914" s="63" t="n">
        <v>42545</v>
      </c>
      <c r="B914" t="n">
        <v>3131095</v>
      </c>
    </row>
    <row r="915">
      <c r="A915" s="63" t="n">
        <v>42552</v>
      </c>
      <c r="B915" t="n">
        <v>3232618</v>
      </c>
    </row>
    <row r="916">
      <c r="A916" s="63" t="n">
        <v>42559</v>
      </c>
      <c r="B916" t="n">
        <v>3237920</v>
      </c>
    </row>
    <row r="917">
      <c r="A917" s="63" t="n">
        <v>42566</v>
      </c>
      <c r="B917" t="n">
        <v>3249177</v>
      </c>
    </row>
    <row r="918">
      <c r="A918" s="63" t="n">
        <v>42573</v>
      </c>
      <c r="B918" t="n">
        <v>3265838</v>
      </c>
    </row>
    <row r="919">
      <c r="A919" s="63" t="n">
        <v>42580</v>
      </c>
      <c r="B919" t="n">
        <v>3284309</v>
      </c>
    </row>
    <row r="920">
      <c r="A920" s="63" t="n">
        <v>42587</v>
      </c>
      <c r="B920" t="n">
        <v>3286139</v>
      </c>
    </row>
    <row r="921">
      <c r="A921" s="63" t="n">
        <v>42594</v>
      </c>
      <c r="B921" t="n">
        <v>3296568</v>
      </c>
    </row>
    <row r="922">
      <c r="A922" s="63" t="n">
        <v>42601</v>
      </c>
      <c r="B922" t="n">
        <v>3313323</v>
      </c>
    </row>
    <row r="923">
      <c r="A923" s="63" t="n">
        <v>42608</v>
      </c>
      <c r="B923" t="n">
        <v>3330487</v>
      </c>
    </row>
    <row r="924">
      <c r="A924" s="63" t="n">
        <v>42615</v>
      </c>
      <c r="B924" t="n">
        <v>3341775</v>
      </c>
    </row>
    <row r="925">
      <c r="A925" s="63" t="n">
        <v>42622</v>
      </c>
      <c r="B925" t="n">
        <v>3358742</v>
      </c>
    </row>
    <row r="926">
      <c r="A926" s="63" t="n">
        <v>42629</v>
      </c>
      <c r="B926" t="n">
        <v>3372373</v>
      </c>
    </row>
    <row r="927">
      <c r="A927" s="63" t="n">
        <v>42636</v>
      </c>
      <c r="B927" t="n">
        <v>3391402</v>
      </c>
    </row>
    <row r="928">
      <c r="A928" s="63" t="n">
        <v>42643</v>
      </c>
      <c r="B928" t="n">
        <v>3438145</v>
      </c>
    </row>
    <row r="929">
      <c r="A929" s="63" t="n">
        <v>42650</v>
      </c>
      <c r="B929" t="n">
        <v>3451426</v>
      </c>
    </row>
    <row r="930">
      <c r="A930" s="63" t="n">
        <v>42657</v>
      </c>
      <c r="B930" t="n">
        <v>3469281</v>
      </c>
    </row>
    <row r="931">
      <c r="A931" s="63" t="n">
        <v>42664</v>
      </c>
      <c r="B931" t="n">
        <v>3494929</v>
      </c>
    </row>
    <row r="932">
      <c r="A932" s="63" t="n">
        <v>42671</v>
      </c>
      <c r="B932" t="n">
        <v>3507401</v>
      </c>
    </row>
    <row r="933">
      <c r="A933" s="63" t="n">
        <v>42678</v>
      </c>
      <c r="B933" t="n">
        <v>3518455</v>
      </c>
    </row>
    <row r="934">
      <c r="A934" s="63" t="n">
        <v>42685</v>
      </c>
      <c r="B934" t="n">
        <v>3534266</v>
      </c>
    </row>
    <row r="935">
      <c r="A935" s="63" t="n">
        <v>42692</v>
      </c>
      <c r="B935" t="n">
        <v>3553353</v>
      </c>
    </row>
    <row r="936">
      <c r="A936" s="63" t="n">
        <v>42699</v>
      </c>
      <c r="B936" t="n">
        <v>3566230</v>
      </c>
    </row>
    <row r="937">
      <c r="A937" s="63" t="n">
        <v>42706</v>
      </c>
      <c r="B937" t="n">
        <v>3587380</v>
      </c>
    </row>
    <row r="938">
      <c r="A938" s="63" t="n">
        <v>42713</v>
      </c>
      <c r="B938" t="n">
        <v>3609773</v>
      </c>
    </row>
    <row r="939">
      <c r="A939" s="63" t="n">
        <v>42720</v>
      </c>
      <c r="B939" t="n">
        <v>3630732</v>
      </c>
    </row>
    <row r="940">
      <c r="A940" s="63" t="n">
        <v>42727</v>
      </c>
      <c r="B940" t="n">
        <v>3685708</v>
      </c>
    </row>
    <row r="941">
      <c r="A941" s="63" t="n">
        <v>42734</v>
      </c>
      <c r="B941" t="n">
        <v>3662901</v>
      </c>
    </row>
    <row r="942">
      <c r="A942" s="63" t="n">
        <v>42741</v>
      </c>
      <c r="B942" t="n">
        <v>3672638</v>
      </c>
    </row>
    <row r="943">
      <c r="A943" s="63" t="n">
        <v>42748</v>
      </c>
      <c r="B943" t="n">
        <v>3697302</v>
      </c>
    </row>
    <row r="944">
      <c r="A944" s="63" t="n">
        <v>42755</v>
      </c>
      <c r="B944" t="n">
        <v>3719624</v>
      </c>
    </row>
    <row r="945">
      <c r="A945" s="63" t="n">
        <v>42762</v>
      </c>
      <c r="B945" t="n">
        <v>3740766</v>
      </c>
    </row>
    <row r="946">
      <c r="A946" s="63" t="n">
        <v>42769</v>
      </c>
      <c r="B946" t="n">
        <v>3749499</v>
      </c>
    </row>
    <row r="947">
      <c r="A947" s="63" t="n">
        <v>42776</v>
      </c>
      <c r="B947" t="n">
        <v>3770942</v>
      </c>
    </row>
    <row r="948">
      <c r="A948" s="63" t="n">
        <v>42783</v>
      </c>
      <c r="B948" t="n">
        <v>3787893</v>
      </c>
    </row>
    <row r="949">
      <c r="A949" s="63" t="n">
        <v>42790</v>
      </c>
      <c r="B949" t="n">
        <v>3808242</v>
      </c>
    </row>
    <row r="950">
      <c r="A950" s="63" t="n">
        <v>42797</v>
      </c>
      <c r="B950" t="n">
        <v>3820341</v>
      </c>
    </row>
    <row r="951">
      <c r="A951" s="63" t="n">
        <v>42804</v>
      </c>
      <c r="B951" t="n">
        <v>3839855</v>
      </c>
    </row>
    <row r="952">
      <c r="A952" s="63" t="n">
        <v>42811</v>
      </c>
      <c r="B952" t="n">
        <v>3856913</v>
      </c>
    </row>
    <row r="953">
      <c r="A953" s="63" t="n">
        <v>42818</v>
      </c>
      <c r="B953" t="n">
        <v>3877037</v>
      </c>
    </row>
    <row r="954">
      <c r="A954" s="63" t="n">
        <v>42825</v>
      </c>
      <c r="B954" t="n">
        <v>4100730</v>
      </c>
    </row>
    <row r="955">
      <c r="A955" s="63" t="n">
        <v>42832</v>
      </c>
      <c r="B955" t="n">
        <v>4116353</v>
      </c>
    </row>
    <row r="956">
      <c r="A956" s="63" t="n">
        <v>42839</v>
      </c>
      <c r="B956" t="n">
        <v>4129996</v>
      </c>
    </row>
    <row r="957">
      <c r="A957" s="63" t="n">
        <v>42846</v>
      </c>
      <c r="B957" t="n">
        <v>4139398</v>
      </c>
    </row>
    <row r="958">
      <c r="A958" s="63" t="n">
        <v>42853</v>
      </c>
      <c r="B958" t="n">
        <v>4148032</v>
      </c>
    </row>
    <row r="959">
      <c r="A959" s="63" t="n">
        <v>42860</v>
      </c>
      <c r="B959" t="n">
        <v>4156826</v>
      </c>
    </row>
    <row r="960">
      <c r="A960" s="63" t="n">
        <v>42867</v>
      </c>
      <c r="B960" t="n">
        <v>4170588</v>
      </c>
    </row>
    <row r="961">
      <c r="A961" s="63" t="n">
        <v>42874</v>
      </c>
      <c r="B961" t="n">
        <v>4185693</v>
      </c>
    </row>
    <row r="962">
      <c r="A962" s="63" t="n">
        <v>42881</v>
      </c>
      <c r="B962" t="n">
        <v>4195685</v>
      </c>
    </row>
    <row r="963">
      <c r="A963" s="63" t="n">
        <v>42888</v>
      </c>
      <c r="B963" t="n">
        <v>4204543</v>
      </c>
    </row>
    <row r="964">
      <c r="A964" s="63" t="n">
        <v>42895</v>
      </c>
      <c r="B964" t="n">
        <v>4218129</v>
      </c>
    </row>
    <row r="965">
      <c r="A965" s="63" t="n">
        <v>42902</v>
      </c>
      <c r="B965" t="n">
        <v>4232941</v>
      </c>
    </row>
    <row r="966">
      <c r="A966" s="63" t="n">
        <v>42909</v>
      </c>
      <c r="B966" t="n">
        <v>4246150</v>
      </c>
    </row>
    <row r="967">
      <c r="A967" s="63" t="n">
        <v>42916</v>
      </c>
      <c r="B967" t="n">
        <v>4209510</v>
      </c>
    </row>
    <row r="968">
      <c r="A968" s="63" t="n">
        <v>42923</v>
      </c>
      <c r="B968" t="n">
        <v>4214696</v>
      </c>
    </row>
    <row r="969">
      <c r="A969" s="63" t="n">
        <v>42930</v>
      </c>
      <c r="B969" t="n">
        <v>4229286</v>
      </c>
    </row>
    <row r="970">
      <c r="A970" s="63" t="n">
        <v>42937</v>
      </c>
      <c r="B970" t="n">
        <v>4235758</v>
      </c>
    </row>
    <row r="971">
      <c r="A971" s="63" t="n">
        <v>42944</v>
      </c>
      <c r="B971" t="n">
        <v>4248280</v>
      </c>
    </row>
    <row r="972">
      <c r="A972" s="63" t="n">
        <v>42951</v>
      </c>
      <c r="B972" t="n">
        <v>4246485</v>
      </c>
    </row>
    <row r="973">
      <c r="A973" s="63" t="n">
        <v>42958</v>
      </c>
      <c r="B973" t="n">
        <v>4255955</v>
      </c>
    </row>
    <row r="974">
      <c r="A974" s="63" t="n">
        <v>42965</v>
      </c>
      <c r="B974" t="n">
        <v>4265713</v>
      </c>
    </row>
    <row r="975">
      <c r="A975" s="63" t="n">
        <v>42972</v>
      </c>
      <c r="B975" t="n">
        <v>4278881</v>
      </c>
    </row>
    <row r="976">
      <c r="A976" s="63" t="n">
        <v>42979</v>
      </c>
      <c r="B976" t="n">
        <v>4283727</v>
      </c>
    </row>
    <row r="977">
      <c r="A977" s="63" t="n">
        <v>42986</v>
      </c>
      <c r="B977" t="n">
        <v>4299776</v>
      </c>
    </row>
    <row r="978">
      <c r="A978" s="63" t="n">
        <v>42993</v>
      </c>
      <c r="B978" t="n">
        <v>4308875</v>
      </c>
    </row>
    <row r="979">
      <c r="A979" s="63" t="n">
        <v>43000</v>
      </c>
      <c r="B979" t="n">
        <v>4328211</v>
      </c>
    </row>
    <row r="980">
      <c r="A980" s="63" t="n">
        <v>43007</v>
      </c>
      <c r="B980" t="n">
        <v>4318624</v>
      </c>
    </row>
    <row r="981">
      <c r="A981" s="63" t="n">
        <v>43014</v>
      </c>
      <c r="B981" t="n">
        <v>4337684</v>
      </c>
    </row>
    <row r="982">
      <c r="A982" s="63" t="n">
        <v>43021</v>
      </c>
      <c r="B982" t="n">
        <v>4371623</v>
      </c>
    </row>
    <row r="983">
      <c r="A983" s="63" t="n">
        <v>43028</v>
      </c>
      <c r="B983" t="n">
        <v>4363408</v>
      </c>
    </row>
    <row r="984">
      <c r="A984" s="63" t="n">
        <v>43035</v>
      </c>
      <c r="B984" t="n">
        <v>4371222</v>
      </c>
    </row>
    <row r="985">
      <c r="A985" s="63" t="n">
        <v>43042</v>
      </c>
      <c r="B985" t="n">
        <v>4373200</v>
      </c>
    </row>
    <row r="986">
      <c r="A986" s="63" t="n">
        <v>43049</v>
      </c>
      <c r="B986" t="n">
        <v>4387732</v>
      </c>
    </row>
    <row r="987">
      <c r="A987" s="63" t="n">
        <v>43056</v>
      </c>
      <c r="B987" t="n">
        <v>4411864</v>
      </c>
    </row>
    <row r="988">
      <c r="A988" s="63" t="n">
        <v>43063</v>
      </c>
      <c r="B988" t="n">
        <v>4427474</v>
      </c>
    </row>
    <row r="989">
      <c r="A989" s="63" t="n">
        <v>43070</v>
      </c>
      <c r="B989" t="n">
        <v>4440791</v>
      </c>
    </row>
    <row r="990">
      <c r="A990" s="63" t="n">
        <v>43077</v>
      </c>
      <c r="B990" t="n">
        <v>4456579</v>
      </c>
    </row>
    <row r="991">
      <c r="A991" s="63" t="n">
        <v>43084</v>
      </c>
      <c r="B991" t="n">
        <v>4471856</v>
      </c>
    </row>
    <row r="992">
      <c r="A992" s="63" t="n">
        <v>43091</v>
      </c>
      <c r="B992" t="n">
        <v>4487284</v>
      </c>
    </row>
    <row r="993">
      <c r="A993" s="63" t="n">
        <v>43098</v>
      </c>
      <c r="B993" t="n">
        <v>4471563</v>
      </c>
    </row>
    <row r="994">
      <c r="A994" s="63" t="n">
        <v>43105</v>
      </c>
      <c r="B994" t="n">
        <v>4466001</v>
      </c>
    </row>
    <row r="995">
      <c r="A995" s="63" t="n">
        <v>43112</v>
      </c>
      <c r="B995" t="n">
        <v>4472739</v>
      </c>
    </row>
    <row r="996">
      <c r="A996" s="63" t="n">
        <v>43119</v>
      </c>
      <c r="B996" t="n">
        <v>4484003</v>
      </c>
    </row>
    <row r="997">
      <c r="A997" s="63" t="n">
        <v>43126</v>
      </c>
      <c r="B997" t="n">
        <v>4493058</v>
      </c>
    </row>
    <row r="998">
      <c r="A998" s="63" t="n">
        <v>43133</v>
      </c>
      <c r="B998" t="n">
        <v>4491151</v>
      </c>
    </row>
    <row r="999">
      <c r="A999" s="63" t="n">
        <v>43140</v>
      </c>
      <c r="B999" t="n">
        <v>4493672</v>
      </c>
    </row>
    <row r="1000">
      <c r="A1000" s="63" t="n">
        <v>43147</v>
      </c>
      <c r="B1000" t="n">
        <v>4504781</v>
      </c>
    </row>
    <row r="1001">
      <c r="A1001" s="63" t="n">
        <v>43154</v>
      </c>
      <c r="B1001" t="n">
        <v>4511540</v>
      </c>
    </row>
    <row r="1002">
      <c r="A1002" s="63" t="n">
        <v>43161</v>
      </c>
      <c r="B1002" t="n">
        <v>4519360</v>
      </c>
    </row>
    <row r="1003">
      <c r="A1003" s="63" t="n">
        <v>43168</v>
      </c>
      <c r="B1003" t="n">
        <v>4530083</v>
      </c>
    </row>
    <row r="1004">
      <c r="A1004" s="63" t="n">
        <v>43175</v>
      </c>
      <c r="B1004" t="n">
        <v>4532642</v>
      </c>
    </row>
    <row r="1005">
      <c r="A1005" s="63" t="n">
        <v>43182</v>
      </c>
      <c r="B1005" t="n">
        <v>4539072</v>
      </c>
    </row>
    <row r="1006">
      <c r="A1006" s="63" t="n">
        <v>43189</v>
      </c>
      <c r="B1006" t="n">
        <v>4529579</v>
      </c>
    </row>
    <row r="1007">
      <c r="A1007" s="63" t="n">
        <v>43196</v>
      </c>
      <c r="B1007" t="n">
        <v>4531497</v>
      </c>
    </row>
    <row r="1008">
      <c r="A1008" s="63" t="n">
        <v>43203</v>
      </c>
      <c r="B1008" t="n">
        <v>4548153</v>
      </c>
    </row>
    <row r="1009">
      <c r="A1009" s="63" t="n">
        <v>43210</v>
      </c>
      <c r="B1009" t="n">
        <v>4543973</v>
      </c>
    </row>
    <row r="1010">
      <c r="A1010" s="63" t="n">
        <v>43217</v>
      </c>
      <c r="B1010" t="n">
        <v>4554344</v>
      </c>
    </row>
    <row r="1011">
      <c r="A1011" s="63" t="n">
        <v>43224</v>
      </c>
      <c r="B1011" t="n">
        <v>4552564</v>
      </c>
    </row>
    <row r="1012">
      <c r="A1012" s="63" t="n">
        <v>43231</v>
      </c>
      <c r="B1012" t="n">
        <v>4562061</v>
      </c>
    </row>
    <row r="1013">
      <c r="A1013" s="63" t="n">
        <v>43238</v>
      </c>
      <c r="B1013" t="n">
        <v>4561577</v>
      </c>
    </row>
    <row r="1014">
      <c r="A1014" s="63" t="n">
        <v>43245</v>
      </c>
      <c r="B1014" t="n">
        <v>4562651</v>
      </c>
    </row>
    <row r="1015">
      <c r="A1015" s="63" t="n">
        <v>43252</v>
      </c>
      <c r="B1015" t="n">
        <v>4567744</v>
      </c>
    </row>
    <row r="1016">
      <c r="A1016" s="63" t="n">
        <v>43259</v>
      </c>
      <c r="B1016" t="n">
        <v>4577214</v>
      </c>
    </row>
    <row r="1017">
      <c r="A1017" s="63" t="n">
        <v>43266</v>
      </c>
      <c r="B1017" t="n">
        <v>4578465</v>
      </c>
    </row>
    <row r="1018">
      <c r="A1018" s="63" t="n">
        <v>43273</v>
      </c>
      <c r="B1018" t="n">
        <v>4585571</v>
      </c>
    </row>
    <row r="1019">
      <c r="A1019" s="63" t="n">
        <v>43280</v>
      </c>
      <c r="B1019" t="n">
        <v>4592518</v>
      </c>
    </row>
    <row r="1020">
      <c r="A1020" s="63" t="n">
        <v>43287</v>
      </c>
      <c r="B1020" t="n">
        <v>4591235</v>
      </c>
    </row>
    <row r="1021">
      <c r="A1021" s="63" t="n">
        <v>43294</v>
      </c>
      <c r="B1021" t="n">
        <v>4599857</v>
      </c>
    </row>
    <row r="1022">
      <c r="A1022" s="63" t="n">
        <v>43301</v>
      </c>
      <c r="B1022" t="n">
        <v>4605004</v>
      </c>
    </row>
    <row r="1023">
      <c r="A1023" s="63" t="n">
        <v>43308</v>
      </c>
      <c r="B1023" t="n">
        <v>4612006</v>
      </c>
    </row>
    <row r="1024">
      <c r="A1024" s="63" t="n">
        <v>43315</v>
      </c>
      <c r="B1024" t="n">
        <v>4602258</v>
      </c>
    </row>
    <row r="1025">
      <c r="A1025" s="63" t="n">
        <v>43322</v>
      </c>
      <c r="B1025" t="n">
        <v>4608108</v>
      </c>
    </row>
    <row r="1026">
      <c r="A1026" s="63" t="n">
        <v>43329</v>
      </c>
      <c r="B1026" t="n">
        <v>4614032</v>
      </c>
    </row>
    <row r="1027">
      <c r="A1027" s="63" t="n">
        <v>43336</v>
      </c>
      <c r="B1027" t="n">
        <v>4619437</v>
      </c>
    </row>
    <row r="1028">
      <c r="A1028" s="63" t="n">
        <v>43343</v>
      </c>
      <c r="B1028" t="n">
        <v>4621355</v>
      </c>
    </row>
    <row r="1029">
      <c r="A1029" s="63" t="n">
        <v>43350</v>
      </c>
      <c r="B1029" t="n">
        <v>4633963</v>
      </c>
    </row>
    <row r="1030">
      <c r="A1030" s="63" t="n">
        <v>43357</v>
      </c>
      <c r="B1030" t="n">
        <v>4638843</v>
      </c>
    </row>
    <row r="1031">
      <c r="A1031" s="63" t="n">
        <v>43364</v>
      </c>
      <c r="B1031" t="n">
        <v>4645821</v>
      </c>
    </row>
    <row r="1032">
      <c r="A1032" s="63" t="n">
        <v>43371</v>
      </c>
      <c r="B1032" t="n">
        <v>4619792</v>
      </c>
    </row>
    <row r="1033">
      <c r="A1033" s="63" t="n">
        <v>43378</v>
      </c>
      <c r="B1033" t="n">
        <v>4625045</v>
      </c>
    </row>
    <row r="1034">
      <c r="A1034" s="63" t="n">
        <v>43385</v>
      </c>
      <c r="B1034" t="n">
        <v>4632893</v>
      </c>
    </row>
    <row r="1035">
      <c r="A1035" s="63" t="n">
        <v>43392</v>
      </c>
      <c r="B1035" t="n">
        <v>4628278</v>
      </c>
    </row>
    <row r="1036">
      <c r="A1036" s="63" t="n">
        <v>43399</v>
      </c>
      <c r="B1036" t="n">
        <v>4624792</v>
      </c>
    </row>
    <row r="1037">
      <c r="A1037" s="63" t="n">
        <v>43406</v>
      </c>
      <c r="B1037" t="n">
        <v>4622163</v>
      </c>
    </row>
    <row r="1038">
      <c r="A1038" s="63" t="n">
        <v>43413</v>
      </c>
      <c r="B1038" t="n">
        <v>4626222</v>
      </c>
    </row>
    <row r="1039">
      <c r="A1039" s="63" t="n">
        <v>43420</v>
      </c>
      <c r="B1039" t="n">
        <v>4638303</v>
      </c>
    </row>
    <row r="1040">
      <c r="A1040" s="63" t="n">
        <v>43427</v>
      </c>
      <c r="B1040" t="n">
        <v>4646891</v>
      </c>
    </row>
    <row r="1041">
      <c r="A1041" s="63" t="n">
        <v>43434</v>
      </c>
      <c r="B1041" t="n">
        <v>4660299</v>
      </c>
    </row>
    <row r="1042">
      <c r="A1042" s="63" t="n">
        <v>43441</v>
      </c>
      <c r="B1042" t="n">
        <v>4662985</v>
      </c>
    </row>
    <row r="1043">
      <c r="A1043" s="63" t="n">
        <v>43448</v>
      </c>
      <c r="B1043" t="n">
        <v>4668116</v>
      </c>
    </row>
    <row r="1044">
      <c r="A1044" s="63" t="n">
        <v>43455</v>
      </c>
      <c r="B1044" t="n">
        <v>4674919</v>
      </c>
    </row>
    <row r="1045">
      <c r="A1045" s="63" t="n">
        <v>43462</v>
      </c>
      <c r="B1045" t="n">
        <v>4669003</v>
      </c>
    </row>
    <row r="1046">
      <c r="A1046" s="63" t="n">
        <v>43469</v>
      </c>
      <c r="B1046" t="n">
        <v>4694301</v>
      </c>
    </row>
    <row r="1047">
      <c r="A1047" s="63" t="n">
        <v>43476</v>
      </c>
      <c r="B1047" t="n">
        <v>4703402</v>
      </c>
    </row>
    <row r="1048">
      <c r="A1048" s="63" t="n">
        <v>43483</v>
      </c>
      <c r="B1048" t="n">
        <v>4705948</v>
      </c>
    </row>
    <row r="1049">
      <c r="A1049" s="63" t="n">
        <v>43490</v>
      </c>
      <c r="B1049" t="n">
        <v>4708899</v>
      </c>
    </row>
    <row r="1050">
      <c r="A1050" s="63" t="n">
        <v>43497</v>
      </c>
      <c r="B1050" t="n">
        <v>4695505</v>
      </c>
    </row>
    <row r="1051">
      <c r="A1051" s="63" t="n">
        <v>43504</v>
      </c>
      <c r="B1051" t="n">
        <v>4696466</v>
      </c>
    </row>
    <row r="1052">
      <c r="A1052" s="63" t="n">
        <v>43511</v>
      </c>
      <c r="B1052" t="n">
        <v>4702787</v>
      </c>
    </row>
    <row r="1053">
      <c r="A1053" s="63" t="n">
        <v>43518</v>
      </c>
      <c r="B1053" t="n">
        <v>4692062</v>
      </c>
    </row>
    <row r="1054">
      <c r="A1054" s="63" t="n">
        <v>43525</v>
      </c>
      <c r="B1054" t="n">
        <v>4686299</v>
      </c>
    </row>
    <row r="1055">
      <c r="A1055" s="63" t="n">
        <v>43532</v>
      </c>
      <c r="B1055" t="n">
        <v>4691325</v>
      </c>
    </row>
    <row r="1056">
      <c r="A1056" s="63" t="n">
        <v>43539</v>
      </c>
      <c r="B1056" t="n">
        <v>4680588</v>
      </c>
    </row>
    <row r="1057">
      <c r="A1057" s="63" t="n">
        <v>43546</v>
      </c>
      <c r="B1057" t="n">
        <v>4676984</v>
      </c>
    </row>
    <row r="1058">
      <c r="A1058" s="63" t="n">
        <v>43553</v>
      </c>
      <c r="B1058" t="n">
        <v>4695785</v>
      </c>
    </row>
    <row r="1059">
      <c r="A1059" s="63" t="n">
        <v>43560</v>
      </c>
      <c r="B1059" t="n">
        <v>4699605</v>
      </c>
    </row>
    <row r="1060">
      <c r="A1060" s="63" t="n">
        <v>43567</v>
      </c>
      <c r="B1060" t="n">
        <v>4701826</v>
      </c>
    </row>
    <row r="1061">
      <c r="A1061" s="63" t="n">
        <v>43574</v>
      </c>
      <c r="B1061" t="n">
        <v>4707931</v>
      </c>
    </row>
    <row r="1062">
      <c r="A1062" s="63" t="n">
        <v>43581</v>
      </c>
      <c r="B1062" t="n">
        <v>4697616</v>
      </c>
    </row>
    <row r="1063">
      <c r="A1063" s="63" t="n">
        <v>43588</v>
      </c>
      <c r="B1063" t="n">
        <v>4683918</v>
      </c>
    </row>
    <row r="1064">
      <c r="A1064" s="63" t="n">
        <v>43595</v>
      </c>
      <c r="B1064" t="n">
        <v>4685377</v>
      </c>
    </row>
    <row r="1065">
      <c r="A1065" s="63" t="n">
        <v>43602</v>
      </c>
      <c r="B1065" t="n">
        <v>4684866</v>
      </c>
    </row>
    <row r="1066">
      <c r="A1066" s="63" t="n">
        <v>43609</v>
      </c>
      <c r="B1066" t="n">
        <v>4692616</v>
      </c>
    </row>
    <row r="1067">
      <c r="A1067" s="63" t="n">
        <v>43616</v>
      </c>
      <c r="B1067" t="n">
        <v>4685961</v>
      </c>
    </row>
    <row r="1068">
      <c r="A1068" s="63" t="n">
        <v>43623</v>
      </c>
      <c r="B1068" t="n">
        <v>4690441</v>
      </c>
    </row>
    <row r="1069">
      <c r="A1069" s="63" t="n">
        <v>43630</v>
      </c>
      <c r="B1069" t="n">
        <v>4681351</v>
      </c>
    </row>
    <row r="1070">
      <c r="A1070" s="63" t="n">
        <v>43637</v>
      </c>
      <c r="B1070" t="n">
        <v>4682680</v>
      </c>
    </row>
    <row r="1071">
      <c r="A1071" s="63" t="n">
        <v>43644</v>
      </c>
      <c r="B1071" t="n">
        <v>4692614</v>
      </c>
    </row>
    <row r="1072">
      <c r="A1072" s="63" t="n">
        <v>43651</v>
      </c>
      <c r="B1072" t="n">
        <v>4677463</v>
      </c>
    </row>
    <row r="1073">
      <c r="A1073" s="63" t="n">
        <v>43658</v>
      </c>
      <c r="B1073" t="n">
        <v>4684376</v>
      </c>
    </row>
    <row r="1074">
      <c r="A1074" s="63" t="n">
        <v>43665</v>
      </c>
      <c r="B1074" t="n">
        <v>4688182</v>
      </c>
    </row>
    <row r="1075">
      <c r="A1075" s="63" t="n">
        <v>43672</v>
      </c>
      <c r="B1075" t="n">
        <v>4685716</v>
      </c>
    </row>
    <row r="1076">
      <c r="A1076" s="63" t="n">
        <v>43679</v>
      </c>
      <c r="B1076" t="n">
        <v>4679180</v>
      </c>
    </row>
    <row r="1077">
      <c r="A1077" s="63" t="n">
        <v>43686</v>
      </c>
      <c r="B1077" t="n">
        <v>4677751</v>
      </c>
    </row>
    <row r="1078">
      <c r="A1078" s="63" t="n">
        <v>43693</v>
      </c>
      <c r="B1078" t="n">
        <v>4676077</v>
      </c>
    </row>
    <row r="1079">
      <c r="A1079" s="63" t="n">
        <v>43700</v>
      </c>
      <c r="B1079" t="n">
        <v>4681001</v>
      </c>
    </row>
    <row r="1080">
      <c r="A1080" s="63" t="n">
        <v>43707</v>
      </c>
      <c r="B1080" t="n">
        <v>4683714</v>
      </c>
    </row>
    <row r="1081">
      <c r="A1081" s="63" t="n">
        <v>43714</v>
      </c>
      <c r="B1081" t="n">
        <v>4681637</v>
      </c>
    </row>
    <row r="1082">
      <c r="A1082" s="63" t="n">
        <v>43721</v>
      </c>
      <c r="B1082" t="n">
        <v>4674603</v>
      </c>
    </row>
    <row r="1083">
      <c r="A1083" s="63" t="n">
        <v>43728</v>
      </c>
      <c r="B1083" t="n">
        <v>4662978</v>
      </c>
    </row>
    <row r="1084">
      <c r="A1084" s="63" t="n">
        <v>43735</v>
      </c>
      <c r="B1084" t="n">
        <v>4638104</v>
      </c>
    </row>
    <row r="1085">
      <c r="A1085" s="63" t="n">
        <v>43742</v>
      </c>
      <c r="B1085" t="n">
        <v>4695111</v>
      </c>
    </row>
    <row r="1086">
      <c r="A1086" s="63" t="n">
        <v>43749</v>
      </c>
      <c r="B1086" t="n">
        <v>4692260</v>
      </c>
    </row>
    <row r="1087">
      <c r="A1087" s="63" t="n">
        <v>43756</v>
      </c>
      <c r="B1087" t="n">
        <v>4687115</v>
      </c>
    </row>
    <row r="1088">
      <c r="A1088" s="63" t="n">
        <v>43763</v>
      </c>
      <c r="B1088" t="n">
        <v>4680875</v>
      </c>
    </row>
    <row r="1089">
      <c r="A1089" s="63" t="n">
        <v>43770</v>
      </c>
      <c r="B1089" t="n">
        <v>4676258</v>
      </c>
    </row>
    <row r="1090">
      <c r="A1090" s="63" t="n">
        <v>43777</v>
      </c>
      <c r="B1090" t="n">
        <v>4684135</v>
      </c>
    </row>
    <row r="1091">
      <c r="A1091" s="63" t="n">
        <v>43784</v>
      </c>
      <c r="B1091" t="n">
        <v>4691919</v>
      </c>
    </row>
    <row r="1092">
      <c r="A1092" s="63" t="n">
        <v>43791</v>
      </c>
      <c r="B1092" t="n">
        <v>4696531</v>
      </c>
    </row>
    <row r="1093">
      <c r="A1093" s="63" t="n">
        <v>43798</v>
      </c>
      <c r="B1093" t="n">
        <v>4698291</v>
      </c>
    </row>
    <row r="1094">
      <c r="A1094" s="63" t="n">
        <v>43805</v>
      </c>
      <c r="B1094" t="n">
        <v>4709281</v>
      </c>
    </row>
    <row r="1095">
      <c r="A1095" s="63" t="n">
        <v>43812</v>
      </c>
      <c r="B1095" t="n">
        <v>4713568</v>
      </c>
    </row>
    <row r="1096">
      <c r="A1096" s="63" t="n">
        <v>43819</v>
      </c>
      <c r="B1096" t="n">
        <v>4682592</v>
      </c>
    </row>
    <row r="1097">
      <c r="A1097" s="63" t="n">
        <v>43826</v>
      </c>
      <c r="B1097" t="n">
        <v>4691998</v>
      </c>
    </row>
    <row r="1098">
      <c r="A1098" s="63" t="n">
        <v>43833</v>
      </c>
      <c r="B1098" t="n">
        <v>4664037</v>
      </c>
    </row>
    <row r="1099">
      <c r="A1099" s="63" t="n">
        <v>43840</v>
      </c>
      <c r="B1099" t="n">
        <v>4655772</v>
      </c>
    </row>
    <row r="1100">
      <c r="A1100" s="63" t="n">
        <v>43847</v>
      </c>
      <c r="B1100" t="n">
        <v>4660340</v>
      </c>
    </row>
    <row r="1101">
      <c r="A1101" s="63" t="n">
        <v>43854</v>
      </c>
      <c r="B1101" t="n">
        <v>4674369</v>
      </c>
    </row>
    <row r="1102">
      <c r="A1102" s="63" t="n">
        <v>43861</v>
      </c>
      <c r="B1102" t="n">
        <v>4671365</v>
      </c>
    </row>
    <row r="1103">
      <c r="A1103" s="63" t="n">
        <v>43868</v>
      </c>
      <c r="B1103" t="n">
        <v>4668900</v>
      </c>
    </row>
    <row r="1104">
      <c r="A1104" s="63" t="n">
        <v>43875</v>
      </c>
      <c r="B1104" t="n">
        <v>4679726</v>
      </c>
    </row>
    <row r="1105">
      <c r="A1105" s="63" t="n">
        <v>43882</v>
      </c>
      <c r="B1105" t="n">
        <v>4688301</v>
      </c>
    </row>
    <row r="1106">
      <c r="A1106" s="63" t="n">
        <v>43889</v>
      </c>
      <c r="B1106" t="n">
        <v>4691852</v>
      </c>
    </row>
    <row r="1107">
      <c r="A1107" s="63" t="n">
        <v>43896</v>
      </c>
      <c r="B1107" t="n">
        <v>4702214</v>
      </c>
    </row>
    <row r="1108">
      <c r="A1108" s="63" t="n">
        <v>43903</v>
      </c>
      <c r="B1108" t="n">
        <v>4704239</v>
      </c>
    </row>
    <row r="1109">
      <c r="A1109" s="63" t="n">
        <v>43910</v>
      </c>
      <c r="B1109" t="n">
        <v>4927267</v>
      </c>
    </row>
    <row r="1110">
      <c r="A1110" s="63" t="n">
        <v>43917</v>
      </c>
      <c r="B1110" t="n">
        <v>5062687</v>
      </c>
    </row>
    <row r="1111">
      <c r="A1111" s="63" t="n">
        <v>43924</v>
      </c>
      <c r="B1111" t="n">
        <v>5199822</v>
      </c>
    </row>
    <row r="1112">
      <c r="A1112" s="63" t="n">
        <v>43931</v>
      </c>
      <c r="B1112" t="n">
        <v>5257490</v>
      </c>
    </row>
    <row r="1113">
      <c r="A1113" s="63" t="n">
        <v>43938</v>
      </c>
      <c r="B1113" t="n">
        <v>5282926</v>
      </c>
    </row>
    <row r="1114">
      <c r="A1114" s="63" t="n">
        <v>43945</v>
      </c>
      <c r="B1114" t="n">
        <v>5347042</v>
      </c>
    </row>
    <row r="1115">
      <c r="A1115" s="63" t="n">
        <v>43952</v>
      </c>
      <c r="B1115" t="n">
        <v>5395184</v>
      </c>
    </row>
    <row r="1116">
      <c r="A1116" s="63" t="n">
        <v>43959</v>
      </c>
      <c r="B1116" t="n">
        <v>5451001</v>
      </c>
    </row>
    <row r="1117">
      <c r="A1117" s="63" t="n">
        <v>43966</v>
      </c>
      <c r="B1117" t="n">
        <v>5505521</v>
      </c>
    </row>
    <row r="1118">
      <c r="A1118" s="63" t="n">
        <v>43973</v>
      </c>
      <c r="B1118" t="n">
        <v>5555276</v>
      </c>
    </row>
    <row r="1119">
      <c r="A1119" s="63" t="n">
        <v>43980</v>
      </c>
      <c r="B1119" t="n">
        <v>5596070</v>
      </c>
    </row>
    <row r="1120">
      <c r="A1120" s="63" t="n">
        <v>43987</v>
      </c>
      <c r="B1120" t="n">
        <v>5655414</v>
      </c>
    </row>
    <row r="1121">
      <c r="A1121" s="63" t="n">
        <v>43994</v>
      </c>
      <c r="B1121" t="n">
        <v>5630275</v>
      </c>
    </row>
    <row r="1122">
      <c r="A1122" s="63" t="n">
        <v>44001</v>
      </c>
      <c r="B1122" t="n">
        <v>5636378</v>
      </c>
    </row>
    <row r="1123">
      <c r="A1123" s="63" t="n">
        <v>44008</v>
      </c>
      <c r="B1123" t="n">
        <v>6236143</v>
      </c>
    </row>
    <row r="1124">
      <c r="A1124" s="63" t="n">
        <v>44015</v>
      </c>
      <c r="B1124" t="n">
        <v>6288974</v>
      </c>
    </row>
    <row r="1125">
      <c r="A1125" s="63" t="n">
        <v>44022</v>
      </c>
      <c r="B1125" t="n">
        <v>6309160</v>
      </c>
    </row>
    <row r="1126">
      <c r="A1126" s="63" t="n">
        <v>44029</v>
      </c>
      <c r="B1126" t="n">
        <v>6322604</v>
      </c>
    </row>
    <row r="1127">
      <c r="A1127" s="63" t="n">
        <v>44036</v>
      </c>
      <c r="B1127" t="n">
        <v>6351419</v>
      </c>
    </row>
    <row r="1128">
      <c r="A1128" s="63" t="n">
        <v>44043</v>
      </c>
      <c r="B1128" t="n">
        <v>6360822</v>
      </c>
    </row>
    <row r="1129">
      <c r="A1129" s="63" t="n">
        <v>44050</v>
      </c>
      <c r="B1129" t="n">
        <v>6385307</v>
      </c>
    </row>
    <row r="1130">
      <c r="A1130" s="63" t="n">
        <v>44057</v>
      </c>
      <c r="B1130" t="n">
        <v>6404662</v>
      </c>
    </row>
    <row r="1131">
      <c r="A1131" s="63" t="n">
        <v>44064</v>
      </c>
      <c r="B1131" t="n">
        <v>6424042</v>
      </c>
    </row>
    <row r="1132">
      <c r="A1132" s="63" t="n">
        <v>44071</v>
      </c>
      <c r="B1132" t="n">
        <v>6440237</v>
      </c>
    </row>
    <row r="1133">
      <c r="A1133" s="63" t="n">
        <v>44078</v>
      </c>
      <c r="B1133" t="n">
        <v>6458857</v>
      </c>
    </row>
    <row r="1134">
      <c r="A1134" s="63" t="n">
        <v>44085</v>
      </c>
      <c r="B1134" t="n">
        <v>6474612</v>
      </c>
    </row>
    <row r="1135">
      <c r="A1135" s="63" t="n">
        <v>44092</v>
      </c>
      <c r="B1135" t="n">
        <v>6502422</v>
      </c>
    </row>
    <row r="1136">
      <c r="A1136" s="63" t="n">
        <v>44099</v>
      </c>
      <c r="B1136" t="n">
        <v>6534815</v>
      </c>
    </row>
    <row r="1137">
      <c r="A1137" s="63" t="n">
        <v>44106</v>
      </c>
      <c r="B1137" t="n">
        <v>6705112</v>
      </c>
    </row>
    <row r="1138">
      <c r="A1138" s="63" t="n">
        <v>44113</v>
      </c>
      <c r="B1138" t="n">
        <v>6725697</v>
      </c>
    </row>
    <row r="1139">
      <c r="A1139" s="63" t="n">
        <v>44120</v>
      </c>
      <c r="B1139" t="n">
        <v>6743525</v>
      </c>
    </row>
    <row r="1140">
      <c r="A1140" s="63" t="n">
        <v>44127</v>
      </c>
      <c r="B1140" t="n">
        <v>6781825</v>
      </c>
    </row>
    <row r="1141">
      <c r="A1141" s="63" t="n">
        <v>44134</v>
      </c>
      <c r="B1141" t="n">
        <v>6775763</v>
      </c>
    </row>
    <row r="1142">
      <c r="A1142" s="63" t="n">
        <v>44141</v>
      </c>
      <c r="B1142" t="n">
        <v>6796905</v>
      </c>
    </row>
    <row r="1143">
      <c r="A1143" s="63" t="n">
        <v>44148</v>
      </c>
      <c r="B1143" t="n">
        <v>6833483</v>
      </c>
    </row>
    <row r="1144">
      <c r="A1144" s="63" t="n">
        <v>44155</v>
      </c>
      <c r="B1144" t="n">
        <v>6867814</v>
      </c>
    </row>
    <row r="1145">
      <c r="A1145" s="63" t="n">
        <v>44162</v>
      </c>
      <c r="B1145" t="n">
        <v>6883402</v>
      </c>
    </row>
    <row r="1146">
      <c r="A1146" s="63" t="n">
        <v>44169</v>
      </c>
      <c r="B1146" t="n">
        <v>6923120</v>
      </c>
    </row>
    <row r="1147">
      <c r="A1147" s="63" t="n">
        <v>44176</v>
      </c>
      <c r="B1147" t="n">
        <v>6949632</v>
      </c>
    </row>
    <row r="1148">
      <c r="A1148" s="63" t="n">
        <v>44183</v>
      </c>
      <c r="B1148" t="n">
        <v>7008896</v>
      </c>
    </row>
    <row r="1149">
      <c r="A1149" s="63" t="n">
        <v>44190</v>
      </c>
      <c r="B1149" t="n">
        <v>7014661</v>
      </c>
    </row>
    <row r="1150">
      <c r="A1150" s="63" t="n">
        <v>44197</v>
      </c>
      <c r="B1150" t="n">
        <v>6979324</v>
      </c>
    </row>
    <row r="1151">
      <c r="A1151" s="63" t="n">
        <v>44204</v>
      </c>
      <c r="B1151" t="n">
        <v>6984713</v>
      </c>
    </row>
    <row r="1152">
      <c r="A1152" s="63" t="n">
        <v>44211</v>
      </c>
      <c r="B1152" t="n">
        <v>7015645</v>
      </c>
    </row>
    <row r="1153">
      <c r="A1153" s="63" t="n">
        <v>44218</v>
      </c>
      <c r="B1153" t="n">
        <v>7024240</v>
      </c>
    </row>
    <row r="1154">
      <c r="A1154" s="63" t="n">
        <v>44225</v>
      </c>
      <c r="B1154" t="n">
        <v>7033256</v>
      </c>
    </row>
    <row r="1155">
      <c r="A1155" s="63" t="n">
        <v>44232</v>
      </c>
      <c r="B1155" t="n">
        <v>7054472</v>
      </c>
    </row>
    <row r="1156">
      <c r="A1156" s="63" t="n">
        <v>44239</v>
      </c>
      <c r="B1156" t="n">
        <v>7079135</v>
      </c>
    </row>
    <row r="1157">
      <c r="A1157" s="63" t="n">
        <v>44246</v>
      </c>
      <c r="B1157" t="n">
        <v>7101159</v>
      </c>
    </row>
    <row r="1158">
      <c r="A1158" s="63" t="n">
        <v>44253</v>
      </c>
      <c r="B1158" t="n">
        <v>7110487</v>
      </c>
    </row>
    <row r="1159">
      <c r="A1159" s="63" t="n">
        <v>44260</v>
      </c>
      <c r="B1159" t="n">
        <v>7120334</v>
      </c>
    </row>
    <row r="1160">
      <c r="A1160" s="63" t="n">
        <v>44267</v>
      </c>
      <c r="B1160" t="n">
        <v>7137484</v>
      </c>
    </row>
    <row r="1161">
      <c r="A1161" s="63" t="n">
        <v>44274</v>
      </c>
      <c r="B1161" t="n">
        <v>7162230</v>
      </c>
    </row>
    <row r="1162">
      <c r="A1162" s="63" t="n">
        <v>44281</v>
      </c>
      <c r="B1162" t="n">
        <v>7505021</v>
      </c>
    </row>
    <row r="1163">
      <c r="A1163" s="63" t="n">
        <v>44288</v>
      </c>
      <c r="B1163" t="n">
        <v>7494111</v>
      </c>
    </row>
    <row r="1164">
      <c r="A1164" s="63" t="n">
        <v>44295</v>
      </c>
      <c r="B1164" t="n">
        <v>7514267</v>
      </c>
    </row>
    <row r="1165">
      <c r="A1165" s="63" t="n">
        <v>44302</v>
      </c>
      <c r="B1165" t="n">
        <v>7522199</v>
      </c>
    </row>
    <row r="1166">
      <c r="A1166" s="63" t="n">
        <v>44309</v>
      </c>
      <c r="B1166" t="n">
        <v>7558280</v>
      </c>
    </row>
    <row r="1167">
      <c r="A1167" s="63" t="n">
        <v>44316</v>
      </c>
      <c r="B1167" t="n">
        <v>7567945</v>
      </c>
    </row>
    <row r="1168">
      <c r="A1168" s="63" t="n">
        <v>44323</v>
      </c>
      <c r="B1168" t="n">
        <v>7588768</v>
      </c>
    </row>
    <row r="1169">
      <c r="A1169" s="63" t="n">
        <v>44330</v>
      </c>
      <c r="B1169" t="n">
        <v>7615694</v>
      </c>
    </row>
    <row r="1170">
      <c r="A1170" s="63" t="n">
        <v>44337</v>
      </c>
      <c r="B1170" t="n">
        <v>7643170</v>
      </c>
    </row>
    <row r="1171">
      <c r="A1171" s="63" t="n">
        <v>44344</v>
      </c>
      <c r="B1171" t="n">
        <v>7657629</v>
      </c>
    </row>
    <row r="1172">
      <c r="A1172" s="63" t="n">
        <v>44351</v>
      </c>
      <c r="B1172" t="n">
        <v>7680137</v>
      </c>
    </row>
    <row r="1173">
      <c r="A1173" s="63" t="n">
        <v>44358</v>
      </c>
      <c r="B1173" t="n">
        <v>7700937</v>
      </c>
    </row>
    <row r="1174">
      <c r="A1174" s="63" t="n">
        <v>44365</v>
      </c>
      <c r="B1174" t="n">
        <v>7736536</v>
      </c>
    </row>
    <row r="1175">
      <c r="A1175" s="63" t="n">
        <v>44372</v>
      </c>
      <c r="B1175" t="n">
        <v>7877127</v>
      </c>
    </row>
    <row r="1176">
      <c r="A1176" s="63" t="n">
        <v>44379</v>
      </c>
      <c r="B1176" t="n">
        <v>7907807</v>
      </c>
    </row>
    <row r="1177">
      <c r="A1177" s="63" t="n">
        <v>44386</v>
      </c>
      <c r="B1177" t="n">
        <v>7926550</v>
      </c>
    </row>
    <row r="1178">
      <c r="A1178" s="63" t="n">
        <v>44393</v>
      </c>
      <c r="B1178" t="n">
        <v>7950657</v>
      </c>
    </row>
    <row r="1179">
      <c r="A1179" s="63" t="n">
        <v>44400</v>
      </c>
      <c r="B1179" t="n">
        <v>7988045</v>
      </c>
    </row>
    <row r="1180">
      <c r="A1180" s="63" t="n">
        <v>44407</v>
      </c>
      <c r="B1180" t="n">
        <v>7987364</v>
      </c>
    </row>
    <row r="1181">
      <c r="A1181" s="63" t="n">
        <v>44414</v>
      </c>
      <c r="B1181" t="n">
        <v>8009676</v>
      </c>
    </row>
    <row r="1182">
      <c r="A1182" s="63" t="n">
        <v>44421</v>
      </c>
      <c r="B1182" t="n">
        <v>8036014</v>
      </c>
    </row>
    <row r="1183">
      <c r="A1183" s="63" t="n">
        <v>44428</v>
      </c>
      <c r="B1183" t="n">
        <v>8052776</v>
      </c>
    </row>
    <row r="1184">
      <c r="A1184" s="63" t="n">
        <v>44435</v>
      </c>
      <c r="B1184" t="n">
        <v>8191312</v>
      </c>
    </row>
    <row r="1185">
      <c r="A1185" s="63" t="n">
        <v>44442</v>
      </c>
      <c r="B1185" t="n">
        <v>8207534</v>
      </c>
    </row>
    <row r="1186">
      <c r="A1186" s="63" t="n">
        <v>44449</v>
      </c>
      <c r="B1186" t="n">
        <v>8222733</v>
      </c>
    </row>
    <row r="1187">
      <c r="A1187" s="63" t="n">
        <v>44456</v>
      </c>
      <c r="B1187" t="n">
        <v>8244572</v>
      </c>
    </row>
    <row r="1188">
      <c r="A1188" s="63" t="n">
        <v>44463</v>
      </c>
      <c r="B1188" t="n">
        <v>8273207</v>
      </c>
    </row>
    <row r="1189">
      <c r="A1189" s="63" t="n">
        <v>44470</v>
      </c>
      <c r="B1189" t="n">
        <v>8289148</v>
      </c>
    </row>
    <row r="1190">
      <c r="A1190" s="63" t="n">
        <v>44477</v>
      </c>
      <c r="B1190" t="n">
        <v>8314285</v>
      </c>
    </row>
    <row r="1191">
      <c r="A1191" s="63" t="n">
        <v>44484</v>
      </c>
      <c r="B1191" t="n">
        <v>8336713</v>
      </c>
    </row>
    <row r="1192">
      <c r="A1192" s="63" t="n">
        <v>44491</v>
      </c>
      <c r="B1192" t="n">
        <v>8368278</v>
      </c>
    </row>
    <row r="1193">
      <c r="A1193" s="63" t="n">
        <v>44498</v>
      </c>
      <c r="B1193" t="n">
        <v>8366071</v>
      </c>
    </row>
    <row r="1194">
      <c r="A1194" s="63" t="n">
        <v>44505</v>
      </c>
      <c r="B1194" t="n">
        <v>8382672</v>
      </c>
    </row>
    <row r="1195">
      <c r="A1195" s="63" t="n">
        <v>44512</v>
      </c>
      <c r="B1195" t="n">
        <v>8414393</v>
      </c>
    </row>
    <row r="1196">
      <c r="A1196" s="63" t="n">
        <v>44519</v>
      </c>
      <c r="B1196" t="n">
        <v>8442311</v>
      </c>
    </row>
    <row r="1197">
      <c r="A1197" s="63" t="n">
        <v>44526</v>
      </c>
      <c r="B1197" t="n">
        <v>8456991</v>
      </c>
    </row>
    <row r="1198">
      <c r="A1198" s="63" t="n">
        <v>44533</v>
      </c>
      <c r="B1198" t="n">
        <v>8469908</v>
      </c>
    </row>
    <row r="1199">
      <c r="A1199" s="63" t="n">
        <v>44540</v>
      </c>
      <c r="B1199" t="n">
        <v>8496633</v>
      </c>
    </row>
    <row r="1200">
      <c r="A1200" s="63" t="n">
        <v>44547</v>
      </c>
      <c r="B1200" t="n">
        <v>8511461</v>
      </c>
    </row>
    <row r="1201">
      <c r="A1201" s="63" t="n">
        <v>44554</v>
      </c>
      <c r="B1201" t="n">
        <v>8512308</v>
      </c>
    </row>
    <row r="1202">
      <c r="A1202" s="63" t="n">
        <v>44561</v>
      </c>
      <c r="B1202" t="n">
        <v>8566372</v>
      </c>
    </row>
    <row r="1203">
      <c r="A1203" s="63" t="n">
        <v>44568</v>
      </c>
      <c r="B1203" t="n">
        <v>8573280</v>
      </c>
    </row>
    <row r="1204">
      <c r="A1204" s="63" t="n">
        <v>44575</v>
      </c>
      <c r="B1204" t="n">
        <v>8593991</v>
      </c>
    </row>
    <row r="1205">
      <c r="A1205" s="63" t="n">
        <v>44582</v>
      </c>
      <c r="B1205" t="n">
        <v>8600346</v>
      </c>
    </row>
    <row r="1206">
      <c r="A1206" s="63" t="n">
        <v>44589</v>
      </c>
      <c r="B1206" t="n">
        <v>8622576</v>
      </c>
    </row>
    <row r="1207">
      <c r="A1207" s="63" t="n">
        <v>44596</v>
      </c>
      <c r="B1207" t="n">
        <v>8630101</v>
      </c>
    </row>
    <row r="1208">
      <c r="A1208" s="63" t="n">
        <v>44603</v>
      </c>
      <c r="B1208" t="n">
        <v>8651801</v>
      </c>
    </row>
    <row r="1209">
      <c r="A1209" s="63" t="n">
        <v>44610</v>
      </c>
      <c r="B1209" t="n">
        <v>8667911</v>
      </c>
    </row>
    <row r="1210">
      <c r="A1210" s="63" t="n">
        <v>44617</v>
      </c>
      <c r="B1210" t="n">
        <v>8671293</v>
      </c>
    </row>
    <row r="1211">
      <c r="A1211" s="63" t="n">
        <v>44624</v>
      </c>
      <c r="B1211" t="n">
        <v>8672977</v>
      </c>
    </row>
    <row r="1212">
      <c r="A1212" s="63" t="n">
        <v>44631</v>
      </c>
      <c r="B1212" t="n">
        <v>8686990</v>
      </c>
    </row>
    <row r="1213">
      <c r="A1213" s="63" t="n">
        <v>44638</v>
      </c>
      <c r="B1213" t="n">
        <v>8700036</v>
      </c>
    </row>
    <row r="1214">
      <c r="A1214" s="63" t="n">
        <v>44645</v>
      </c>
      <c r="B1214" t="n">
        <v>8710615</v>
      </c>
    </row>
    <row r="1215">
      <c r="A1215" s="63" t="n">
        <v>44652</v>
      </c>
      <c r="B1215" t="n">
        <v>8753992</v>
      </c>
    </row>
    <row r="1216">
      <c r="A1216" s="63" t="n">
        <v>44659</v>
      </c>
      <c r="B1216" t="n">
        <v>8763720</v>
      </c>
    </row>
    <row r="1217">
      <c r="A1217" s="63" t="n">
        <v>44666</v>
      </c>
      <c r="B1217" t="n">
        <v>8787905</v>
      </c>
    </row>
    <row r="1218">
      <c r="A1218" s="63" t="n">
        <v>44673</v>
      </c>
      <c r="B1218" t="n">
        <v>8790918</v>
      </c>
    </row>
    <row r="1219">
      <c r="A1219" s="63" t="n">
        <v>44680</v>
      </c>
      <c r="B1219" t="n">
        <v>8783589</v>
      </c>
    </row>
    <row r="1220">
      <c r="A1220" s="63" t="n">
        <v>44687</v>
      </c>
      <c r="B1220" t="n">
        <v>8796118</v>
      </c>
    </row>
    <row r="1221">
      <c r="A1221" s="63" t="n">
        <v>44694</v>
      </c>
      <c r="B1221" t="n">
        <v>8810309</v>
      </c>
    </row>
    <row r="1222">
      <c r="A1222" s="63" t="n">
        <v>44701</v>
      </c>
      <c r="B1222" t="n">
        <v>8814019</v>
      </c>
    </row>
    <row r="1223">
      <c r="A1223" s="63" t="n">
        <v>44708</v>
      </c>
      <c r="B1223" t="n">
        <v>8813834</v>
      </c>
    </row>
    <row r="1224">
      <c r="A1224" s="63" t="n">
        <v>44715</v>
      </c>
      <c r="B1224" t="n">
        <v>8817918</v>
      </c>
    </row>
    <row r="1225">
      <c r="A1225" s="63" t="n">
        <v>44722</v>
      </c>
      <c r="B1225" t="n">
        <v>8820944</v>
      </c>
    </row>
    <row r="1226">
      <c r="A1226" s="63" t="n">
        <v>44729</v>
      </c>
      <c r="B1226" t="n">
        <v>8827944</v>
      </c>
    </row>
    <row r="1227">
      <c r="A1227" s="63" t="n">
        <v>44736</v>
      </c>
      <c r="B1227" t="n">
        <v>8835987</v>
      </c>
    </row>
    <row r="1228">
      <c r="A1228" s="63" t="n">
        <v>44743</v>
      </c>
      <c r="B1228" t="n">
        <v>8788761</v>
      </c>
    </row>
    <row r="1229">
      <c r="A1229" s="63" t="n">
        <v>44750</v>
      </c>
      <c r="B1229" t="n">
        <v>8774413</v>
      </c>
    </row>
    <row r="1230">
      <c r="A1230" s="63" t="n">
        <v>44757</v>
      </c>
      <c r="B1230" t="n">
        <v>8765687</v>
      </c>
    </row>
    <row r="1231">
      <c r="A1231" s="63" t="n">
        <v>44764</v>
      </c>
      <c r="B1231" t="n">
        <v>8768286</v>
      </c>
    </row>
    <row r="1232">
      <c r="A1232" s="63" t="n">
        <v>44771</v>
      </c>
      <c r="B1232" t="n">
        <v>8764480</v>
      </c>
    </row>
    <row r="1233">
      <c r="A1233" s="63" t="n">
        <v>44778</v>
      </c>
      <c r="B1233" t="n">
        <v>8745981</v>
      </c>
    </row>
    <row r="1234">
      <c r="A1234" s="63" t="n">
        <v>44785</v>
      </c>
      <c r="B1234" t="n">
        <v>8747798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67"/>
  <sheetViews>
    <sheetView zoomScale="180" zoomScaleNormal="180" workbookViewId="0">
      <pane ySplit="7" topLeftCell="A857" activePane="bottomLeft" state="frozen"/>
      <selection activeCell="B1" sqref="B1"/>
      <selection pane="bottomLeft" activeCell="A863" sqref="A863:B867"/>
    </sheetView>
  </sheetViews>
  <sheetFormatPr baseColWidth="10" defaultColWidth="9.1640625" defaultRowHeight="15"/>
  <cols>
    <col width="13.83203125" customWidth="1" style="4" min="1" max="2"/>
    <col width="9.1640625" customWidth="1" style="56" min="3" max="21"/>
    <col width="9.1640625" customWidth="1" style="56" min="22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VLOOKUP(A8,'Database Rates'!$A$1:$D$1000,2,FALSE)</f>
        <v/>
      </c>
      <c r="D8" s="56">
        <f>VLOOKUP(A8,'Database Rates'!$A$1:$D$1000,2,FALSE)</f>
        <v/>
      </c>
    </row>
    <row r="9">
      <c r="A9" s="41" t="n">
        <v>18295</v>
      </c>
      <c r="B9" s="21">
        <f>VLOOKUP(A9,'Database Rates'!$A$1:$D$1000,2,FALSE)</f>
        <v/>
      </c>
    </row>
    <row r="10">
      <c r="A10" s="41" t="n">
        <v>18323</v>
      </c>
      <c r="B10" s="21">
        <f>VLOOKUP(A10,'Database Rates'!$A$1:$D$1000,2,FALSE)</f>
        <v/>
      </c>
    </row>
    <row r="11">
      <c r="A11" s="41" t="n">
        <v>18354</v>
      </c>
      <c r="B11" s="21">
        <f>VLOOKUP(A11,'Database Rates'!$A$1:$D$1000,2,FALSE)</f>
        <v/>
      </c>
    </row>
    <row r="12">
      <c r="A12" s="41" t="n">
        <v>18384</v>
      </c>
      <c r="B12" s="21">
        <f>VLOOKUP(A12,'Database Rates'!$A$1:$D$1000,2,FALSE)</f>
        <v/>
      </c>
    </row>
    <row r="13">
      <c r="A13" s="41" t="n">
        <v>18415</v>
      </c>
      <c r="B13" s="21">
        <f>VLOOKUP(A13,'Database Rates'!$A$1:$D$1000,2,FALSE)</f>
        <v/>
      </c>
    </row>
    <row r="14">
      <c r="A14" s="41" t="n">
        <v>18445</v>
      </c>
      <c r="B14" s="21">
        <f>VLOOKUP(A14,'Database Rates'!$A$1:$D$1000,2,FALSE)</f>
        <v/>
      </c>
    </row>
    <row r="15">
      <c r="A15" s="41" t="n">
        <v>18476</v>
      </c>
      <c r="B15" s="21">
        <f>VLOOKUP(A15,'Database Rates'!$A$1:$D$1000,2,FALSE)</f>
        <v/>
      </c>
    </row>
    <row r="16">
      <c r="A16" s="41" t="n">
        <v>18507</v>
      </c>
      <c r="B16" s="21">
        <f>VLOOKUP(A16,'Database Rates'!$A$1:$D$1000,2,FALSE)</f>
        <v/>
      </c>
    </row>
    <row r="17">
      <c r="A17" s="41" t="n">
        <v>18537</v>
      </c>
      <c r="B17" s="21">
        <f>VLOOKUP(A17,'Database Rates'!$A$1:$D$1000,2,FALSE)</f>
        <v/>
      </c>
    </row>
    <row r="18">
      <c r="A18" s="41" t="n">
        <v>18568</v>
      </c>
      <c r="B18" s="21">
        <f>VLOOKUP(A18,'Database Rates'!$A$1:$D$1000,2,FALSE)</f>
        <v/>
      </c>
    </row>
    <row r="19">
      <c r="A19" s="41" t="n">
        <v>18598</v>
      </c>
      <c r="B19" s="21">
        <f>VLOOKUP(A19,'Database Rates'!$A$1:$D$1000,2,FALSE)</f>
        <v/>
      </c>
    </row>
    <row r="20">
      <c r="A20" s="41" t="n">
        <v>18629</v>
      </c>
      <c r="B20" s="21">
        <f>VLOOKUP(A20,'Database Rates'!$A$1:$D$1000,2,FALSE)</f>
        <v/>
      </c>
    </row>
    <row r="21">
      <c r="A21" s="41" t="n">
        <v>18660</v>
      </c>
      <c r="B21" s="21">
        <f>VLOOKUP(A21,'Database Rates'!$A$1:$D$1000,2,FALSE)</f>
        <v/>
      </c>
    </row>
    <row r="22">
      <c r="A22" s="41" t="n">
        <v>18688</v>
      </c>
      <c r="B22" s="21">
        <f>VLOOKUP(A22,'Database Rates'!$A$1:$D$1000,2,FALSE)</f>
        <v/>
      </c>
    </row>
    <row r="23">
      <c r="A23" s="41" t="n">
        <v>18719</v>
      </c>
      <c r="B23" s="21">
        <f>VLOOKUP(A23,'Database Rates'!$A$1:$D$1000,2,FALSE)</f>
        <v/>
      </c>
    </row>
    <row r="24">
      <c r="A24" s="41" t="n">
        <v>18749</v>
      </c>
      <c r="B24" s="21">
        <f>VLOOKUP(A24,'Database Rates'!$A$1:$D$1000,2,FALSE)</f>
        <v/>
      </c>
    </row>
    <row r="25">
      <c r="A25" s="41" t="n">
        <v>18780</v>
      </c>
      <c r="B25" s="21">
        <f>VLOOKUP(A25,'Database Rates'!$A$1:$D$1000,2,FALSE)</f>
        <v/>
      </c>
    </row>
    <row r="26">
      <c r="A26" s="41" t="n">
        <v>18810</v>
      </c>
      <c r="B26" s="21">
        <f>VLOOKUP(A26,'Database Rates'!$A$1:$D$1000,2,FALSE)</f>
        <v/>
      </c>
    </row>
    <row r="27">
      <c r="A27" s="41" t="n">
        <v>18841</v>
      </c>
      <c r="B27" s="21">
        <f>VLOOKUP(A27,'Database Rates'!$A$1:$D$1000,2,FALSE)</f>
        <v/>
      </c>
    </row>
    <row r="28">
      <c r="A28" s="41" t="n">
        <v>18872</v>
      </c>
      <c r="B28" s="21">
        <f>VLOOKUP(A28,'Database Rates'!$A$1:$D$1000,2,FALSE)</f>
        <v/>
      </c>
    </row>
    <row r="29">
      <c r="A29" s="41" t="n">
        <v>18902</v>
      </c>
      <c r="B29" s="21">
        <f>VLOOKUP(A29,'Database Rates'!$A$1:$D$1000,2,FALSE)</f>
        <v/>
      </c>
    </row>
    <row r="30">
      <c r="A30" s="41" t="n">
        <v>18933</v>
      </c>
      <c r="B30" s="21">
        <f>VLOOKUP(A30,'Database Rates'!$A$1:$D$1000,2,FALSE)</f>
        <v/>
      </c>
    </row>
    <row r="31">
      <c r="A31" s="41" t="n">
        <v>18963</v>
      </c>
      <c r="B31" s="21">
        <f>VLOOKUP(A31,'Database Rates'!$A$1:$D$1000,2,FALSE)</f>
        <v/>
      </c>
    </row>
    <row r="32">
      <c r="A32" s="41" t="n">
        <v>18994</v>
      </c>
      <c r="B32" s="21">
        <f>VLOOKUP(A32,'Database Rates'!$A$1:$D$1000,2,FALSE)</f>
        <v/>
      </c>
    </row>
    <row r="33">
      <c r="A33" s="41" t="n">
        <v>19025</v>
      </c>
      <c r="B33" s="21">
        <f>VLOOKUP(A33,'Database Rates'!$A$1:$D$1000,2,FALSE)</f>
        <v/>
      </c>
    </row>
    <row r="34">
      <c r="A34" s="41" t="n">
        <v>19054</v>
      </c>
      <c r="B34" s="21">
        <f>VLOOKUP(A34,'Database Rates'!$A$1:$D$1000,2,FALSE)</f>
        <v/>
      </c>
    </row>
    <row r="35">
      <c r="A35" s="41" t="n">
        <v>19085</v>
      </c>
      <c r="B35" s="21">
        <f>VLOOKUP(A35,'Database Rates'!$A$1:$D$1000,2,FALSE)</f>
        <v/>
      </c>
    </row>
    <row r="36">
      <c r="A36" s="41" t="n">
        <v>19115</v>
      </c>
      <c r="B36" s="21">
        <f>VLOOKUP(A36,'Database Rates'!$A$1:$D$1000,2,FALSE)</f>
        <v/>
      </c>
    </row>
    <row r="37">
      <c r="A37" s="41" t="n">
        <v>19146</v>
      </c>
      <c r="B37" s="21">
        <f>VLOOKUP(A37,'Database Rates'!$A$1:$D$1000,2,FALSE)</f>
        <v/>
      </c>
    </row>
    <row r="38">
      <c r="A38" s="41" t="n">
        <v>19176</v>
      </c>
      <c r="B38" s="21">
        <f>VLOOKUP(A38,'Database Rates'!$A$1:$D$1000,2,FALSE)</f>
        <v/>
      </c>
    </row>
    <row r="39">
      <c r="A39" s="41" t="n">
        <v>19207</v>
      </c>
      <c r="B39" s="21">
        <f>VLOOKUP(A39,'Database Rates'!$A$1:$D$1000,2,FALSE)</f>
        <v/>
      </c>
    </row>
    <row r="40">
      <c r="A40" s="41" t="n">
        <v>19238</v>
      </c>
      <c r="B40" s="21">
        <f>VLOOKUP(A40,'Database Rates'!$A$1:$D$1000,2,FALSE)</f>
        <v/>
      </c>
    </row>
    <row r="41">
      <c r="A41" s="41" t="n">
        <v>19268</v>
      </c>
      <c r="B41" s="21">
        <f>VLOOKUP(A41,'Database Rates'!$A$1:$D$1000,2,FALSE)</f>
        <v/>
      </c>
    </row>
    <row r="42">
      <c r="A42" s="41" t="n">
        <v>19299</v>
      </c>
      <c r="B42" s="21">
        <f>VLOOKUP(A42,'Database Rates'!$A$1:$D$1000,2,FALSE)</f>
        <v/>
      </c>
    </row>
    <row r="43">
      <c r="A43" s="41" t="n">
        <v>19329</v>
      </c>
      <c r="B43" s="21">
        <f>VLOOKUP(A43,'Database Rates'!$A$1:$D$1000,2,FALSE)</f>
        <v/>
      </c>
    </row>
    <row r="44">
      <c r="A44" s="41" t="n">
        <v>19360</v>
      </c>
      <c r="B44" s="21">
        <f>VLOOKUP(A44,'Database Rates'!$A$1:$D$1000,2,FALSE)</f>
        <v/>
      </c>
    </row>
    <row r="45">
      <c r="A45" s="41" t="n">
        <v>19391</v>
      </c>
      <c r="B45" s="21">
        <f>VLOOKUP(A45,'Database Rates'!$A$1:$D$1000,2,FALSE)</f>
        <v/>
      </c>
    </row>
    <row r="46">
      <c r="A46" s="41" t="n">
        <v>19419</v>
      </c>
      <c r="B46" s="21">
        <f>VLOOKUP(A46,'Database Rates'!$A$1:$D$1000,2,FALSE)</f>
        <v/>
      </c>
    </row>
    <row r="47">
      <c r="A47" s="41" t="n">
        <v>19450</v>
      </c>
      <c r="B47" s="21">
        <f>VLOOKUP(A47,'Database Rates'!$A$1:$D$1000,2,FALSE)</f>
        <v/>
      </c>
    </row>
    <row r="48">
      <c r="A48" s="41" t="n">
        <v>19480</v>
      </c>
      <c r="B48" s="21">
        <f>VLOOKUP(A48,'Database Rates'!$A$1:$D$1000,2,FALSE)</f>
        <v/>
      </c>
    </row>
    <row r="49">
      <c r="A49" s="41" t="n">
        <v>19511</v>
      </c>
      <c r="B49" s="21">
        <f>VLOOKUP(A49,'Database Rates'!$A$1:$D$1000,2,FALSE)</f>
        <v/>
      </c>
    </row>
    <row r="50">
      <c r="A50" s="41" t="n">
        <v>19541</v>
      </c>
      <c r="B50" s="21">
        <f>VLOOKUP(A50,'Database Rates'!$A$1:$D$1000,2,FALSE)</f>
        <v/>
      </c>
    </row>
    <row r="51">
      <c r="A51" s="41" t="n">
        <v>19572</v>
      </c>
      <c r="B51" s="21">
        <f>VLOOKUP(A51,'Database Rates'!$A$1:$D$1000,2,FALSE)</f>
        <v/>
      </c>
    </row>
    <row r="52">
      <c r="A52" s="41" t="n">
        <v>19603</v>
      </c>
      <c r="B52" s="21">
        <f>VLOOKUP(A52,'Database Rates'!$A$1:$D$1000,2,FALSE)</f>
        <v/>
      </c>
    </row>
    <row r="53">
      <c r="A53" s="41" t="n">
        <v>19633</v>
      </c>
      <c r="B53" s="21">
        <f>VLOOKUP(A53,'Database Rates'!$A$1:$D$1000,2,FALSE)</f>
        <v/>
      </c>
    </row>
    <row r="54">
      <c r="A54" s="41" t="n">
        <v>19664</v>
      </c>
      <c r="B54" s="21">
        <f>VLOOKUP(A54,'Database Rates'!$A$1:$D$1000,2,FALSE)</f>
        <v/>
      </c>
    </row>
    <row r="55">
      <c r="A55" s="41" t="n">
        <v>19694</v>
      </c>
      <c r="B55" s="21">
        <f>VLOOKUP(A55,'Database Rates'!$A$1:$D$1000,2,FALSE)</f>
        <v/>
      </c>
    </row>
    <row r="56">
      <c r="A56" s="41" t="n">
        <v>19725</v>
      </c>
      <c r="B56" s="21">
        <f>VLOOKUP(A56,'Database Rates'!$A$1:$D$1000,2,FALSE)</f>
        <v/>
      </c>
    </row>
    <row r="57">
      <c r="A57" s="41" t="n">
        <v>19756</v>
      </c>
      <c r="B57" s="21">
        <f>VLOOKUP(A57,'Database Rates'!$A$1:$D$1000,2,FALSE)</f>
        <v/>
      </c>
    </row>
    <row r="58">
      <c r="A58" s="41" t="n">
        <v>19784</v>
      </c>
      <c r="B58" s="21">
        <f>VLOOKUP(A58,'Database Rates'!$A$1:$D$1000,2,FALSE)</f>
        <v/>
      </c>
    </row>
    <row r="59">
      <c r="A59" s="41" t="n">
        <v>19815</v>
      </c>
      <c r="B59" s="21">
        <f>VLOOKUP(A59,'Database Rates'!$A$1:$D$1000,2,FALSE)</f>
        <v/>
      </c>
    </row>
    <row r="60">
      <c r="A60" s="41" t="n">
        <v>19845</v>
      </c>
      <c r="B60" s="21">
        <f>VLOOKUP(A60,'Database Rates'!$A$1:$D$1000,2,FALSE)</f>
        <v/>
      </c>
    </row>
    <row r="61">
      <c r="A61" s="41" t="n">
        <v>19876</v>
      </c>
      <c r="B61" s="21">
        <f>VLOOKUP(A61,'Database Rates'!$A$1:$D$1000,2,FALSE)</f>
        <v/>
      </c>
    </row>
    <row r="62">
      <c r="A62" s="41" t="n">
        <v>19906</v>
      </c>
      <c r="B62" s="21">
        <f>VLOOKUP(A62,'Database Rates'!$A$1:$D$1000,2,FALSE)</f>
        <v/>
      </c>
    </row>
    <row r="63">
      <c r="A63" s="41" t="n">
        <v>19937</v>
      </c>
      <c r="B63" s="21">
        <f>VLOOKUP(A63,'Database Rates'!$A$1:$D$1000,2,FALSE)</f>
        <v/>
      </c>
    </row>
    <row r="64">
      <c r="A64" s="41" t="n">
        <v>19968</v>
      </c>
      <c r="B64" s="21">
        <f>VLOOKUP(A64,'Database Rates'!$A$1:$D$1000,2,FALSE)</f>
        <v/>
      </c>
    </row>
    <row r="65">
      <c r="A65" s="41" t="n">
        <v>19998</v>
      </c>
      <c r="B65" s="21">
        <f>VLOOKUP(A65,'Database Rates'!$A$1:$D$1000,2,FALSE)</f>
        <v/>
      </c>
    </row>
    <row r="66">
      <c r="A66" s="41" t="n">
        <v>20029</v>
      </c>
      <c r="B66" s="21">
        <f>VLOOKUP(A66,'Database Rates'!$A$1:$D$1000,2,FALSE)</f>
        <v/>
      </c>
    </row>
    <row r="67">
      <c r="A67" s="41" t="n">
        <v>20059</v>
      </c>
      <c r="B67" s="21">
        <f>VLOOKUP(A67,'Database Rates'!$A$1:$D$1000,2,FALSE)</f>
        <v/>
      </c>
    </row>
    <row r="68">
      <c r="A68" s="41" t="n">
        <v>20090</v>
      </c>
      <c r="B68" s="21">
        <f>VLOOKUP(A68,'Database Rates'!$A$1:$D$1000,2,FALSE)</f>
        <v/>
      </c>
    </row>
    <row r="69">
      <c r="A69" s="41" t="n">
        <v>20121</v>
      </c>
      <c r="B69" s="21">
        <f>VLOOKUP(A69,'Database Rates'!$A$1:$D$1000,2,FALSE)</f>
        <v/>
      </c>
    </row>
    <row r="70">
      <c r="A70" s="41" t="n">
        <v>20149</v>
      </c>
      <c r="B70" s="21">
        <f>VLOOKUP(A70,'Database Rates'!$A$1:$D$1000,2,FALSE)</f>
        <v/>
      </c>
    </row>
    <row r="71">
      <c r="A71" s="41" t="n">
        <v>20180</v>
      </c>
      <c r="B71" s="21">
        <f>VLOOKUP(A71,'Database Rates'!$A$1:$D$1000,2,FALSE)</f>
        <v/>
      </c>
    </row>
    <row r="72">
      <c r="A72" s="41" t="n">
        <v>20210</v>
      </c>
      <c r="B72" s="21">
        <f>VLOOKUP(A72,'Database Rates'!$A$1:$D$1000,2,FALSE)</f>
        <v/>
      </c>
    </row>
    <row r="73">
      <c r="A73" s="41" t="n">
        <v>20241</v>
      </c>
      <c r="B73" s="21">
        <f>VLOOKUP(A73,'Database Rates'!$A$1:$D$1000,2,FALSE)</f>
        <v/>
      </c>
    </row>
    <row r="74">
      <c r="A74" s="41" t="n">
        <v>20271</v>
      </c>
      <c r="B74" s="21">
        <f>VLOOKUP(A74,'Database Rates'!$A$1:$D$1000,2,FALSE)</f>
        <v/>
      </c>
    </row>
    <row r="75">
      <c r="A75" s="41" t="n">
        <v>20302</v>
      </c>
      <c r="B75" s="21">
        <f>VLOOKUP(A75,'Database Rates'!$A$1:$D$1000,2,FALSE)</f>
        <v/>
      </c>
    </row>
    <row r="76">
      <c r="A76" s="41" t="n">
        <v>20333</v>
      </c>
      <c r="B76" s="21">
        <f>VLOOKUP(A76,'Database Rates'!$A$1:$D$1000,2,FALSE)</f>
        <v/>
      </c>
    </row>
    <row r="77">
      <c r="A77" s="41" t="n">
        <v>20363</v>
      </c>
      <c r="B77" s="21">
        <f>VLOOKUP(A77,'Database Rates'!$A$1:$D$1000,2,FALSE)</f>
        <v/>
      </c>
    </row>
    <row r="78">
      <c r="A78" s="41" t="n">
        <v>20394</v>
      </c>
      <c r="B78" s="21">
        <f>VLOOKUP(A78,'Database Rates'!$A$1:$D$1000,2,FALSE)</f>
        <v/>
      </c>
    </row>
    <row r="79">
      <c r="A79" s="41" t="n">
        <v>20424</v>
      </c>
      <c r="B79" s="21">
        <f>VLOOKUP(A79,'Database Rates'!$A$1:$D$1000,2,FALSE)</f>
        <v/>
      </c>
    </row>
    <row r="80">
      <c r="A80" s="41" t="n">
        <v>20455</v>
      </c>
      <c r="B80" s="21">
        <f>VLOOKUP(A80,'Database Rates'!$A$1:$D$1000,2,FALSE)</f>
        <v/>
      </c>
    </row>
    <row r="81">
      <c r="A81" s="41" t="n">
        <v>20486</v>
      </c>
      <c r="B81" s="21">
        <f>VLOOKUP(A81,'Database Rates'!$A$1:$D$1000,2,FALSE)</f>
        <v/>
      </c>
    </row>
    <row r="82">
      <c r="A82" s="41" t="n">
        <v>20515</v>
      </c>
      <c r="B82" s="21">
        <f>VLOOKUP(A82,'Database Rates'!$A$1:$D$1000,2,FALSE)</f>
        <v/>
      </c>
    </row>
    <row r="83">
      <c r="A83" s="41" t="n">
        <v>20546</v>
      </c>
      <c r="B83" s="21">
        <f>VLOOKUP(A83,'Database Rates'!$A$1:$D$1000,2,FALSE)</f>
        <v/>
      </c>
    </row>
    <row r="84">
      <c r="A84" s="41" t="n">
        <v>20576</v>
      </c>
      <c r="B84" s="21">
        <f>VLOOKUP(A84,'Database Rates'!$A$1:$D$1000,2,FALSE)</f>
        <v/>
      </c>
    </row>
    <row r="85">
      <c r="A85" s="41" t="n">
        <v>20607</v>
      </c>
      <c r="B85" s="21">
        <f>VLOOKUP(A85,'Database Rates'!$A$1:$D$1000,2,FALSE)</f>
        <v/>
      </c>
    </row>
    <row r="86">
      <c r="A86" s="41" t="n">
        <v>20637</v>
      </c>
      <c r="B86" s="21">
        <f>VLOOKUP(A86,'Database Rates'!$A$1:$D$1000,2,FALSE)</f>
        <v/>
      </c>
    </row>
    <row r="87">
      <c r="A87" s="41" t="n">
        <v>20668</v>
      </c>
      <c r="B87" s="21">
        <f>VLOOKUP(A87,'Database Rates'!$A$1:$D$1000,2,FALSE)</f>
        <v/>
      </c>
    </row>
    <row r="88">
      <c r="A88" s="41" t="n">
        <v>20699</v>
      </c>
      <c r="B88" s="21">
        <f>VLOOKUP(A88,'Database Rates'!$A$1:$D$1000,2,FALSE)</f>
        <v/>
      </c>
    </row>
    <row r="89">
      <c r="A89" s="41" t="n">
        <v>20729</v>
      </c>
      <c r="B89" s="21">
        <f>VLOOKUP(A89,'Database Rates'!$A$1:$D$1000,2,FALSE)</f>
        <v/>
      </c>
    </row>
    <row r="90">
      <c r="A90" s="41" t="n">
        <v>20760</v>
      </c>
      <c r="B90" s="21">
        <f>VLOOKUP(A90,'Database Rates'!$A$1:$D$1000,2,FALSE)</f>
        <v/>
      </c>
    </row>
    <row r="91">
      <c r="A91" s="41" t="n">
        <v>20790</v>
      </c>
      <c r="B91" s="21">
        <f>VLOOKUP(A91,'Database Rates'!$A$1:$D$1000,2,FALSE)</f>
        <v/>
      </c>
    </row>
    <row r="92">
      <c r="A92" s="41" t="n">
        <v>20821</v>
      </c>
      <c r="B92" s="21">
        <f>VLOOKUP(A92,'Database Rates'!$A$1:$D$1000,2,FALSE)</f>
        <v/>
      </c>
    </row>
    <row r="93">
      <c r="A93" s="41" t="n">
        <v>20852</v>
      </c>
      <c r="B93" s="21">
        <f>VLOOKUP(A93,'Database Rates'!$A$1:$D$1000,2,FALSE)</f>
        <v/>
      </c>
    </row>
    <row r="94">
      <c r="A94" s="41" t="n">
        <v>20880</v>
      </c>
      <c r="B94" s="21">
        <f>VLOOKUP(A94,'Database Rates'!$A$1:$D$1000,2,FALSE)</f>
        <v/>
      </c>
    </row>
    <row r="95">
      <c r="A95" s="41" t="n">
        <v>20911</v>
      </c>
      <c r="B95" s="21">
        <f>VLOOKUP(A95,'Database Rates'!$A$1:$D$1000,2,FALSE)</f>
        <v/>
      </c>
    </row>
    <row r="96">
      <c r="A96" s="41" t="n">
        <v>20941</v>
      </c>
      <c r="B96" s="21">
        <f>VLOOKUP(A96,'Database Rates'!$A$1:$D$1000,2,FALSE)</f>
        <v/>
      </c>
    </row>
    <row r="97">
      <c r="A97" s="41" t="n">
        <v>20972</v>
      </c>
      <c r="B97" s="21">
        <f>VLOOKUP(A97,'Database Rates'!$A$1:$D$1000,2,FALSE)</f>
        <v/>
      </c>
    </row>
    <row r="98">
      <c r="A98" s="41" t="n">
        <v>21002</v>
      </c>
      <c r="B98" s="21">
        <f>VLOOKUP(A98,'Database Rates'!$A$1:$D$1000,2,FALSE)</f>
        <v/>
      </c>
    </row>
    <row r="99">
      <c r="A99" s="41" t="n">
        <v>21033</v>
      </c>
      <c r="B99" s="21">
        <f>VLOOKUP(A99,'Database Rates'!$A$1:$D$1000,2,FALSE)</f>
        <v/>
      </c>
    </row>
    <row r="100">
      <c r="A100" s="41" t="n">
        <v>21064</v>
      </c>
      <c r="B100" s="21">
        <f>VLOOKUP(A100,'Database Rates'!$A$1:$D$1000,2,FALSE)</f>
        <v/>
      </c>
    </row>
    <row r="101">
      <c r="A101" s="41" t="n">
        <v>21094</v>
      </c>
      <c r="B101" s="21">
        <f>VLOOKUP(A101,'Database Rates'!$A$1:$D$1000,2,FALSE)</f>
        <v/>
      </c>
    </row>
    <row r="102">
      <c r="A102" s="41" t="n">
        <v>21125</v>
      </c>
      <c r="B102" s="21">
        <f>VLOOKUP(A102,'Database Rates'!$A$1:$D$1000,2,FALSE)</f>
        <v/>
      </c>
    </row>
    <row r="103">
      <c r="A103" s="41" t="n">
        <v>21155</v>
      </c>
      <c r="B103" s="21">
        <f>VLOOKUP(A103,'Database Rates'!$A$1:$D$1000,2,FALSE)</f>
        <v/>
      </c>
    </row>
    <row r="104">
      <c r="A104" s="41" t="n">
        <v>21186</v>
      </c>
      <c r="B104" s="21">
        <f>VLOOKUP(A104,'Database Rates'!$A$1:$D$1000,2,FALSE)</f>
        <v/>
      </c>
    </row>
    <row r="105">
      <c r="A105" s="41" t="n">
        <v>21217</v>
      </c>
      <c r="B105" s="21">
        <f>VLOOKUP(A105,'Database Rates'!$A$1:$D$1000,2,FALSE)</f>
        <v/>
      </c>
    </row>
    <row r="106">
      <c r="A106" s="41" t="n">
        <v>21245</v>
      </c>
      <c r="B106" s="21">
        <f>VLOOKUP(A106,'Database Rates'!$A$1:$D$1000,2,FALSE)</f>
        <v/>
      </c>
    </row>
    <row r="107">
      <c r="A107" s="41" t="n">
        <v>21276</v>
      </c>
      <c r="B107" s="21">
        <f>VLOOKUP(A107,'Database Rates'!$A$1:$D$1000,2,FALSE)</f>
        <v/>
      </c>
    </row>
    <row r="108">
      <c r="A108" s="41" t="n">
        <v>21306</v>
      </c>
      <c r="B108" s="21">
        <f>VLOOKUP(A108,'Database Rates'!$A$1:$D$1000,2,FALSE)</f>
        <v/>
      </c>
    </row>
    <row r="109">
      <c r="A109" s="41" t="n">
        <v>21337</v>
      </c>
      <c r="B109" s="21">
        <f>VLOOKUP(A109,'Database Rates'!$A$1:$D$1000,2,FALSE)</f>
        <v/>
      </c>
    </row>
    <row r="110">
      <c r="A110" s="41" t="n">
        <v>21367</v>
      </c>
      <c r="B110" s="21">
        <f>VLOOKUP(A110,'Database Rates'!$A$1:$D$1000,2,FALSE)</f>
        <v/>
      </c>
    </row>
    <row r="111">
      <c r="A111" s="41" t="n">
        <v>21398</v>
      </c>
      <c r="B111" s="21">
        <f>VLOOKUP(A111,'Database Rates'!$A$1:$D$1000,2,FALSE)</f>
        <v/>
      </c>
    </row>
    <row r="112">
      <c r="A112" s="41" t="n">
        <v>21429</v>
      </c>
      <c r="B112" s="21">
        <f>VLOOKUP(A112,'Database Rates'!$A$1:$D$1000,2,FALSE)</f>
        <v/>
      </c>
    </row>
    <row r="113">
      <c r="A113" s="41" t="n">
        <v>21459</v>
      </c>
      <c r="B113" s="21">
        <f>VLOOKUP(A113,'Database Rates'!$A$1:$D$1000,2,FALSE)</f>
        <v/>
      </c>
    </row>
    <row r="114">
      <c r="A114" s="41" t="n">
        <v>21490</v>
      </c>
      <c r="B114" s="21">
        <f>VLOOKUP(A114,'Database Rates'!$A$1:$D$1000,2,FALSE)</f>
        <v/>
      </c>
    </row>
    <row r="115">
      <c r="A115" s="41" t="n">
        <v>21520</v>
      </c>
      <c r="B115" s="21">
        <f>VLOOKUP(A115,'Database Rates'!$A$1:$D$1000,2,FALSE)</f>
        <v/>
      </c>
    </row>
    <row r="116">
      <c r="A116" s="41" t="n">
        <v>21551</v>
      </c>
      <c r="B116" s="21">
        <f>VLOOKUP(A116,'Database Rates'!$A$1:$D$1000,2,FALSE)</f>
        <v/>
      </c>
    </row>
    <row r="117">
      <c r="A117" s="41" t="n">
        <v>21582</v>
      </c>
      <c r="B117" s="21">
        <f>VLOOKUP(A117,'Database Rates'!$A$1:$D$1000,2,FALSE)</f>
        <v/>
      </c>
    </row>
    <row r="118">
      <c r="A118" s="41" t="n">
        <v>21610</v>
      </c>
      <c r="B118" s="21">
        <f>VLOOKUP(A118,'Database Rates'!$A$1:$D$1000,2,FALSE)</f>
        <v/>
      </c>
    </row>
    <row r="119">
      <c r="A119" s="41" t="n">
        <v>21641</v>
      </c>
      <c r="B119" s="21">
        <f>VLOOKUP(A119,'Database Rates'!$A$1:$D$1000,2,FALSE)</f>
        <v/>
      </c>
    </row>
    <row r="120">
      <c r="A120" s="41" t="n">
        <v>21671</v>
      </c>
      <c r="B120" s="21">
        <f>VLOOKUP(A120,'Database Rates'!$A$1:$D$1000,2,FALSE)</f>
        <v/>
      </c>
    </row>
    <row r="121">
      <c r="A121" s="41" t="n">
        <v>21702</v>
      </c>
      <c r="B121" s="21">
        <f>VLOOKUP(A121,'Database Rates'!$A$1:$D$1000,2,FALSE)</f>
        <v/>
      </c>
    </row>
    <row r="122">
      <c r="A122" s="41" t="n">
        <v>21732</v>
      </c>
      <c r="B122" s="21">
        <f>VLOOKUP(A122,'Database Rates'!$A$1:$D$1000,2,FALSE)</f>
        <v/>
      </c>
    </row>
    <row r="123">
      <c r="A123" s="41" t="n">
        <v>21763</v>
      </c>
      <c r="B123" s="21">
        <f>VLOOKUP(A123,'Database Rates'!$A$1:$D$1000,2,FALSE)</f>
        <v/>
      </c>
    </row>
    <row r="124">
      <c r="A124" s="41" t="n">
        <v>21794</v>
      </c>
      <c r="B124" s="21">
        <f>VLOOKUP(A124,'Database Rates'!$A$1:$D$1000,2,FALSE)</f>
        <v/>
      </c>
    </row>
    <row r="125">
      <c r="A125" s="41" t="n">
        <v>21824</v>
      </c>
      <c r="B125" s="21">
        <f>VLOOKUP(A125,'Database Rates'!$A$1:$D$1000,2,FALSE)</f>
        <v/>
      </c>
    </row>
    <row r="126">
      <c r="A126" s="41" t="n">
        <v>21855</v>
      </c>
      <c r="B126" s="21">
        <f>VLOOKUP(A126,'Database Rates'!$A$1:$D$1000,2,FALSE)</f>
        <v/>
      </c>
    </row>
    <row r="127">
      <c r="A127" s="41" t="n">
        <v>21885</v>
      </c>
      <c r="B127" s="21">
        <f>VLOOKUP(A127,'Database Rates'!$A$1:$D$1000,2,FALSE)</f>
        <v/>
      </c>
    </row>
    <row r="128">
      <c r="A128" s="41" t="n">
        <v>21916</v>
      </c>
      <c r="B128" s="21">
        <f>VLOOKUP(A128,'Database Rates'!$A$1:$D$1000,2,FALSE)</f>
        <v/>
      </c>
    </row>
    <row r="129">
      <c r="A129" s="41" t="n">
        <v>21947</v>
      </c>
      <c r="B129" s="21">
        <f>VLOOKUP(A129,'Database Rates'!$A$1:$D$1000,2,FALSE)</f>
        <v/>
      </c>
    </row>
    <row r="130">
      <c r="A130" s="41" t="n">
        <v>21976</v>
      </c>
      <c r="B130" s="21">
        <f>VLOOKUP(A130,'Database Rates'!$A$1:$D$1000,2,FALSE)</f>
        <v/>
      </c>
    </row>
    <row r="131">
      <c r="A131" s="41" t="n">
        <v>22007</v>
      </c>
      <c r="B131" s="21">
        <f>VLOOKUP(A131,'Database Rates'!$A$1:$D$1000,2,FALSE)</f>
        <v/>
      </c>
    </row>
    <row r="132">
      <c r="A132" s="41" t="n">
        <v>22037</v>
      </c>
      <c r="B132" s="21">
        <f>VLOOKUP(A132,'Database Rates'!$A$1:$D$1000,2,FALSE)</f>
        <v/>
      </c>
    </row>
    <row r="133">
      <c r="A133" s="41" t="n">
        <v>22068</v>
      </c>
      <c r="B133" s="21">
        <f>VLOOKUP(A133,'Database Rates'!$A$1:$D$1000,2,FALSE)</f>
        <v/>
      </c>
    </row>
    <row r="134">
      <c r="A134" s="41" t="n">
        <v>22098</v>
      </c>
      <c r="B134" s="21">
        <f>VLOOKUP(A134,'Database Rates'!$A$1:$D$1000,2,FALSE)</f>
        <v/>
      </c>
    </row>
    <row r="135">
      <c r="A135" s="41" t="n">
        <v>22129</v>
      </c>
      <c r="B135" s="21">
        <f>VLOOKUP(A135,'Database Rates'!$A$1:$D$1000,2,FALSE)</f>
        <v/>
      </c>
    </row>
    <row r="136">
      <c r="A136" s="41" t="n">
        <v>22160</v>
      </c>
      <c r="B136" s="21">
        <f>VLOOKUP(A136,'Database Rates'!$A$1:$D$1000,2,FALSE)</f>
        <v/>
      </c>
    </row>
    <row r="137">
      <c r="A137" s="41" t="n">
        <v>22190</v>
      </c>
      <c r="B137" s="21">
        <f>VLOOKUP(A137,'Database Rates'!$A$1:$D$1000,2,FALSE)</f>
        <v/>
      </c>
    </row>
    <row r="138">
      <c r="A138" s="41" t="n">
        <v>22221</v>
      </c>
      <c r="B138" s="21">
        <f>VLOOKUP(A138,'Database Rates'!$A$1:$D$1000,2,FALSE)</f>
        <v/>
      </c>
    </row>
    <row r="139">
      <c r="A139" s="41" t="n">
        <v>22251</v>
      </c>
      <c r="B139" s="21">
        <f>VLOOKUP(A139,'Database Rates'!$A$1:$D$1000,2,FALSE)</f>
        <v/>
      </c>
    </row>
    <row r="140">
      <c r="A140" s="41" t="n">
        <v>22282</v>
      </c>
      <c r="B140" s="21">
        <f>VLOOKUP(A140,'Database Rates'!$A$1:$D$1000,2,FALSE)</f>
        <v/>
      </c>
    </row>
    <row r="141">
      <c r="A141" s="41" t="n">
        <v>22313</v>
      </c>
      <c r="B141" s="21">
        <f>VLOOKUP(A141,'Database Rates'!$A$1:$D$1000,2,FALSE)</f>
        <v/>
      </c>
    </row>
    <row r="142">
      <c r="A142" s="41" t="n">
        <v>22341</v>
      </c>
      <c r="B142" s="21">
        <f>VLOOKUP(A142,'Database Rates'!$A$1:$D$1000,2,FALSE)</f>
        <v/>
      </c>
    </row>
    <row r="143">
      <c r="A143" s="41" t="n">
        <v>22372</v>
      </c>
      <c r="B143" s="21">
        <f>VLOOKUP(A143,'Database Rates'!$A$1:$D$1000,2,FALSE)</f>
        <v/>
      </c>
    </row>
    <row r="144">
      <c r="A144" s="41" t="n">
        <v>22402</v>
      </c>
      <c r="B144" s="21">
        <f>VLOOKUP(A144,'Database Rates'!$A$1:$D$1000,2,FALSE)</f>
        <v/>
      </c>
    </row>
    <row r="145">
      <c r="A145" s="41" t="n">
        <v>22433</v>
      </c>
      <c r="B145" s="21">
        <f>VLOOKUP(A145,'Database Rates'!$A$1:$D$1000,2,FALSE)</f>
        <v/>
      </c>
    </row>
    <row r="146">
      <c r="A146" s="41" t="n">
        <v>22463</v>
      </c>
      <c r="B146" s="21">
        <f>VLOOKUP(A146,'Database Rates'!$A$1:$D$1000,2,FALSE)</f>
        <v/>
      </c>
    </row>
    <row r="147">
      <c r="A147" s="41" t="n">
        <v>22494</v>
      </c>
      <c r="B147" s="21">
        <f>VLOOKUP(A147,'Database Rates'!$A$1:$D$1000,2,FALSE)</f>
        <v/>
      </c>
    </row>
    <row r="148">
      <c r="A148" s="41" t="n">
        <v>22525</v>
      </c>
      <c r="B148" s="21">
        <f>VLOOKUP(A148,'Database Rates'!$A$1:$D$1000,2,FALSE)</f>
        <v/>
      </c>
    </row>
    <row r="149">
      <c r="A149" s="41" t="n">
        <v>22555</v>
      </c>
      <c r="B149" s="21">
        <f>VLOOKUP(A149,'Database Rates'!$A$1:$D$1000,2,FALSE)</f>
        <v/>
      </c>
    </row>
    <row r="150">
      <c r="A150" s="41" t="n">
        <v>22586</v>
      </c>
      <c r="B150" s="21">
        <f>VLOOKUP(A150,'Database Rates'!$A$1:$D$1000,2,FALSE)</f>
        <v/>
      </c>
    </row>
    <row r="151">
      <c r="A151" s="41" t="n">
        <v>22616</v>
      </c>
      <c r="B151" s="21">
        <f>VLOOKUP(A151,'Database Rates'!$A$1:$D$1000,2,FALSE)</f>
        <v/>
      </c>
    </row>
    <row r="152">
      <c r="A152" s="41" t="n">
        <v>22647</v>
      </c>
      <c r="B152" s="21">
        <f>VLOOKUP(A152,'Database Rates'!$A$1:$D$1000,2,FALSE)</f>
        <v/>
      </c>
    </row>
    <row r="153">
      <c r="A153" s="41" t="n">
        <v>22678</v>
      </c>
      <c r="B153" s="21">
        <f>VLOOKUP(A153,'Database Rates'!$A$1:$D$1000,2,FALSE)</f>
        <v/>
      </c>
    </row>
    <row r="154">
      <c r="A154" s="41" t="n">
        <v>22706</v>
      </c>
      <c r="B154" s="21">
        <f>VLOOKUP(A154,'Database Rates'!$A$1:$D$1000,2,FALSE)</f>
        <v/>
      </c>
    </row>
    <row r="155">
      <c r="A155" s="41" t="n">
        <v>22737</v>
      </c>
      <c r="B155" s="21">
        <f>VLOOKUP(A155,'Database Rates'!$A$1:$D$1000,2,FALSE)</f>
        <v/>
      </c>
    </row>
    <row r="156">
      <c r="A156" s="41" t="n">
        <v>22767</v>
      </c>
      <c r="B156" s="21">
        <f>VLOOKUP(A156,'Database Rates'!$A$1:$D$1000,2,FALSE)</f>
        <v/>
      </c>
    </row>
    <row r="157">
      <c r="A157" s="41" t="n">
        <v>22798</v>
      </c>
      <c r="B157" s="21">
        <f>VLOOKUP(A157,'Database Rates'!$A$1:$D$1000,2,FALSE)</f>
        <v/>
      </c>
    </row>
    <row r="158">
      <c r="A158" s="41" t="n">
        <v>22828</v>
      </c>
      <c r="B158" s="21">
        <f>VLOOKUP(A158,'Database Rates'!$A$1:$D$1000,2,FALSE)</f>
        <v/>
      </c>
    </row>
    <row r="159">
      <c r="A159" s="41" t="n">
        <v>22859</v>
      </c>
      <c r="B159" s="21">
        <f>VLOOKUP(A159,'Database Rates'!$A$1:$D$1000,2,FALSE)</f>
        <v/>
      </c>
    </row>
    <row r="160">
      <c r="A160" s="41" t="n">
        <v>22890</v>
      </c>
      <c r="B160" s="21">
        <f>VLOOKUP(A160,'Database Rates'!$A$1:$D$1000,2,FALSE)</f>
        <v/>
      </c>
    </row>
    <row r="161">
      <c r="A161" s="41" t="n">
        <v>22920</v>
      </c>
      <c r="B161" s="21">
        <f>VLOOKUP(A161,'Database Rates'!$A$1:$D$1000,2,FALSE)</f>
        <v/>
      </c>
    </row>
    <row r="162">
      <c r="A162" s="41" t="n">
        <v>22951</v>
      </c>
      <c r="B162" s="21">
        <f>VLOOKUP(A162,'Database Rates'!$A$1:$D$1000,2,FALSE)</f>
        <v/>
      </c>
    </row>
    <row r="163">
      <c r="A163" s="41" t="n">
        <v>22981</v>
      </c>
      <c r="B163" s="21">
        <f>VLOOKUP(A163,'Database Rates'!$A$1:$D$1000,2,FALSE)</f>
        <v/>
      </c>
    </row>
    <row r="164">
      <c r="A164" s="41" t="n">
        <v>23012</v>
      </c>
      <c r="B164" s="21">
        <f>VLOOKUP(A164,'Database Rates'!$A$1:$D$1000,2,FALSE)</f>
        <v/>
      </c>
    </row>
    <row r="165">
      <c r="A165" s="41" t="n">
        <v>23043</v>
      </c>
      <c r="B165" s="21">
        <f>VLOOKUP(A165,'Database Rates'!$A$1:$D$1000,2,FALSE)</f>
        <v/>
      </c>
    </row>
    <row r="166">
      <c r="A166" s="41" t="n">
        <v>23071</v>
      </c>
      <c r="B166" s="21">
        <f>VLOOKUP(A166,'Database Rates'!$A$1:$D$1000,2,FALSE)</f>
        <v/>
      </c>
    </row>
    <row r="167">
      <c r="A167" s="41" t="n">
        <v>23102</v>
      </c>
      <c r="B167" s="21">
        <f>VLOOKUP(A167,'Database Rates'!$A$1:$D$1000,2,FALSE)</f>
        <v/>
      </c>
    </row>
    <row r="168">
      <c r="A168" s="41" t="n">
        <v>23132</v>
      </c>
      <c r="B168" s="21">
        <f>VLOOKUP(A168,'Database Rates'!$A$1:$D$1000,2,FALSE)</f>
        <v/>
      </c>
    </row>
    <row r="169">
      <c r="A169" s="41" t="n">
        <v>23163</v>
      </c>
      <c r="B169" s="21">
        <f>VLOOKUP(A169,'Database Rates'!$A$1:$D$1000,2,FALSE)</f>
        <v/>
      </c>
    </row>
    <row r="170">
      <c r="A170" s="41" t="n">
        <v>23193</v>
      </c>
      <c r="B170" s="21">
        <f>VLOOKUP(A170,'Database Rates'!$A$1:$D$1000,2,FALSE)</f>
        <v/>
      </c>
    </row>
    <row r="171">
      <c r="A171" s="41" t="n">
        <v>23224</v>
      </c>
      <c r="B171" s="21">
        <f>VLOOKUP(A171,'Database Rates'!$A$1:$D$1000,2,FALSE)</f>
        <v/>
      </c>
    </row>
    <row r="172">
      <c r="A172" s="41" t="n">
        <v>23255</v>
      </c>
      <c r="B172" s="21">
        <f>VLOOKUP(A172,'Database Rates'!$A$1:$D$1000,2,FALSE)</f>
        <v/>
      </c>
    </row>
    <row r="173">
      <c r="A173" s="41" t="n">
        <v>23285</v>
      </c>
      <c r="B173" s="21">
        <f>VLOOKUP(A173,'Database Rates'!$A$1:$D$1000,2,FALSE)</f>
        <v/>
      </c>
    </row>
    <row r="174">
      <c r="A174" s="41" t="n">
        <v>23316</v>
      </c>
      <c r="B174" s="21">
        <f>VLOOKUP(A174,'Database Rates'!$A$1:$D$1000,2,FALSE)</f>
        <v/>
      </c>
    </row>
    <row r="175">
      <c r="A175" s="41" t="n">
        <v>23346</v>
      </c>
      <c r="B175" s="21">
        <f>VLOOKUP(A175,'Database Rates'!$A$1:$D$1000,2,FALSE)</f>
        <v/>
      </c>
    </row>
    <row r="176">
      <c r="A176" s="41" t="n">
        <v>23377</v>
      </c>
      <c r="B176" s="21">
        <f>VLOOKUP(A176,'Database Rates'!$A$1:$D$1000,2,FALSE)</f>
        <v/>
      </c>
    </row>
    <row r="177">
      <c r="A177" s="41" t="n">
        <v>23408</v>
      </c>
      <c r="B177" s="21">
        <f>VLOOKUP(A177,'Database Rates'!$A$1:$D$1000,2,FALSE)</f>
        <v/>
      </c>
    </row>
    <row r="178">
      <c r="A178" s="41" t="n">
        <v>23437</v>
      </c>
      <c r="B178" s="21">
        <f>VLOOKUP(A178,'Database Rates'!$A$1:$D$1000,2,FALSE)</f>
        <v/>
      </c>
    </row>
    <row r="179">
      <c r="A179" s="41" t="n">
        <v>23468</v>
      </c>
      <c r="B179" s="21">
        <f>VLOOKUP(A179,'Database Rates'!$A$1:$D$1000,2,FALSE)</f>
        <v/>
      </c>
    </row>
    <row r="180">
      <c r="A180" s="41" t="n">
        <v>23498</v>
      </c>
      <c r="B180" s="21">
        <f>VLOOKUP(A180,'Database Rates'!$A$1:$D$1000,2,FALSE)</f>
        <v/>
      </c>
    </row>
    <row r="181">
      <c r="A181" s="41" t="n">
        <v>23529</v>
      </c>
      <c r="B181" s="21">
        <f>VLOOKUP(A181,'Database Rates'!$A$1:$D$1000,2,FALSE)</f>
        <v/>
      </c>
    </row>
    <row r="182">
      <c r="A182" s="41" t="n">
        <v>23559</v>
      </c>
      <c r="B182" s="21">
        <f>VLOOKUP(A182,'Database Rates'!$A$1:$D$1000,2,FALSE)</f>
        <v/>
      </c>
    </row>
    <row r="183">
      <c r="A183" s="41" t="n">
        <v>23590</v>
      </c>
      <c r="B183" s="21">
        <f>VLOOKUP(A183,'Database Rates'!$A$1:$D$1000,2,FALSE)</f>
        <v/>
      </c>
    </row>
    <row r="184">
      <c r="A184" s="41" t="n">
        <v>23621</v>
      </c>
      <c r="B184" s="21">
        <f>VLOOKUP(A184,'Database Rates'!$A$1:$D$1000,2,FALSE)</f>
        <v/>
      </c>
    </row>
    <row r="185">
      <c r="A185" s="41" t="n">
        <v>23651</v>
      </c>
      <c r="B185" s="21">
        <f>VLOOKUP(A185,'Database Rates'!$A$1:$D$1000,2,FALSE)</f>
        <v/>
      </c>
    </row>
    <row r="186">
      <c r="A186" s="41" t="n">
        <v>23682</v>
      </c>
      <c r="B186" s="21">
        <f>VLOOKUP(A186,'Database Rates'!$A$1:$D$1000,2,FALSE)</f>
        <v/>
      </c>
    </row>
    <row r="187">
      <c r="A187" s="41" t="n">
        <v>23712</v>
      </c>
      <c r="B187" s="21">
        <f>VLOOKUP(A187,'Database Rates'!$A$1:$D$1000,2,FALSE)</f>
        <v/>
      </c>
    </row>
    <row r="188">
      <c r="A188" s="41" t="n">
        <v>23743</v>
      </c>
      <c r="B188" s="21">
        <f>VLOOKUP(A188,'Database Rates'!$A$1:$D$1000,2,FALSE)</f>
        <v/>
      </c>
    </row>
    <row r="189">
      <c r="A189" s="41" t="n">
        <v>23774</v>
      </c>
      <c r="B189" s="21">
        <f>VLOOKUP(A189,'Database Rates'!$A$1:$D$1000,2,FALSE)</f>
        <v/>
      </c>
    </row>
    <row r="190">
      <c r="A190" s="41" t="n">
        <v>23802</v>
      </c>
      <c r="B190" s="21">
        <f>VLOOKUP(A190,'Database Rates'!$A$1:$D$1000,2,FALSE)</f>
        <v/>
      </c>
    </row>
    <row r="191">
      <c r="A191" s="41" t="n">
        <v>23833</v>
      </c>
      <c r="B191" s="21">
        <f>VLOOKUP(A191,'Database Rates'!$A$1:$D$1000,2,FALSE)</f>
        <v/>
      </c>
    </row>
    <row r="192">
      <c r="A192" s="41" t="n">
        <v>23863</v>
      </c>
      <c r="B192" s="21">
        <f>VLOOKUP(A192,'Database Rates'!$A$1:$D$1000,2,FALSE)</f>
        <v/>
      </c>
    </row>
    <row r="193">
      <c r="A193" s="41" t="n">
        <v>23894</v>
      </c>
      <c r="B193" s="21">
        <f>VLOOKUP(A193,'Database Rates'!$A$1:$D$1000,2,FALSE)</f>
        <v/>
      </c>
    </row>
    <row r="194">
      <c r="A194" s="41" t="n">
        <v>23924</v>
      </c>
      <c r="B194" s="21">
        <f>VLOOKUP(A194,'Database Rates'!$A$1:$D$1000,2,FALSE)</f>
        <v/>
      </c>
    </row>
    <row r="195">
      <c r="A195" s="41" t="n">
        <v>23955</v>
      </c>
      <c r="B195" s="21">
        <f>VLOOKUP(A195,'Database Rates'!$A$1:$D$1000,2,FALSE)</f>
        <v/>
      </c>
    </row>
    <row r="196">
      <c r="A196" s="41" t="n">
        <v>23986</v>
      </c>
      <c r="B196" s="21">
        <f>VLOOKUP(A196,'Database Rates'!$A$1:$D$1000,2,FALSE)</f>
        <v/>
      </c>
    </row>
    <row r="197">
      <c r="A197" s="41" t="n">
        <v>24016</v>
      </c>
      <c r="B197" s="21">
        <f>VLOOKUP(A197,'Database Rates'!$A$1:$D$1000,2,FALSE)</f>
        <v/>
      </c>
    </row>
    <row r="198">
      <c r="A198" s="41" t="n">
        <v>24047</v>
      </c>
      <c r="B198" s="21">
        <f>VLOOKUP(A198,'Database Rates'!$A$1:$D$1000,2,FALSE)</f>
        <v/>
      </c>
    </row>
    <row r="199">
      <c r="A199" s="41" t="n">
        <v>24077</v>
      </c>
      <c r="B199" s="21">
        <f>VLOOKUP(A199,'Database Rates'!$A$1:$D$1000,2,FALSE)</f>
        <v/>
      </c>
    </row>
    <row r="200">
      <c r="A200" s="41" t="n">
        <v>24108</v>
      </c>
      <c r="B200" s="21">
        <f>VLOOKUP(A200,'Database Rates'!$A$1:$D$1000,2,FALSE)</f>
        <v/>
      </c>
    </row>
    <row r="201">
      <c r="A201" s="41" t="n">
        <v>24139</v>
      </c>
      <c r="B201" s="21">
        <f>VLOOKUP(A201,'Database Rates'!$A$1:$D$1000,2,FALSE)</f>
        <v/>
      </c>
    </row>
    <row r="202">
      <c r="A202" s="41" t="n">
        <v>24167</v>
      </c>
      <c r="B202" s="21">
        <f>VLOOKUP(A202,'Database Rates'!$A$1:$D$1000,2,FALSE)</f>
        <v/>
      </c>
    </row>
    <row r="203">
      <c r="A203" s="41" t="n">
        <v>24198</v>
      </c>
      <c r="B203" s="21">
        <f>VLOOKUP(A203,'Database Rates'!$A$1:$D$1000,2,FALSE)</f>
        <v/>
      </c>
    </row>
    <row r="204">
      <c r="A204" s="41" t="n">
        <v>24228</v>
      </c>
      <c r="B204" s="21">
        <f>VLOOKUP(A204,'Database Rates'!$A$1:$D$1000,2,FALSE)</f>
        <v/>
      </c>
    </row>
    <row r="205">
      <c r="A205" s="41" t="n">
        <v>24259</v>
      </c>
      <c r="B205" s="21">
        <f>VLOOKUP(A205,'Database Rates'!$A$1:$D$1000,2,FALSE)</f>
        <v/>
      </c>
    </row>
    <row r="206">
      <c r="A206" s="41" t="n">
        <v>24289</v>
      </c>
      <c r="B206" s="21">
        <f>VLOOKUP(A206,'Database Rates'!$A$1:$D$1000,2,FALSE)</f>
        <v/>
      </c>
    </row>
    <row r="207">
      <c r="A207" s="41" t="n">
        <v>24320</v>
      </c>
      <c r="B207" s="21">
        <f>VLOOKUP(A207,'Database Rates'!$A$1:$D$1000,2,FALSE)</f>
        <v/>
      </c>
    </row>
    <row r="208">
      <c r="A208" s="41" t="n">
        <v>24351</v>
      </c>
      <c r="B208" s="21">
        <f>VLOOKUP(A208,'Database Rates'!$A$1:$D$1000,2,FALSE)</f>
        <v/>
      </c>
    </row>
    <row r="209">
      <c r="A209" s="41" t="n">
        <v>24381</v>
      </c>
      <c r="B209" s="21">
        <f>VLOOKUP(A209,'Database Rates'!$A$1:$D$1000,2,FALSE)</f>
        <v/>
      </c>
    </row>
    <row r="210">
      <c r="A210" s="41" t="n">
        <v>24412</v>
      </c>
      <c r="B210" s="21">
        <f>VLOOKUP(A210,'Database Rates'!$A$1:$D$1000,2,FALSE)</f>
        <v/>
      </c>
    </row>
    <row r="211">
      <c r="A211" s="41" t="n">
        <v>24442</v>
      </c>
      <c r="B211" s="21">
        <f>VLOOKUP(A211,'Database Rates'!$A$1:$D$1000,2,FALSE)</f>
        <v/>
      </c>
    </row>
    <row r="212">
      <c r="A212" s="41" t="n">
        <v>24473</v>
      </c>
      <c r="B212" s="21">
        <f>VLOOKUP(A212,'Database Rates'!$A$1:$D$1000,2,FALSE)</f>
        <v/>
      </c>
    </row>
    <row r="213">
      <c r="A213" s="41" t="n">
        <v>24504</v>
      </c>
      <c r="B213" s="21">
        <f>VLOOKUP(A213,'Database Rates'!$A$1:$D$1000,2,FALSE)</f>
        <v/>
      </c>
    </row>
    <row r="214">
      <c r="A214" s="41" t="n">
        <v>24532</v>
      </c>
      <c r="B214" s="21">
        <f>VLOOKUP(A214,'Database Rates'!$A$1:$D$1000,2,FALSE)</f>
        <v/>
      </c>
    </row>
    <row r="215">
      <c r="A215" s="41" t="n">
        <v>24563</v>
      </c>
      <c r="B215" s="21">
        <f>VLOOKUP(A215,'Database Rates'!$A$1:$D$1000,2,FALSE)</f>
        <v/>
      </c>
    </row>
    <row r="216">
      <c r="A216" s="41" t="n">
        <v>24593</v>
      </c>
      <c r="B216" s="21">
        <f>VLOOKUP(A216,'Database Rates'!$A$1:$D$1000,2,FALSE)</f>
        <v/>
      </c>
    </row>
    <row r="217">
      <c r="A217" s="41" t="n">
        <v>24624</v>
      </c>
      <c r="B217" s="21">
        <f>VLOOKUP(A217,'Database Rates'!$A$1:$D$1000,2,FALSE)</f>
        <v/>
      </c>
    </row>
    <row r="218">
      <c r="A218" s="41" t="n">
        <v>24654</v>
      </c>
      <c r="B218" s="21">
        <f>VLOOKUP(A218,'Database Rates'!$A$1:$D$1000,2,FALSE)</f>
        <v/>
      </c>
    </row>
    <row r="219">
      <c r="A219" s="41" t="n">
        <v>24685</v>
      </c>
      <c r="B219" s="21">
        <f>VLOOKUP(A219,'Database Rates'!$A$1:$D$1000,2,FALSE)</f>
        <v/>
      </c>
    </row>
    <row r="220">
      <c r="A220" s="41" t="n">
        <v>24716</v>
      </c>
      <c r="B220" s="21">
        <f>VLOOKUP(A220,'Database Rates'!$A$1:$D$1000,2,FALSE)</f>
        <v/>
      </c>
    </row>
    <row r="221">
      <c r="A221" s="41" t="n">
        <v>24746</v>
      </c>
      <c r="B221" s="21">
        <f>VLOOKUP(A221,'Database Rates'!$A$1:$D$1000,2,FALSE)</f>
        <v/>
      </c>
    </row>
    <row r="222">
      <c r="A222" s="41" t="n">
        <v>24777</v>
      </c>
      <c r="B222" s="21">
        <f>VLOOKUP(A222,'Database Rates'!$A$1:$D$1000,2,FALSE)</f>
        <v/>
      </c>
    </row>
    <row r="223">
      <c r="A223" s="41" t="n">
        <v>24807</v>
      </c>
      <c r="B223" s="21">
        <f>VLOOKUP(A223,'Database Rates'!$A$1:$D$1000,2,FALSE)</f>
        <v/>
      </c>
    </row>
    <row r="224">
      <c r="A224" s="41" t="n">
        <v>24838</v>
      </c>
      <c r="B224" s="21">
        <f>VLOOKUP(A224,'Database Rates'!$A$1:$D$1000,2,FALSE)</f>
        <v/>
      </c>
    </row>
    <row r="225">
      <c r="A225" s="41" t="n">
        <v>24869</v>
      </c>
      <c r="B225" s="21">
        <f>VLOOKUP(A225,'Database Rates'!$A$1:$D$1000,2,FALSE)</f>
        <v/>
      </c>
    </row>
    <row r="226">
      <c r="A226" s="41" t="n">
        <v>24898</v>
      </c>
      <c r="B226" s="21">
        <f>VLOOKUP(A226,'Database Rates'!$A$1:$D$1000,2,FALSE)</f>
        <v/>
      </c>
    </row>
    <row r="227">
      <c r="A227" s="41" t="n">
        <v>24929</v>
      </c>
      <c r="B227" s="21">
        <f>VLOOKUP(A227,'Database Rates'!$A$1:$D$1000,2,FALSE)</f>
        <v/>
      </c>
    </row>
    <row r="228">
      <c r="A228" s="41" t="n">
        <v>24959</v>
      </c>
      <c r="B228" s="21">
        <f>VLOOKUP(A228,'Database Rates'!$A$1:$D$1000,2,FALSE)</f>
        <v/>
      </c>
    </row>
    <row r="229">
      <c r="A229" s="41" t="n">
        <v>24990</v>
      </c>
      <c r="B229" s="21">
        <f>VLOOKUP(A229,'Database Rates'!$A$1:$D$1000,2,FALSE)</f>
        <v/>
      </c>
    </row>
    <row r="230">
      <c r="A230" s="41" t="n">
        <v>25020</v>
      </c>
      <c r="B230" s="21">
        <f>VLOOKUP(A230,'Database Rates'!$A$1:$D$1000,2,FALSE)</f>
        <v/>
      </c>
    </row>
    <row r="231">
      <c r="A231" s="41" t="n">
        <v>25051</v>
      </c>
      <c r="B231" s="21">
        <f>VLOOKUP(A231,'Database Rates'!$A$1:$D$1000,2,FALSE)</f>
        <v/>
      </c>
    </row>
    <row r="232">
      <c r="A232" s="41" t="n">
        <v>25082</v>
      </c>
      <c r="B232" s="21">
        <f>VLOOKUP(A232,'Database Rates'!$A$1:$D$1000,2,FALSE)</f>
        <v/>
      </c>
    </row>
    <row r="233">
      <c r="A233" s="41" t="n">
        <v>25112</v>
      </c>
      <c r="B233" s="21">
        <f>VLOOKUP(A233,'Database Rates'!$A$1:$D$1000,2,FALSE)</f>
        <v/>
      </c>
    </row>
    <row r="234">
      <c r="A234" s="41" t="n">
        <v>25143</v>
      </c>
      <c r="B234" s="21">
        <f>VLOOKUP(A234,'Database Rates'!$A$1:$D$1000,2,FALSE)</f>
        <v/>
      </c>
    </row>
    <row r="235">
      <c r="A235" s="41" t="n">
        <v>25173</v>
      </c>
      <c r="B235" s="21">
        <f>VLOOKUP(A235,'Database Rates'!$A$1:$D$1000,2,FALSE)</f>
        <v/>
      </c>
    </row>
    <row r="236">
      <c r="A236" s="41" t="n">
        <v>25204</v>
      </c>
      <c r="B236" s="21">
        <f>VLOOKUP(A236,'Database Rates'!$A$1:$D$1000,2,FALSE)</f>
        <v/>
      </c>
    </row>
    <row r="237">
      <c r="A237" s="41" t="n">
        <v>25235</v>
      </c>
      <c r="B237" s="21">
        <f>VLOOKUP(A237,'Database Rates'!$A$1:$D$1000,2,FALSE)</f>
        <v/>
      </c>
    </row>
    <row r="238">
      <c r="A238" s="41" t="n">
        <v>25263</v>
      </c>
      <c r="B238" s="21">
        <f>VLOOKUP(A238,'Database Rates'!$A$1:$D$1000,2,FALSE)</f>
        <v/>
      </c>
    </row>
    <row r="239">
      <c r="A239" s="41" t="n">
        <v>25294</v>
      </c>
      <c r="B239" s="21">
        <f>VLOOKUP(A239,'Database Rates'!$A$1:$D$1000,2,FALSE)</f>
        <v/>
      </c>
    </row>
    <row r="240">
      <c r="A240" s="41" t="n">
        <v>25324</v>
      </c>
      <c r="B240" s="21">
        <f>VLOOKUP(A240,'Database Rates'!$A$1:$D$1000,2,FALSE)</f>
        <v/>
      </c>
    </row>
    <row r="241">
      <c r="A241" s="41" t="n">
        <v>25355</v>
      </c>
      <c r="B241" s="21">
        <f>VLOOKUP(A241,'Database Rates'!$A$1:$D$1000,2,FALSE)</f>
        <v/>
      </c>
    </row>
    <row r="242">
      <c r="A242" s="41" t="n">
        <v>25385</v>
      </c>
      <c r="B242" s="21">
        <f>VLOOKUP(A242,'Database Rates'!$A$1:$D$1000,2,FALSE)</f>
        <v/>
      </c>
    </row>
    <row r="243">
      <c r="A243" s="41" t="n">
        <v>25416</v>
      </c>
      <c r="B243" s="21">
        <f>VLOOKUP(A243,'Database Rates'!$A$1:$D$1000,2,FALSE)</f>
        <v/>
      </c>
    </row>
    <row r="244">
      <c r="A244" s="41" t="n">
        <v>25447</v>
      </c>
      <c r="B244" s="21">
        <f>VLOOKUP(A244,'Database Rates'!$A$1:$D$1000,2,FALSE)</f>
        <v/>
      </c>
    </row>
    <row r="245">
      <c r="A245" s="41" t="n">
        <v>25477</v>
      </c>
      <c r="B245" s="21">
        <f>VLOOKUP(A245,'Database Rates'!$A$1:$D$1000,2,FALSE)</f>
        <v/>
      </c>
    </row>
    <row r="246">
      <c r="A246" s="41" t="n">
        <v>25508</v>
      </c>
      <c r="B246" s="21">
        <f>VLOOKUP(A246,'Database Rates'!$A$1:$D$1000,2,FALSE)</f>
        <v/>
      </c>
    </row>
    <row r="247">
      <c r="A247" s="41" t="n">
        <v>25538</v>
      </c>
      <c r="B247" s="21">
        <f>VLOOKUP(A247,'Database Rates'!$A$1:$D$1000,2,FALSE)</f>
        <v/>
      </c>
    </row>
    <row r="248">
      <c r="A248" s="41" t="n">
        <v>25569</v>
      </c>
      <c r="B248" s="21">
        <f>VLOOKUP(A248,'Database Rates'!$A$1:$D$1000,2,FALSE)</f>
        <v/>
      </c>
    </row>
    <row r="249">
      <c r="A249" s="41" t="n">
        <v>25600</v>
      </c>
      <c r="B249" s="21">
        <f>VLOOKUP(A249,'Database Rates'!$A$1:$D$1000,2,FALSE)</f>
        <v/>
      </c>
    </row>
    <row r="250">
      <c r="A250" s="41" t="n">
        <v>25628</v>
      </c>
      <c r="B250" s="21">
        <f>VLOOKUP(A250,'Database Rates'!$A$1:$D$1000,2,FALSE)</f>
        <v/>
      </c>
    </row>
    <row r="251">
      <c r="A251" s="41" t="n">
        <v>25659</v>
      </c>
      <c r="B251" s="21">
        <f>VLOOKUP(A251,'Database Rates'!$A$1:$D$1000,2,FALSE)</f>
        <v/>
      </c>
    </row>
    <row r="252">
      <c r="A252" s="41" t="n">
        <v>25689</v>
      </c>
      <c r="B252" s="21">
        <f>VLOOKUP(A252,'Database Rates'!$A$1:$D$1000,2,FALSE)</f>
        <v/>
      </c>
    </row>
    <row r="253">
      <c r="A253" s="41" t="n">
        <v>25720</v>
      </c>
      <c r="B253" s="21">
        <f>VLOOKUP(A253,'Database Rates'!$A$1:$D$1000,2,FALSE)</f>
        <v/>
      </c>
    </row>
    <row r="254">
      <c r="A254" s="41" t="n">
        <v>25750</v>
      </c>
      <c r="B254" s="21">
        <f>VLOOKUP(A254,'Database Rates'!$A$1:$D$1000,2,FALSE)</f>
        <v/>
      </c>
    </row>
    <row r="255">
      <c r="A255" s="41" t="n">
        <v>25781</v>
      </c>
      <c r="B255" s="21">
        <f>VLOOKUP(A255,'Database Rates'!$A$1:$D$1000,2,FALSE)</f>
        <v/>
      </c>
    </row>
    <row r="256">
      <c r="A256" s="41" t="n">
        <v>25812</v>
      </c>
      <c r="B256" s="21">
        <f>VLOOKUP(A256,'Database Rates'!$A$1:$D$1000,2,FALSE)</f>
        <v/>
      </c>
    </row>
    <row r="257">
      <c r="A257" s="41" t="n">
        <v>25842</v>
      </c>
      <c r="B257" s="21">
        <f>VLOOKUP(A257,'Database Rates'!$A$1:$D$1000,2,FALSE)</f>
        <v/>
      </c>
    </row>
    <row r="258">
      <c r="A258" s="41" t="n">
        <v>25873</v>
      </c>
      <c r="B258" s="21">
        <f>VLOOKUP(A258,'Database Rates'!$A$1:$D$1000,2,FALSE)</f>
        <v/>
      </c>
    </row>
    <row r="259">
      <c r="A259" s="41" t="n">
        <v>25903</v>
      </c>
      <c r="B259" s="21">
        <f>VLOOKUP(A259,'Database Rates'!$A$1:$D$1000,2,FALSE)</f>
        <v/>
      </c>
    </row>
    <row r="260">
      <c r="A260" s="41" t="n">
        <v>25934</v>
      </c>
      <c r="B260" s="21">
        <f>VLOOKUP(A260,'Database Rates'!$A$1:$D$1000,2,FALSE)</f>
        <v/>
      </c>
    </row>
    <row r="261">
      <c r="A261" s="41" t="n">
        <v>25965</v>
      </c>
      <c r="B261" s="21">
        <f>VLOOKUP(A261,'Database Rates'!$A$1:$D$1000,2,FALSE)</f>
        <v/>
      </c>
    </row>
    <row r="262">
      <c r="A262" s="41" t="n">
        <v>25993</v>
      </c>
      <c r="B262" s="21">
        <f>VLOOKUP(A262,'Database Rates'!$A$1:$D$1000,2,FALSE)</f>
        <v/>
      </c>
    </row>
    <row r="263">
      <c r="A263" s="41" t="n">
        <v>26024</v>
      </c>
      <c r="B263" s="21">
        <f>VLOOKUP(A263,'Database Rates'!$A$1:$D$1000,2,FALSE)</f>
        <v/>
      </c>
    </row>
    <row r="264">
      <c r="A264" s="41" t="n">
        <v>26054</v>
      </c>
      <c r="B264" s="21">
        <f>VLOOKUP(A264,'Database Rates'!$A$1:$D$1000,2,FALSE)</f>
        <v/>
      </c>
    </row>
    <row r="265">
      <c r="A265" s="41" t="n">
        <v>26085</v>
      </c>
      <c r="B265" s="21">
        <f>VLOOKUP(A265,'Database Rates'!$A$1:$D$1000,2,FALSE)</f>
        <v/>
      </c>
    </row>
    <row r="266">
      <c r="A266" s="41" t="n">
        <v>26115</v>
      </c>
      <c r="B266" s="21">
        <f>VLOOKUP(A266,'Database Rates'!$A$1:$D$1000,2,FALSE)</f>
        <v/>
      </c>
    </row>
    <row r="267">
      <c r="A267" s="41" t="n">
        <v>26146</v>
      </c>
      <c r="B267" s="21">
        <f>VLOOKUP(A267,'Database Rates'!$A$1:$D$1000,2,FALSE)</f>
        <v/>
      </c>
    </row>
    <row r="268">
      <c r="A268" s="41" t="n">
        <v>26177</v>
      </c>
      <c r="B268" s="21">
        <f>VLOOKUP(A268,'Database Rates'!$A$1:$D$1000,2,FALSE)</f>
        <v/>
      </c>
    </row>
    <row r="269">
      <c r="A269" s="41" t="n">
        <v>26207</v>
      </c>
      <c r="B269" s="21">
        <f>VLOOKUP(A269,'Database Rates'!$A$1:$D$1000,2,FALSE)</f>
        <v/>
      </c>
    </row>
    <row r="270">
      <c r="A270" s="41" t="n">
        <v>26238</v>
      </c>
      <c r="B270" s="21">
        <f>VLOOKUP(A270,'Database Rates'!$A$1:$D$1000,2,FALSE)</f>
        <v/>
      </c>
    </row>
    <row r="271">
      <c r="A271" s="41" t="n">
        <v>26268</v>
      </c>
      <c r="B271" s="21">
        <f>VLOOKUP(A271,'Database Rates'!$A$1:$D$1000,2,FALSE)</f>
        <v/>
      </c>
    </row>
    <row r="272">
      <c r="A272" s="41" t="n">
        <v>26299</v>
      </c>
      <c r="B272" s="21">
        <f>VLOOKUP(A272,'Database Rates'!$A$1:$D$1000,2,FALSE)</f>
        <v/>
      </c>
    </row>
    <row r="273">
      <c r="A273" s="41" t="n">
        <v>26330</v>
      </c>
      <c r="B273" s="21">
        <f>VLOOKUP(A273,'Database Rates'!$A$1:$D$1000,2,FALSE)</f>
        <v/>
      </c>
    </row>
    <row r="274">
      <c r="A274" s="41" t="n">
        <v>26359</v>
      </c>
      <c r="B274" s="21">
        <f>VLOOKUP(A274,'Database Rates'!$A$1:$D$1000,2,FALSE)</f>
        <v/>
      </c>
    </row>
    <row r="275">
      <c r="A275" s="41" t="n">
        <v>26390</v>
      </c>
      <c r="B275" s="21">
        <f>VLOOKUP(A275,'Database Rates'!$A$1:$D$1000,2,FALSE)</f>
        <v/>
      </c>
    </row>
    <row r="276">
      <c r="A276" s="41" t="n">
        <v>26420</v>
      </c>
      <c r="B276" s="21">
        <f>VLOOKUP(A276,'Database Rates'!$A$1:$D$1000,2,FALSE)</f>
        <v/>
      </c>
    </row>
    <row r="277">
      <c r="A277" s="41" t="n">
        <v>26451</v>
      </c>
      <c r="B277" s="21">
        <f>VLOOKUP(A277,'Database Rates'!$A$1:$D$1000,2,FALSE)</f>
        <v/>
      </c>
    </row>
    <row r="278">
      <c r="A278" s="41" t="n">
        <v>26481</v>
      </c>
      <c r="B278" s="21">
        <f>VLOOKUP(A278,'Database Rates'!$A$1:$D$1000,2,FALSE)</f>
        <v/>
      </c>
    </row>
    <row r="279">
      <c r="A279" s="41" t="n">
        <v>26512</v>
      </c>
      <c r="B279" s="21">
        <f>VLOOKUP(A279,'Database Rates'!$A$1:$D$1000,2,FALSE)</f>
        <v/>
      </c>
    </row>
    <row r="280">
      <c r="A280" s="41" t="n">
        <v>26543</v>
      </c>
      <c r="B280" s="21">
        <f>VLOOKUP(A280,'Database Rates'!$A$1:$D$1000,2,FALSE)</f>
        <v/>
      </c>
    </row>
    <row r="281">
      <c r="A281" s="41" t="n">
        <v>26573</v>
      </c>
      <c r="B281" s="21">
        <f>VLOOKUP(A281,'Database Rates'!$A$1:$D$1000,2,FALSE)</f>
        <v/>
      </c>
    </row>
    <row r="282">
      <c r="A282" s="41" t="n">
        <v>26604</v>
      </c>
      <c r="B282" s="21">
        <f>VLOOKUP(A282,'Database Rates'!$A$1:$D$1000,2,FALSE)</f>
        <v/>
      </c>
    </row>
    <row r="283">
      <c r="A283" s="41" t="n">
        <v>26634</v>
      </c>
      <c r="B283" s="21">
        <f>VLOOKUP(A283,'Database Rates'!$A$1:$D$1000,2,FALSE)</f>
        <v/>
      </c>
    </row>
    <row r="284">
      <c r="A284" s="41" t="n">
        <v>26665</v>
      </c>
      <c r="B284" s="21">
        <f>VLOOKUP(A284,'Database Rates'!$A$1:$D$1000,2,FALSE)</f>
        <v/>
      </c>
    </row>
    <row r="285">
      <c r="A285" s="41" t="n">
        <v>26696</v>
      </c>
      <c r="B285" s="21">
        <f>VLOOKUP(A285,'Database Rates'!$A$1:$D$1000,2,FALSE)</f>
        <v/>
      </c>
    </row>
    <row r="286">
      <c r="A286" s="41" t="n">
        <v>26724</v>
      </c>
      <c r="B286" s="21">
        <f>VLOOKUP(A286,'Database Rates'!$A$1:$D$1000,2,FALSE)</f>
        <v/>
      </c>
    </row>
    <row r="287">
      <c r="A287" s="41" t="n">
        <v>26755</v>
      </c>
      <c r="B287" s="21">
        <f>VLOOKUP(A287,'Database Rates'!$A$1:$D$1000,2,FALSE)</f>
        <v/>
      </c>
    </row>
    <row r="288">
      <c r="A288" s="41" t="n">
        <v>26785</v>
      </c>
      <c r="B288" s="21">
        <f>VLOOKUP(A288,'Database Rates'!$A$1:$D$1000,2,FALSE)</f>
        <v/>
      </c>
    </row>
    <row r="289">
      <c r="A289" s="41" t="n">
        <v>26816</v>
      </c>
      <c r="B289" s="21">
        <f>VLOOKUP(A289,'Database Rates'!$A$1:$D$1000,2,FALSE)</f>
        <v/>
      </c>
    </row>
    <row r="290">
      <c r="A290" s="41" t="n">
        <v>26846</v>
      </c>
      <c r="B290" s="21">
        <f>VLOOKUP(A290,'Database Rates'!$A$1:$D$1000,2,FALSE)</f>
        <v/>
      </c>
    </row>
    <row r="291">
      <c r="A291" s="41" t="n">
        <v>26877</v>
      </c>
      <c r="B291" s="21">
        <f>VLOOKUP(A291,'Database Rates'!$A$1:$D$1000,2,FALSE)</f>
        <v/>
      </c>
    </row>
    <row r="292">
      <c r="A292" s="41" t="n">
        <v>26908</v>
      </c>
      <c r="B292" s="21">
        <f>VLOOKUP(A292,'Database Rates'!$A$1:$D$1000,2,FALSE)</f>
        <v/>
      </c>
    </row>
    <row r="293">
      <c r="A293" s="41" t="n">
        <v>26938</v>
      </c>
      <c r="B293" s="21">
        <f>VLOOKUP(A293,'Database Rates'!$A$1:$D$1000,2,FALSE)</f>
        <v/>
      </c>
    </row>
    <row r="294">
      <c r="A294" s="41" t="n">
        <v>26969</v>
      </c>
      <c r="B294" s="21">
        <f>VLOOKUP(A294,'Database Rates'!$A$1:$D$1000,2,FALSE)</f>
        <v/>
      </c>
    </row>
    <row r="295">
      <c r="A295" s="41" t="n">
        <v>26999</v>
      </c>
      <c r="B295" s="21">
        <f>VLOOKUP(A295,'Database Rates'!$A$1:$D$1000,2,FALSE)</f>
        <v/>
      </c>
    </row>
    <row r="296">
      <c r="A296" s="41" t="n">
        <v>27030</v>
      </c>
      <c r="B296" s="21">
        <f>VLOOKUP(A296,'Database Rates'!$A$1:$D$1000,2,FALSE)</f>
        <v/>
      </c>
    </row>
    <row r="297">
      <c r="A297" s="41" t="n">
        <v>27061</v>
      </c>
      <c r="B297" s="21">
        <f>VLOOKUP(A297,'Database Rates'!$A$1:$D$1000,2,FALSE)</f>
        <v/>
      </c>
    </row>
    <row r="298">
      <c r="A298" s="41" t="n">
        <v>27089</v>
      </c>
      <c r="B298" s="21">
        <f>VLOOKUP(A298,'Database Rates'!$A$1:$D$1000,2,FALSE)</f>
        <v/>
      </c>
    </row>
    <row r="299">
      <c r="A299" s="41" t="n">
        <v>27120</v>
      </c>
      <c r="B299" s="21">
        <f>VLOOKUP(A299,'Database Rates'!$A$1:$D$1000,2,FALSE)</f>
        <v/>
      </c>
    </row>
    <row r="300">
      <c r="A300" s="41" t="n">
        <v>27150</v>
      </c>
      <c r="B300" s="21">
        <f>VLOOKUP(A300,'Database Rates'!$A$1:$D$1000,2,FALSE)</f>
        <v/>
      </c>
    </row>
    <row r="301">
      <c r="A301" s="41" t="n">
        <v>27181</v>
      </c>
      <c r="B301" s="21">
        <f>VLOOKUP(A301,'Database Rates'!$A$1:$D$1000,2,FALSE)</f>
        <v/>
      </c>
    </row>
    <row r="302">
      <c r="A302" s="41" t="n">
        <v>27211</v>
      </c>
      <c r="B302" s="21">
        <f>VLOOKUP(A302,'Database Rates'!$A$1:$D$1000,2,FALSE)</f>
        <v/>
      </c>
    </row>
    <row r="303">
      <c r="A303" s="41" t="n">
        <v>27242</v>
      </c>
      <c r="B303" s="21">
        <f>VLOOKUP(A303,'Database Rates'!$A$1:$D$1000,2,FALSE)</f>
        <v/>
      </c>
    </row>
    <row r="304">
      <c r="A304" s="41" t="n">
        <v>27273</v>
      </c>
      <c r="B304" s="21">
        <f>VLOOKUP(A304,'Database Rates'!$A$1:$D$1000,2,FALSE)</f>
        <v/>
      </c>
    </row>
    <row r="305">
      <c r="A305" s="41" t="n">
        <v>27303</v>
      </c>
      <c r="B305" s="21">
        <f>VLOOKUP(A305,'Database Rates'!$A$1:$D$1000,2,FALSE)</f>
        <v/>
      </c>
    </row>
    <row r="306">
      <c r="A306" s="41" t="n">
        <v>27334</v>
      </c>
      <c r="B306" s="21">
        <f>VLOOKUP(A306,'Database Rates'!$A$1:$D$1000,2,FALSE)</f>
        <v/>
      </c>
    </row>
    <row r="307">
      <c r="A307" s="41" t="n">
        <v>27364</v>
      </c>
      <c r="B307" s="21">
        <f>VLOOKUP(A307,'Database Rates'!$A$1:$D$1000,2,FALSE)</f>
        <v/>
      </c>
    </row>
    <row r="308">
      <c r="A308" s="41" t="n">
        <v>27395</v>
      </c>
      <c r="B308" s="21">
        <f>VLOOKUP(A308,'Database Rates'!$A$1:$D$1000,2,FALSE)</f>
        <v/>
      </c>
    </row>
    <row r="309">
      <c r="A309" s="41" t="n">
        <v>27426</v>
      </c>
      <c r="B309" s="21">
        <f>VLOOKUP(A309,'Database Rates'!$A$1:$D$1000,2,FALSE)</f>
        <v/>
      </c>
    </row>
    <row r="310">
      <c r="A310" s="41" t="n">
        <v>27454</v>
      </c>
      <c r="B310" s="21">
        <f>VLOOKUP(A310,'Database Rates'!$A$1:$D$1000,2,FALSE)</f>
        <v/>
      </c>
    </row>
    <row r="311">
      <c r="A311" s="41" t="n">
        <v>27485</v>
      </c>
      <c r="B311" s="21">
        <f>VLOOKUP(A311,'Database Rates'!$A$1:$D$1000,2,FALSE)</f>
        <v/>
      </c>
    </row>
    <row r="312">
      <c r="A312" s="41" t="n">
        <v>27515</v>
      </c>
      <c r="B312" s="21">
        <f>VLOOKUP(A312,'Database Rates'!$A$1:$D$1000,2,FALSE)</f>
        <v/>
      </c>
    </row>
    <row r="313">
      <c r="A313" s="41" t="n">
        <v>27546</v>
      </c>
      <c r="B313" s="21">
        <f>VLOOKUP(A313,'Database Rates'!$A$1:$D$1000,2,FALSE)</f>
        <v/>
      </c>
    </row>
    <row r="314">
      <c r="A314" s="41" t="n">
        <v>27576</v>
      </c>
      <c r="B314" s="21">
        <f>VLOOKUP(A314,'Database Rates'!$A$1:$D$1000,2,FALSE)</f>
        <v/>
      </c>
    </row>
    <row r="315">
      <c r="A315" s="41" t="n">
        <v>27607</v>
      </c>
      <c r="B315" s="21">
        <f>VLOOKUP(A315,'Database Rates'!$A$1:$D$1000,2,FALSE)</f>
        <v/>
      </c>
    </row>
    <row r="316">
      <c r="A316" s="41" t="n">
        <v>27638</v>
      </c>
      <c r="B316" s="21">
        <f>VLOOKUP(A316,'Database Rates'!$A$1:$D$1000,2,FALSE)</f>
        <v/>
      </c>
    </row>
    <row r="317">
      <c r="A317" s="41" t="n">
        <v>27668</v>
      </c>
      <c r="B317" s="21">
        <f>VLOOKUP(A317,'Database Rates'!$A$1:$D$1000,2,FALSE)</f>
        <v/>
      </c>
    </row>
    <row r="318">
      <c r="A318" s="41" t="n">
        <v>27699</v>
      </c>
      <c r="B318" s="21">
        <f>VLOOKUP(A318,'Database Rates'!$A$1:$D$1000,2,FALSE)</f>
        <v/>
      </c>
    </row>
    <row r="319">
      <c r="A319" s="41" t="n">
        <v>27729</v>
      </c>
      <c r="B319" s="21">
        <f>VLOOKUP(A319,'Database Rates'!$A$1:$D$1000,2,FALSE)</f>
        <v/>
      </c>
    </row>
    <row r="320">
      <c r="A320" s="41" t="n">
        <v>27760</v>
      </c>
      <c r="B320" s="21">
        <f>VLOOKUP(A320,'Database Rates'!$A$1:$D$1000,2,FALSE)</f>
        <v/>
      </c>
    </row>
    <row r="321">
      <c r="A321" s="41" t="n">
        <v>27791</v>
      </c>
      <c r="B321" s="21">
        <f>VLOOKUP(A321,'Database Rates'!$A$1:$D$1000,2,FALSE)</f>
        <v/>
      </c>
    </row>
    <row r="322">
      <c r="A322" s="41" t="n">
        <v>27820</v>
      </c>
      <c r="B322" s="21">
        <f>VLOOKUP(A322,'Database Rates'!$A$1:$D$1000,2,FALSE)</f>
        <v/>
      </c>
    </row>
    <row r="323">
      <c r="A323" s="41" t="n">
        <v>27851</v>
      </c>
      <c r="B323" s="21">
        <f>VLOOKUP(A323,'Database Rates'!$A$1:$D$1000,2,FALSE)</f>
        <v/>
      </c>
    </row>
    <row r="324">
      <c r="A324" s="41" t="n">
        <v>27881</v>
      </c>
      <c r="B324" s="21">
        <f>VLOOKUP(A324,'Database Rates'!$A$1:$D$1000,2,FALSE)</f>
        <v/>
      </c>
    </row>
    <row r="325">
      <c r="A325" s="41" t="n">
        <v>27912</v>
      </c>
      <c r="B325" s="21">
        <f>VLOOKUP(A325,'Database Rates'!$A$1:$D$1000,2,FALSE)</f>
        <v/>
      </c>
    </row>
    <row r="326">
      <c r="A326" s="41" t="n">
        <v>27942</v>
      </c>
      <c r="B326" s="21">
        <f>VLOOKUP(A326,'Database Rates'!$A$1:$D$1000,2,FALSE)</f>
        <v/>
      </c>
    </row>
    <row r="327">
      <c r="A327" s="41" t="n">
        <v>27973</v>
      </c>
      <c r="B327" s="21">
        <f>VLOOKUP(A327,'Database Rates'!$A$1:$D$1000,2,FALSE)</f>
        <v/>
      </c>
    </row>
    <row r="328">
      <c r="A328" s="41" t="n">
        <v>28004</v>
      </c>
      <c r="B328" s="21">
        <f>VLOOKUP(A328,'Database Rates'!$A$1:$D$1000,2,FALSE)</f>
        <v/>
      </c>
    </row>
    <row r="329">
      <c r="A329" s="41" t="n">
        <v>28034</v>
      </c>
      <c r="B329" s="21">
        <f>VLOOKUP(A329,'Database Rates'!$A$1:$D$1000,2,FALSE)</f>
        <v/>
      </c>
    </row>
    <row r="330">
      <c r="A330" s="41" t="n">
        <v>28065</v>
      </c>
      <c r="B330" s="21">
        <f>VLOOKUP(A330,'Database Rates'!$A$1:$D$1000,2,FALSE)</f>
        <v/>
      </c>
    </row>
    <row r="331">
      <c r="A331" s="41" t="n">
        <v>28095</v>
      </c>
      <c r="B331" s="21">
        <f>VLOOKUP(A331,'Database Rates'!$A$1:$D$1000,2,FALSE)</f>
        <v/>
      </c>
    </row>
    <row r="332">
      <c r="A332" s="41" t="n">
        <v>28126</v>
      </c>
      <c r="B332" s="21">
        <f>VLOOKUP(A332,'Database Rates'!$A$1:$D$1000,2,FALSE)</f>
        <v/>
      </c>
    </row>
    <row r="333">
      <c r="A333" s="41" t="n">
        <v>28157</v>
      </c>
      <c r="B333" s="21">
        <f>VLOOKUP(A333,'Database Rates'!$A$1:$D$1000,2,FALSE)</f>
        <v/>
      </c>
    </row>
    <row r="334">
      <c r="A334" s="41" t="n">
        <v>28185</v>
      </c>
      <c r="B334" s="21">
        <f>VLOOKUP(A334,'Database Rates'!$A$1:$D$1000,2,FALSE)</f>
        <v/>
      </c>
    </row>
    <row r="335">
      <c r="A335" s="41" t="n">
        <v>28216</v>
      </c>
      <c r="B335" s="21">
        <f>VLOOKUP(A335,'Database Rates'!$A$1:$D$1000,2,FALSE)</f>
        <v/>
      </c>
    </row>
    <row r="336">
      <c r="A336" s="41" t="n">
        <v>28246</v>
      </c>
      <c r="B336" s="21">
        <f>VLOOKUP(A336,'Database Rates'!$A$1:$D$1000,2,FALSE)</f>
        <v/>
      </c>
    </row>
    <row r="337">
      <c r="A337" s="41" t="n">
        <v>28277</v>
      </c>
      <c r="B337" s="21">
        <f>VLOOKUP(A337,'Database Rates'!$A$1:$D$1000,2,FALSE)</f>
        <v/>
      </c>
    </row>
    <row r="338">
      <c r="A338" s="41" t="n">
        <v>28307</v>
      </c>
      <c r="B338" s="21">
        <f>VLOOKUP(A338,'Database Rates'!$A$1:$D$1000,2,FALSE)</f>
        <v/>
      </c>
    </row>
    <row r="339">
      <c r="A339" s="41" t="n">
        <v>28338</v>
      </c>
      <c r="B339" s="21">
        <f>VLOOKUP(A339,'Database Rates'!$A$1:$D$1000,2,FALSE)</f>
        <v/>
      </c>
    </row>
    <row r="340">
      <c r="A340" s="41" t="n">
        <v>28369</v>
      </c>
      <c r="B340" s="21">
        <f>VLOOKUP(A340,'Database Rates'!$A$1:$D$1000,2,FALSE)</f>
        <v/>
      </c>
    </row>
    <row r="341">
      <c r="A341" s="41" t="n">
        <v>28399</v>
      </c>
      <c r="B341" s="21">
        <f>VLOOKUP(A341,'Database Rates'!$A$1:$D$1000,2,FALSE)</f>
        <v/>
      </c>
    </row>
    <row r="342">
      <c r="A342" s="41" t="n">
        <v>28430</v>
      </c>
      <c r="B342" s="21">
        <f>VLOOKUP(A342,'Database Rates'!$A$1:$D$1000,2,FALSE)</f>
        <v/>
      </c>
    </row>
    <row r="343">
      <c r="A343" s="41" t="n">
        <v>28460</v>
      </c>
      <c r="B343" s="21">
        <f>VLOOKUP(A343,'Database Rates'!$A$1:$D$1000,2,FALSE)</f>
        <v/>
      </c>
    </row>
    <row r="344">
      <c r="A344" s="41" t="n">
        <v>28491</v>
      </c>
      <c r="B344" s="21">
        <f>VLOOKUP(A344,'Database Rates'!$A$1:$D$1000,2,FALSE)</f>
        <v/>
      </c>
    </row>
    <row r="345">
      <c r="A345" s="41" t="n">
        <v>28522</v>
      </c>
      <c r="B345" s="21">
        <f>VLOOKUP(A345,'Database Rates'!$A$1:$D$1000,2,FALSE)</f>
        <v/>
      </c>
    </row>
    <row r="346">
      <c r="A346" s="41" t="n">
        <v>28550</v>
      </c>
      <c r="B346" s="21">
        <f>VLOOKUP(A346,'Database Rates'!$A$1:$D$1000,2,FALSE)</f>
        <v/>
      </c>
    </row>
    <row r="347">
      <c r="A347" s="41" t="n">
        <v>28581</v>
      </c>
      <c r="B347" s="21">
        <f>VLOOKUP(A347,'Database Rates'!$A$1:$D$1000,2,FALSE)</f>
        <v/>
      </c>
    </row>
    <row r="348">
      <c r="A348" s="41" t="n">
        <v>28611</v>
      </c>
      <c r="B348" s="21">
        <f>VLOOKUP(A348,'Database Rates'!$A$1:$D$1000,2,FALSE)</f>
        <v/>
      </c>
    </row>
    <row r="349">
      <c r="A349" s="41" t="n">
        <v>28642</v>
      </c>
      <c r="B349" s="21">
        <f>VLOOKUP(A349,'Database Rates'!$A$1:$D$1000,2,FALSE)</f>
        <v/>
      </c>
    </row>
    <row r="350">
      <c r="A350" s="41" t="n">
        <v>28672</v>
      </c>
      <c r="B350" s="21">
        <f>VLOOKUP(A350,'Database Rates'!$A$1:$D$1000,2,FALSE)</f>
        <v/>
      </c>
    </row>
    <row r="351">
      <c r="A351" s="41" t="n">
        <v>28703</v>
      </c>
      <c r="B351" s="21">
        <f>VLOOKUP(A351,'Database Rates'!$A$1:$D$1000,2,FALSE)</f>
        <v/>
      </c>
    </row>
    <row r="352">
      <c r="A352" s="41" t="n">
        <v>28734</v>
      </c>
      <c r="B352" s="21">
        <f>VLOOKUP(A352,'Database Rates'!$A$1:$D$1000,2,FALSE)</f>
        <v/>
      </c>
    </row>
    <row r="353">
      <c r="A353" s="41" t="n">
        <v>28764</v>
      </c>
      <c r="B353" s="21">
        <f>VLOOKUP(A353,'Database Rates'!$A$1:$D$1000,2,FALSE)</f>
        <v/>
      </c>
    </row>
    <row r="354">
      <c r="A354" s="41" t="n">
        <v>28795</v>
      </c>
      <c r="B354" s="21">
        <f>VLOOKUP(A354,'Database Rates'!$A$1:$D$1000,2,FALSE)</f>
        <v/>
      </c>
    </row>
    <row r="355">
      <c r="A355" s="41" t="n">
        <v>28825</v>
      </c>
      <c r="B355" s="21">
        <f>VLOOKUP(A355,'Database Rates'!$A$1:$D$1000,2,FALSE)</f>
        <v/>
      </c>
    </row>
    <row r="356">
      <c r="A356" s="41" t="n">
        <v>28856</v>
      </c>
      <c r="B356" s="21">
        <f>VLOOKUP(A356,'Database Rates'!$A$1:$D$1000,2,FALSE)</f>
        <v/>
      </c>
    </row>
    <row r="357">
      <c r="A357" s="41" t="n">
        <v>28887</v>
      </c>
      <c r="B357" s="21">
        <f>VLOOKUP(A357,'Database Rates'!$A$1:$D$1000,2,FALSE)</f>
        <v/>
      </c>
    </row>
    <row r="358">
      <c r="A358" s="41" t="n">
        <v>28915</v>
      </c>
      <c r="B358" s="21">
        <f>VLOOKUP(A358,'Database Rates'!$A$1:$D$1000,2,FALSE)</f>
        <v/>
      </c>
    </row>
    <row r="359">
      <c r="A359" s="41" t="n">
        <v>28946</v>
      </c>
      <c r="B359" s="21">
        <f>VLOOKUP(A359,'Database Rates'!$A$1:$D$1000,2,FALSE)</f>
        <v/>
      </c>
    </row>
    <row r="360">
      <c r="A360" s="41" t="n">
        <v>28976</v>
      </c>
      <c r="B360" s="21">
        <f>VLOOKUP(A360,'Database Rates'!$A$1:$D$1000,2,FALSE)</f>
        <v/>
      </c>
    </row>
    <row r="361">
      <c r="A361" s="41" t="n">
        <v>29007</v>
      </c>
      <c r="B361" s="21">
        <f>VLOOKUP(A361,'Database Rates'!$A$1:$D$1000,2,FALSE)</f>
        <v/>
      </c>
    </row>
    <row r="362">
      <c r="A362" s="41" t="n">
        <v>29037</v>
      </c>
      <c r="B362" s="21">
        <f>VLOOKUP(A362,'Database Rates'!$A$1:$D$1000,2,FALSE)</f>
        <v/>
      </c>
    </row>
    <row r="363">
      <c r="A363" s="41" t="n">
        <v>29068</v>
      </c>
      <c r="B363" s="21">
        <f>VLOOKUP(A363,'Database Rates'!$A$1:$D$1000,2,FALSE)</f>
        <v/>
      </c>
    </row>
    <row r="364">
      <c r="A364" s="41" t="n">
        <v>29099</v>
      </c>
      <c r="B364" s="21">
        <f>VLOOKUP(A364,'Database Rates'!$A$1:$D$1000,2,FALSE)</f>
        <v/>
      </c>
    </row>
    <row r="365">
      <c r="A365" s="41" t="n">
        <v>29129</v>
      </c>
      <c r="B365" s="21">
        <f>VLOOKUP(A365,'Database Rates'!$A$1:$D$1000,2,FALSE)</f>
        <v/>
      </c>
    </row>
    <row r="366">
      <c r="A366" s="41" t="n">
        <v>29160</v>
      </c>
      <c r="B366" s="21">
        <f>VLOOKUP(A366,'Database Rates'!$A$1:$D$1000,2,FALSE)</f>
        <v/>
      </c>
    </row>
    <row r="367">
      <c r="A367" s="41" t="n">
        <v>29190</v>
      </c>
      <c r="B367" s="21">
        <f>VLOOKUP(A367,'Database Rates'!$A$1:$D$1000,2,FALSE)</f>
        <v/>
      </c>
    </row>
    <row r="368">
      <c r="A368" s="41" t="n">
        <v>29221</v>
      </c>
      <c r="B368" s="21">
        <f>VLOOKUP(A368,'Database Rates'!$A$1:$D$1000,2,FALSE)</f>
        <v/>
      </c>
    </row>
    <row r="369">
      <c r="A369" s="41" t="n">
        <v>29252</v>
      </c>
      <c r="B369" s="21">
        <f>VLOOKUP(A369,'Database Rates'!$A$1:$D$1000,2,FALSE)</f>
        <v/>
      </c>
    </row>
    <row r="370">
      <c r="A370" s="41" t="n">
        <v>29281</v>
      </c>
      <c r="B370" s="21">
        <f>VLOOKUP(A370,'Database Rates'!$A$1:$D$1000,2,FALSE)</f>
        <v/>
      </c>
    </row>
    <row r="371">
      <c r="A371" s="41" t="n">
        <v>29312</v>
      </c>
      <c r="B371" s="21">
        <f>VLOOKUP(A371,'Database Rates'!$A$1:$D$1000,2,FALSE)</f>
        <v/>
      </c>
    </row>
    <row r="372">
      <c r="A372" s="41" t="n">
        <v>29342</v>
      </c>
      <c r="B372" s="21">
        <f>VLOOKUP(A372,'Database Rates'!$A$1:$D$1000,2,FALSE)</f>
        <v/>
      </c>
    </row>
    <row r="373">
      <c r="A373" s="41" t="n">
        <v>29373</v>
      </c>
      <c r="B373" s="21">
        <f>VLOOKUP(A373,'Database Rates'!$A$1:$D$1000,2,FALSE)</f>
        <v/>
      </c>
    </row>
    <row r="374">
      <c r="A374" s="41" t="n">
        <v>29403</v>
      </c>
      <c r="B374" s="21">
        <f>VLOOKUP(A374,'Database Rates'!$A$1:$D$1000,2,FALSE)</f>
        <v/>
      </c>
    </row>
    <row r="375">
      <c r="A375" s="41" t="n">
        <v>29434</v>
      </c>
      <c r="B375" s="21">
        <f>VLOOKUP(A375,'Database Rates'!$A$1:$D$1000,2,FALSE)</f>
        <v/>
      </c>
    </row>
    <row r="376">
      <c r="A376" s="41" t="n">
        <v>29465</v>
      </c>
      <c r="B376" s="21">
        <f>VLOOKUP(A376,'Database Rates'!$A$1:$D$1000,2,FALSE)</f>
        <v/>
      </c>
    </row>
    <row r="377">
      <c r="A377" s="41" t="n">
        <v>29495</v>
      </c>
      <c r="B377" s="21">
        <f>VLOOKUP(A377,'Database Rates'!$A$1:$D$1000,2,FALSE)</f>
        <v/>
      </c>
    </row>
    <row r="378">
      <c r="A378" s="41" t="n">
        <v>29526</v>
      </c>
      <c r="B378" s="21">
        <f>VLOOKUP(A378,'Database Rates'!$A$1:$D$1000,2,FALSE)</f>
        <v/>
      </c>
    </row>
    <row r="379">
      <c r="A379" s="41" t="n">
        <v>29556</v>
      </c>
      <c r="B379" s="21">
        <f>VLOOKUP(A379,'Database Rates'!$A$1:$D$1000,2,FALSE)</f>
        <v/>
      </c>
    </row>
    <row r="380">
      <c r="A380" s="41" t="n">
        <v>29587</v>
      </c>
      <c r="B380" s="21">
        <f>VLOOKUP(A380,'Database Rates'!$A$1:$D$1000,2,FALSE)</f>
        <v/>
      </c>
    </row>
    <row r="381">
      <c r="A381" s="41" t="n">
        <v>29618</v>
      </c>
      <c r="B381" s="21">
        <f>VLOOKUP(A381,'Database Rates'!$A$1:$D$1000,2,FALSE)</f>
        <v/>
      </c>
    </row>
    <row r="382">
      <c r="A382" s="41" t="n">
        <v>29646</v>
      </c>
      <c r="B382" s="21">
        <f>VLOOKUP(A382,'Database Rates'!$A$1:$D$1000,2,FALSE)</f>
        <v/>
      </c>
    </row>
    <row r="383">
      <c r="A383" s="41" t="n">
        <v>29677</v>
      </c>
      <c r="B383" s="21">
        <f>VLOOKUP(A383,'Database Rates'!$A$1:$D$1000,2,FALSE)</f>
        <v/>
      </c>
    </row>
    <row r="384">
      <c r="A384" s="41" t="n">
        <v>29707</v>
      </c>
      <c r="B384" s="21">
        <f>VLOOKUP(A384,'Database Rates'!$A$1:$D$1000,2,FALSE)</f>
        <v/>
      </c>
    </row>
    <row r="385">
      <c r="A385" s="41" t="n">
        <v>29738</v>
      </c>
      <c r="B385" s="21">
        <f>VLOOKUP(A385,'Database Rates'!$A$1:$D$1000,2,FALSE)</f>
        <v/>
      </c>
    </row>
    <row r="386">
      <c r="A386" s="41" t="n">
        <v>29768</v>
      </c>
      <c r="B386" s="21">
        <f>VLOOKUP(A386,'Database Rates'!$A$1:$D$1000,2,FALSE)</f>
        <v/>
      </c>
    </row>
    <row r="387">
      <c r="A387" s="41" t="n">
        <v>29799</v>
      </c>
      <c r="B387" s="21">
        <f>VLOOKUP(A387,'Database Rates'!$A$1:$D$1000,2,FALSE)</f>
        <v/>
      </c>
    </row>
    <row r="388">
      <c r="A388" s="41" t="n">
        <v>29830</v>
      </c>
      <c r="B388" s="21">
        <f>VLOOKUP(A388,'Database Rates'!$A$1:$D$1000,2,FALSE)</f>
        <v/>
      </c>
    </row>
    <row r="389">
      <c r="A389" s="41" t="n">
        <v>29860</v>
      </c>
      <c r="B389" s="21">
        <f>VLOOKUP(A389,'Database Rates'!$A$1:$D$1000,2,FALSE)</f>
        <v/>
      </c>
    </row>
    <row r="390">
      <c r="A390" s="41" t="n">
        <v>29891</v>
      </c>
      <c r="B390" s="21">
        <f>VLOOKUP(A390,'Database Rates'!$A$1:$D$1000,2,FALSE)</f>
        <v/>
      </c>
    </row>
    <row r="391">
      <c r="A391" s="41" t="n">
        <v>29921</v>
      </c>
      <c r="B391" s="21">
        <f>VLOOKUP(A391,'Database Rates'!$A$1:$D$1000,2,FALSE)</f>
        <v/>
      </c>
    </row>
    <row r="392">
      <c r="A392" s="41" t="n">
        <v>29952</v>
      </c>
      <c r="B392" s="21">
        <f>VLOOKUP(A392,'Database Rates'!$A$1:$D$1000,2,FALSE)</f>
        <v/>
      </c>
    </row>
    <row r="393">
      <c r="A393" s="41" t="n">
        <v>29983</v>
      </c>
      <c r="B393" s="21">
        <f>VLOOKUP(A393,'Database Rates'!$A$1:$D$1000,2,FALSE)</f>
        <v/>
      </c>
    </row>
    <row r="394">
      <c r="A394" s="41" t="n">
        <v>30011</v>
      </c>
      <c r="B394" s="21">
        <f>VLOOKUP(A394,'Database Rates'!$A$1:$D$1000,2,FALSE)</f>
        <v/>
      </c>
    </row>
    <row r="395">
      <c r="A395" s="41" t="n">
        <v>30042</v>
      </c>
      <c r="B395" s="21">
        <f>VLOOKUP(A395,'Database Rates'!$A$1:$D$1000,2,FALSE)</f>
        <v/>
      </c>
    </row>
    <row r="396">
      <c r="A396" s="41" t="n">
        <v>30072</v>
      </c>
      <c r="B396" s="21">
        <f>VLOOKUP(A396,'Database Rates'!$A$1:$D$1000,2,FALSE)</f>
        <v/>
      </c>
    </row>
    <row r="397">
      <c r="A397" s="41" t="n">
        <v>30103</v>
      </c>
      <c r="B397" s="21">
        <f>VLOOKUP(A397,'Database Rates'!$A$1:$D$1000,2,FALSE)</f>
        <v/>
      </c>
    </row>
    <row r="398">
      <c r="A398" s="41" t="n">
        <v>30133</v>
      </c>
      <c r="B398" s="21">
        <f>VLOOKUP(A398,'Database Rates'!$A$1:$D$1000,2,FALSE)</f>
        <v/>
      </c>
    </row>
    <row r="399">
      <c r="A399" s="41" t="n">
        <v>30164</v>
      </c>
      <c r="B399" s="21">
        <f>VLOOKUP(A399,'Database Rates'!$A$1:$D$1000,2,FALSE)</f>
        <v/>
      </c>
    </row>
    <row r="400">
      <c r="A400" s="41" t="n">
        <v>30195</v>
      </c>
      <c r="B400" s="21">
        <f>VLOOKUP(A400,'Database Rates'!$A$1:$D$1000,2,FALSE)</f>
        <v/>
      </c>
    </row>
    <row r="401">
      <c r="A401" s="41" t="n">
        <v>30225</v>
      </c>
      <c r="B401" s="21">
        <f>VLOOKUP(A401,'Database Rates'!$A$1:$D$1000,2,FALSE)</f>
        <v/>
      </c>
    </row>
    <row r="402">
      <c r="A402" s="41" t="n">
        <v>30256</v>
      </c>
      <c r="B402" s="21">
        <f>VLOOKUP(A402,'Database Rates'!$A$1:$D$1000,2,FALSE)</f>
        <v/>
      </c>
    </row>
    <row r="403">
      <c r="A403" s="41" t="n">
        <v>30286</v>
      </c>
      <c r="B403" s="21">
        <f>VLOOKUP(A403,'Database Rates'!$A$1:$D$1000,2,FALSE)</f>
        <v/>
      </c>
    </row>
    <row r="404">
      <c r="A404" s="41" t="n">
        <v>30317</v>
      </c>
      <c r="B404" s="21">
        <f>VLOOKUP(A404,'Database Rates'!$A$1:$D$1000,2,FALSE)</f>
        <v/>
      </c>
    </row>
    <row r="405">
      <c r="A405" s="41" t="n">
        <v>30348</v>
      </c>
      <c r="B405" s="21">
        <f>VLOOKUP(A405,'Database Rates'!$A$1:$D$1000,2,FALSE)</f>
        <v/>
      </c>
    </row>
    <row r="406">
      <c r="A406" s="41" t="n">
        <v>30376</v>
      </c>
      <c r="B406" s="21">
        <f>VLOOKUP(A406,'Database Rates'!$A$1:$D$1000,2,FALSE)</f>
        <v/>
      </c>
    </row>
    <row r="407">
      <c r="A407" s="41" t="n">
        <v>30407</v>
      </c>
      <c r="B407" s="21">
        <f>VLOOKUP(A407,'Database Rates'!$A$1:$D$1000,2,FALSE)</f>
        <v/>
      </c>
    </row>
    <row r="408">
      <c r="A408" s="41" t="n">
        <v>30437</v>
      </c>
      <c r="B408" s="21">
        <f>VLOOKUP(A408,'Database Rates'!$A$1:$D$1000,2,FALSE)</f>
        <v/>
      </c>
    </row>
    <row r="409">
      <c r="A409" s="41" t="n">
        <v>30468</v>
      </c>
      <c r="B409" s="21">
        <f>VLOOKUP(A409,'Database Rates'!$A$1:$D$1000,2,FALSE)</f>
        <v/>
      </c>
    </row>
    <row r="410">
      <c r="A410" s="41" t="n">
        <v>30498</v>
      </c>
      <c r="B410" s="21">
        <f>VLOOKUP(A410,'Database Rates'!$A$1:$D$1000,2,FALSE)</f>
        <v/>
      </c>
    </row>
    <row r="411">
      <c r="A411" s="41" t="n">
        <v>30529</v>
      </c>
      <c r="B411" s="21">
        <f>VLOOKUP(A411,'Database Rates'!$A$1:$D$1000,2,FALSE)</f>
        <v/>
      </c>
    </row>
    <row r="412">
      <c r="A412" s="41" t="n">
        <v>30560</v>
      </c>
      <c r="B412" s="21">
        <f>VLOOKUP(A412,'Database Rates'!$A$1:$D$1000,2,FALSE)</f>
        <v/>
      </c>
    </row>
    <row r="413">
      <c r="A413" s="41" t="n">
        <v>30590</v>
      </c>
      <c r="B413" s="21">
        <f>VLOOKUP(A413,'Database Rates'!$A$1:$D$1000,2,FALSE)</f>
        <v/>
      </c>
    </row>
    <row r="414">
      <c r="A414" s="41" t="n">
        <v>30621</v>
      </c>
      <c r="B414" s="21">
        <f>VLOOKUP(A414,'Database Rates'!$A$1:$D$1000,2,FALSE)</f>
        <v/>
      </c>
    </row>
    <row r="415">
      <c r="A415" s="41" t="n">
        <v>30651</v>
      </c>
      <c r="B415" s="21">
        <f>VLOOKUP(A415,'Database Rates'!$A$1:$D$1000,2,FALSE)</f>
        <v/>
      </c>
    </row>
    <row r="416">
      <c r="A416" s="41" t="n">
        <v>30682</v>
      </c>
      <c r="B416" s="21">
        <f>VLOOKUP(A416,'Database Rates'!$A$1:$D$1000,2,FALSE)</f>
        <v/>
      </c>
    </row>
    <row r="417">
      <c r="A417" s="41" t="n">
        <v>30713</v>
      </c>
      <c r="B417" s="21">
        <f>VLOOKUP(A417,'Database Rates'!$A$1:$D$1000,2,FALSE)</f>
        <v/>
      </c>
    </row>
    <row r="418">
      <c r="A418" s="41" t="n">
        <v>30742</v>
      </c>
      <c r="B418" s="21">
        <f>VLOOKUP(A418,'Database Rates'!$A$1:$D$1000,2,FALSE)</f>
        <v/>
      </c>
    </row>
    <row r="419">
      <c r="A419" s="41" t="n">
        <v>30773</v>
      </c>
      <c r="B419" s="21">
        <f>VLOOKUP(A419,'Database Rates'!$A$1:$D$1000,2,FALSE)</f>
        <v/>
      </c>
    </row>
    <row r="420">
      <c r="A420" s="41" t="n">
        <v>30803</v>
      </c>
      <c r="B420" s="21">
        <f>VLOOKUP(A420,'Database Rates'!$A$1:$D$1000,2,FALSE)</f>
        <v/>
      </c>
    </row>
    <row r="421">
      <c r="A421" s="41" t="n">
        <v>30834</v>
      </c>
      <c r="B421" s="21">
        <f>VLOOKUP(A421,'Database Rates'!$A$1:$D$1000,2,FALSE)</f>
        <v/>
      </c>
    </row>
    <row r="422">
      <c r="A422" s="41" t="n">
        <v>30864</v>
      </c>
      <c r="B422" s="21">
        <f>VLOOKUP(A422,'Database Rates'!$A$1:$D$1000,2,FALSE)</f>
        <v/>
      </c>
    </row>
    <row r="423">
      <c r="A423" s="41" t="n">
        <v>30895</v>
      </c>
      <c r="B423" s="21">
        <f>VLOOKUP(A423,'Database Rates'!$A$1:$D$1000,2,FALSE)</f>
        <v/>
      </c>
    </row>
    <row r="424">
      <c r="A424" s="41" t="n">
        <v>30926</v>
      </c>
      <c r="B424" s="21">
        <f>VLOOKUP(A424,'Database Rates'!$A$1:$D$1000,2,FALSE)</f>
        <v/>
      </c>
    </row>
    <row r="425">
      <c r="A425" s="41" t="n">
        <v>30956</v>
      </c>
      <c r="B425" s="21">
        <f>VLOOKUP(A425,'Database Rates'!$A$1:$D$1000,2,FALSE)</f>
        <v/>
      </c>
    </row>
    <row r="426">
      <c r="A426" s="41" t="n">
        <v>30987</v>
      </c>
      <c r="B426" s="21">
        <f>VLOOKUP(A426,'Database Rates'!$A$1:$D$1000,2,FALSE)</f>
        <v/>
      </c>
    </row>
    <row r="427">
      <c r="A427" s="41" t="n">
        <v>31017</v>
      </c>
      <c r="B427" s="21">
        <f>VLOOKUP(A427,'Database Rates'!$A$1:$D$1000,2,FALSE)</f>
        <v/>
      </c>
    </row>
    <row r="428">
      <c r="A428" s="41" t="n">
        <v>31048</v>
      </c>
      <c r="B428" s="21">
        <f>VLOOKUP(A428,'Database Rates'!$A$1:$D$1000,2,FALSE)</f>
        <v/>
      </c>
    </row>
    <row r="429">
      <c r="A429" s="41" t="n">
        <v>31079</v>
      </c>
      <c r="B429" s="21">
        <f>VLOOKUP(A429,'Database Rates'!$A$1:$D$1000,2,FALSE)</f>
        <v/>
      </c>
    </row>
    <row r="430">
      <c r="A430" s="41" t="n">
        <v>31107</v>
      </c>
      <c r="B430" s="21">
        <f>VLOOKUP(A430,'Database Rates'!$A$1:$D$1000,2,FALSE)</f>
        <v/>
      </c>
    </row>
    <row r="431">
      <c r="A431" s="41" t="n">
        <v>31138</v>
      </c>
      <c r="B431" s="21">
        <f>VLOOKUP(A431,'Database Rates'!$A$1:$D$1000,2,FALSE)</f>
        <v/>
      </c>
    </row>
    <row r="432">
      <c r="A432" s="41" t="n">
        <v>31168</v>
      </c>
      <c r="B432" s="21">
        <f>VLOOKUP(A432,'Database Rates'!$A$1:$D$1000,2,FALSE)</f>
        <v/>
      </c>
    </row>
    <row r="433">
      <c r="A433" s="41" t="n">
        <v>31199</v>
      </c>
      <c r="B433" s="21">
        <f>VLOOKUP(A433,'Database Rates'!$A$1:$D$1000,2,FALSE)</f>
        <v/>
      </c>
    </row>
    <row r="434">
      <c r="A434" s="41" t="n">
        <v>31229</v>
      </c>
      <c r="B434" s="21">
        <f>VLOOKUP(A434,'Database Rates'!$A$1:$D$1000,2,FALSE)</f>
        <v/>
      </c>
    </row>
    <row r="435">
      <c r="A435" s="41" t="n">
        <v>31260</v>
      </c>
      <c r="B435" s="21">
        <f>VLOOKUP(A435,'Database Rates'!$A$1:$D$1000,2,FALSE)</f>
        <v/>
      </c>
    </row>
    <row r="436">
      <c r="A436" s="41" t="n">
        <v>31291</v>
      </c>
      <c r="B436" s="21">
        <f>VLOOKUP(A436,'Database Rates'!$A$1:$D$1000,2,FALSE)</f>
        <v/>
      </c>
    </row>
    <row r="437">
      <c r="A437" s="41" t="n">
        <v>31321</v>
      </c>
      <c r="B437" s="21">
        <f>VLOOKUP(A437,'Database Rates'!$A$1:$D$1000,2,FALSE)</f>
        <v/>
      </c>
    </row>
    <row r="438">
      <c r="A438" s="41" t="n">
        <v>31352</v>
      </c>
      <c r="B438" s="21">
        <f>VLOOKUP(A438,'Database Rates'!$A$1:$D$1000,2,FALSE)</f>
        <v/>
      </c>
    </row>
    <row r="439">
      <c r="A439" s="41" t="n">
        <v>31382</v>
      </c>
      <c r="B439" s="21">
        <f>VLOOKUP(A439,'Database Rates'!$A$1:$D$1000,2,FALSE)</f>
        <v/>
      </c>
    </row>
    <row r="440">
      <c r="A440" s="41" t="n">
        <v>31413</v>
      </c>
      <c r="B440" s="21">
        <f>VLOOKUP(A440,'Database Rates'!$A$1:$D$1000,2,FALSE)</f>
        <v/>
      </c>
    </row>
    <row r="441">
      <c r="A441" s="41" t="n">
        <v>31444</v>
      </c>
      <c r="B441" s="21">
        <f>VLOOKUP(A441,'Database Rates'!$A$1:$D$1000,2,FALSE)</f>
        <v/>
      </c>
    </row>
    <row r="442">
      <c r="A442" s="41" t="n">
        <v>31472</v>
      </c>
      <c r="B442" s="21">
        <f>VLOOKUP(A442,'Database Rates'!$A$1:$D$1000,2,FALSE)</f>
        <v/>
      </c>
    </row>
    <row r="443">
      <c r="A443" s="41" t="n">
        <v>31503</v>
      </c>
      <c r="B443" s="21">
        <f>VLOOKUP(A443,'Database Rates'!$A$1:$D$1000,2,FALSE)</f>
        <v/>
      </c>
    </row>
    <row r="444">
      <c r="A444" s="41" t="n">
        <v>31533</v>
      </c>
      <c r="B444" s="21">
        <f>VLOOKUP(A444,'Database Rates'!$A$1:$D$1000,2,FALSE)</f>
        <v/>
      </c>
    </row>
    <row r="445">
      <c r="A445" s="41" t="n">
        <v>31564</v>
      </c>
      <c r="B445" s="21">
        <f>VLOOKUP(A445,'Database Rates'!$A$1:$D$1000,2,FALSE)</f>
        <v/>
      </c>
    </row>
    <row r="446">
      <c r="A446" s="41" t="n">
        <v>31594</v>
      </c>
      <c r="B446" s="21">
        <f>VLOOKUP(A446,'Database Rates'!$A$1:$D$1000,2,FALSE)</f>
        <v/>
      </c>
    </row>
    <row r="447">
      <c r="A447" s="41" t="n">
        <v>31625</v>
      </c>
      <c r="B447" s="21">
        <f>VLOOKUP(A447,'Database Rates'!$A$1:$D$1000,2,FALSE)</f>
        <v/>
      </c>
    </row>
    <row r="448">
      <c r="A448" s="41" t="n">
        <v>31656</v>
      </c>
      <c r="B448" s="21">
        <f>VLOOKUP(A448,'Database Rates'!$A$1:$D$1000,2,FALSE)</f>
        <v/>
      </c>
    </row>
    <row r="449">
      <c r="A449" s="41" t="n">
        <v>31686</v>
      </c>
      <c r="B449" s="21">
        <f>VLOOKUP(A449,'Database Rates'!$A$1:$D$1000,2,FALSE)</f>
        <v/>
      </c>
    </row>
    <row r="450">
      <c r="A450" s="41" t="n">
        <v>31717</v>
      </c>
      <c r="B450" s="21">
        <f>VLOOKUP(A450,'Database Rates'!$A$1:$D$1000,2,FALSE)</f>
        <v/>
      </c>
    </row>
    <row r="451">
      <c r="A451" s="41" t="n">
        <v>31747</v>
      </c>
      <c r="B451" s="21">
        <f>VLOOKUP(A451,'Database Rates'!$A$1:$D$1000,2,FALSE)</f>
        <v/>
      </c>
    </row>
    <row r="452">
      <c r="A452" s="41" t="n">
        <v>31778</v>
      </c>
      <c r="B452" s="21">
        <f>VLOOKUP(A452,'Database Rates'!$A$1:$D$1000,2,FALSE)</f>
        <v/>
      </c>
    </row>
    <row r="453">
      <c r="A453" s="41" t="n">
        <v>31809</v>
      </c>
      <c r="B453" s="21">
        <f>VLOOKUP(A453,'Database Rates'!$A$1:$D$1000,2,FALSE)</f>
        <v/>
      </c>
    </row>
    <row r="454">
      <c r="A454" s="41" t="n">
        <v>31837</v>
      </c>
      <c r="B454" s="21">
        <f>VLOOKUP(A454,'Database Rates'!$A$1:$D$1000,2,FALSE)</f>
        <v/>
      </c>
    </row>
    <row r="455">
      <c r="A455" s="41" t="n">
        <v>31868</v>
      </c>
      <c r="B455" s="21">
        <f>VLOOKUP(A455,'Database Rates'!$A$1:$D$1000,2,FALSE)</f>
        <v/>
      </c>
    </row>
    <row r="456">
      <c r="A456" s="41" t="n">
        <v>31898</v>
      </c>
      <c r="B456" s="21">
        <f>VLOOKUP(A456,'Database Rates'!$A$1:$D$1000,2,FALSE)</f>
        <v/>
      </c>
    </row>
    <row r="457">
      <c r="A457" s="41" t="n">
        <v>31929</v>
      </c>
      <c r="B457" s="21">
        <f>VLOOKUP(A457,'Database Rates'!$A$1:$D$1000,2,FALSE)</f>
        <v/>
      </c>
    </row>
    <row r="458">
      <c r="A458" s="41" t="n">
        <v>31959</v>
      </c>
      <c r="B458" s="21">
        <f>VLOOKUP(A458,'Database Rates'!$A$1:$D$1000,2,FALSE)</f>
        <v/>
      </c>
    </row>
    <row r="459">
      <c r="A459" s="41" t="n">
        <v>31990</v>
      </c>
      <c r="B459" s="21">
        <f>VLOOKUP(A459,'Database Rates'!$A$1:$D$1000,2,FALSE)</f>
        <v/>
      </c>
    </row>
    <row r="460">
      <c r="A460" s="41" t="n">
        <v>32021</v>
      </c>
      <c r="B460" s="21">
        <f>VLOOKUP(A460,'Database Rates'!$A$1:$D$1000,2,FALSE)</f>
        <v/>
      </c>
    </row>
    <row r="461">
      <c r="A461" s="41" t="n">
        <v>32051</v>
      </c>
      <c r="B461" s="21">
        <f>VLOOKUP(A461,'Database Rates'!$A$1:$D$1000,2,FALSE)</f>
        <v/>
      </c>
    </row>
    <row r="462">
      <c r="A462" s="41" t="n">
        <v>32082</v>
      </c>
      <c r="B462" s="21">
        <f>VLOOKUP(A462,'Database Rates'!$A$1:$D$1000,2,FALSE)</f>
        <v/>
      </c>
    </row>
    <row r="463">
      <c r="A463" s="41" t="n">
        <v>32112</v>
      </c>
      <c r="B463" s="21">
        <f>VLOOKUP(A463,'Database Rates'!$A$1:$D$1000,2,FALSE)</f>
        <v/>
      </c>
    </row>
    <row r="464">
      <c r="A464" s="41" t="n">
        <v>32143</v>
      </c>
      <c r="B464" s="21">
        <f>VLOOKUP(A464,'Database Rates'!$A$1:$D$1000,2,FALSE)</f>
        <v/>
      </c>
    </row>
    <row r="465">
      <c r="A465" s="41" t="n">
        <v>32174</v>
      </c>
      <c r="B465" s="21">
        <f>VLOOKUP(A465,'Database Rates'!$A$1:$D$1000,2,FALSE)</f>
        <v/>
      </c>
    </row>
    <row r="466">
      <c r="A466" s="41" t="n">
        <v>32203</v>
      </c>
      <c r="B466" s="21">
        <f>VLOOKUP(A466,'Database Rates'!$A$1:$D$1000,2,FALSE)</f>
        <v/>
      </c>
    </row>
    <row r="467">
      <c r="A467" s="41" t="n">
        <v>32234</v>
      </c>
      <c r="B467" s="21">
        <f>VLOOKUP(A467,'Database Rates'!$A$1:$D$1000,2,FALSE)</f>
        <v/>
      </c>
    </row>
    <row r="468">
      <c r="A468" s="41" t="n">
        <v>32264</v>
      </c>
      <c r="B468" s="21">
        <f>VLOOKUP(A468,'Database Rates'!$A$1:$D$1000,2,FALSE)</f>
        <v/>
      </c>
    </row>
    <row r="469">
      <c r="A469" s="41" t="n">
        <v>32295</v>
      </c>
      <c r="B469" s="21">
        <f>VLOOKUP(A469,'Database Rates'!$A$1:$D$1000,2,FALSE)</f>
        <v/>
      </c>
    </row>
    <row r="470">
      <c r="A470" s="41" t="n">
        <v>32325</v>
      </c>
      <c r="B470" s="21">
        <f>VLOOKUP(A470,'Database Rates'!$A$1:$D$1000,2,FALSE)</f>
        <v/>
      </c>
    </row>
    <row r="471">
      <c r="A471" s="41" t="n">
        <v>32356</v>
      </c>
      <c r="B471" s="21">
        <f>VLOOKUP(A471,'Database Rates'!$A$1:$D$1000,2,FALSE)</f>
        <v/>
      </c>
    </row>
    <row r="472">
      <c r="A472" s="41" t="n">
        <v>32387</v>
      </c>
      <c r="B472" s="21">
        <f>VLOOKUP(A472,'Database Rates'!$A$1:$D$1000,2,FALSE)</f>
        <v/>
      </c>
    </row>
    <row r="473">
      <c r="A473" s="41" t="n">
        <v>32417</v>
      </c>
      <c r="B473" s="21">
        <f>VLOOKUP(A473,'Database Rates'!$A$1:$D$1000,2,FALSE)</f>
        <v/>
      </c>
    </row>
    <row r="474">
      <c r="A474" s="41" t="n">
        <v>32448</v>
      </c>
      <c r="B474" s="21">
        <f>VLOOKUP(A474,'Database Rates'!$A$1:$D$1000,2,FALSE)</f>
        <v/>
      </c>
    </row>
    <row r="475">
      <c r="A475" s="41" t="n">
        <v>32478</v>
      </c>
      <c r="B475" s="21">
        <f>VLOOKUP(A475,'Database Rates'!$A$1:$D$1000,2,FALSE)</f>
        <v/>
      </c>
    </row>
    <row r="476">
      <c r="A476" s="41" t="n">
        <v>32509</v>
      </c>
      <c r="B476" s="21">
        <f>VLOOKUP(A476,'Database Rates'!$A$1:$D$1000,2,FALSE)</f>
        <v/>
      </c>
    </row>
    <row r="477">
      <c r="A477" s="41" t="n">
        <v>32540</v>
      </c>
      <c r="B477" s="21">
        <f>VLOOKUP(A477,'Database Rates'!$A$1:$D$1000,2,FALSE)</f>
        <v/>
      </c>
    </row>
    <row r="478">
      <c r="A478" s="41" t="n">
        <v>32568</v>
      </c>
      <c r="B478" s="21">
        <f>VLOOKUP(A478,'Database Rates'!$A$1:$D$1000,2,FALSE)</f>
        <v/>
      </c>
    </row>
    <row r="479">
      <c r="A479" s="41" t="n">
        <v>32599</v>
      </c>
      <c r="B479" s="21">
        <f>VLOOKUP(A479,'Database Rates'!$A$1:$D$1000,2,FALSE)</f>
        <v/>
      </c>
    </row>
    <row r="480">
      <c r="A480" s="41" t="n">
        <v>32629</v>
      </c>
      <c r="B480" s="21">
        <f>VLOOKUP(A480,'Database Rates'!$A$1:$D$1000,2,FALSE)</f>
        <v/>
      </c>
    </row>
    <row r="481">
      <c r="A481" s="41" t="n">
        <v>32660</v>
      </c>
      <c r="B481" s="21">
        <f>VLOOKUP(A481,'Database Rates'!$A$1:$D$1000,2,FALSE)</f>
        <v/>
      </c>
    </row>
    <row r="482">
      <c r="A482" s="41" t="n">
        <v>32690</v>
      </c>
      <c r="B482" s="21">
        <f>VLOOKUP(A482,'Database Rates'!$A$1:$D$1000,2,FALSE)</f>
        <v/>
      </c>
    </row>
    <row r="483">
      <c r="A483" s="41" t="n">
        <v>32721</v>
      </c>
      <c r="B483" s="21">
        <f>VLOOKUP(A483,'Database Rates'!$A$1:$D$1000,2,FALSE)</f>
        <v/>
      </c>
    </row>
    <row r="484">
      <c r="A484" s="41" t="n">
        <v>32752</v>
      </c>
      <c r="B484" s="21">
        <f>VLOOKUP(A484,'Database Rates'!$A$1:$D$1000,2,FALSE)</f>
        <v/>
      </c>
    </row>
    <row r="485">
      <c r="A485" s="41" t="n">
        <v>32782</v>
      </c>
      <c r="B485" s="21">
        <f>VLOOKUP(A485,'Database Rates'!$A$1:$D$1000,2,FALSE)</f>
        <v/>
      </c>
    </row>
    <row r="486">
      <c r="A486" s="41" t="n">
        <v>32813</v>
      </c>
      <c r="B486" s="21">
        <f>VLOOKUP(A486,'Database Rates'!$A$1:$D$1000,2,FALSE)</f>
        <v/>
      </c>
    </row>
    <row r="487">
      <c r="A487" s="41" t="n">
        <v>32843</v>
      </c>
      <c r="B487" s="21">
        <f>VLOOKUP(A487,'Database Rates'!$A$1:$D$1000,2,FALSE)</f>
        <v/>
      </c>
    </row>
    <row r="488">
      <c r="A488" s="41" t="n">
        <v>32874</v>
      </c>
      <c r="B488" s="21">
        <f>VLOOKUP(A488,'Database Rates'!$A$1:$D$1000,2,FALSE)</f>
        <v/>
      </c>
    </row>
    <row r="489">
      <c r="A489" s="41" t="n">
        <v>32905</v>
      </c>
      <c r="B489" s="21">
        <f>VLOOKUP(A489,'Database Rates'!$A$1:$D$1000,2,FALSE)</f>
        <v/>
      </c>
    </row>
    <row r="490">
      <c r="A490" s="41" t="n">
        <v>32933</v>
      </c>
      <c r="B490" s="21">
        <f>VLOOKUP(A490,'Database Rates'!$A$1:$D$1000,2,FALSE)</f>
        <v/>
      </c>
    </row>
    <row r="491">
      <c r="A491" s="41" t="n">
        <v>32964</v>
      </c>
      <c r="B491" s="21">
        <f>VLOOKUP(A491,'Database Rates'!$A$1:$D$1000,2,FALSE)</f>
        <v/>
      </c>
    </row>
    <row r="492">
      <c r="A492" s="41" t="n">
        <v>32994</v>
      </c>
      <c r="B492" s="21">
        <f>VLOOKUP(A492,'Database Rates'!$A$1:$D$1000,2,FALSE)</f>
        <v/>
      </c>
    </row>
    <row r="493">
      <c r="A493" s="41" t="n">
        <v>33025</v>
      </c>
      <c r="B493" s="21">
        <f>VLOOKUP(A493,'Database Rates'!$A$1:$D$1000,2,FALSE)</f>
        <v/>
      </c>
    </row>
    <row r="494">
      <c r="A494" s="41" t="n">
        <v>33055</v>
      </c>
      <c r="B494" s="21">
        <f>VLOOKUP(A494,'Database Rates'!$A$1:$D$1000,2,FALSE)</f>
        <v/>
      </c>
    </row>
    <row r="495">
      <c r="A495" s="41" t="n">
        <v>33086</v>
      </c>
      <c r="B495" s="21">
        <f>VLOOKUP(A495,'Database Rates'!$A$1:$D$1000,2,FALSE)</f>
        <v/>
      </c>
    </row>
    <row r="496">
      <c r="A496" s="41" t="n">
        <v>33117</v>
      </c>
      <c r="B496" s="21">
        <f>VLOOKUP(A496,'Database Rates'!$A$1:$D$1000,2,FALSE)</f>
        <v/>
      </c>
    </row>
    <row r="497">
      <c r="A497" s="41" t="n">
        <v>33147</v>
      </c>
      <c r="B497" s="21">
        <f>VLOOKUP(A497,'Database Rates'!$A$1:$D$1000,2,FALSE)</f>
        <v/>
      </c>
    </row>
    <row r="498">
      <c r="A498" s="41" t="n">
        <v>33178</v>
      </c>
      <c r="B498" s="21">
        <f>VLOOKUP(A498,'Database Rates'!$A$1:$D$1000,2,FALSE)</f>
        <v/>
      </c>
    </row>
    <row r="499">
      <c r="A499" s="41" t="n">
        <v>33208</v>
      </c>
      <c r="B499" s="21">
        <f>VLOOKUP(A499,'Database Rates'!$A$1:$D$1000,2,FALSE)</f>
        <v/>
      </c>
    </row>
    <row r="500">
      <c r="A500" s="41" t="n">
        <v>33239</v>
      </c>
      <c r="B500" s="21">
        <f>VLOOKUP(A500,'Database Rates'!$A$1:$D$1000,2,FALSE)</f>
        <v/>
      </c>
    </row>
    <row r="501">
      <c r="A501" s="41" t="n">
        <v>33270</v>
      </c>
      <c r="B501" s="21">
        <f>VLOOKUP(A501,'Database Rates'!$A$1:$D$1000,2,FALSE)</f>
        <v/>
      </c>
    </row>
    <row r="502">
      <c r="A502" s="41" t="n">
        <v>33298</v>
      </c>
      <c r="B502" s="21">
        <f>VLOOKUP(A502,'Database Rates'!$A$1:$D$1000,2,FALSE)</f>
        <v/>
      </c>
    </row>
    <row r="503">
      <c r="A503" s="41" t="n">
        <v>33329</v>
      </c>
      <c r="B503" s="21">
        <f>VLOOKUP(A503,'Database Rates'!$A$1:$D$1000,2,FALSE)</f>
        <v/>
      </c>
    </row>
    <row r="504">
      <c r="A504" s="41" t="n">
        <v>33359</v>
      </c>
      <c r="B504" s="21">
        <f>VLOOKUP(A504,'Database Rates'!$A$1:$D$1000,2,FALSE)</f>
        <v/>
      </c>
    </row>
    <row r="505">
      <c r="A505" s="41" t="n">
        <v>33390</v>
      </c>
      <c r="B505" s="21">
        <f>VLOOKUP(A505,'Database Rates'!$A$1:$D$1000,2,FALSE)</f>
        <v/>
      </c>
    </row>
    <row r="506">
      <c r="A506" s="41" t="n">
        <v>33420</v>
      </c>
      <c r="B506" s="21">
        <f>VLOOKUP(A506,'Database Rates'!$A$1:$D$1000,2,FALSE)</f>
        <v/>
      </c>
    </row>
    <row r="507">
      <c r="A507" s="41" t="n">
        <v>33451</v>
      </c>
      <c r="B507" s="21">
        <f>VLOOKUP(A507,'Database Rates'!$A$1:$D$1000,2,FALSE)</f>
        <v/>
      </c>
    </row>
    <row r="508">
      <c r="A508" s="41" t="n">
        <v>33482</v>
      </c>
      <c r="B508" s="21">
        <f>VLOOKUP(A508,'Database Rates'!$A$1:$D$1000,2,FALSE)</f>
        <v/>
      </c>
    </row>
    <row r="509">
      <c r="A509" s="41" t="n">
        <v>33512</v>
      </c>
      <c r="B509" s="21">
        <f>VLOOKUP(A509,'Database Rates'!$A$1:$D$1000,2,FALSE)</f>
        <v/>
      </c>
    </row>
    <row r="510">
      <c r="A510" s="41" t="n">
        <v>33543</v>
      </c>
      <c r="B510" s="21">
        <f>VLOOKUP(A510,'Database Rates'!$A$1:$D$1000,2,FALSE)</f>
        <v/>
      </c>
    </row>
    <row r="511">
      <c r="A511" s="41" t="n">
        <v>33573</v>
      </c>
      <c r="B511" s="21">
        <f>VLOOKUP(A511,'Database Rates'!$A$1:$D$1000,2,FALSE)</f>
        <v/>
      </c>
    </row>
    <row r="512">
      <c r="A512" s="41" t="n">
        <v>33604</v>
      </c>
      <c r="B512" s="21">
        <f>VLOOKUP(A512,'Database Rates'!$A$1:$D$1000,2,FALSE)</f>
        <v/>
      </c>
    </row>
    <row r="513">
      <c r="A513" s="41" t="n">
        <v>33635</v>
      </c>
      <c r="B513" s="21">
        <f>VLOOKUP(A513,'Database Rates'!$A$1:$D$1000,2,FALSE)</f>
        <v/>
      </c>
    </row>
    <row r="514">
      <c r="A514" s="41" t="n">
        <v>33664</v>
      </c>
      <c r="B514" s="21">
        <f>VLOOKUP(A514,'Database Rates'!$A$1:$D$1000,2,FALSE)</f>
        <v/>
      </c>
    </row>
    <row r="515">
      <c r="A515" s="41" t="n">
        <v>33695</v>
      </c>
      <c r="B515" s="21">
        <f>VLOOKUP(A515,'Database Rates'!$A$1:$D$1000,2,FALSE)</f>
        <v/>
      </c>
    </row>
    <row r="516">
      <c r="A516" s="41" t="n">
        <v>33725</v>
      </c>
      <c r="B516" s="21">
        <f>VLOOKUP(A516,'Database Rates'!$A$1:$D$1000,2,FALSE)</f>
        <v/>
      </c>
    </row>
    <row r="517">
      <c r="A517" s="41" t="n">
        <v>33756</v>
      </c>
      <c r="B517" s="21">
        <f>VLOOKUP(A517,'Database Rates'!$A$1:$D$1000,2,FALSE)</f>
        <v/>
      </c>
    </row>
    <row r="518">
      <c r="A518" s="41" t="n">
        <v>33786</v>
      </c>
      <c r="B518" s="21">
        <f>VLOOKUP(A518,'Database Rates'!$A$1:$D$1000,2,FALSE)</f>
        <v/>
      </c>
    </row>
    <row r="519">
      <c r="A519" s="41" t="n">
        <v>33817</v>
      </c>
      <c r="B519" s="21">
        <f>VLOOKUP(A519,'Database Rates'!$A$1:$D$1000,2,FALSE)</f>
        <v/>
      </c>
    </row>
    <row r="520">
      <c r="A520" s="41" t="n">
        <v>33848</v>
      </c>
      <c r="B520" s="21">
        <f>VLOOKUP(A520,'Database Rates'!$A$1:$D$1000,2,FALSE)</f>
        <v/>
      </c>
    </row>
    <row r="521">
      <c r="A521" s="41" t="n">
        <v>33878</v>
      </c>
      <c r="B521" s="21">
        <f>VLOOKUP(A521,'Database Rates'!$A$1:$D$1000,2,FALSE)</f>
        <v/>
      </c>
    </row>
    <row r="522">
      <c r="A522" s="41" t="n">
        <v>33909</v>
      </c>
      <c r="B522" s="21">
        <f>VLOOKUP(A522,'Database Rates'!$A$1:$D$1000,2,FALSE)</f>
        <v/>
      </c>
    </row>
    <row r="523">
      <c r="A523" s="41" t="n">
        <v>33939</v>
      </c>
      <c r="B523" s="21">
        <f>VLOOKUP(A523,'Database Rates'!$A$1:$D$1000,2,FALSE)</f>
        <v/>
      </c>
    </row>
    <row r="524">
      <c r="A524" s="41" t="n">
        <v>33970</v>
      </c>
      <c r="B524" s="21">
        <f>VLOOKUP(A524,'Database Rates'!$A$1:$D$1000,2,FALSE)</f>
        <v/>
      </c>
    </row>
    <row r="525">
      <c r="A525" s="41" t="n">
        <v>34001</v>
      </c>
      <c r="B525" s="21">
        <f>VLOOKUP(A525,'Database Rates'!$A$1:$D$1000,2,FALSE)</f>
        <v/>
      </c>
    </row>
    <row r="526">
      <c r="A526" s="41" t="n">
        <v>34029</v>
      </c>
      <c r="B526" s="21">
        <f>VLOOKUP(A526,'Database Rates'!$A$1:$D$1000,2,FALSE)</f>
        <v/>
      </c>
    </row>
    <row r="527">
      <c r="A527" s="41" t="n">
        <v>34060</v>
      </c>
      <c r="B527" s="21">
        <f>VLOOKUP(A527,'Database Rates'!$A$1:$D$1000,2,FALSE)</f>
        <v/>
      </c>
    </row>
    <row r="528">
      <c r="A528" s="41" t="n">
        <v>34090</v>
      </c>
      <c r="B528" s="21">
        <f>VLOOKUP(A528,'Database Rates'!$A$1:$D$1000,2,FALSE)</f>
        <v/>
      </c>
    </row>
    <row r="529">
      <c r="A529" s="41" t="n">
        <v>34121</v>
      </c>
      <c r="B529" s="21">
        <f>VLOOKUP(A529,'Database Rates'!$A$1:$D$1000,2,FALSE)</f>
        <v/>
      </c>
    </row>
    <row r="530">
      <c r="A530" s="41" t="n">
        <v>34151</v>
      </c>
      <c r="B530" s="21">
        <f>VLOOKUP(A530,'Database Rates'!$A$1:$D$1000,2,FALSE)</f>
        <v/>
      </c>
    </row>
    <row r="531">
      <c r="A531" s="41" t="n">
        <v>34182</v>
      </c>
      <c r="B531" s="21">
        <f>VLOOKUP(A531,'Database Rates'!$A$1:$D$1000,2,FALSE)</f>
        <v/>
      </c>
    </row>
    <row r="532">
      <c r="A532" s="41" t="n">
        <v>34213</v>
      </c>
      <c r="B532" s="21">
        <f>VLOOKUP(A532,'Database Rates'!$A$1:$D$1000,2,FALSE)</f>
        <v/>
      </c>
    </row>
    <row r="533">
      <c r="A533" s="41" t="n">
        <v>34243</v>
      </c>
      <c r="B533" s="21">
        <f>VLOOKUP(A533,'Database Rates'!$A$1:$D$1000,2,FALSE)</f>
        <v/>
      </c>
    </row>
    <row r="534">
      <c r="A534" s="41" t="n">
        <v>34274</v>
      </c>
      <c r="B534" s="21">
        <f>VLOOKUP(A534,'Database Rates'!$A$1:$D$1000,2,FALSE)</f>
        <v/>
      </c>
    </row>
    <row r="535">
      <c r="A535" s="41" t="n">
        <v>34304</v>
      </c>
      <c r="B535" s="21">
        <f>VLOOKUP(A535,'Database Rates'!$A$1:$D$1000,2,FALSE)</f>
        <v/>
      </c>
    </row>
    <row r="536">
      <c r="A536" s="41" t="n">
        <v>34335</v>
      </c>
      <c r="B536" s="21">
        <f>VLOOKUP(A536,'Database Rates'!$A$1:$D$1000,2,FALSE)</f>
        <v/>
      </c>
    </row>
    <row r="537">
      <c r="A537" s="41" t="n">
        <v>34366</v>
      </c>
      <c r="B537" s="21">
        <f>VLOOKUP(A537,'Database Rates'!$A$1:$D$1000,2,FALSE)</f>
        <v/>
      </c>
    </row>
    <row r="538">
      <c r="A538" s="41" t="n">
        <v>34394</v>
      </c>
      <c r="B538" s="21">
        <f>VLOOKUP(A538,'Database Rates'!$A$1:$D$1000,2,FALSE)</f>
        <v/>
      </c>
    </row>
    <row r="539">
      <c r="A539" s="41" t="n">
        <v>34425</v>
      </c>
      <c r="B539" s="21">
        <f>VLOOKUP(A539,'Database Rates'!$A$1:$D$1000,2,FALSE)</f>
        <v/>
      </c>
    </row>
    <row r="540">
      <c r="A540" s="41" t="n">
        <v>34455</v>
      </c>
      <c r="B540" s="21">
        <f>VLOOKUP(A540,'Database Rates'!$A$1:$D$1000,2,FALSE)</f>
        <v/>
      </c>
    </row>
    <row r="541">
      <c r="A541" s="41" t="n">
        <v>34486</v>
      </c>
      <c r="B541" s="21">
        <f>VLOOKUP(A541,'Database Rates'!$A$1:$D$1000,2,FALSE)</f>
        <v/>
      </c>
    </row>
    <row r="542">
      <c r="A542" s="41" t="n">
        <v>34516</v>
      </c>
      <c r="B542" s="21">
        <f>VLOOKUP(A542,'Database Rates'!$A$1:$D$1000,2,FALSE)</f>
        <v/>
      </c>
    </row>
    <row r="543">
      <c r="A543" s="41" t="n">
        <v>34547</v>
      </c>
      <c r="B543" s="21">
        <f>VLOOKUP(A543,'Database Rates'!$A$1:$D$1000,2,FALSE)</f>
        <v/>
      </c>
    </row>
    <row r="544">
      <c r="A544" s="41" t="n">
        <v>34578</v>
      </c>
      <c r="B544" s="21">
        <f>VLOOKUP(A544,'Database Rates'!$A$1:$D$1000,2,FALSE)</f>
        <v/>
      </c>
    </row>
    <row r="545">
      <c r="A545" s="41" t="n">
        <v>34608</v>
      </c>
      <c r="B545" s="21">
        <f>VLOOKUP(A545,'Database Rates'!$A$1:$D$1000,2,FALSE)</f>
        <v/>
      </c>
    </row>
    <row r="546">
      <c r="A546" s="41" t="n">
        <v>34639</v>
      </c>
      <c r="B546" s="21">
        <f>VLOOKUP(A546,'Database Rates'!$A$1:$D$1000,2,FALSE)</f>
        <v/>
      </c>
    </row>
    <row r="547">
      <c r="A547" s="41" t="n">
        <v>34669</v>
      </c>
      <c r="B547" s="21">
        <f>VLOOKUP(A547,'Database Rates'!$A$1:$D$1000,2,FALSE)</f>
        <v/>
      </c>
    </row>
    <row r="548">
      <c r="A548" s="41" t="n">
        <v>34700</v>
      </c>
      <c r="B548" s="21">
        <f>VLOOKUP(A548,'Database Rates'!$A$1:$D$1000,2,FALSE)</f>
        <v/>
      </c>
    </row>
    <row r="549">
      <c r="A549" s="41" t="n">
        <v>34731</v>
      </c>
      <c r="B549" s="21">
        <f>VLOOKUP(A549,'Database Rates'!$A$1:$D$1000,2,FALSE)</f>
        <v/>
      </c>
    </row>
    <row r="550">
      <c r="A550" s="41" t="n">
        <v>34759</v>
      </c>
      <c r="B550" s="21">
        <f>VLOOKUP(A550,'Database Rates'!$A$1:$D$1000,2,FALSE)</f>
        <v/>
      </c>
    </row>
    <row r="551">
      <c r="A551" s="41" t="n">
        <v>34790</v>
      </c>
      <c r="B551" s="21">
        <f>VLOOKUP(A551,'Database Rates'!$A$1:$D$1000,2,FALSE)</f>
        <v/>
      </c>
    </row>
    <row r="552">
      <c r="A552" s="41" t="n">
        <v>34820</v>
      </c>
      <c r="B552" s="21">
        <f>VLOOKUP(A552,'Database Rates'!$A$1:$D$1000,2,FALSE)</f>
        <v/>
      </c>
    </row>
    <row r="553">
      <c r="A553" s="41" t="n">
        <v>34851</v>
      </c>
      <c r="B553" s="21">
        <f>VLOOKUP(A553,'Database Rates'!$A$1:$D$1000,2,FALSE)</f>
        <v/>
      </c>
    </row>
    <row r="554">
      <c r="A554" s="41" t="n">
        <v>34881</v>
      </c>
      <c r="B554" s="21">
        <f>VLOOKUP(A554,'Database Rates'!$A$1:$D$1000,2,FALSE)</f>
        <v/>
      </c>
    </row>
    <row r="555">
      <c r="A555" s="41" t="n">
        <v>34912</v>
      </c>
      <c r="B555" s="21">
        <f>VLOOKUP(A555,'Database Rates'!$A$1:$D$1000,2,FALSE)</f>
        <v/>
      </c>
    </row>
    <row r="556">
      <c r="A556" s="41" t="n">
        <v>34943</v>
      </c>
      <c r="B556" s="21">
        <f>VLOOKUP(A556,'Database Rates'!$A$1:$D$1000,2,FALSE)</f>
        <v/>
      </c>
    </row>
    <row r="557">
      <c r="A557" s="41" t="n">
        <v>34973</v>
      </c>
      <c r="B557" s="21">
        <f>VLOOKUP(A557,'Database Rates'!$A$1:$D$1000,2,FALSE)</f>
        <v/>
      </c>
    </row>
    <row r="558">
      <c r="A558" s="41" t="n">
        <v>35004</v>
      </c>
      <c r="B558" s="21">
        <f>VLOOKUP(A558,'Database Rates'!$A$1:$D$1000,2,FALSE)</f>
        <v/>
      </c>
    </row>
    <row r="559">
      <c r="A559" s="41" t="n">
        <v>35034</v>
      </c>
      <c r="B559" s="21">
        <f>VLOOKUP(A559,'Database Rates'!$A$1:$D$1000,2,FALSE)</f>
        <v/>
      </c>
    </row>
    <row r="560">
      <c r="A560" s="41" t="n">
        <v>35065</v>
      </c>
      <c r="B560" s="21">
        <f>VLOOKUP(A560,'Database Rates'!$A$1:$D$1000,2,FALSE)</f>
        <v/>
      </c>
    </row>
    <row r="561">
      <c r="A561" s="41" t="n">
        <v>35096</v>
      </c>
      <c r="B561" s="21">
        <f>VLOOKUP(A561,'Database Rates'!$A$1:$D$1000,2,FALSE)</f>
        <v/>
      </c>
    </row>
    <row r="562">
      <c r="A562" s="41" t="n">
        <v>35125</v>
      </c>
      <c r="B562" s="21">
        <f>VLOOKUP(A562,'Database Rates'!$A$1:$D$1000,2,FALSE)</f>
        <v/>
      </c>
    </row>
    <row r="563">
      <c r="A563" s="41" t="n">
        <v>35156</v>
      </c>
      <c r="B563" s="21">
        <f>VLOOKUP(A563,'Database Rates'!$A$1:$D$1000,2,FALSE)</f>
        <v/>
      </c>
    </row>
    <row r="564">
      <c r="A564" s="41" t="n">
        <v>35186</v>
      </c>
      <c r="B564" s="21">
        <f>VLOOKUP(A564,'Database Rates'!$A$1:$D$1000,2,FALSE)</f>
        <v/>
      </c>
    </row>
    <row r="565">
      <c r="A565" s="41" t="n">
        <v>35217</v>
      </c>
      <c r="B565" s="21">
        <f>VLOOKUP(A565,'Database Rates'!$A$1:$D$1000,2,FALSE)</f>
        <v/>
      </c>
    </row>
    <row r="566">
      <c r="A566" s="41" t="n">
        <v>35247</v>
      </c>
      <c r="B566" s="21">
        <f>VLOOKUP(A566,'Database Rates'!$A$1:$D$1000,2,FALSE)</f>
        <v/>
      </c>
    </row>
    <row r="567">
      <c r="A567" s="41" t="n">
        <v>35278</v>
      </c>
      <c r="B567" s="21">
        <f>VLOOKUP(A567,'Database Rates'!$A$1:$D$1000,2,FALSE)</f>
        <v/>
      </c>
    </row>
    <row r="568">
      <c r="A568" s="41" t="n">
        <v>35309</v>
      </c>
      <c r="B568" s="21">
        <f>VLOOKUP(A568,'Database Rates'!$A$1:$D$1000,2,FALSE)</f>
        <v/>
      </c>
    </row>
    <row r="569">
      <c r="A569" s="41" t="n">
        <v>35339</v>
      </c>
      <c r="B569" s="21">
        <f>VLOOKUP(A569,'Database Rates'!$A$1:$D$1000,2,FALSE)</f>
        <v/>
      </c>
    </row>
    <row r="570">
      <c r="A570" s="41" t="n">
        <v>35370</v>
      </c>
      <c r="B570" s="21">
        <f>VLOOKUP(A570,'Database Rates'!$A$1:$D$1000,2,FALSE)</f>
        <v/>
      </c>
    </row>
    <row r="571">
      <c r="A571" s="41" t="n">
        <v>35400</v>
      </c>
      <c r="B571" s="21">
        <f>VLOOKUP(A571,'Database Rates'!$A$1:$D$1000,2,FALSE)</f>
        <v/>
      </c>
    </row>
    <row r="572">
      <c r="A572" s="41" t="n">
        <v>35431</v>
      </c>
      <c r="B572" s="21">
        <f>VLOOKUP(A572,'Database Rates'!$A$1:$D$1000,2,FALSE)</f>
        <v/>
      </c>
    </row>
    <row r="573">
      <c r="A573" s="41" t="n">
        <v>35462</v>
      </c>
      <c r="B573" s="21">
        <f>VLOOKUP(A573,'Database Rates'!$A$1:$D$1000,2,FALSE)</f>
        <v/>
      </c>
    </row>
    <row r="574">
      <c r="A574" s="41" t="n">
        <v>35490</v>
      </c>
      <c r="B574" s="21">
        <f>VLOOKUP(A574,'Database Rates'!$A$1:$D$1000,2,FALSE)</f>
        <v/>
      </c>
    </row>
    <row r="575">
      <c r="A575" s="41" t="n">
        <v>35521</v>
      </c>
      <c r="B575" s="21">
        <f>VLOOKUP(A575,'Database Rates'!$A$1:$D$1000,2,FALSE)</f>
        <v/>
      </c>
    </row>
    <row r="576">
      <c r="A576" s="41" t="n">
        <v>35551</v>
      </c>
      <c r="B576" s="21">
        <f>VLOOKUP(A576,'Database Rates'!$A$1:$D$1000,2,FALSE)</f>
        <v/>
      </c>
    </row>
    <row r="577">
      <c r="A577" s="41" t="n">
        <v>35582</v>
      </c>
      <c r="B577" s="21">
        <f>VLOOKUP(A577,'Database Rates'!$A$1:$D$1000,2,FALSE)</f>
        <v/>
      </c>
    </row>
    <row r="578">
      <c r="A578" s="41" t="n">
        <v>35612</v>
      </c>
      <c r="B578" s="21">
        <f>VLOOKUP(A578,'Database Rates'!$A$1:$D$1000,2,FALSE)</f>
        <v/>
      </c>
    </row>
    <row r="579">
      <c r="A579" s="41" t="n">
        <v>35643</v>
      </c>
      <c r="B579" s="21">
        <f>VLOOKUP(A579,'Database Rates'!$A$1:$D$1000,2,FALSE)</f>
        <v/>
      </c>
    </row>
    <row r="580">
      <c r="A580" s="41" t="n">
        <v>35674</v>
      </c>
      <c r="B580" s="21">
        <f>VLOOKUP(A580,'Database Rates'!$A$1:$D$1000,2,FALSE)</f>
        <v/>
      </c>
    </row>
    <row r="581">
      <c r="A581" s="41" t="n">
        <v>35704</v>
      </c>
      <c r="B581" s="21">
        <f>VLOOKUP(A581,'Database Rates'!$A$1:$D$1000,2,FALSE)</f>
        <v/>
      </c>
    </row>
    <row r="582">
      <c r="A582" s="41" t="n">
        <v>35735</v>
      </c>
      <c r="B582" s="21">
        <f>VLOOKUP(A582,'Database Rates'!$A$1:$D$1000,2,FALSE)</f>
        <v/>
      </c>
    </row>
    <row r="583">
      <c r="A583" s="41" t="n">
        <v>35765</v>
      </c>
      <c r="B583" s="21">
        <f>VLOOKUP(A583,'Database Rates'!$A$1:$D$1000,2,FALSE)</f>
        <v/>
      </c>
    </row>
    <row r="584">
      <c r="A584" s="41" t="n">
        <v>35796</v>
      </c>
      <c r="B584" s="21">
        <f>VLOOKUP(A584,'Database Rates'!$A$1:$D$1000,2,FALSE)</f>
        <v/>
      </c>
    </row>
    <row r="585">
      <c r="A585" s="41" t="n">
        <v>35827</v>
      </c>
      <c r="B585" s="21">
        <f>VLOOKUP(A585,'Database Rates'!$A$1:$D$1000,2,FALSE)</f>
        <v/>
      </c>
    </row>
    <row r="586">
      <c r="A586" s="41" t="n">
        <v>35855</v>
      </c>
      <c r="B586" s="21">
        <f>VLOOKUP(A586,'Database Rates'!$A$1:$D$1000,2,FALSE)</f>
        <v/>
      </c>
    </row>
    <row r="587">
      <c r="A587" s="41" t="n">
        <v>35886</v>
      </c>
      <c r="B587" s="21">
        <f>VLOOKUP(A587,'Database Rates'!$A$1:$D$1000,2,FALSE)</f>
        <v/>
      </c>
    </row>
    <row r="588">
      <c r="A588" s="41" t="n">
        <v>35916</v>
      </c>
      <c r="B588" s="21">
        <f>VLOOKUP(A588,'Database Rates'!$A$1:$D$1000,2,FALSE)</f>
        <v/>
      </c>
    </row>
    <row r="589">
      <c r="A589" s="41" t="n">
        <v>35947</v>
      </c>
      <c r="B589" s="21">
        <f>VLOOKUP(A589,'Database Rates'!$A$1:$D$1000,2,FALSE)</f>
        <v/>
      </c>
    </row>
    <row r="590">
      <c r="A590" s="41" t="n">
        <v>35977</v>
      </c>
      <c r="B590" s="21">
        <f>VLOOKUP(A590,'Database Rates'!$A$1:$D$1000,2,FALSE)</f>
        <v/>
      </c>
    </row>
    <row r="591">
      <c r="A591" s="41" t="n">
        <v>36008</v>
      </c>
      <c r="B591" s="21">
        <f>VLOOKUP(A591,'Database Rates'!$A$1:$D$1000,2,FALSE)</f>
        <v/>
      </c>
    </row>
    <row r="592">
      <c r="A592" s="41" t="n">
        <v>36039</v>
      </c>
      <c r="B592" s="21">
        <f>VLOOKUP(A592,'Database Rates'!$A$1:$D$1000,2,FALSE)</f>
        <v/>
      </c>
    </row>
    <row r="593">
      <c r="A593" s="41" t="n">
        <v>36069</v>
      </c>
      <c r="B593" s="21">
        <f>VLOOKUP(A593,'Database Rates'!$A$1:$D$1000,2,FALSE)</f>
        <v/>
      </c>
    </row>
    <row r="594">
      <c r="A594" s="41" t="n">
        <v>36100</v>
      </c>
      <c r="B594" s="21">
        <f>VLOOKUP(A594,'Database Rates'!$A$1:$D$1000,2,FALSE)</f>
        <v/>
      </c>
    </row>
    <row r="595">
      <c r="A595" s="41" t="n">
        <v>36130</v>
      </c>
      <c r="B595" s="21">
        <f>VLOOKUP(A595,'Database Rates'!$A$1:$D$1000,2,FALSE)</f>
        <v/>
      </c>
    </row>
    <row r="596">
      <c r="A596" s="41" t="n">
        <v>36161</v>
      </c>
      <c r="B596" s="21">
        <f>VLOOKUP(A596,'Database Rates'!$A$1:$D$1000,2,FALSE)</f>
        <v/>
      </c>
    </row>
    <row r="597">
      <c r="A597" s="41" t="n">
        <v>36192</v>
      </c>
      <c r="B597" s="21">
        <f>VLOOKUP(A597,'Database Rates'!$A$1:$D$1000,2,FALSE)</f>
        <v/>
      </c>
    </row>
    <row r="598">
      <c r="A598" s="41" t="n">
        <v>36220</v>
      </c>
      <c r="B598" s="21">
        <f>VLOOKUP(A598,'Database Rates'!$A$1:$D$1000,2,FALSE)</f>
        <v/>
      </c>
    </row>
    <row r="599">
      <c r="A599" s="41" t="n">
        <v>36251</v>
      </c>
      <c r="B599" s="21">
        <f>VLOOKUP(A599,'Database Rates'!$A$1:$D$1000,2,FALSE)</f>
        <v/>
      </c>
    </row>
    <row r="600">
      <c r="A600" s="41" t="n">
        <v>36281</v>
      </c>
      <c r="B600" s="21">
        <f>VLOOKUP(A600,'Database Rates'!$A$1:$D$1000,2,FALSE)</f>
        <v/>
      </c>
    </row>
    <row r="601">
      <c r="A601" s="41" t="n">
        <v>36312</v>
      </c>
      <c r="B601" s="21">
        <f>VLOOKUP(A601,'Database Rates'!$A$1:$D$1000,2,FALSE)</f>
        <v/>
      </c>
    </row>
    <row r="602">
      <c r="A602" s="41" t="n">
        <v>36342</v>
      </c>
      <c r="B602" s="21">
        <f>VLOOKUP(A602,'Database Rates'!$A$1:$D$1000,2,FALSE)</f>
        <v/>
      </c>
    </row>
    <row r="603">
      <c r="A603" s="41" t="n">
        <v>36373</v>
      </c>
      <c r="B603" s="21">
        <f>VLOOKUP(A603,'Database Rates'!$A$1:$D$1000,2,FALSE)</f>
        <v/>
      </c>
    </row>
    <row r="604">
      <c r="A604" s="41" t="n">
        <v>36404</v>
      </c>
      <c r="B604" s="21">
        <f>VLOOKUP(A604,'Database Rates'!$A$1:$D$1000,2,FALSE)</f>
        <v/>
      </c>
    </row>
    <row r="605">
      <c r="A605" s="41" t="n">
        <v>36434</v>
      </c>
      <c r="B605" s="21">
        <f>VLOOKUP(A605,'Database Rates'!$A$1:$D$1000,2,FALSE)</f>
        <v/>
      </c>
    </row>
    <row r="606">
      <c r="A606" s="41" t="n">
        <v>36465</v>
      </c>
      <c r="B606" s="21">
        <f>VLOOKUP(A606,'Database Rates'!$A$1:$D$1000,2,FALSE)</f>
        <v/>
      </c>
    </row>
    <row r="607">
      <c r="A607" s="41" t="n">
        <v>36495</v>
      </c>
      <c r="B607" s="21">
        <f>VLOOKUP(A607,'Database Rates'!$A$1:$D$1000,2,FALSE)</f>
        <v/>
      </c>
    </row>
    <row r="608">
      <c r="A608" s="41" t="n">
        <v>36526</v>
      </c>
      <c r="B608" s="21">
        <f>VLOOKUP(A608,'Database Rates'!$A$1:$D$1000,2,FALSE)</f>
        <v/>
      </c>
    </row>
    <row r="609">
      <c r="A609" s="41" t="n">
        <v>36557</v>
      </c>
      <c r="B609" s="21">
        <f>VLOOKUP(A609,'Database Rates'!$A$1:$D$1000,2,FALSE)</f>
        <v/>
      </c>
    </row>
    <row r="610">
      <c r="A610" s="41" t="n">
        <v>36586</v>
      </c>
      <c r="B610" s="21">
        <f>VLOOKUP(A610,'Database Rates'!$A$1:$D$1000,2,FALSE)</f>
        <v/>
      </c>
    </row>
    <row r="611">
      <c r="A611" s="41" t="n">
        <v>36617</v>
      </c>
      <c r="B611" s="21">
        <f>VLOOKUP(A611,'Database Rates'!$A$1:$D$1000,2,FALSE)</f>
        <v/>
      </c>
    </row>
    <row r="612">
      <c r="A612" s="41" t="n">
        <v>36647</v>
      </c>
      <c r="B612" s="21">
        <f>VLOOKUP(A612,'Database Rates'!$A$1:$D$1000,2,FALSE)</f>
        <v/>
      </c>
    </row>
    <row r="613">
      <c r="A613" s="41" t="n">
        <v>36678</v>
      </c>
      <c r="B613" s="21">
        <f>VLOOKUP(A613,'Database Rates'!$A$1:$D$1000,2,FALSE)</f>
        <v/>
      </c>
    </row>
    <row r="614">
      <c r="A614" s="41" t="n">
        <v>36708</v>
      </c>
      <c r="B614" s="21">
        <f>VLOOKUP(A614,'Database Rates'!$A$1:$D$1000,2,FALSE)</f>
        <v/>
      </c>
    </row>
    <row r="615">
      <c r="A615" s="41" t="n">
        <v>36739</v>
      </c>
      <c r="B615" s="21">
        <f>VLOOKUP(A615,'Database Rates'!$A$1:$D$1000,2,FALSE)</f>
        <v/>
      </c>
    </row>
    <row r="616">
      <c r="A616" s="41" t="n">
        <v>36770</v>
      </c>
      <c r="B616" s="21">
        <f>VLOOKUP(A616,'Database Rates'!$A$1:$D$1000,2,FALSE)</f>
        <v/>
      </c>
    </row>
    <row r="617">
      <c r="A617" s="41" t="n">
        <v>36800</v>
      </c>
      <c r="B617" s="21">
        <f>VLOOKUP(A617,'Database Rates'!$A$1:$D$1000,2,FALSE)</f>
        <v/>
      </c>
    </row>
    <row r="618">
      <c r="A618" s="41" t="n">
        <v>36831</v>
      </c>
      <c r="B618" s="21">
        <f>VLOOKUP(A618,'Database Rates'!$A$1:$D$1000,2,FALSE)</f>
        <v/>
      </c>
    </row>
    <row r="619">
      <c r="A619" s="41" t="n">
        <v>36861</v>
      </c>
      <c r="B619" s="21">
        <f>VLOOKUP(A619,'Database Rates'!$A$1:$D$1000,2,FALSE)</f>
        <v/>
      </c>
    </row>
    <row r="620">
      <c r="A620" s="41" t="n">
        <v>36892</v>
      </c>
      <c r="B620" s="21">
        <f>VLOOKUP(A620,'Database Rates'!$A$1:$D$1000,2,FALSE)</f>
        <v/>
      </c>
    </row>
    <row r="621">
      <c r="A621" s="41" t="n">
        <v>36923</v>
      </c>
      <c r="B621" s="21">
        <f>VLOOKUP(A621,'Database Rates'!$A$1:$D$1000,2,FALSE)</f>
        <v/>
      </c>
    </row>
    <row r="622">
      <c r="A622" s="41" t="n">
        <v>36951</v>
      </c>
      <c r="B622" s="21">
        <f>VLOOKUP(A622,'Database Rates'!$A$1:$D$1000,2,FALSE)</f>
        <v/>
      </c>
    </row>
    <row r="623">
      <c r="A623" s="41" t="n">
        <v>36982</v>
      </c>
      <c r="B623" s="21">
        <f>VLOOKUP(A623,'Database Rates'!$A$1:$D$1000,2,FALSE)</f>
        <v/>
      </c>
    </row>
    <row r="624">
      <c r="A624" s="41" t="n">
        <v>37012</v>
      </c>
      <c r="B624" s="21">
        <f>VLOOKUP(A624,'Database Rates'!$A$1:$D$1000,2,FALSE)</f>
        <v/>
      </c>
    </row>
    <row r="625">
      <c r="A625" s="41" t="n">
        <v>37043</v>
      </c>
      <c r="B625" s="21">
        <f>VLOOKUP(A625,'Database Rates'!$A$1:$D$1000,2,FALSE)</f>
        <v/>
      </c>
    </row>
    <row r="626">
      <c r="A626" s="41" t="n">
        <v>37073</v>
      </c>
      <c r="B626" s="21">
        <f>VLOOKUP(A626,'Database Rates'!$A$1:$D$1000,2,FALSE)</f>
        <v/>
      </c>
    </row>
    <row r="627">
      <c r="A627" s="41" t="n">
        <v>37104</v>
      </c>
      <c r="B627" s="21">
        <f>VLOOKUP(A627,'Database Rates'!$A$1:$D$1000,2,FALSE)</f>
        <v/>
      </c>
    </row>
    <row r="628">
      <c r="A628" s="41" t="n">
        <v>37135</v>
      </c>
      <c r="B628" s="21">
        <f>VLOOKUP(A628,'Database Rates'!$A$1:$D$1000,2,FALSE)</f>
        <v/>
      </c>
    </row>
    <row r="629">
      <c r="A629" s="41" t="n">
        <v>37165</v>
      </c>
      <c r="B629" s="21">
        <f>VLOOKUP(A629,'Database Rates'!$A$1:$D$1000,2,FALSE)</f>
        <v/>
      </c>
    </row>
    <row r="630">
      <c r="A630" s="41" t="n">
        <v>37196</v>
      </c>
      <c r="B630" s="21">
        <f>VLOOKUP(A630,'Database Rates'!$A$1:$D$1000,2,FALSE)</f>
        <v/>
      </c>
    </row>
    <row r="631">
      <c r="A631" s="41" t="n">
        <v>37226</v>
      </c>
      <c r="B631" s="21">
        <f>VLOOKUP(A631,'Database Rates'!$A$1:$D$1000,2,FALSE)</f>
        <v/>
      </c>
    </row>
    <row r="632">
      <c r="A632" s="41" t="n">
        <v>37257</v>
      </c>
      <c r="B632" s="21">
        <f>VLOOKUP(A632,'Database Rates'!$A$1:$D$1000,2,FALSE)</f>
        <v/>
      </c>
    </row>
    <row r="633">
      <c r="A633" s="41" t="n">
        <v>37288</v>
      </c>
      <c r="B633" s="21">
        <f>VLOOKUP(A633,'Database Rates'!$A$1:$D$1000,2,FALSE)</f>
        <v/>
      </c>
    </row>
    <row r="634">
      <c r="A634" s="41" t="n">
        <v>37316</v>
      </c>
      <c r="B634" s="21">
        <f>VLOOKUP(A634,'Database Rates'!$A$1:$D$1000,2,FALSE)</f>
        <v/>
      </c>
    </row>
    <row r="635">
      <c r="A635" s="41" t="n">
        <v>37347</v>
      </c>
      <c r="B635" s="21">
        <f>VLOOKUP(A635,'Database Rates'!$A$1:$D$1000,2,FALSE)</f>
        <v/>
      </c>
    </row>
    <row r="636">
      <c r="A636" s="41" t="n">
        <v>37377</v>
      </c>
      <c r="B636" s="21">
        <f>VLOOKUP(A636,'Database Rates'!$A$1:$D$1000,2,FALSE)</f>
        <v/>
      </c>
    </row>
    <row r="637">
      <c r="A637" s="41" t="n">
        <v>37408</v>
      </c>
      <c r="B637" s="21">
        <f>VLOOKUP(A637,'Database Rates'!$A$1:$D$1000,2,FALSE)</f>
        <v/>
      </c>
    </row>
    <row r="638">
      <c r="A638" s="41" t="n">
        <v>37438</v>
      </c>
      <c r="B638" s="21">
        <f>VLOOKUP(A638,'Database Rates'!$A$1:$D$1000,2,FALSE)</f>
        <v/>
      </c>
    </row>
    <row r="639">
      <c r="A639" s="41" t="n">
        <v>37469</v>
      </c>
      <c r="B639" s="21">
        <f>VLOOKUP(A639,'Database Rates'!$A$1:$D$1000,2,FALSE)</f>
        <v/>
      </c>
    </row>
    <row r="640">
      <c r="A640" s="41" t="n">
        <v>37500</v>
      </c>
      <c r="B640" s="21">
        <f>VLOOKUP(A640,'Database Rates'!$A$1:$D$1000,2,FALSE)</f>
        <v/>
      </c>
    </row>
    <row r="641">
      <c r="A641" s="41" t="n">
        <v>37530</v>
      </c>
      <c r="B641" s="21">
        <f>VLOOKUP(A641,'Database Rates'!$A$1:$D$1000,2,FALSE)</f>
        <v/>
      </c>
    </row>
    <row r="642">
      <c r="A642" s="41" t="n">
        <v>37561</v>
      </c>
      <c r="B642" s="21">
        <f>VLOOKUP(A642,'Database Rates'!$A$1:$D$1000,2,FALSE)</f>
        <v/>
      </c>
    </row>
    <row r="643">
      <c r="A643" s="41" t="n">
        <v>37591</v>
      </c>
      <c r="B643" s="21">
        <f>VLOOKUP(A643,'Database Rates'!$A$1:$D$1000,2,FALSE)</f>
        <v/>
      </c>
    </row>
    <row r="644">
      <c r="A644" s="41" t="n">
        <v>37622</v>
      </c>
      <c r="B644" s="21">
        <f>VLOOKUP(A644,'Database Rates'!$A$1:$D$1000,2,FALSE)</f>
        <v/>
      </c>
    </row>
    <row r="645">
      <c r="A645" s="41" t="n">
        <v>37653</v>
      </c>
      <c r="B645" s="21">
        <f>VLOOKUP(A645,'Database Rates'!$A$1:$D$1000,2,FALSE)</f>
        <v/>
      </c>
    </row>
    <row r="646">
      <c r="A646" s="41" t="n">
        <v>37681</v>
      </c>
      <c r="B646" s="21">
        <f>VLOOKUP(A646,'Database Rates'!$A$1:$D$1000,2,FALSE)</f>
        <v/>
      </c>
    </row>
    <row r="647">
      <c r="A647" s="41" t="n">
        <v>37712</v>
      </c>
      <c r="B647" s="21">
        <f>VLOOKUP(A647,'Database Rates'!$A$1:$D$1000,2,FALSE)</f>
        <v/>
      </c>
    </row>
    <row r="648">
      <c r="A648" s="41" t="n">
        <v>37742</v>
      </c>
      <c r="B648" s="21">
        <f>VLOOKUP(A648,'Database Rates'!$A$1:$D$1000,2,FALSE)</f>
        <v/>
      </c>
    </row>
    <row r="649">
      <c r="A649" s="41" t="n">
        <v>37773</v>
      </c>
      <c r="B649" s="21">
        <f>VLOOKUP(A649,'Database Rates'!$A$1:$D$1000,2,FALSE)</f>
        <v/>
      </c>
    </row>
    <row r="650">
      <c r="A650" s="41" t="n">
        <v>37803</v>
      </c>
      <c r="B650" s="21">
        <f>VLOOKUP(A650,'Database Rates'!$A$1:$D$1000,2,FALSE)</f>
        <v/>
      </c>
    </row>
    <row r="651">
      <c r="A651" s="41" t="n">
        <v>37834</v>
      </c>
      <c r="B651" s="21">
        <f>VLOOKUP(A651,'Database Rates'!$A$1:$D$1000,2,FALSE)</f>
        <v/>
      </c>
    </row>
    <row r="652">
      <c r="A652" s="41" t="n">
        <v>37865</v>
      </c>
      <c r="B652" s="21">
        <f>VLOOKUP(A652,'Database Rates'!$A$1:$D$1000,2,FALSE)</f>
        <v/>
      </c>
    </row>
    <row r="653">
      <c r="A653" s="41" t="n">
        <v>37895</v>
      </c>
      <c r="B653" s="21">
        <f>VLOOKUP(A653,'Database Rates'!$A$1:$D$1000,2,FALSE)</f>
        <v/>
      </c>
    </row>
    <row r="654">
      <c r="A654" s="41" t="n">
        <v>37926</v>
      </c>
      <c r="B654" s="21">
        <f>VLOOKUP(A654,'Database Rates'!$A$1:$D$1000,2,FALSE)</f>
        <v/>
      </c>
    </row>
    <row r="655">
      <c r="A655" s="41" t="n">
        <v>37956</v>
      </c>
      <c r="B655" s="21">
        <f>VLOOKUP(A655,'Database Rates'!$A$1:$D$1000,2,FALSE)</f>
        <v/>
      </c>
    </row>
    <row r="656">
      <c r="A656" s="41" t="n">
        <v>37987</v>
      </c>
      <c r="B656" s="21">
        <f>VLOOKUP(A656,'Database Rates'!$A$1:$D$1000,2,FALSE)</f>
        <v/>
      </c>
    </row>
    <row r="657">
      <c r="A657" s="41" t="n">
        <v>38018</v>
      </c>
      <c r="B657" s="21">
        <f>VLOOKUP(A657,'Database Rates'!$A$1:$D$1000,2,FALSE)</f>
        <v/>
      </c>
    </row>
    <row r="658">
      <c r="A658" s="41" t="n">
        <v>38047</v>
      </c>
      <c r="B658" s="21">
        <f>VLOOKUP(A658,'Database Rates'!$A$1:$D$1000,2,FALSE)</f>
        <v/>
      </c>
    </row>
    <row r="659">
      <c r="A659" s="41" t="n">
        <v>38078</v>
      </c>
      <c r="B659" s="21">
        <f>VLOOKUP(A659,'Database Rates'!$A$1:$D$1000,2,FALSE)</f>
        <v/>
      </c>
    </row>
    <row r="660">
      <c r="A660" s="41" t="n">
        <v>38108</v>
      </c>
      <c r="B660" s="21">
        <f>VLOOKUP(A660,'Database Rates'!$A$1:$D$1000,2,FALSE)</f>
        <v/>
      </c>
    </row>
    <row r="661">
      <c r="A661" s="41" t="n">
        <v>38139</v>
      </c>
      <c r="B661" s="21">
        <f>VLOOKUP(A661,'Database Rates'!$A$1:$D$1000,2,FALSE)</f>
        <v/>
      </c>
    </row>
    <row r="662">
      <c r="A662" s="41" t="n">
        <v>38169</v>
      </c>
      <c r="B662" s="21">
        <f>VLOOKUP(A662,'Database Rates'!$A$1:$D$1000,2,FALSE)</f>
        <v/>
      </c>
    </row>
    <row r="663">
      <c r="A663" s="41" t="n">
        <v>38200</v>
      </c>
      <c r="B663" s="21">
        <f>VLOOKUP(A663,'Database Rates'!$A$1:$D$1000,2,FALSE)</f>
        <v/>
      </c>
    </row>
    <row r="664">
      <c r="A664" s="41" t="n">
        <v>38231</v>
      </c>
      <c r="B664" s="21">
        <f>VLOOKUP(A664,'Database Rates'!$A$1:$D$1000,2,FALSE)</f>
        <v/>
      </c>
    </row>
    <row r="665">
      <c r="A665" s="41" t="n">
        <v>38261</v>
      </c>
      <c r="B665" s="21">
        <f>VLOOKUP(A665,'Database Rates'!$A$1:$D$1000,2,FALSE)</f>
        <v/>
      </c>
    </row>
    <row r="666">
      <c r="A666" s="41" t="n">
        <v>38292</v>
      </c>
      <c r="B666" s="21">
        <f>VLOOKUP(A666,'Database Rates'!$A$1:$D$1000,2,FALSE)</f>
        <v/>
      </c>
    </row>
    <row r="667">
      <c r="A667" s="41" t="n">
        <v>38322</v>
      </c>
      <c r="B667" s="21">
        <f>VLOOKUP(A667,'Database Rates'!$A$1:$D$1000,2,FALSE)</f>
        <v/>
      </c>
    </row>
    <row r="668">
      <c r="A668" s="41" t="n">
        <v>38353</v>
      </c>
      <c r="B668" s="21">
        <f>VLOOKUP(A668,'Database Rates'!$A$1:$D$1000,2,FALSE)</f>
        <v/>
      </c>
    </row>
    <row r="669">
      <c r="A669" s="41" t="n">
        <v>38384</v>
      </c>
      <c r="B669" s="21">
        <f>VLOOKUP(A669,'Database Rates'!$A$1:$D$1000,2,FALSE)</f>
        <v/>
      </c>
    </row>
    <row r="670">
      <c r="A670" s="41" t="n">
        <v>38412</v>
      </c>
      <c r="B670" s="21">
        <f>VLOOKUP(A670,'Database Rates'!$A$1:$D$1000,2,FALSE)</f>
        <v/>
      </c>
    </row>
    <row r="671">
      <c r="A671" s="41" t="n">
        <v>38443</v>
      </c>
      <c r="B671" s="21">
        <f>VLOOKUP(A671,'Database Rates'!$A$1:$D$1000,2,FALSE)</f>
        <v/>
      </c>
    </row>
    <row r="672">
      <c r="A672" s="41" t="n">
        <v>38473</v>
      </c>
      <c r="B672" s="21">
        <f>VLOOKUP(A672,'Database Rates'!$A$1:$D$1000,2,FALSE)</f>
        <v/>
      </c>
    </row>
    <row r="673">
      <c r="A673" s="41" t="n">
        <v>38504</v>
      </c>
      <c r="B673" s="21">
        <f>VLOOKUP(A673,'Database Rates'!$A$1:$D$1000,2,FALSE)</f>
        <v/>
      </c>
    </row>
    <row r="674">
      <c r="A674" s="41" t="n">
        <v>38534</v>
      </c>
      <c r="B674" s="21">
        <f>VLOOKUP(A674,'Database Rates'!$A$1:$D$1000,2,FALSE)</f>
        <v/>
      </c>
    </row>
    <row r="675">
      <c r="A675" s="41" t="n">
        <v>38565</v>
      </c>
      <c r="B675" s="21">
        <f>VLOOKUP(A675,'Database Rates'!$A$1:$D$1000,2,FALSE)</f>
        <v/>
      </c>
    </row>
    <row r="676">
      <c r="A676" s="41" t="n">
        <v>38596</v>
      </c>
      <c r="B676" s="21">
        <f>VLOOKUP(A676,'Database Rates'!$A$1:$D$1000,2,FALSE)</f>
        <v/>
      </c>
    </row>
    <row r="677">
      <c r="A677" s="41" t="n">
        <v>38626</v>
      </c>
      <c r="B677" s="21">
        <f>VLOOKUP(A677,'Database Rates'!$A$1:$D$1000,2,FALSE)</f>
        <v/>
      </c>
    </row>
    <row r="678">
      <c r="A678" s="41" t="n">
        <v>38657</v>
      </c>
      <c r="B678" s="21">
        <f>VLOOKUP(A678,'Database Rates'!$A$1:$D$1000,2,FALSE)</f>
        <v/>
      </c>
    </row>
    <row r="679">
      <c r="A679" s="41" t="n">
        <v>38687</v>
      </c>
      <c r="B679" s="21">
        <f>VLOOKUP(A679,'Database Rates'!$A$1:$D$1000,2,FALSE)</f>
        <v/>
      </c>
    </row>
    <row r="680">
      <c r="A680" s="41" t="n">
        <v>38718</v>
      </c>
      <c r="B680" s="21">
        <f>VLOOKUP(A680,'Database Rates'!$A$1:$D$1000,2,FALSE)</f>
        <v/>
      </c>
    </row>
    <row r="681">
      <c r="A681" s="41" t="n">
        <v>38749</v>
      </c>
      <c r="B681" s="21">
        <f>VLOOKUP(A681,'Database Rates'!$A$1:$D$1000,2,FALSE)</f>
        <v/>
      </c>
    </row>
    <row r="682">
      <c r="A682" s="41" t="n">
        <v>38777</v>
      </c>
      <c r="B682" s="21">
        <f>VLOOKUP(A682,'Database Rates'!$A$1:$D$1000,2,FALSE)</f>
        <v/>
      </c>
    </row>
    <row r="683">
      <c r="A683" s="41" t="n">
        <v>38808</v>
      </c>
      <c r="B683" s="21">
        <f>VLOOKUP(A683,'Database Rates'!$A$1:$D$1000,2,FALSE)</f>
        <v/>
      </c>
    </row>
    <row r="684">
      <c r="A684" s="41" t="n">
        <v>38838</v>
      </c>
      <c r="B684" s="21">
        <f>VLOOKUP(A684,'Database Rates'!$A$1:$D$1000,2,FALSE)</f>
        <v/>
      </c>
    </row>
    <row r="685">
      <c r="A685" s="41" t="n">
        <v>38869</v>
      </c>
      <c r="B685" s="21">
        <f>VLOOKUP(A685,'Database Rates'!$A$1:$D$1000,2,FALSE)</f>
        <v/>
      </c>
    </row>
    <row r="686">
      <c r="A686" s="41" t="n">
        <v>38899</v>
      </c>
      <c r="B686" s="21">
        <f>VLOOKUP(A686,'Database Rates'!$A$1:$D$1000,2,FALSE)</f>
        <v/>
      </c>
    </row>
    <row r="687">
      <c r="A687" s="41" t="n">
        <v>38930</v>
      </c>
      <c r="B687" s="21">
        <f>VLOOKUP(A687,'Database Rates'!$A$1:$D$1000,2,FALSE)</f>
        <v/>
      </c>
    </row>
    <row r="688">
      <c r="A688" s="41" t="n">
        <v>38961</v>
      </c>
      <c r="B688" s="21">
        <f>VLOOKUP(A688,'Database Rates'!$A$1:$D$1000,2,FALSE)</f>
        <v/>
      </c>
    </row>
    <row r="689">
      <c r="A689" s="41" t="n">
        <v>38991</v>
      </c>
      <c r="B689" s="21">
        <f>VLOOKUP(A689,'Database Rates'!$A$1:$D$1000,2,FALSE)</f>
        <v/>
      </c>
    </row>
    <row r="690">
      <c r="A690" s="41" t="n">
        <v>39022</v>
      </c>
      <c r="B690" s="21">
        <f>VLOOKUP(A690,'Database Rates'!$A$1:$D$1000,2,FALSE)</f>
        <v/>
      </c>
    </row>
    <row r="691">
      <c r="A691" s="41" t="n">
        <v>39052</v>
      </c>
      <c r="B691" s="21">
        <f>VLOOKUP(A691,'Database Rates'!$A$1:$D$1000,2,FALSE)</f>
        <v/>
      </c>
    </row>
    <row r="692">
      <c r="A692" s="41" t="n">
        <v>39083</v>
      </c>
      <c r="B692" s="21">
        <f>VLOOKUP(A692,'Database Rates'!$A$1:$D$1000,2,FALSE)</f>
        <v/>
      </c>
    </row>
    <row r="693">
      <c r="A693" s="41" t="n">
        <v>39114</v>
      </c>
      <c r="B693" s="21">
        <f>VLOOKUP(A693,'Database Rates'!$A$1:$D$1000,2,FALSE)</f>
        <v/>
      </c>
    </row>
    <row r="694">
      <c r="A694" s="41" t="n">
        <v>39142</v>
      </c>
      <c r="B694" s="21">
        <f>VLOOKUP(A694,'Database Rates'!$A$1:$D$1000,2,FALSE)</f>
        <v/>
      </c>
    </row>
    <row r="695">
      <c r="A695" s="41" t="n">
        <v>39173</v>
      </c>
      <c r="B695" s="21">
        <f>VLOOKUP(A695,'Database Rates'!$A$1:$D$1000,2,FALSE)</f>
        <v/>
      </c>
    </row>
    <row r="696">
      <c r="A696" s="41" t="n">
        <v>39203</v>
      </c>
      <c r="B696" s="21">
        <f>VLOOKUP(A696,'Database Rates'!$A$1:$D$1000,2,FALSE)</f>
        <v/>
      </c>
    </row>
    <row r="697">
      <c r="A697" s="41" t="n">
        <v>39234</v>
      </c>
      <c r="B697" s="21">
        <f>VLOOKUP(A697,'Database Rates'!$A$1:$D$1000,2,FALSE)</f>
        <v/>
      </c>
    </row>
    <row r="698">
      <c r="A698" s="41" t="n">
        <v>39264</v>
      </c>
      <c r="B698" s="21">
        <f>VLOOKUP(A698,'Database Rates'!$A$1:$D$1000,2,FALSE)</f>
        <v/>
      </c>
    </row>
    <row r="699">
      <c r="A699" s="41" t="n">
        <v>39295</v>
      </c>
      <c r="B699" s="21">
        <f>VLOOKUP(A699,'Database Rates'!$A$1:$D$1000,2,FALSE)</f>
        <v/>
      </c>
    </row>
    <row r="700">
      <c r="A700" s="41" t="n">
        <v>39326</v>
      </c>
      <c r="B700" s="21">
        <f>VLOOKUP(A700,'Database Rates'!$A$1:$D$1000,2,FALSE)</f>
        <v/>
      </c>
    </row>
    <row r="701">
      <c r="A701" s="41" t="n">
        <v>39356</v>
      </c>
      <c r="B701" s="21">
        <f>VLOOKUP(A701,'Database Rates'!$A$1:$D$1000,2,FALSE)</f>
        <v/>
      </c>
    </row>
    <row r="702">
      <c r="A702" s="41" t="n">
        <v>39387</v>
      </c>
      <c r="B702" s="21">
        <f>VLOOKUP(A702,'Database Rates'!$A$1:$D$1000,2,FALSE)</f>
        <v/>
      </c>
    </row>
    <row r="703">
      <c r="A703" s="41" t="n">
        <v>39417</v>
      </c>
      <c r="B703" s="21">
        <f>VLOOKUP(A703,'Database Rates'!$A$1:$D$1000,2,FALSE)</f>
        <v/>
      </c>
    </row>
    <row r="704">
      <c r="A704" s="41" t="n">
        <v>39448</v>
      </c>
      <c r="B704" s="21">
        <f>VLOOKUP(A704,'Database Rates'!$A$1:$D$1000,2,FALSE)</f>
        <v/>
      </c>
    </row>
    <row r="705">
      <c r="A705" s="41" t="n">
        <v>39479</v>
      </c>
      <c r="B705" s="21">
        <f>VLOOKUP(A705,'Database Rates'!$A$1:$D$1000,2,FALSE)</f>
        <v/>
      </c>
    </row>
    <row r="706">
      <c r="A706" s="41" t="n">
        <v>39508</v>
      </c>
      <c r="B706" s="21">
        <f>VLOOKUP(A706,'Database Rates'!$A$1:$D$1000,2,FALSE)</f>
        <v/>
      </c>
    </row>
    <row r="707">
      <c r="A707" s="41" t="n">
        <v>39539</v>
      </c>
      <c r="B707" s="21">
        <f>VLOOKUP(A707,'Database Rates'!$A$1:$D$1000,2,FALSE)</f>
        <v/>
      </c>
    </row>
    <row r="708">
      <c r="A708" s="41" t="n">
        <v>39569</v>
      </c>
      <c r="B708" s="21">
        <f>VLOOKUP(A708,'Database Rates'!$A$1:$D$1000,2,FALSE)</f>
        <v/>
      </c>
    </row>
    <row r="709">
      <c r="A709" s="41" t="n">
        <v>39600</v>
      </c>
      <c r="B709" s="21">
        <f>VLOOKUP(A709,'Database Rates'!$A$1:$D$1000,2,FALSE)</f>
        <v/>
      </c>
    </row>
    <row r="710">
      <c r="A710" s="41" t="n">
        <v>39630</v>
      </c>
      <c r="B710" s="21">
        <f>VLOOKUP(A710,'Database Rates'!$A$1:$D$1000,2,FALSE)</f>
        <v/>
      </c>
    </row>
    <row r="711">
      <c r="A711" s="41" t="n">
        <v>39661</v>
      </c>
      <c r="B711" s="21">
        <f>VLOOKUP(A711,'Database Rates'!$A$1:$D$1000,2,FALSE)</f>
        <v/>
      </c>
    </row>
    <row r="712">
      <c r="A712" s="41" t="n">
        <v>39692</v>
      </c>
      <c r="B712" s="21">
        <f>VLOOKUP(A712,'Database Rates'!$A$1:$D$1000,2,FALSE)</f>
        <v/>
      </c>
    </row>
    <row r="713">
      <c r="A713" s="41" t="n">
        <v>39722</v>
      </c>
      <c r="B713" s="21">
        <f>VLOOKUP(A713,'Database Rates'!$A$1:$D$1000,2,FALSE)</f>
        <v/>
      </c>
    </row>
    <row r="714">
      <c r="A714" s="41" t="n">
        <v>39753</v>
      </c>
      <c r="B714" s="21">
        <f>VLOOKUP(A714,'Database Rates'!$A$1:$D$1000,2,FALSE)</f>
        <v/>
      </c>
    </row>
    <row r="715">
      <c r="A715" s="41" t="n">
        <v>39783</v>
      </c>
      <c r="B715" s="21">
        <f>VLOOKUP(A715,'Database Rates'!$A$1:$D$1000,2,FALSE)</f>
        <v/>
      </c>
    </row>
    <row r="716">
      <c r="A716" s="41" t="n">
        <v>39814</v>
      </c>
      <c r="B716" s="21">
        <f>VLOOKUP(A716,'Database Rates'!$A$1:$D$1000,2,FALSE)</f>
        <v/>
      </c>
    </row>
    <row r="717">
      <c r="A717" s="41" t="n">
        <v>39845</v>
      </c>
      <c r="B717" s="21">
        <f>VLOOKUP(A717,'Database Rates'!$A$1:$D$1000,2,FALSE)</f>
        <v/>
      </c>
    </row>
    <row r="718">
      <c r="A718" s="41" t="n">
        <v>39873</v>
      </c>
      <c r="B718" s="21">
        <f>VLOOKUP(A718,'Database Rates'!$A$1:$D$1000,2,FALSE)</f>
        <v/>
      </c>
    </row>
    <row r="719">
      <c r="A719" s="41" t="n">
        <v>39904</v>
      </c>
      <c r="B719" s="21">
        <f>VLOOKUP(A719,'Database Rates'!$A$1:$D$1000,2,FALSE)</f>
        <v/>
      </c>
    </row>
    <row r="720">
      <c r="A720" s="41" t="n">
        <v>39934</v>
      </c>
      <c r="B720" s="21">
        <f>VLOOKUP(A720,'Database Rates'!$A$1:$D$1000,2,FALSE)</f>
        <v/>
      </c>
    </row>
    <row r="721">
      <c r="A721" s="41" t="n">
        <v>39965</v>
      </c>
      <c r="B721" s="21">
        <f>VLOOKUP(A721,'Database Rates'!$A$1:$D$1000,2,FALSE)</f>
        <v/>
      </c>
    </row>
    <row r="722">
      <c r="A722" s="41" t="n">
        <v>39995</v>
      </c>
      <c r="B722" s="21">
        <f>VLOOKUP(A722,'Database Rates'!$A$1:$D$1000,2,FALSE)</f>
        <v/>
      </c>
    </row>
    <row r="723">
      <c r="A723" s="41" t="n">
        <v>40026</v>
      </c>
      <c r="B723" s="21">
        <f>VLOOKUP(A723,'Database Rates'!$A$1:$D$1000,2,FALSE)</f>
        <v/>
      </c>
    </row>
    <row r="724">
      <c r="A724" s="41" t="n">
        <v>40057</v>
      </c>
      <c r="B724" s="21">
        <f>VLOOKUP(A724,'Database Rates'!$A$1:$D$1000,2,FALSE)</f>
        <v/>
      </c>
    </row>
    <row r="725">
      <c r="A725" s="41" t="n">
        <v>40087</v>
      </c>
      <c r="B725" s="21">
        <f>VLOOKUP(A725,'Database Rates'!$A$1:$D$1000,2,FALSE)</f>
        <v/>
      </c>
    </row>
    <row r="726">
      <c r="A726" s="41" t="n">
        <v>40118</v>
      </c>
      <c r="B726" s="21">
        <f>VLOOKUP(A726,'Database Rates'!$A$1:$D$1000,2,FALSE)</f>
        <v/>
      </c>
    </row>
    <row r="727">
      <c r="A727" s="41" t="n">
        <v>40148</v>
      </c>
      <c r="B727" s="21">
        <f>VLOOKUP(A727,'Database Rates'!$A$1:$D$1000,2,FALSE)</f>
        <v/>
      </c>
    </row>
    <row r="728">
      <c r="A728" s="41" t="n">
        <v>40179</v>
      </c>
      <c r="B728" s="21">
        <f>VLOOKUP(A728,'Database Rates'!$A$1:$D$1000,2,FALSE)</f>
        <v/>
      </c>
    </row>
    <row r="729">
      <c r="A729" s="41" t="n">
        <v>40210</v>
      </c>
      <c r="B729" s="21">
        <f>VLOOKUP(A729,'Database Rates'!$A$1:$D$1000,2,FALSE)</f>
        <v/>
      </c>
    </row>
    <row r="730">
      <c r="A730" s="41" t="n">
        <v>40238</v>
      </c>
      <c r="B730" s="21">
        <f>VLOOKUP(A730,'Database Rates'!$A$1:$D$1000,2,FALSE)</f>
        <v/>
      </c>
    </row>
    <row r="731">
      <c r="A731" s="41" t="n">
        <v>40269</v>
      </c>
      <c r="B731" s="21">
        <f>VLOOKUP(A731,'Database Rates'!$A$1:$D$1000,2,FALSE)</f>
        <v/>
      </c>
    </row>
    <row r="732">
      <c r="A732" s="41" t="n">
        <v>40299</v>
      </c>
      <c r="B732" s="21">
        <f>VLOOKUP(A732,'Database Rates'!$A$1:$D$1000,2,FALSE)</f>
        <v/>
      </c>
    </row>
    <row r="733">
      <c r="A733" s="41" t="n">
        <v>40330</v>
      </c>
      <c r="B733" s="21">
        <f>VLOOKUP(A733,'Database Rates'!$A$1:$D$1000,2,FALSE)</f>
        <v/>
      </c>
    </row>
    <row r="734">
      <c r="A734" s="41" t="n">
        <v>40360</v>
      </c>
      <c r="B734" s="21">
        <f>VLOOKUP(A734,'Database Rates'!$A$1:$D$1000,2,FALSE)</f>
        <v/>
      </c>
    </row>
    <row r="735">
      <c r="A735" s="41" t="n">
        <v>40391</v>
      </c>
      <c r="B735" s="21">
        <f>VLOOKUP(A735,'Database Rates'!$A$1:$D$1000,2,FALSE)</f>
        <v/>
      </c>
    </row>
    <row r="736">
      <c r="A736" s="41" t="n">
        <v>40422</v>
      </c>
      <c r="B736" s="21">
        <f>VLOOKUP(A736,'Database Rates'!$A$1:$D$1000,2,FALSE)</f>
        <v/>
      </c>
    </row>
    <row r="737">
      <c r="A737" s="41" t="n">
        <v>40452</v>
      </c>
      <c r="B737" s="21">
        <f>VLOOKUP(A737,'Database Rates'!$A$1:$D$1000,2,FALSE)</f>
        <v/>
      </c>
    </row>
    <row r="738">
      <c r="A738" s="41" t="n">
        <v>40483</v>
      </c>
      <c r="B738" s="21">
        <f>VLOOKUP(A738,'Database Rates'!$A$1:$D$1000,2,FALSE)</f>
        <v/>
      </c>
    </row>
    <row r="739">
      <c r="A739" s="41" t="n">
        <v>40513</v>
      </c>
      <c r="B739" s="21">
        <f>VLOOKUP(A739,'Database Rates'!$A$1:$D$1000,2,FALSE)</f>
        <v/>
      </c>
    </row>
    <row r="740">
      <c r="A740" s="41" t="n">
        <v>40544</v>
      </c>
      <c r="B740" s="21">
        <f>VLOOKUP(A740,'Database Rates'!$A$1:$D$1000,2,FALSE)</f>
        <v/>
      </c>
    </row>
    <row r="741">
      <c r="A741" s="41" t="n">
        <v>40575</v>
      </c>
      <c r="B741" s="21">
        <f>VLOOKUP(A741,'Database Rates'!$A$1:$D$1000,2,FALSE)</f>
        <v/>
      </c>
    </row>
    <row r="742">
      <c r="A742" s="41" t="n">
        <v>40603</v>
      </c>
      <c r="B742" s="21">
        <f>VLOOKUP(A742,'Database Rates'!$A$1:$D$1000,2,FALSE)</f>
        <v/>
      </c>
    </row>
    <row r="743">
      <c r="A743" s="41" t="n">
        <v>40634</v>
      </c>
      <c r="B743" s="21">
        <f>VLOOKUP(A743,'Database Rates'!$A$1:$D$1000,2,FALSE)</f>
        <v/>
      </c>
    </row>
    <row r="744">
      <c r="A744" s="41" t="n">
        <v>40664</v>
      </c>
      <c r="B744" s="21">
        <f>VLOOKUP(A744,'Database Rates'!$A$1:$D$1000,2,FALSE)</f>
        <v/>
      </c>
    </row>
    <row r="745">
      <c r="A745" s="41" t="n">
        <v>40695</v>
      </c>
      <c r="B745" s="21">
        <f>VLOOKUP(A745,'Database Rates'!$A$1:$D$1000,2,FALSE)</f>
        <v/>
      </c>
    </row>
    <row r="746">
      <c r="A746" s="41" t="n">
        <v>40725</v>
      </c>
      <c r="B746" s="21">
        <f>VLOOKUP(A746,'Database Rates'!$A$1:$D$1000,2,FALSE)</f>
        <v/>
      </c>
    </row>
    <row r="747">
      <c r="A747" s="41" t="n">
        <v>40756</v>
      </c>
      <c r="B747" s="21">
        <f>VLOOKUP(A747,'Database Rates'!$A$1:$D$1000,2,FALSE)</f>
        <v/>
      </c>
    </row>
    <row r="748">
      <c r="A748" s="41" t="n">
        <v>40787</v>
      </c>
      <c r="B748" s="21">
        <f>VLOOKUP(A748,'Database Rates'!$A$1:$D$1000,2,FALSE)</f>
        <v/>
      </c>
    </row>
    <row r="749">
      <c r="A749" s="41" t="n">
        <v>40817</v>
      </c>
      <c r="B749" s="21">
        <f>VLOOKUP(A749,'Database Rates'!$A$1:$D$1000,2,FALSE)</f>
        <v/>
      </c>
    </row>
    <row r="750">
      <c r="A750" s="41" t="n">
        <v>40848</v>
      </c>
      <c r="B750" s="21">
        <f>VLOOKUP(A750,'Database Rates'!$A$1:$D$1000,2,FALSE)</f>
        <v/>
      </c>
    </row>
    <row r="751">
      <c r="A751" s="41" t="n">
        <v>40878</v>
      </c>
      <c r="B751" s="21">
        <f>VLOOKUP(A751,'Database Rates'!$A$1:$D$1000,2,FALSE)</f>
        <v/>
      </c>
    </row>
    <row r="752">
      <c r="A752" s="41" t="n">
        <v>40909</v>
      </c>
      <c r="B752" s="21">
        <f>VLOOKUP(A752,'Database Rates'!$A$1:$D$1000,2,FALSE)</f>
        <v/>
      </c>
    </row>
    <row r="753">
      <c r="A753" s="41" t="n">
        <v>40940</v>
      </c>
      <c r="B753" s="21">
        <f>VLOOKUP(A753,'Database Rates'!$A$1:$D$1000,2,FALSE)</f>
        <v/>
      </c>
    </row>
    <row r="754">
      <c r="A754" s="41" t="n">
        <v>40969</v>
      </c>
      <c r="B754" s="21">
        <f>VLOOKUP(A754,'Database Rates'!$A$1:$D$1000,2,FALSE)</f>
        <v/>
      </c>
    </row>
    <row r="755">
      <c r="A755" s="41" t="n">
        <v>41000</v>
      </c>
      <c r="B755" s="21">
        <f>VLOOKUP(A755,'Database Rates'!$A$1:$D$1000,2,FALSE)</f>
        <v/>
      </c>
    </row>
    <row r="756">
      <c r="A756" s="41" t="n">
        <v>41030</v>
      </c>
      <c r="B756" s="21">
        <f>VLOOKUP(A756,'Database Rates'!$A$1:$D$1000,2,FALSE)</f>
        <v/>
      </c>
    </row>
    <row r="757">
      <c r="A757" s="41" t="n">
        <v>41061</v>
      </c>
      <c r="B757" s="21">
        <f>VLOOKUP(A757,'Database Rates'!$A$1:$D$1000,2,FALSE)</f>
        <v/>
      </c>
    </row>
    <row r="758">
      <c r="A758" s="41" t="n">
        <v>41091</v>
      </c>
      <c r="B758" s="21">
        <f>VLOOKUP(A758,'Database Rates'!$A$1:$D$1000,2,FALSE)</f>
        <v/>
      </c>
    </row>
    <row r="759">
      <c r="A759" s="41" t="n">
        <v>41122</v>
      </c>
      <c r="B759" s="21">
        <f>VLOOKUP(A759,'Database Rates'!$A$1:$D$1000,2,FALSE)</f>
        <v/>
      </c>
    </row>
    <row r="760">
      <c r="A760" s="41" t="n">
        <v>41153</v>
      </c>
      <c r="B760" s="21">
        <f>VLOOKUP(A760,'Database Rates'!$A$1:$D$1000,2,FALSE)</f>
        <v/>
      </c>
    </row>
    <row r="761">
      <c r="A761" s="41" t="n">
        <v>41183</v>
      </c>
      <c r="B761" s="21">
        <f>VLOOKUP(A761,'Database Rates'!$A$1:$D$1000,2,FALSE)</f>
        <v/>
      </c>
    </row>
    <row r="762">
      <c r="A762" s="41" t="n">
        <v>41214</v>
      </c>
      <c r="B762" s="21">
        <f>VLOOKUP(A762,'Database Rates'!$A$1:$D$1000,2,FALSE)</f>
        <v/>
      </c>
    </row>
    <row r="763">
      <c r="A763" s="41" t="n">
        <v>41244</v>
      </c>
      <c r="B763" s="21">
        <f>VLOOKUP(A763,'Database Rates'!$A$1:$D$1000,2,FALSE)</f>
        <v/>
      </c>
    </row>
    <row r="764">
      <c r="A764" s="41" t="n">
        <v>41275</v>
      </c>
      <c r="B764" s="21">
        <f>VLOOKUP(A764,'Database Rates'!$A$1:$D$1000,2,FALSE)</f>
        <v/>
      </c>
    </row>
    <row r="765">
      <c r="A765" s="41" t="n">
        <v>41306</v>
      </c>
      <c r="B765" s="21">
        <f>VLOOKUP(A765,'Database Rates'!$A$1:$D$1000,2,FALSE)</f>
        <v/>
      </c>
    </row>
    <row r="766">
      <c r="A766" s="41" t="n">
        <v>41334</v>
      </c>
      <c r="B766" s="21">
        <f>VLOOKUP(A766,'Database Rates'!$A$1:$D$1000,2,FALSE)</f>
        <v/>
      </c>
    </row>
    <row r="767">
      <c r="A767" s="41" t="n">
        <v>41365</v>
      </c>
      <c r="B767" s="21">
        <f>VLOOKUP(A767,'Database Rates'!$A$1:$D$1000,2,FALSE)</f>
        <v/>
      </c>
    </row>
    <row r="768">
      <c r="A768" s="41" t="n">
        <v>41395</v>
      </c>
      <c r="B768" s="21">
        <f>VLOOKUP(A768,'Database Rates'!$A$1:$D$1000,2,FALSE)</f>
        <v/>
      </c>
    </row>
    <row r="769">
      <c r="A769" s="41" t="n">
        <v>41426</v>
      </c>
      <c r="B769" s="21">
        <f>VLOOKUP(A769,'Database Rates'!$A$1:$D$1000,2,FALSE)</f>
        <v/>
      </c>
    </row>
    <row r="770">
      <c r="A770" s="41" t="n">
        <v>41456</v>
      </c>
      <c r="B770" s="21">
        <f>VLOOKUP(A770,'Database Rates'!$A$1:$D$1000,2,FALSE)</f>
        <v/>
      </c>
    </row>
    <row r="771">
      <c r="A771" s="41" t="n">
        <v>41487</v>
      </c>
      <c r="B771" s="21">
        <f>VLOOKUP(A771,'Database Rates'!$A$1:$D$1000,2,FALSE)</f>
        <v/>
      </c>
    </row>
    <row r="772">
      <c r="A772" s="41" t="n">
        <v>41518</v>
      </c>
      <c r="B772" s="21">
        <f>VLOOKUP(A772,'Database Rates'!$A$1:$D$1000,2,FALSE)</f>
        <v/>
      </c>
    </row>
    <row r="773">
      <c r="A773" s="41" t="n">
        <v>41548</v>
      </c>
      <c r="B773" s="21">
        <f>VLOOKUP(A773,'Database Rates'!$A$1:$D$1000,2,FALSE)</f>
        <v/>
      </c>
    </row>
    <row r="774">
      <c r="A774" s="41" t="n">
        <v>41579</v>
      </c>
      <c r="B774" s="21">
        <f>VLOOKUP(A774,'Database Rates'!$A$1:$D$1000,2,FALSE)</f>
        <v/>
      </c>
    </row>
    <row r="775">
      <c r="A775" s="41" t="n">
        <v>41609</v>
      </c>
      <c r="B775" s="21">
        <f>VLOOKUP(A775,'Database Rates'!$A$1:$D$1000,2,FALSE)</f>
        <v/>
      </c>
    </row>
    <row r="776">
      <c r="A776" s="41" t="n">
        <v>41640</v>
      </c>
      <c r="B776" s="21">
        <f>VLOOKUP(A776,'Database Rates'!$A$1:$D$1000,2,FALSE)</f>
        <v/>
      </c>
    </row>
    <row r="777">
      <c r="A777" s="41" t="n">
        <v>41671</v>
      </c>
      <c r="B777" s="21">
        <f>VLOOKUP(A777,'Database Rates'!$A$1:$D$1000,2,FALSE)</f>
        <v/>
      </c>
    </row>
    <row r="778">
      <c r="A778" s="41" t="n">
        <v>41699</v>
      </c>
      <c r="B778" s="21">
        <f>VLOOKUP(A778,'Database Rates'!$A$1:$D$1000,2,FALSE)</f>
        <v/>
      </c>
    </row>
    <row r="779">
      <c r="A779" s="41" t="n">
        <v>41730</v>
      </c>
      <c r="B779" s="21">
        <f>VLOOKUP(A779,'Database Rates'!$A$1:$D$1000,2,FALSE)</f>
        <v/>
      </c>
    </row>
    <row r="780">
      <c r="A780" s="41" t="n">
        <v>41760</v>
      </c>
      <c r="B780" s="21">
        <f>VLOOKUP(A780,'Database Rates'!$A$1:$D$1000,2,FALSE)</f>
        <v/>
      </c>
    </row>
    <row r="781">
      <c r="A781" s="41" t="n">
        <v>41791</v>
      </c>
      <c r="B781" s="21">
        <f>VLOOKUP(A781,'Database Rates'!$A$1:$D$1000,2,FALSE)</f>
        <v/>
      </c>
    </row>
    <row r="782">
      <c r="A782" s="41" t="n">
        <v>41821</v>
      </c>
      <c r="B782" s="21">
        <f>VLOOKUP(A782,'Database Rates'!$A$1:$D$1000,2,FALSE)</f>
        <v/>
      </c>
    </row>
    <row r="783">
      <c r="A783" s="41" t="n">
        <v>41852</v>
      </c>
      <c r="B783" s="21">
        <f>VLOOKUP(A783,'Database Rates'!$A$1:$D$1000,2,FALSE)</f>
        <v/>
      </c>
    </row>
    <row r="784">
      <c r="A784" s="41" t="n">
        <v>41883</v>
      </c>
      <c r="B784" s="21">
        <f>VLOOKUP(A784,'Database Rates'!$A$1:$D$1000,2,FALSE)</f>
        <v/>
      </c>
    </row>
    <row r="785">
      <c r="A785" s="41" t="n">
        <v>41913</v>
      </c>
      <c r="B785" s="21">
        <f>VLOOKUP(A785,'Database Rates'!$A$1:$D$1000,2,FALSE)</f>
        <v/>
      </c>
    </row>
    <row r="786">
      <c r="A786" s="41" t="n">
        <v>41944</v>
      </c>
      <c r="B786" s="21">
        <f>VLOOKUP(A786,'Database Rates'!$A$1:$D$1000,2,FALSE)</f>
        <v/>
      </c>
    </row>
    <row r="787">
      <c r="A787" s="41" t="n">
        <v>41974</v>
      </c>
      <c r="B787" s="21">
        <f>VLOOKUP(A787,'Database Rates'!$A$1:$D$1000,2,FALSE)</f>
        <v/>
      </c>
    </row>
    <row r="788">
      <c r="A788" s="41" t="n">
        <v>42005</v>
      </c>
      <c r="B788" s="21">
        <f>VLOOKUP(A788,'Database Rates'!$A$1:$D$1000,2,FALSE)</f>
        <v/>
      </c>
    </row>
    <row r="789">
      <c r="A789" s="41" t="n">
        <v>42036</v>
      </c>
      <c r="B789" s="21">
        <f>VLOOKUP(A789,'Database Rates'!$A$1:$D$1000,2,FALSE)</f>
        <v/>
      </c>
    </row>
    <row r="790">
      <c r="A790" s="41" t="n">
        <v>42064</v>
      </c>
      <c r="B790" s="21">
        <f>VLOOKUP(A790,'Database Rates'!$A$1:$D$1000,2,FALSE)</f>
        <v/>
      </c>
    </row>
    <row r="791">
      <c r="A791" s="41" t="n">
        <v>42095</v>
      </c>
      <c r="B791" s="21">
        <f>VLOOKUP(A791,'Database Rates'!$A$1:$D$1000,2,FALSE)</f>
        <v/>
      </c>
    </row>
    <row r="792">
      <c r="A792" s="41" t="n">
        <v>42125</v>
      </c>
      <c r="B792" s="21">
        <f>VLOOKUP(A792,'Database Rates'!$A$1:$D$1000,2,FALSE)</f>
        <v/>
      </c>
    </row>
    <row r="793">
      <c r="A793" s="41" t="n">
        <v>42156</v>
      </c>
      <c r="B793" s="21">
        <f>VLOOKUP(A793,'Database Rates'!$A$1:$D$1000,2,FALSE)</f>
        <v/>
      </c>
    </row>
    <row r="794">
      <c r="A794" s="41" t="n">
        <v>42186</v>
      </c>
      <c r="B794" s="21">
        <f>VLOOKUP(A794,'Database Rates'!$A$1:$D$1000,2,FALSE)</f>
        <v/>
      </c>
    </row>
    <row r="795">
      <c r="A795" s="41" t="n">
        <v>42217</v>
      </c>
      <c r="B795" s="21">
        <f>VLOOKUP(A795,'Database Rates'!$A$1:$D$1000,2,FALSE)</f>
        <v/>
      </c>
    </row>
    <row r="796">
      <c r="A796" s="41" t="n">
        <v>42248</v>
      </c>
      <c r="B796" s="21">
        <f>VLOOKUP(A796,'Database Rates'!$A$1:$D$1000,2,FALSE)</f>
        <v/>
      </c>
    </row>
    <row r="797">
      <c r="A797" s="41" t="n">
        <v>42278</v>
      </c>
      <c r="B797" s="21">
        <f>VLOOKUP(A797,'Database Rates'!$A$1:$D$1000,2,FALSE)</f>
        <v/>
      </c>
    </row>
    <row r="798">
      <c r="A798" s="41" t="n">
        <v>42309</v>
      </c>
      <c r="B798" s="21">
        <f>VLOOKUP(A798,'Database Rates'!$A$1:$D$1000,2,FALSE)</f>
        <v/>
      </c>
    </row>
    <row r="799">
      <c r="A799" s="41" t="n">
        <v>42339</v>
      </c>
      <c r="B799" s="21">
        <f>VLOOKUP(A799,'Database Rates'!$A$1:$D$1000,2,FALSE)</f>
        <v/>
      </c>
    </row>
    <row r="800">
      <c r="A800" s="41" t="n">
        <v>42370</v>
      </c>
      <c r="B800" s="21">
        <f>VLOOKUP(A800,'Database Rates'!$A$1:$D$1000,2,FALSE)</f>
        <v/>
      </c>
    </row>
    <row r="801">
      <c r="A801" s="41" t="n">
        <v>42401</v>
      </c>
      <c r="B801" s="21">
        <f>VLOOKUP(A801,'Database Rates'!$A$1:$D$1000,2,FALSE)</f>
        <v/>
      </c>
    </row>
    <row r="802">
      <c r="A802" s="41" t="n">
        <v>42430</v>
      </c>
      <c r="B802" s="21">
        <f>VLOOKUP(A802,'Database Rates'!$A$1:$D$1000,2,FALSE)</f>
        <v/>
      </c>
    </row>
    <row r="803">
      <c r="A803" s="41" t="n">
        <v>42461</v>
      </c>
      <c r="B803" s="21">
        <f>VLOOKUP(A803,'Database Rates'!$A$1:$D$1000,2,FALSE)</f>
        <v/>
      </c>
    </row>
    <row r="804">
      <c r="A804" s="41" t="n">
        <v>42491</v>
      </c>
      <c r="B804" s="21">
        <f>VLOOKUP(A804,'Database Rates'!$A$1:$D$1000,2,FALSE)</f>
        <v/>
      </c>
    </row>
    <row r="805">
      <c r="A805" s="41" t="n">
        <v>42522</v>
      </c>
      <c r="B805" s="21">
        <f>VLOOKUP(A805,'Database Rates'!$A$1:$D$1000,2,FALSE)</f>
        <v/>
      </c>
    </row>
    <row r="806">
      <c r="A806" s="41" t="n">
        <v>42552</v>
      </c>
      <c r="B806" s="21">
        <f>VLOOKUP(A806,'Database Rates'!$A$1:$D$1000,2,FALSE)</f>
        <v/>
      </c>
    </row>
    <row r="807">
      <c r="A807" s="41" t="n">
        <v>42583</v>
      </c>
      <c r="B807" s="21">
        <f>VLOOKUP(A807,'Database Rates'!$A$1:$D$1000,2,FALSE)</f>
        <v/>
      </c>
    </row>
    <row r="808">
      <c r="A808" s="41" t="n">
        <v>42614</v>
      </c>
      <c r="B808" s="21">
        <f>VLOOKUP(A808,'Database Rates'!$A$1:$D$1000,2,FALSE)</f>
        <v/>
      </c>
    </row>
    <row r="809">
      <c r="A809" s="41" t="n">
        <v>42644</v>
      </c>
      <c r="B809" s="21">
        <f>VLOOKUP(A809,'Database Rates'!$A$1:$D$1000,2,FALSE)</f>
        <v/>
      </c>
    </row>
    <row r="810">
      <c r="A810" s="41" t="n">
        <v>42675</v>
      </c>
      <c r="B810" s="21">
        <f>VLOOKUP(A810,'Database Rates'!$A$1:$D$1000,2,FALSE)</f>
        <v/>
      </c>
    </row>
    <row r="811">
      <c r="A811" s="41" t="n">
        <v>42705</v>
      </c>
      <c r="B811" s="21">
        <f>VLOOKUP(A811,'Database Rates'!$A$1:$D$1000,2,FALSE)</f>
        <v/>
      </c>
    </row>
    <row r="812">
      <c r="A812" s="41" t="n">
        <v>42736</v>
      </c>
      <c r="B812" s="21">
        <f>VLOOKUP(A812,'Database Rates'!$A$1:$D$1000,2,FALSE)</f>
        <v/>
      </c>
    </row>
    <row r="813">
      <c r="A813" s="41" t="n">
        <v>42767</v>
      </c>
      <c r="B813" s="21">
        <f>VLOOKUP(A813,'Database Rates'!$A$1:$D$1000,2,FALSE)</f>
        <v/>
      </c>
    </row>
    <row r="814">
      <c r="A814" s="41" t="n">
        <v>42795</v>
      </c>
      <c r="B814" s="21">
        <f>VLOOKUP(A814,'Database Rates'!$A$1:$D$1000,2,FALSE)</f>
        <v/>
      </c>
    </row>
    <row r="815">
      <c r="A815" s="41" t="n">
        <v>42826</v>
      </c>
      <c r="B815" s="21">
        <f>VLOOKUP(A815,'Database Rates'!$A$1:$D$1000,2,FALSE)</f>
        <v/>
      </c>
    </row>
    <row r="816">
      <c r="A816" s="41" t="n">
        <v>42856</v>
      </c>
      <c r="B816" s="21">
        <f>VLOOKUP(A816,'Database Rates'!$A$1:$D$1000,2,FALSE)</f>
        <v/>
      </c>
    </row>
    <row r="817">
      <c r="A817" s="41" t="n">
        <v>42887</v>
      </c>
      <c r="B817" s="21">
        <f>VLOOKUP(A817,'Database Rates'!$A$1:$D$1000,2,FALSE)</f>
        <v/>
      </c>
    </row>
    <row r="818">
      <c r="A818" s="41" t="n">
        <v>42917</v>
      </c>
      <c r="B818" s="21">
        <f>VLOOKUP(A818,'Database Rates'!$A$1:$D$1000,2,FALSE)</f>
        <v/>
      </c>
    </row>
    <row r="819">
      <c r="A819" s="41" t="n">
        <v>42948</v>
      </c>
      <c r="B819" s="21">
        <f>VLOOKUP(A819,'Database Rates'!$A$1:$D$1000,2,FALSE)</f>
        <v/>
      </c>
    </row>
    <row r="820">
      <c r="A820" s="41" t="n">
        <v>42979</v>
      </c>
      <c r="B820" s="21">
        <f>VLOOKUP(A820,'Database Rates'!$A$1:$D$1000,2,FALSE)</f>
        <v/>
      </c>
    </row>
    <row r="821">
      <c r="A821" s="41" t="n">
        <v>43009</v>
      </c>
      <c r="B821" s="21">
        <f>VLOOKUP(A821,'Database Rates'!$A$1:$D$1000,2,FALSE)</f>
        <v/>
      </c>
    </row>
    <row r="822">
      <c r="A822" s="41" t="n">
        <v>43040</v>
      </c>
      <c r="B822" s="21">
        <f>VLOOKUP(A822,'Database Rates'!$A$1:$D$1000,2,FALSE)</f>
        <v/>
      </c>
    </row>
    <row r="823">
      <c r="A823" s="41" t="n">
        <v>43070</v>
      </c>
      <c r="B823" s="21">
        <f>VLOOKUP(A823,'Database Rates'!$A$1:$D$1000,2,FALSE)</f>
        <v/>
      </c>
    </row>
    <row r="824">
      <c r="A824" s="41" t="n">
        <v>43101</v>
      </c>
      <c r="B824" s="21">
        <f>VLOOKUP(A824,'Database Rates'!$A$1:$D$1000,2,FALSE)</f>
        <v/>
      </c>
    </row>
    <row r="825">
      <c r="A825" s="41" t="n">
        <v>43132</v>
      </c>
      <c r="B825" s="21">
        <f>VLOOKUP(A825,'Database Rates'!$A$1:$D$1000,2,FALSE)</f>
        <v/>
      </c>
    </row>
    <row r="826">
      <c r="A826" s="41" t="n">
        <v>43160</v>
      </c>
      <c r="B826" s="21">
        <f>VLOOKUP(A826,'Database Rates'!$A$1:$D$1000,2,FALSE)</f>
        <v/>
      </c>
    </row>
    <row r="827">
      <c r="A827" s="41" t="n">
        <v>43191</v>
      </c>
      <c r="B827" s="21">
        <f>VLOOKUP(A827,'Database Rates'!$A$1:$D$1000,2,FALSE)</f>
        <v/>
      </c>
    </row>
    <row r="828">
      <c r="A828" s="41" t="n">
        <v>43221</v>
      </c>
      <c r="B828" s="21">
        <f>VLOOKUP(A828,'Database Rates'!$A$1:$D$1000,2,FALSE)</f>
        <v/>
      </c>
    </row>
    <row r="829">
      <c r="A829" s="41" t="n">
        <v>43252</v>
      </c>
      <c r="B829" s="21">
        <f>VLOOKUP(A829,'Database Rates'!$A$1:$D$1000,2,FALSE)</f>
        <v/>
      </c>
    </row>
    <row r="830">
      <c r="A830" s="41" t="n">
        <v>43282</v>
      </c>
      <c r="B830" s="21">
        <f>VLOOKUP(A830,'Database Rates'!$A$1:$D$1000,2,FALSE)</f>
        <v/>
      </c>
    </row>
    <row r="831">
      <c r="A831" s="41" t="n">
        <v>43313</v>
      </c>
      <c r="B831" s="21">
        <f>VLOOKUP(A831,'Database Rates'!$A$1:$D$1000,2,FALSE)</f>
        <v/>
      </c>
    </row>
    <row r="832">
      <c r="A832" s="41" t="n">
        <v>43344</v>
      </c>
      <c r="B832" s="21">
        <f>VLOOKUP(A832,'Database Rates'!$A$1:$D$1000,2,FALSE)</f>
        <v/>
      </c>
    </row>
    <row r="833">
      <c r="A833" s="41" t="n">
        <v>43374</v>
      </c>
      <c r="B833" s="21">
        <f>VLOOKUP(A833,'Database Rates'!$A$1:$D$1000,2,FALSE)</f>
        <v/>
      </c>
    </row>
    <row r="834">
      <c r="A834" s="41" t="n">
        <v>43405</v>
      </c>
      <c r="B834" s="21">
        <f>VLOOKUP(A834,'Database Rates'!$A$1:$D$1000,2,FALSE)</f>
        <v/>
      </c>
    </row>
    <row r="835">
      <c r="A835" s="41" t="n">
        <v>43435</v>
      </c>
      <c r="B835" s="21">
        <f>VLOOKUP(A835,'Database Rates'!$A$1:$D$1000,2,FALSE)</f>
        <v/>
      </c>
    </row>
    <row r="836">
      <c r="A836" s="41" t="n">
        <v>43466</v>
      </c>
      <c r="B836" s="21">
        <f>VLOOKUP(A836,'Database Rates'!$A$1:$D$1000,2,FALSE)</f>
        <v/>
      </c>
    </row>
    <row r="837">
      <c r="A837" s="41" t="n">
        <v>43497</v>
      </c>
      <c r="B837" s="21">
        <f>VLOOKUP(A837,'Database Rates'!$A$1:$D$1000,2,FALSE)</f>
        <v/>
      </c>
    </row>
    <row r="838">
      <c r="A838" s="41" t="n">
        <v>43525</v>
      </c>
      <c r="B838" s="21">
        <f>VLOOKUP(A838,'Database Rates'!$A$1:$D$1000,2,FALSE)</f>
        <v/>
      </c>
    </row>
    <row r="839">
      <c r="A839" s="41" t="n">
        <v>43556</v>
      </c>
      <c r="B839" s="21">
        <f>VLOOKUP(A839,'Database Rates'!$A$1:$D$1000,2,FALSE)</f>
        <v/>
      </c>
    </row>
    <row r="840">
      <c r="A840" s="41" t="n">
        <v>43586</v>
      </c>
      <c r="B840" s="21">
        <f>VLOOKUP(A840,'Database Rates'!$A$1:$D$1000,2,FALSE)</f>
        <v/>
      </c>
    </row>
    <row r="841">
      <c r="A841" s="41" t="n">
        <v>43617</v>
      </c>
      <c r="B841" s="21">
        <f>VLOOKUP(A841,'Database Rates'!$A$1:$D$1000,2,FALSE)</f>
        <v/>
      </c>
    </row>
    <row r="842">
      <c r="A842" s="41" t="n">
        <v>43647</v>
      </c>
      <c r="B842" s="21">
        <f>VLOOKUP(A842,'Database Rates'!$A$1:$D$1000,2,FALSE)</f>
        <v/>
      </c>
    </row>
    <row r="843">
      <c r="A843" s="41" t="n">
        <v>43678</v>
      </c>
      <c r="B843" s="21">
        <f>VLOOKUP(A843,'Database Rates'!$A$1:$D$1000,2,FALSE)</f>
        <v/>
      </c>
    </row>
    <row r="844">
      <c r="A844" s="41" t="n">
        <v>43709</v>
      </c>
      <c r="B844" s="21">
        <f>VLOOKUP(A844,'Database Rates'!$A$1:$D$1000,2,FALSE)</f>
        <v/>
      </c>
    </row>
    <row r="845">
      <c r="A845" s="41" t="n">
        <v>43739</v>
      </c>
      <c r="B845" s="21">
        <f>VLOOKUP(A845,'Database Rates'!$A$1:$D$1000,2,FALSE)</f>
        <v/>
      </c>
    </row>
    <row r="846">
      <c r="A846" s="41" t="n">
        <v>43770</v>
      </c>
      <c r="B846" s="21">
        <f>VLOOKUP(A846,'Database Rates'!$A$1:$D$1000,2,FALSE)</f>
        <v/>
      </c>
    </row>
    <row r="847">
      <c r="A847" s="41" t="n">
        <v>43800</v>
      </c>
      <c r="B847" s="21">
        <f>VLOOKUP(A847,'Database Rates'!$A$1:$D$1000,2,FALSE)</f>
        <v/>
      </c>
    </row>
    <row r="848">
      <c r="A848" s="41" t="n">
        <v>43831</v>
      </c>
      <c r="B848" s="21">
        <f>VLOOKUP(A848,'Database Rates'!$A$1:$D$1000,2,FALSE)</f>
        <v/>
      </c>
    </row>
    <row r="849">
      <c r="A849" s="41" t="n">
        <v>43862</v>
      </c>
      <c r="B849" s="21">
        <f>VLOOKUP(A849,'Database Rates'!$A$1:$D$1000,2,FALSE)</f>
        <v/>
      </c>
    </row>
    <row r="850">
      <c r="A850" s="42" t="n">
        <v>43891</v>
      </c>
      <c r="B850" s="21">
        <f>VLOOKUP(A850,'Database Rates'!$A$1:$D$1000,2,FALSE)</f>
        <v/>
      </c>
    </row>
    <row r="851">
      <c r="A851" s="41" t="n">
        <v>43922</v>
      </c>
      <c r="B851" s="21">
        <f>VLOOKUP(A851,'Database Rates'!$A$1:$D$1000,2,FALSE)</f>
        <v/>
      </c>
    </row>
    <row r="852">
      <c r="A852" s="42" t="n">
        <v>43952</v>
      </c>
      <c r="B852" s="21">
        <f>VLOOKUP(A852,'Database Rates'!$A$1:$D$1000,2,FALSE)</f>
        <v/>
      </c>
    </row>
    <row r="853">
      <c r="A853" s="41" t="n">
        <v>43983</v>
      </c>
      <c r="B853" s="21">
        <f>VLOOKUP(A853,'Database Rates'!$A$1:$D$1000,2,FALSE)</f>
        <v/>
      </c>
    </row>
    <row r="854">
      <c r="A854" s="42" t="n">
        <v>44013</v>
      </c>
      <c r="B854" s="21">
        <f>VLOOKUP(A854,'Database Rates'!$A$1:$D$1000,2,FALSE)</f>
        <v/>
      </c>
    </row>
    <row r="855">
      <c r="A855" s="41" t="n">
        <v>44044</v>
      </c>
      <c r="B855" s="21">
        <f>VLOOKUP(A855,'Database Rates'!$A$1:$D$1000,2,FALSE)</f>
        <v/>
      </c>
    </row>
    <row r="856">
      <c r="A856" s="42" t="n">
        <v>44075</v>
      </c>
      <c r="B856" s="21">
        <f>VLOOKUP(A856,'Database Rates'!$A$1:$D$1000,2,FALSE)</f>
        <v/>
      </c>
    </row>
    <row r="857">
      <c r="A857" s="41" t="n">
        <v>44105</v>
      </c>
      <c r="B857" s="21">
        <f>VLOOKUP(A857,'Database Rates'!$A$1:$D$1000,2,FALSE)</f>
        <v/>
      </c>
    </row>
    <row r="858">
      <c r="A858" s="42" t="n">
        <v>44136</v>
      </c>
      <c r="B858" s="21">
        <f>VLOOKUP(A858,'Database Rates'!$A$1:$D$1000,2,FALSE)</f>
        <v/>
      </c>
    </row>
    <row r="859">
      <c r="A859" s="41" t="n">
        <v>44166</v>
      </c>
      <c r="B859" s="21">
        <f>VLOOKUP(A859,'Database Rates'!$A$1:$D$1000,2,FALSE)</f>
        <v/>
      </c>
    </row>
    <row r="860">
      <c r="A860" s="42" t="n">
        <v>44197</v>
      </c>
      <c r="B860" s="21">
        <f>VLOOKUP(A860,'Database Rates'!$A$1:$D$1000,2,FALSE)</f>
        <v/>
      </c>
    </row>
    <row r="861">
      <c r="A861" s="41" t="n">
        <v>44228</v>
      </c>
      <c r="B861" s="21">
        <f>VLOOKUP(A861,'Database Rates'!$A$1:$D$1000,2,FALSE)</f>
        <v/>
      </c>
    </row>
    <row r="862">
      <c r="A862" s="42" t="n">
        <v>44256</v>
      </c>
      <c r="B862" s="21">
        <f>VLOOKUP(A862,'Database Rates'!$A$1:$D$1000,2,FALSE)</f>
        <v/>
      </c>
    </row>
    <row r="863">
      <c r="A863" s="42" t="n">
        <v>44287</v>
      </c>
      <c r="B863" s="21">
        <f>VLOOKUP(A863,'Database Rates'!$A$1:$D$1000,2,FALSE)</f>
        <v/>
      </c>
    </row>
    <row r="864">
      <c r="A864" s="41" t="n">
        <v>44317</v>
      </c>
      <c r="B864" s="21">
        <f>VLOOKUP(A864,'Database Rates'!$A$1:$D$1000,2,FALSE)</f>
        <v/>
      </c>
    </row>
    <row r="865">
      <c r="A865" s="42" t="n">
        <v>44348</v>
      </c>
      <c r="B865" s="21">
        <f>VLOOKUP(A865,'Database Rates'!$A$1:$D$1000,2,FALSE)</f>
        <v/>
      </c>
    </row>
    <row r="866">
      <c r="A866" s="41" t="n">
        <v>44378</v>
      </c>
      <c r="B866" s="21">
        <f>VLOOKUP(A866,'Database Rates'!$A$1:$D$1000,2,FALSE)</f>
        <v/>
      </c>
    </row>
    <row r="867">
      <c r="A867" s="42" t="n">
        <v>44409</v>
      </c>
      <c r="B867" s="21">
        <f>VLOOKUP(A867,'Database Rates'!$A$1:$D$1000,2,FALSE)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24"/>
  <sheetViews>
    <sheetView zoomScale="170" zoomScaleNormal="170" workbookViewId="0">
      <pane ySplit="7" topLeftCell="A805" activePane="bottomLeft" state="frozen"/>
      <selection pane="bottomLeft" activeCell="A820" sqref="A820:B824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6" min="3" max="21"/>
    <col width="9.1640625" customWidth="1" style="56" min="22" max="16384"/>
  </cols>
  <sheetData>
    <row r="1">
      <c r="A1" s="2" t="inlineStr">
        <is>
          <t>https://fred.stlouisfed.org/series/FEDFUNDS</t>
        </is>
      </c>
      <c r="B1" s="3" t="n"/>
    </row>
    <row r="2">
      <c r="A2" s="53" t="inlineStr">
        <is>
          <t>https://www.newyorkfed.org/markets/reference-rates/effr</t>
        </is>
      </c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Rates'!$A$1:$D$1000,3,FALSE)</f>
        <v/>
      </c>
    </row>
    <row r="9">
      <c r="A9" s="41" t="n">
        <v>19937</v>
      </c>
      <c r="B9" s="21">
        <f>VLOOKUP(A9,'Database Rates'!$A$1:$D$1000,3,FALSE)</f>
        <v/>
      </c>
    </row>
    <row r="10">
      <c r="A10" s="41" t="n">
        <v>19968</v>
      </c>
      <c r="B10" s="21">
        <f>VLOOKUP(A10,'Database Rates'!$A$1:$D$1000,3,FALSE)</f>
        <v/>
      </c>
    </row>
    <row r="11">
      <c r="A11" s="41" t="n">
        <v>19998</v>
      </c>
      <c r="B11" s="21">
        <f>VLOOKUP(A11,'Database Rates'!$A$1:$D$1000,3,FALSE)</f>
        <v/>
      </c>
    </row>
    <row r="12">
      <c r="A12" s="41" t="n">
        <v>20029</v>
      </c>
      <c r="B12" s="21">
        <f>VLOOKUP(A12,'Database Rates'!$A$1:$D$1000,3,FALSE)</f>
        <v/>
      </c>
    </row>
    <row r="13">
      <c r="A13" s="41" t="n">
        <v>20059</v>
      </c>
      <c r="B13" s="21">
        <f>VLOOKUP(A13,'Database Rates'!$A$1:$D$1000,3,FALSE)</f>
        <v/>
      </c>
    </row>
    <row r="14">
      <c r="A14" s="41" t="n">
        <v>20090</v>
      </c>
      <c r="B14" s="21">
        <f>VLOOKUP(A14,'Database Rates'!$A$1:$D$1000,3,FALSE)</f>
        <v/>
      </c>
    </row>
    <row r="15">
      <c r="A15" s="41" t="n">
        <v>20121</v>
      </c>
      <c r="B15" s="21">
        <f>VLOOKUP(A15,'Database Rates'!$A$1:$D$1000,3,FALSE)</f>
        <v/>
      </c>
    </row>
    <row r="16">
      <c r="A16" s="41" t="n">
        <v>20149</v>
      </c>
      <c r="B16" s="21">
        <f>VLOOKUP(A16,'Database Rates'!$A$1:$D$1000,3,FALSE)</f>
        <v/>
      </c>
    </row>
    <row r="17">
      <c r="A17" s="41" t="n">
        <v>20180</v>
      </c>
      <c r="B17" s="21">
        <f>VLOOKUP(A17,'Database Rates'!$A$1:$D$1000,3,FALSE)</f>
        <v/>
      </c>
    </row>
    <row r="18">
      <c r="A18" s="41" t="n">
        <v>20210</v>
      </c>
      <c r="B18" s="21">
        <f>VLOOKUP(A18,'Database Rates'!$A$1:$D$1000,3,FALSE)</f>
        <v/>
      </c>
    </row>
    <row r="19">
      <c r="A19" s="41" t="n">
        <v>20241</v>
      </c>
      <c r="B19" s="21">
        <f>VLOOKUP(A19,'Database Rates'!$A$1:$D$1000,3,FALSE)</f>
        <v/>
      </c>
    </row>
    <row r="20">
      <c r="A20" s="41" t="n">
        <v>20271</v>
      </c>
      <c r="B20" s="21">
        <f>VLOOKUP(A20,'Database Rates'!$A$1:$D$1000,3,FALSE)</f>
        <v/>
      </c>
    </row>
    <row r="21">
      <c r="A21" s="41" t="n">
        <v>20302</v>
      </c>
      <c r="B21" s="21">
        <f>VLOOKUP(A21,'Database Rates'!$A$1:$D$1000,3,FALSE)</f>
        <v/>
      </c>
    </row>
    <row r="22">
      <c r="A22" s="41" t="n">
        <v>20333</v>
      </c>
      <c r="B22" s="21">
        <f>VLOOKUP(A22,'Database Rates'!$A$1:$D$1000,3,FALSE)</f>
        <v/>
      </c>
    </row>
    <row r="23">
      <c r="A23" s="41" t="n">
        <v>20363</v>
      </c>
      <c r="B23" s="21">
        <f>VLOOKUP(A23,'Database Rates'!$A$1:$D$1000,3,FALSE)</f>
        <v/>
      </c>
    </row>
    <row r="24">
      <c r="A24" s="41" t="n">
        <v>20394</v>
      </c>
      <c r="B24" s="21">
        <f>VLOOKUP(A24,'Database Rates'!$A$1:$D$1000,3,FALSE)</f>
        <v/>
      </c>
    </row>
    <row r="25">
      <c r="A25" s="41" t="n">
        <v>20424</v>
      </c>
      <c r="B25" s="21">
        <f>VLOOKUP(A25,'Database Rates'!$A$1:$D$1000,3,FALSE)</f>
        <v/>
      </c>
    </row>
    <row r="26">
      <c r="A26" s="41" t="n">
        <v>20455</v>
      </c>
      <c r="B26" s="21">
        <f>VLOOKUP(A26,'Database Rates'!$A$1:$D$1000,3,FALSE)</f>
        <v/>
      </c>
    </row>
    <row r="27">
      <c r="A27" s="41" t="n">
        <v>20486</v>
      </c>
      <c r="B27" s="21">
        <f>VLOOKUP(A27,'Database Rates'!$A$1:$D$1000,3,FALSE)</f>
        <v/>
      </c>
    </row>
    <row r="28">
      <c r="A28" s="41" t="n">
        <v>20515</v>
      </c>
      <c r="B28" s="21">
        <f>VLOOKUP(A28,'Database Rates'!$A$1:$D$1000,3,FALSE)</f>
        <v/>
      </c>
    </row>
    <row r="29">
      <c r="A29" s="41" t="n">
        <v>20546</v>
      </c>
      <c r="B29" s="21">
        <f>VLOOKUP(A29,'Database Rates'!$A$1:$D$1000,3,FALSE)</f>
        <v/>
      </c>
    </row>
    <row r="30">
      <c r="A30" s="41" t="n">
        <v>20576</v>
      </c>
      <c r="B30" s="21">
        <f>VLOOKUP(A30,'Database Rates'!$A$1:$D$1000,3,FALSE)</f>
        <v/>
      </c>
    </row>
    <row r="31">
      <c r="A31" s="41" t="n">
        <v>20607</v>
      </c>
      <c r="B31" s="21">
        <f>VLOOKUP(A31,'Database Rates'!$A$1:$D$1000,3,FALSE)</f>
        <v/>
      </c>
    </row>
    <row r="32">
      <c r="A32" s="41" t="n">
        <v>20637</v>
      </c>
      <c r="B32" s="21">
        <f>VLOOKUP(A32,'Database Rates'!$A$1:$D$1000,3,FALSE)</f>
        <v/>
      </c>
    </row>
    <row r="33">
      <c r="A33" s="41" t="n">
        <v>20668</v>
      </c>
      <c r="B33" s="21">
        <f>VLOOKUP(A33,'Database Rates'!$A$1:$D$1000,3,FALSE)</f>
        <v/>
      </c>
    </row>
    <row r="34">
      <c r="A34" s="41" t="n">
        <v>20699</v>
      </c>
      <c r="B34" s="21">
        <f>VLOOKUP(A34,'Database Rates'!$A$1:$D$1000,3,FALSE)</f>
        <v/>
      </c>
    </row>
    <row r="35">
      <c r="A35" s="41" t="n">
        <v>20729</v>
      </c>
      <c r="B35" s="21">
        <f>VLOOKUP(A35,'Database Rates'!$A$1:$D$1000,3,FALSE)</f>
        <v/>
      </c>
    </row>
    <row r="36">
      <c r="A36" s="41" t="n">
        <v>20760</v>
      </c>
      <c r="B36" s="21">
        <f>VLOOKUP(A36,'Database Rates'!$A$1:$D$1000,3,FALSE)</f>
        <v/>
      </c>
    </row>
    <row r="37">
      <c r="A37" s="41" t="n">
        <v>20790</v>
      </c>
      <c r="B37" s="21">
        <f>VLOOKUP(A37,'Database Rates'!$A$1:$D$1000,3,FALSE)</f>
        <v/>
      </c>
    </row>
    <row r="38">
      <c r="A38" s="41" t="n">
        <v>20821</v>
      </c>
      <c r="B38" s="21">
        <f>VLOOKUP(A38,'Database Rates'!$A$1:$D$1000,3,FALSE)</f>
        <v/>
      </c>
    </row>
    <row r="39">
      <c r="A39" s="41" t="n">
        <v>20852</v>
      </c>
      <c r="B39" s="21">
        <f>VLOOKUP(A39,'Database Rates'!$A$1:$D$1000,3,FALSE)</f>
        <v/>
      </c>
    </row>
    <row r="40">
      <c r="A40" s="41" t="n">
        <v>20880</v>
      </c>
      <c r="B40" s="21">
        <f>VLOOKUP(A40,'Database Rates'!$A$1:$D$1000,3,FALSE)</f>
        <v/>
      </c>
    </row>
    <row r="41">
      <c r="A41" s="41" t="n">
        <v>20911</v>
      </c>
      <c r="B41" s="21">
        <f>VLOOKUP(A41,'Database Rates'!$A$1:$D$1000,3,FALSE)</f>
        <v/>
      </c>
    </row>
    <row r="42">
      <c r="A42" s="41" t="n">
        <v>20941</v>
      </c>
      <c r="B42" s="21">
        <f>VLOOKUP(A42,'Database Rates'!$A$1:$D$1000,3,FALSE)</f>
        <v/>
      </c>
    </row>
    <row r="43">
      <c r="A43" s="41" t="n">
        <v>20972</v>
      </c>
      <c r="B43" s="21">
        <f>VLOOKUP(A43,'Database Rates'!$A$1:$D$1000,3,FALSE)</f>
        <v/>
      </c>
    </row>
    <row r="44">
      <c r="A44" s="41" t="n">
        <v>21002</v>
      </c>
      <c r="B44" s="21">
        <f>VLOOKUP(A44,'Database Rates'!$A$1:$D$1000,3,FALSE)</f>
        <v/>
      </c>
    </row>
    <row r="45">
      <c r="A45" s="41" t="n">
        <v>21033</v>
      </c>
      <c r="B45" s="21">
        <f>VLOOKUP(A45,'Database Rates'!$A$1:$D$1000,3,FALSE)</f>
        <v/>
      </c>
    </row>
    <row r="46">
      <c r="A46" s="41" t="n">
        <v>21064</v>
      </c>
      <c r="B46" s="21">
        <f>VLOOKUP(A46,'Database Rates'!$A$1:$D$1000,3,FALSE)</f>
        <v/>
      </c>
    </row>
    <row r="47">
      <c r="A47" s="41" t="n">
        <v>21094</v>
      </c>
      <c r="B47" s="21">
        <f>VLOOKUP(A47,'Database Rates'!$A$1:$D$1000,3,FALSE)</f>
        <v/>
      </c>
    </row>
    <row r="48">
      <c r="A48" s="41" t="n">
        <v>21125</v>
      </c>
      <c r="B48" s="21">
        <f>VLOOKUP(A48,'Database Rates'!$A$1:$D$1000,3,FALSE)</f>
        <v/>
      </c>
    </row>
    <row r="49">
      <c r="A49" s="41" t="n">
        <v>21155</v>
      </c>
      <c r="B49" s="21">
        <f>VLOOKUP(A49,'Database Rates'!$A$1:$D$1000,3,FALSE)</f>
        <v/>
      </c>
    </row>
    <row r="50">
      <c r="A50" s="41" t="n">
        <v>21186</v>
      </c>
      <c r="B50" s="21">
        <f>VLOOKUP(A50,'Database Rates'!$A$1:$D$1000,3,FALSE)</f>
        <v/>
      </c>
    </row>
    <row r="51">
      <c r="A51" s="41" t="n">
        <v>21217</v>
      </c>
      <c r="B51" s="21">
        <f>VLOOKUP(A51,'Database Rates'!$A$1:$D$1000,3,FALSE)</f>
        <v/>
      </c>
    </row>
    <row r="52">
      <c r="A52" s="41" t="n">
        <v>21245</v>
      </c>
      <c r="B52" s="21">
        <f>VLOOKUP(A52,'Database Rates'!$A$1:$D$1000,3,FALSE)</f>
        <v/>
      </c>
    </row>
    <row r="53">
      <c r="A53" s="41" t="n">
        <v>21276</v>
      </c>
      <c r="B53" s="21">
        <f>VLOOKUP(A53,'Database Rates'!$A$1:$D$1000,3,FALSE)</f>
        <v/>
      </c>
    </row>
    <row r="54">
      <c r="A54" s="41" t="n">
        <v>21306</v>
      </c>
      <c r="B54" s="21">
        <f>VLOOKUP(A54,'Database Rates'!$A$1:$D$1000,3,FALSE)</f>
        <v/>
      </c>
    </row>
    <row r="55">
      <c r="A55" s="41" t="n">
        <v>21337</v>
      </c>
      <c r="B55" s="21">
        <f>VLOOKUP(A55,'Database Rates'!$A$1:$D$1000,3,FALSE)</f>
        <v/>
      </c>
    </row>
    <row r="56">
      <c r="A56" s="41" t="n">
        <v>21367</v>
      </c>
      <c r="B56" s="21">
        <f>VLOOKUP(A56,'Database Rates'!$A$1:$D$1000,3,FALSE)</f>
        <v/>
      </c>
    </row>
    <row r="57">
      <c r="A57" s="41" t="n">
        <v>21398</v>
      </c>
      <c r="B57" s="21">
        <f>VLOOKUP(A57,'Database Rates'!$A$1:$D$1000,3,FALSE)</f>
        <v/>
      </c>
    </row>
    <row r="58">
      <c r="A58" s="41" t="n">
        <v>21429</v>
      </c>
      <c r="B58" s="21">
        <f>VLOOKUP(A58,'Database Rates'!$A$1:$D$1000,3,FALSE)</f>
        <v/>
      </c>
    </row>
    <row r="59">
      <c r="A59" s="41" t="n">
        <v>21459</v>
      </c>
      <c r="B59" s="21">
        <f>VLOOKUP(A59,'Database Rates'!$A$1:$D$1000,3,FALSE)</f>
        <v/>
      </c>
    </row>
    <row r="60">
      <c r="A60" s="41" t="n">
        <v>21490</v>
      </c>
      <c r="B60" s="21">
        <f>VLOOKUP(A60,'Database Rates'!$A$1:$D$1000,3,FALSE)</f>
        <v/>
      </c>
    </row>
    <row r="61">
      <c r="A61" s="41" t="n">
        <v>21520</v>
      </c>
      <c r="B61" s="21">
        <f>VLOOKUP(A61,'Database Rates'!$A$1:$D$1000,3,FALSE)</f>
        <v/>
      </c>
    </row>
    <row r="62">
      <c r="A62" s="41" t="n">
        <v>21551</v>
      </c>
      <c r="B62" s="21">
        <f>VLOOKUP(A62,'Database Rates'!$A$1:$D$1000,3,FALSE)</f>
        <v/>
      </c>
    </row>
    <row r="63">
      <c r="A63" s="41" t="n">
        <v>21582</v>
      </c>
      <c r="B63" s="21">
        <f>VLOOKUP(A63,'Database Rates'!$A$1:$D$1000,3,FALSE)</f>
        <v/>
      </c>
    </row>
    <row r="64">
      <c r="A64" s="41" t="n">
        <v>21610</v>
      </c>
      <c r="B64" s="21">
        <f>VLOOKUP(A64,'Database Rates'!$A$1:$D$1000,3,FALSE)</f>
        <v/>
      </c>
    </row>
    <row r="65">
      <c r="A65" s="41" t="n">
        <v>21641</v>
      </c>
      <c r="B65" s="21">
        <f>VLOOKUP(A65,'Database Rates'!$A$1:$D$1000,3,FALSE)</f>
        <v/>
      </c>
    </row>
    <row r="66">
      <c r="A66" s="41" t="n">
        <v>21671</v>
      </c>
      <c r="B66" s="21">
        <f>VLOOKUP(A66,'Database Rates'!$A$1:$D$1000,3,FALSE)</f>
        <v/>
      </c>
    </row>
    <row r="67">
      <c r="A67" s="41" t="n">
        <v>21702</v>
      </c>
      <c r="B67" s="21">
        <f>VLOOKUP(A67,'Database Rates'!$A$1:$D$1000,3,FALSE)</f>
        <v/>
      </c>
    </row>
    <row r="68">
      <c r="A68" s="41" t="n">
        <v>21732</v>
      </c>
      <c r="B68" s="21">
        <f>VLOOKUP(A68,'Database Rates'!$A$1:$D$1000,3,FALSE)</f>
        <v/>
      </c>
    </row>
    <row r="69">
      <c r="A69" s="41" t="n">
        <v>21763</v>
      </c>
      <c r="B69" s="21">
        <f>VLOOKUP(A69,'Database Rates'!$A$1:$D$1000,3,FALSE)</f>
        <v/>
      </c>
    </row>
    <row r="70">
      <c r="A70" s="41" t="n">
        <v>21794</v>
      </c>
      <c r="B70" s="21">
        <f>VLOOKUP(A70,'Database Rates'!$A$1:$D$1000,3,FALSE)</f>
        <v/>
      </c>
    </row>
    <row r="71">
      <c r="A71" s="41" t="n">
        <v>21824</v>
      </c>
      <c r="B71" s="21">
        <f>VLOOKUP(A71,'Database Rates'!$A$1:$D$1000,3,FALSE)</f>
        <v/>
      </c>
    </row>
    <row r="72">
      <c r="A72" s="41" t="n">
        <v>21855</v>
      </c>
      <c r="B72" s="21">
        <f>VLOOKUP(A72,'Database Rates'!$A$1:$D$1000,3,FALSE)</f>
        <v/>
      </c>
    </row>
    <row r="73">
      <c r="A73" s="41" t="n">
        <v>21885</v>
      </c>
      <c r="B73" s="21">
        <f>VLOOKUP(A73,'Database Rates'!$A$1:$D$1000,3,FALSE)</f>
        <v/>
      </c>
    </row>
    <row r="74">
      <c r="A74" s="41" t="n">
        <v>21916</v>
      </c>
      <c r="B74" s="21">
        <f>VLOOKUP(A74,'Database Rates'!$A$1:$D$1000,3,FALSE)</f>
        <v/>
      </c>
    </row>
    <row r="75">
      <c r="A75" s="41" t="n">
        <v>21947</v>
      </c>
      <c r="B75" s="21">
        <f>VLOOKUP(A75,'Database Rates'!$A$1:$D$1000,3,FALSE)</f>
        <v/>
      </c>
    </row>
    <row r="76">
      <c r="A76" s="41" t="n">
        <v>21976</v>
      </c>
      <c r="B76" s="21">
        <f>VLOOKUP(A76,'Database Rates'!$A$1:$D$1000,3,FALSE)</f>
        <v/>
      </c>
    </row>
    <row r="77">
      <c r="A77" s="41" t="n">
        <v>22007</v>
      </c>
      <c r="B77" s="21">
        <f>VLOOKUP(A77,'Database Rates'!$A$1:$D$1000,3,FALSE)</f>
        <v/>
      </c>
    </row>
    <row r="78">
      <c r="A78" s="41" t="n">
        <v>22037</v>
      </c>
      <c r="B78" s="21">
        <f>VLOOKUP(A78,'Database Rates'!$A$1:$D$1000,3,FALSE)</f>
        <v/>
      </c>
    </row>
    <row r="79">
      <c r="A79" s="41" t="n">
        <v>22068</v>
      </c>
      <c r="B79" s="21">
        <f>VLOOKUP(A79,'Database Rates'!$A$1:$D$1000,3,FALSE)</f>
        <v/>
      </c>
    </row>
    <row r="80">
      <c r="A80" s="41" t="n">
        <v>22098</v>
      </c>
      <c r="B80" s="21">
        <f>VLOOKUP(A80,'Database Rates'!$A$1:$D$1000,3,FALSE)</f>
        <v/>
      </c>
    </row>
    <row r="81">
      <c r="A81" s="41" t="n">
        <v>22129</v>
      </c>
      <c r="B81" s="21">
        <f>VLOOKUP(A81,'Database Rates'!$A$1:$D$1000,3,FALSE)</f>
        <v/>
      </c>
    </row>
    <row r="82">
      <c r="A82" s="41" t="n">
        <v>22160</v>
      </c>
      <c r="B82" s="21">
        <f>VLOOKUP(A82,'Database Rates'!$A$1:$D$1000,3,FALSE)</f>
        <v/>
      </c>
    </row>
    <row r="83">
      <c r="A83" s="41" t="n">
        <v>22190</v>
      </c>
      <c r="B83" s="21">
        <f>VLOOKUP(A83,'Database Rates'!$A$1:$D$1000,3,FALSE)</f>
        <v/>
      </c>
    </row>
    <row r="84">
      <c r="A84" s="41" t="n">
        <v>22221</v>
      </c>
      <c r="B84" s="21">
        <f>VLOOKUP(A84,'Database Rates'!$A$1:$D$1000,3,FALSE)</f>
        <v/>
      </c>
    </row>
    <row r="85">
      <c r="A85" s="41" t="n">
        <v>22251</v>
      </c>
      <c r="B85" s="21">
        <f>VLOOKUP(A85,'Database Rates'!$A$1:$D$1000,3,FALSE)</f>
        <v/>
      </c>
    </row>
    <row r="86">
      <c r="A86" s="41" t="n">
        <v>22282</v>
      </c>
      <c r="B86" s="21">
        <f>VLOOKUP(A86,'Database Rates'!$A$1:$D$1000,3,FALSE)</f>
        <v/>
      </c>
    </row>
    <row r="87">
      <c r="A87" s="41" t="n">
        <v>22313</v>
      </c>
      <c r="B87" s="21">
        <f>VLOOKUP(A87,'Database Rates'!$A$1:$D$1000,3,FALSE)</f>
        <v/>
      </c>
    </row>
    <row r="88">
      <c r="A88" s="41" t="n">
        <v>22341</v>
      </c>
      <c r="B88" s="21">
        <f>VLOOKUP(A88,'Database Rates'!$A$1:$D$1000,3,FALSE)</f>
        <v/>
      </c>
    </row>
    <row r="89">
      <c r="A89" s="41" t="n">
        <v>22372</v>
      </c>
      <c r="B89" s="21">
        <f>VLOOKUP(A89,'Database Rates'!$A$1:$D$1000,3,FALSE)</f>
        <v/>
      </c>
    </row>
    <row r="90">
      <c r="A90" s="41" t="n">
        <v>22402</v>
      </c>
      <c r="B90" s="21">
        <f>VLOOKUP(A90,'Database Rates'!$A$1:$D$1000,3,FALSE)</f>
        <v/>
      </c>
    </row>
    <row r="91">
      <c r="A91" s="41" t="n">
        <v>22433</v>
      </c>
      <c r="B91" s="21">
        <f>VLOOKUP(A91,'Database Rates'!$A$1:$D$1000,3,FALSE)</f>
        <v/>
      </c>
    </row>
    <row r="92">
      <c r="A92" s="41" t="n">
        <v>22463</v>
      </c>
      <c r="B92" s="21">
        <f>VLOOKUP(A92,'Database Rates'!$A$1:$D$1000,3,FALSE)</f>
        <v/>
      </c>
    </row>
    <row r="93">
      <c r="A93" s="41" t="n">
        <v>22494</v>
      </c>
      <c r="B93" s="21">
        <f>VLOOKUP(A93,'Database Rates'!$A$1:$D$1000,3,FALSE)</f>
        <v/>
      </c>
    </row>
    <row r="94">
      <c r="A94" s="41" t="n">
        <v>22525</v>
      </c>
      <c r="B94" s="21">
        <f>VLOOKUP(A94,'Database Rates'!$A$1:$D$1000,3,FALSE)</f>
        <v/>
      </c>
    </row>
    <row r="95">
      <c r="A95" s="41" t="n">
        <v>22555</v>
      </c>
      <c r="B95" s="21">
        <f>VLOOKUP(A95,'Database Rates'!$A$1:$D$1000,3,FALSE)</f>
        <v/>
      </c>
    </row>
    <row r="96">
      <c r="A96" s="41" t="n">
        <v>22586</v>
      </c>
      <c r="B96" s="21">
        <f>VLOOKUP(A96,'Database Rates'!$A$1:$D$1000,3,FALSE)</f>
        <v/>
      </c>
    </row>
    <row r="97">
      <c r="A97" s="41" t="n">
        <v>22616</v>
      </c>
      <c r="B97" s="21">
        <f>VLOOKUP(A97,'Database Rates'!$A$1:$D$1000,3,FALSE)</f>
        <v/>
      </c>
    </row>
    <row r="98">
      <c r="A98" s="41" t="n">
        <v>22647</v>
      </c>
      <c r="B98" s="21">
        <f>VLOOKUP(A98,'Database Rates'!$A$1:$D$1000,3,FALSE)</f>
        <v/>
      </c>
    </row>
    <row r="99">
      <c r="A99" s="41" t="n">
        <v>22678</v>
      </c>
      <c r="B99" s="21">
        <f>VLOOKUP(A99,'Database Rates'!$A$1:$D$1000,3,FALSE)</f>
        <v/>
      </c>
    </row>
    <row r="100">
      <c r="A100" s="41" t="n">
        <v>22706</v>
      </c>
      <c r="B100" s="21">
        <f>VLOOKUP(A100,'Database Rates'!$A$1:$D$1000,3,FALSE)</f>
        <v/>
      </c>
    </row>
    <row r="101">
      <c r="A101" s="41" t="n">
        <v>22737</v>
      </c>
      <c r="B101" s="21">
        <f>VLOOKUP(A101,'Database Rates'!$A$1:$D$1000,3,FALSE)</f>
        <v/>
      </c>
    </row>
    <row r="102">
      <c r="A102" s="41" t="n">
        <v>22767</v>
      </c>
      <c r="B102" s="21">
        <f>VLOOKUP(A102,'Database Rates'!$A$1:$D$1000,3,FALSE)</f>
        <v/>
      </c>
    </row>
    <row r="103">
      <c r="A103" s="41" t="n">
        <v>22798</v>
      </c>
      <c r="B103" s="21">
        <f>VLOOKUP(A103,'Database Rates'!$A$1:$D$1000,3,FALSE)</f>
        <v/>
      </c>
    </row>
    <row r="104">
      <c r="A104" s="41" t="n">
        <v>22828</v>
      </c>
      <c r="B104" s="21">
        <f>VLOOKUP(A104,'Database Rates'!$A$1:$D$1000,3,FALSE)</f>
        <v/>
      </c>
    </row>
    <row r="105">
      <c r="A105" s="41" t="n">
        <v>22859</v>
      </c>
      <c r="B105" s="21">
        <f>VLOOKUP(A105,'Database Rates'!$A$1:$D$1000,3,FALSE)</f>
        <v/>
      </c>
    </row>
    <row r="106">
      <c r="A106" s="41" t="n">
        <v>22890</v>
      </c>
      <c r="B106" s="21">
        <f>VLOOKUP(A106,'Database Rates'!$A$1:$D$1000,3,FALSE)</f>
        <v/>
      </c>
    </row>
    <row r="107">
      <c r="A107" s="41" t="n">
        <v>22920</v>
      </c>
      <c r="B107" s="21">
        <f>VLOOKUP(A107,'Database Rates'!$A$1:$D$1000,3,FALSE)</f>
        <v/>
      </c>
    </row>
    <row r="108">
      <c r="A108" s="41" t="n">
        <v>22951</v>
      </c>
      <c r="B108" s="21">
        <f>VLOOKUP(A108,'Database Rates'!$A$1:$D$1000,3,FALSE)</f>
        <v/>
      </c>
    </row>
    <row r="109">
      <c r="A109" s="41" t="n">
        <v>22981</v>
      </c>
      <c r="B109" s="21">
        <f>VLOOKUP(A109,'Database Rates'!$A$1:$D$1000,3,FALSE)</f>
        <v/>
      </c>
    </row>
    <row r="110">
      <c r="A110" s="41" t="n">
        <v>23012</v>
      </c>
      <c r="B110" s="21">
        <f>VLOOKUP(A110,'Database Rates'!$A$1:$D$1000,3,FALSE)</f>
        <v/>
      </c>
    </row>
    <row r="111">
      <c r="A111" s="41" t="n">
        <v>23043</v>
      </c>
      <c r="B111" s="21">
        <f>VLOOKUP(A111,'Database Rates'!$A$1:$D$1000,3,FALSE)</f>
        <v/>
      </c>
    </row>
    <row r="112">
      <c r="A112" s="41" t="n">
        <v>23071</v>
      </c>
      <c r="B112" s="21">
        <f>VLOOKUP(A112,'Database Rates'!$A$1:$D$1000,3,FALSE)</f>
        <v/>
      </c>
    </row>
    <row r="113">
      <c r="A113" s="41" t="n">
        <v>23102</v>
      </c>
      <c r="B113" s="21">
        <f>VLOOKUP(A113,'Database Rates'!$A$1:$D$1000,3,FALSE)</f>
        <v/>
      </c>
    </row>
    <row r="114">
      <c r="A114" s="41" t="n">
        <v>23132</v>
      </c>
      <c r="B114" s="21">
        <f>VLOOKUP(A114,'Database Rates'!$A$1:$D$1000,3,FALSE)</f>
        <v/>
      </c>
    </row>
    <row r="115">
      <c r="A115" s="41" t="n">
        <v>23163</v>
      </c>
      <c r="B115" s="21">
        <f>VLOOKUP(A115,'Database Rates'!$A$1:$D$1000,3,FALSE)</f>
        <v/>
      </c>
    </row>
    <row r="116">
      <c r="A116" s="41" t="n">
        <v>23193</v>
      </c>
      <c r="B116" s="21">
        <f>VLOOKUP(A116,'Database Rates'!$A$1:$D$1000,3,FALSE)</f>
        <v/>
      </c>
    </row>
    <row r="117">
      <c r="A117" s="41" t="n">
        <v>23224</v>
      </c>
      <c r="B117" s="21">
        <f>VLOOKUP(A117,'Database Rates'!$A$1:$D$1000,3,FALSE)</f>
        <v/>
      </c>
    </row>
    <row r="118">
      <c r="A118" s="41" t="n">
        <v>23255</v>
      </c>
      <c r="B118" s="21">
        <f>VLOOKUP(A118,'Database Rates'!$A$1:$D$1000,3,FALSE)</f>
        <v/>
      </c>
    </row>
    <row r="119">
      <c r="A119" s="41" t="n">
        <v>23285</v>
      </c>
      <c r="B119" s="21">
        <f>VLOOKUP(A119,'Database Rates'!$A$1:$D$1000,3,FALSE)</f>
        <v/>
      </c>
    </row>
    <row r="120">
      <c r="A120" s="41" t="n">
        <v>23316</v>
      </c>
      <c r="B120" s="21">
        <f>VLOOKUP(A120,'Database Rates'!$A$1:$D$1000,3,FALSE)</f>
        <v/>
      </c>
    </row>
    <row r="121">
      <c r="A121" s="41" t="n">
        <v>23346</v>
      </c>
      <c r="B121" s="21">
        <f>VLOOKUP(A121,'Database Rates'!$A$1:$D$1000,3,FALSE)</f>
        <v/>
      </c>
    </row>
    <row r="122">
      <c r="A122" s="41" t="n">
        <v>23377</v>
      </c>
      <c r="B122" s="21">
        <f>VLOOKUP(A122,'Database Rates'!$A$1:$D$1000,3,FALSE)</f>
        <v/>
      </c>
    </row>
    <row r="123">
      <c r="A123" s="41" t="n">
        <v>23408</v>
      </c>
      <c r="B123" s="21">
        <f>VLOOKUP(A123,'Database Rates'!$A$1:$D$1000,3,FALSE)</f>
        <v/>
      </c>
    </row>
    <row r="124">
      <c r="A124" s="41" t="n">
        <v>23437</v>
      </c>
      <c r="B124" s="21">
        <f>VLOOKUP(A124,'Database Rates'!$A$1:$D$1000,3,FALSE)</f>
        <v/>
      </c>
    </row>
    <row r="125">
      <c r="A125" s="41" t="n">
        <v>23468</v>
      </c>
      <c r="B125" s="21">
        <f>VLOOKUP(A125,'Database Rates'!$A$1:$D$1000,3,FALSE)</f>
        <v/>
      </c>
    </row>
    <row r="126">
      <c r="A126" s="41" t="n">
        <v>23498</v>
      </c>
      <c r="B126" s="21">
        <f>VLOOKUP(A126,'Database Rates'!$A$1:$D$1000,3,FALSE)</f>
        <v/>
      </c>
    </row>
    <row r="127">
      <c r="A127" s="41" t="n">
        <v>23529</v>
      </c>
      <c r="B127" s="21">
        <f>VLOOKUP(A127,'Database Rates'!$A$1:$D$1000,3,FALSE)</f>
        <v/>
      </c>
    </row>
    <row r="128">
      <c r="A128" s="41" t="n">
        <v>23559</v>
      </c>
      <c r="B128" s="21">
        <f>VLOOKUP(A128,'Database Rates'!$A$1:$D$1000,3,FALSE)</f>
        <v/>
      </c>
    </row>
    <row r="129">
      <c r="A129" s="41" t="n">
        <v>23590</v>
      </c>
      <c r="B129" s="21">
        <f>VLOOKUP(A129,'Database Rates'!$A$1:$D$1000,3,FALSE)</f>
        <v/>
      </c>
    </row>
    <row r="130">
      <c r="A130" s="41" t="n">
        <v>23621</v>
      </c>
      <c r="B130" s="21">
        <f>VLOOKUP(A130,'Database Rates'!$A$1:$D$1000,3,FALSE)</f>
        <v/>
      </c>
    </row>
    <row r="131">
      <c r="A131" s="41" t="n">
        <v>23651</v>
      </c>
      <c r="B131" s="21">
        <f>VLOOKUP(A131,'Database Rates'!$A$1:$D$1000,3,FALSE)</f>
        <v/>
      </c>
    </row>
    <row r="132">
      <c r="A132" s="41" t="n">
        <v>23682</v>
      </c>
      <c r="B132" s="21">
        <f>VLOOKUP(A132,'Database Rates'!$A$1:$D$1000,3,FALSE)</f>
        <v/>
      </c>
    </row>
    <row r="133">
      <c r="A133" s="41" t="n">
        <v>23712</v>
      </c>
      <c r="B133" s="21">
        <f>VLOOKUP(A133,'Database Rates'!$A$1:$D$1000,3,FALSE)</f>
        <v/>
      </c>
    </row>
    <row r="134">
      <c r="A134" s="41" t="n">
        <v>23743</v>
      </c>
      <c r="B134" s="21">
        <f>VLOOKUP(A134,'Database Rates'!$A$1:$D$1000,3,FALSE)</f>
        <v/>
      </c>
    </row>
    <row r="135">
      <c r="A135" s="41" t="n">
        <v>23774</v>
      </c>
      <c r="B135" s="21">
        <f>VLOOKUP(A135,'Database Rates'!$A$1:$D$1000,3,FALSE)</f>
        <v/>
      </c>
    </row>
    <row r="136">
      <c r="A136" s="41" t="n">
        <v>23802</v>
      </c>
      <c r="B136" s="21">
        <f>VLOOKUP(A136,'Database Rates'!$A$1:$D$1000,3,FALSE)</f>
        <v/>
      </c>
    </row>
    <row r="137">
      <c r="A137" s="41" t="n">
        <v>23833</v>
      </c>
      <c r="B137" s="21">
        <f>VLOOKUP(A137,'Database Rates'!$A$1:$D$1000,3,FALSE)</f>
        <v/>
      </c>
    </row>
    <row r="138">
      <c r="A138" s="41" t="n">
        <v>23863</v>
      </c>
      <c r="B138" s="21">
        <f>VLOOKUP(A138,'Database Rates'!$A$1:$D$1000,3,FALSE)</f>
        <v/>
      </c>
    </row>
    <row r="139">
      <c r="A139" s="41" t="n">
        <v>23894</v>
      </c>
      <c r="B139" s="21">
        <f>VLOOKUP(A139,'Database Rates'!$A$1:$D$1000,3,FALSE)</f>
        <v/>
      </c>
    </row>
    <row r="140">
      <c r="A140" s="41" t="n">
        <v>23924</v>
      </c>
      <c r="B140" s="21">
        <f>VLOOKUP(A140,'Database Rates'!$A$1:$D$1000,3,FALSE)</f>
        <v/>
      </c>
    </row>
    <row r="141">
      <c r="A141" s="41" t="n">
        <v>23955</v>
      </c>
      <c r="B141" s="21">
        <f>VLOOKUP(A141,'Database Rates'!$A$1:$D$1000,3,FALSE)</f>
        <v/>
      </c>
    </row>
    <row r="142">
      <c r="A142" s="41" t="n">
        <v>23986</v>
      </c>
      <c r="B142" s="21">
        <f>VLOOKUP(A142,'Database Rates'!$A$1:$D$1000,3,FALSE)</f>
        <v/>
      </c>
    </row>
    <row r="143">
      <c r="A143" s="41" t="n">
        <v>24016</v>
      </c>
      <c r="B143" s="21">
        <f>VLOOKUP(A143,'Database Rates'!$A$1:$D$1000,3,FALSE)</f>
        <v/>
      </c>
    </row>
    <row r="144">
      <c r="A144" s="41" t="n">
        <v>24047</v>
      </c>
      <c r="B144" s="21">
        <f>VLOOKUP(A144,'Database Rates'!$A$1:$D$1000,3,FALSE)</f>
        <v/>
      </c>
    </row>
    <row r="145">
      <c r="A145" s="41" t="n">
        <v>24077</v>
      </c>
      <c r="B145" s="21">
        <f>VLOOKUP(A145,'Database Rates'!$A$1:$D$1000,3,FALSE)</f>
        <v/>
      </c>
    </row>
    <row r="146">
      <c r="A146" s="41" t="n">
        <v>24108</v>
      </c>
      <c r="B146" s="21">
        <f>VLOOKUP(A146,'Database Rates'!$A$1:$D$1000,3,FALSE)</f>
        <v/>
      </c>
    </row>
    <row r="147">
      <c r="A147" s="41" t="n">
        <v>24139</v>
      </c>
      <c r="B147" s="21">
        <f>VLOOKUP(A147,'Database Rates'!$A$1:$D$1000,3,FALSE)</f>
        <v/>
      </c>
    </row>
    <row r="148">
      <c r="A148" s="41" t="n">
        <v>24167</v>
      </c>
      <c r="B148" s="21">
        <f>VLOOKUP(A148,'Database Rates'!$A$1:$D$1000,3,FALSE)</f>
        <v/>
      </c>
    </row>
    <row r="149">
      <c r="A149" s="41" t="n">
        <v>24198</v>
      </c>
      <c r="B149" s="21">
        <f>VLOOKUP(A149,'Database Rates'!$A$1:$D$1000,3,FALSE)</f>
        <v/>
      </c>
    </row>
    <row r="150">
      <c r="A150" s="41" t="n">
        <v>24228</v>
      </c>
      <c r="B150" s="21">
        <f>VLOOKUP(A150,'Database Rates'!$A$1:$D$1000,3,FALSE)</f>
        <v/>
      </c>
    </row>
    <row r="151">
      <c r="A151" s="41" t="n">
        <v>24259</v>
      </c>
      <c r="B151" s="21">
        <f>VLOOKUP(A151,'Database Rates'!$A$1:$D$1000,3,FALSE)</f>
        <v/>
      </c>
    </row>
    <row r="152">
      <c r="A152" s="41" t="n">
        <v>24289</v>
      </c>
      <c r="B152" s="21">
        <f>VLOOKUP(A152,'Database Rates'!$A$1:$D$1000,3,FALSE)</f>
        <v/>
      </c>
    </row>
    <row r="153">
      <c r="A153" s="41" t="n">
        <v>24320</v>
      </c>
      <c r="B153" s="21">
        <f>VLOOKUP(A153,'Database Rates'!$A$1:$D$1000,3,FALSE)</f>
        <v/>
      </c>
    </row>
    <row r="154">
      <c r="A154" s="41" t="n">
        <v>24351</v>
      </c>
      <c r="B154" s="21">
        <f>VLOOKUP(A154,'Database Rates'!$A$1:$D$1000,3,FALSE)</f>
        <v/>
      </c>
    </row>
    <row r="155">
      <c r="A155" s="41" t="n">
        <v>24381</v>
      </c>
      <c r="B155" s="21">
        <f>VLOOKUP(A155,'Database Rates'!$A$1:$D$1000,3,FALSE)</f>
        <v/>
      </c>
    </row>
    <row r="156">
      <c r="A156" s="41" t="n">
        <v>24412</v>
      </c>
      <c r="B156" s="21">
        <f>VLOOKUP(A156,'Database Rates'!$A$1:$D$1000,3,FALSE)</f>
        <v/>
      </c>
    </row>
    <row r="157">
      <c r="A157" s="41" t="n">
        <v>24442</v>
      </c>
      <c r="B157" s="21">
        <f>VLOOKUP(A157,'Database Rates'!$A$1:$D$1000,3,FALSE)</f>
        <v/>
      </c>
    </row>
    <row r="158">
      <c r="A158" s="41" t="n">
        <v>24473</v>
      </c>
      <c r="B158" s="21">
        <f>VLOOKUP(A158,'Database Rates'!$A$1:$D$1000,3,FALSE)</f>
        <v/>
      </c>
    </row>
    <row r="159">
      <c r="A159" s="41" t="n">
        <v>24504</v>
      </c>
      <c r="B159" s="21">
        <f>VLOOKUP(A159,'Database Rates'!$A$1:$D$1000,3,FALSE)</f>
        <v/>
      </c>
    </row>
    <row r="160">
      <c r="A160" s="41" t="n">
        <v>24532</v>
      </c>
      <c r="B160" s="21">
        <f>VLOOKUP(A160,'Database Rates'!$A$1:$D$1000,3,FALSE)</f>
        <v/>
      </c>
    </row>
    <row r="161">
      <c r="A161" s="41" t="n">
        <v>24563</v>
      </c>
      <c r="B161" s="21">
        <f>VLOOKUP(A161,'Database Rates'!$A$1:$D$1000,3,FALSE)</f>
        <v/>
      </c>
    </row>
    <row r="162">
      <c r="A162" s="41" t="n">
        <v>24593</v>
      </c>
      <c r="B162" s="21">
        <f>VLOOKUP(A162,'Database Rates'!$A$1:$D$1000,3,FALSE)</f>
        <v/>
      </c>
    </row>
    <row r="163">
      <c r="A163" s="41" t="n">
        <v>24624</v>
      </c>
      <c r="B163" s="21">
        <f>VLOOKUP(A163,'Database Rates'!$A$1:$D$1000,3,FALSE)</f>
        <v/>
      </c>
    </row>
    <row r="164">
      <c r="A164" s="41" t="n">
        <v>24654</v>
      </c>
      <c r="B164" s="21">
        <f>VLOOKUP(A164,'Database Rates'!$A$1:$D$1000,3,FALSE)</f>
        <v/>
      </c>
    </row>
    <row r="165">
      <c r="A165" s="41" t="n">
        <v>24685</v>
      </c>
      <c r="B165" s="21">
        <f>VLOOKUP(A165,'Database Rates'!$A$1:$D$1000,3,FALSE)</f>
        <v/>
      </c>
    </row>
    <row r="166">
      <c r="A166" s="41" t="n">
        <v>24716</v>
      </c>
      <c r="B166" s="21">
        <f>VLOOKUP(A166,'Database Rates'!$A$1:$D$1000,3,FALSE)</f>
        <v/>
      </c>
    </row>
    <row r="167">
      <c r="A167" s="41" t="n">
        <v>24746</v>
      </c>
      <c r="B167" s="21">
        <f>VLOOKUP(A167,'Database Rates'!$A$1:$D$1000,3,FALSE)</f>
        <v/>
      </c>
    </row>
    <row r="168">
      <c r="A168" s="41" t="n">
        <v>24777</v>
      </c>
      <c r="B168" s="21">
        <f>VLOOKUP(A168,'Database Rates'!$A$1:$D$1000,3,FALSE)</f>
        <v/>
      </c>
    </row>
    <row r="169">
      <c r="A169" s="41" t="n">
        <v>24807</v>
      </c>
      <c r="B169" s="21">
        <f>VLOOKUP(A169,'Database Rates'!$A$1:$D$1000,3,FALSE)</f>
        <v/>
      </c>
    </row>
    <row r="170">
      <c r="A170" s="41" t="n">
        <v>24838</v>
      </c>
      <c r="B170" s="21">
        <f>VLOOKUP(A170,'Database Rates'!$A$1:$D$1000,3,FALSE)</f>
        <v/>
      </c>
    </row>
    <row r="171">
      <c r="A171" s="41" t="n">
        <v>24869</v>
      </c>
      <c r="B171" s="21">
        <f>VLOOKUP(A171,'Database Rates'!$A$1:$D$1000,3,FALSE)</f>
        <v/>
      </c>
    </row>
    <row r="172">
      <c r="A172" s="41" t="n">
        <v>24898</v>
      </c>
      <c r="B172" s="21">
        <f>VLOOKUP(A172,'Database Rates'!$A$1:$D$1000,3,FALSE)</f>
        <v/>
      </c>
    </row>
    <row r="173">
      <c r="A173" s="41" t="n">
        <v>24929</v>
      </c>
      <c r="B173" s="21">
        <f>VLOOKUP(A173,'Database Rates'!$A$1:$D$1000,3,FALSE)</f>
        <v/>
      </c>
    </row>
    <row r="174">
      <c r="A174" s="41" t="n">
        <v>24959</v>
      </c>
      <c r="B174" s="21">
        <f>VLOOKUP(A174,'Database Rates'!$A$1:$D$1000,3,FALSE)</f>
        <v/>
      </c>
    </row>
    <row r="175">
      <c r="A175" s="41" t="n">
        <v>24990</v>
      </c>
      <c r="B175" s="21">
        <f>VLOOKUP(A175,'Database Rates'!$A$1:$D$1000,3,FALSE)</f>
        <v/>
      </c>
    </row>
    <row r="176">
      <c r="A176" s="41" t="n">
        <v>25020</v>
      </c>
      <c r="B176" s="21">
        <f>VLOOKUP(A176,'Database Rates'!$A$1:$D$1000,3,FALSE)</f>
        <v/>
      </c>
    </row>
    <row r="177">
      <c r="A177" s="41" t="n">
        <v>25051</v>
      </c>
      <c r="B177" s="21">
        <f>VLOOKUP(A177,'Database Rates'!$A$1:$D$1000,3,FALSE)</f>
        <v/>
      </c>
    </row>
    <row r="178">
      <c r="A178" s="41" t="n">
        <v>25082</v>
      </c>
      <c r="B178" s="21">
        <f>VLOOKUP(A178,'Database Rates'!$A$1:$D$1000,3,FALSE)</f>
        <v/>
      </c>
    </row>
    <row r="179">
      <c r="A179" s="41" t="n">
        <v>25112</v>
      </c>
      <c r="B179" s="21">
        <f>VLOOKUP(A179,'Database Rates'!$A$1:$D$1000,3,FALSE)</f>
        <v/>
      </c>
    </row>
    <row r="180">
      <c r="A180" s="41" t="n">
        <v>25143</v>
      </c>
      <c r="B180" s="21">
        <f>VLOOKUP(A180,'Database Rates'!$A$1:$D$1000,3,FALSE)</f>
        <v/>
      </c>
    </row>
    <row r="181">
      <c r="A181" s="41" t="n">
        <v>25173</v>
      </c>
      <c r="B181" s="21">
        <f>VLOOKUP(A181,'Database Rates'!$A$1:$D$1000,3,FALSE)</f>
        <v/>
      </c>
    </row>
    <row r="182">
      <c r="A182" s="41" t="n">
        <v>25204</v>
      </c>
      <c r="B182" s="21">
        <f>VLOOKUP(A182,'Database Rates'!$A$1:$D$1000,3,FALSE)</f>
        <v/>
      </c>
    </row>
    <row r="183">
      <c r="A183" s="41" t="n">
        <v>25235</v>
      </c>
      <c r="B183" s="21">
        <f>VLOOKUP(A183,'Database Rates'!$A$1:$D$1000,3,FALSE)</f>
        <v/>
      </c>
    </row>
    <row r="184">
      <c r="A184" s="41" t="n">
        <v>25263</v>
      </c>
      <c r="B184" s="21">
        <f>VLOOKUP(A184,'Database Rates'!$A$1:$D$1000,3,FALSE)</f>
        <v/>
      </c>
    </row>
    <row r="185">
      <c r="A185" s="41" t="n">
        <v>25294</v>
      </c>
      <c r="B185" s="21">
        <f>VLOOKUP(A185,'Database Rates'!$A$1:$D$1000,3,FALSE)</f>
        <v/>
      </c>
    </row>
    <row r="186">
      <c r="A186" s="41" t="n">
        <v>25324</v>
      </c>
      <c r="B186" s="21">
        <f>VLOOKUP(A186,'Database Rates'!$A$1:$D$1000,3,FALSE)</f>
        <v/>
      </c>
    </row>
    <row r="187">
      <c r="A187" s="41" t="n">
        <v>25355</v>
      </c>
      <c r="B187" s="21">
        <f>VLOOKUP(A187,'Database Rates'!$A$1:$D$1000,3,FALSE)</f>
        <v/>
      </c>
    </row>
    <row r="188">
      <c r="A188" s="41" t="n">
        <v>25385</v>
      </c>
      <c r="B188" s="21">
        <f>VLOOKUP(A188,'Database Rates'!$A$1:$D$1000,3,FALSE)</f>
        <v/>
      </c>
    </row>
    <row r="189">
      <c r="A189" s="41" t="n">
        <v>25416</v>
      </c>
      <c r="B189" s="21">
        <f>VLOOKUP(A189,'Database Rates'!$A$1:$D$1000,3,FALSE)</f>
        <v/>
      </c>
    </row>
    <row r="190">
      <c r="A190" s="41" t="n">
        <v>25447</v>
      </c>
      <c r="B190" s="21">
        <f>VLOOKUP(A190,'Database Rates'!$A$1:$D$1000,3,FALSE)</f>
        <v/>
      </c>
    </row>
    <row r="191">
      <c r="A191" s="41" t="n">
        <v>25477</v>
      </c>
      <c r="B191" s="21">
        <f>VLOOKUP(A191,'Database Rates'!$A$1:$D$1000,3,FALSE)</f>
        <v/>
      </c>
    </row>
    <row r="192">
      <c r="A192" s="41" t="n">
        <v>25508</v>
      </c>
      <c r="B192" s="21">
        <f>VLOOKUP(A192,'Database Rates'!$A$1:$D$1000,3,FALSE)</f>
        <v/>
      </c>
    </row>
    <row r="193">
      <c r="A193" s="41" t="n">
        <v>25538</v>
      </c>
      <c r="B193" s="21">
        <f>VLOOKUP(A193,'Database Rates'!$A$1:$D$1000,3,FALSE)</f>
        <v/>
      </c>
    </row>
    <row r="194">
      <c r="A194" s="41" t="n">
        <v>25569</v>
      </c>
      <c r="B194" s="21">
        <f>VLOOKUP(A194,'Database Rates'!$A$1:$D$1000,3,FALSE)</f>
        <v/>
      </c>
    </row>
    <row r="195">
      <c r="A195" s="41" t="n">
        <v>25600</v>
      </c>
      <c r="B195" s="21">
        <f>VLOOKUP(A195,'Database Rates'!$A$1:$D$1000,3,FALSE)</f>
        <v/>
      </c>
    </row>
    <row r="196">
      <c r="A196" s="41" t="n">
        <v>25628</v>
      </c>
      <c r="B196" s="21">
        <f>VLOOKUP(A196,'Database Rates'!$A$1:$D$1000,3,FALSE)</f>
        <v/>
      </c>
    </row>
    <row r="197">
      <c r="A197" s="41" t="n">
        <v>25659</v>
      </c>
      <c r="B197" s="21">
        <f>VLOOKUP(A197,'Database Rates'!$A$1:$D$1000,3,FALSE)</f>
        <v/>
      </c>
    </row>
    <row r="198">
      <c r="A198" s="41" t="n">
        <v>25689</v>
      </c>
      <c r="B198" s="21">
        <f>VLOOKUP(A198,'Database Rates'!$A$1:$D$1000,3,FALSE)</f>
        <v/>
      </c>
    </row>
    <row r="199">
      <c r="A199" s="41" t="n">
        <v>25720</v>
      </c>
      <c r="B199" s="21">
        <f>VLOOKUP(A199,'Database Rates'!$A$1:$D$1000,3,FALSE)</f>
        <v/>
      </c>
    </row>
    <row r="200">
      <c r="A200" s="41" t="n">
        <v>25750</v>
      </c>
      <c r="B200" s="21">
        <f>VLOOKUP(A200,'Database Rates'!$A$1:$D$1000,3,FALSE)</f>
        <v/>
      </c>
    </row>
    <row r="201">
      <c r="A201" s="41" t="n">
        <v>25781</v>
      </c>
      <c r="B201" s="21">
        <f>VLOOKUP(A201,'Database Rates'!$A$1:$D$1000,3,FALSE)</f>
        <v/>
      </c>
    </row>
    <row r="202">
      <c r="A202" s="41" t="n">
        <v>25812</v>
      </c>
      <c r="B202" s="21">
        <f>VLOOKUP(A202,'Database Rates'!$A$1:$D$1000,3,FALSE)</f>
        <v/>
      </c>
    </row>
    <row r="203">
      <c r="A203" s="41" t="n">
        <v>25842</v>
      </c>
      <c r="B203" s="21">
        <f>VLOOKUP(A203,'Database Rates'!$A$1:$D$1000,3,FALSE)</f>
        <v/>
      </c>
    </row>
    <row r="204">
      <c r="A204" s="41" t="n">
        <v>25873</v>
      </c>
      <c r="B204" s="21">
        <f>VLOOKUP(A204,'Database Rates'!$A$1:$D$1000,3,FALSE)</f>
        <v/>
      </c>
    </row>
    <row r="205">
      <c r="A205" s="41" t="n">
        <v>25903</v>
      </c>
      <c r="B205" s="21">
        <f>VLOOKUP(A205,'Database Rates'!$A$1:$D$1000,3,FALSE)</f>
        <v/>
      </c>
    </row>
    <row r="206">
      <c r="A206" s="41" t="n">
        <v>25934</v>
      </c>
      <c r="B206" s="21">
        <f>VLOOKUP(A206,'Database Rates'!$A$1:$D$1000,3,FALSE)</f>
        <v/>
      </c>
    </row>
    <row r="207">
      <c r="A207" s="41" t="n">
        <v>25965</v>
      </c>
      <c r="B207" s="21">
        <f>VLOOKUP(A207,'Database Rates'!$A$1:$D$1000,3,FALSE)</f>
        <v/>
      </c>
    </row>
    <row r="208">
      <c r="A208" s="41" t="n">
        <v>25993</v>
      </c>
      <c r="B208" s="21">
        <f>VLOOKUP(A208,'Database Rates'!$A$1:$D$1000,3,FALSE)</f>
        <v/>
      </c>
    </row>
    <row r="209">
      <c r="A209" s="41" t="n">
        <v>26024</v>
      </c>
      <c r="B209" s="21">
        <f>VLOOKUP(A209,'Database Rates'!$A$1:$D$1000,3,FALSE)</f>
        <v/>
      </c>
    </row>
    <row r="210">
      <c r="A210" s="41" t="n">
        <v>26054</v>
      </c>
      <c r="B210" s="21">
        <f>VLOOKUP(A210,'Database Rates'!$A$1:$D$1000,3,FALSE)</f>
        <v/>
      </c>
    </row>
    <row r="211">
      <c r="A211" s="41" t="n">
        <v>26085</v>
      </c>
      <c r="B211" s="21">
        <f>VLOOKUP(A211,'Database Rates'!$A$1:$D$1000,3,FALSE)</f>
        <v/>
      </c>
    </row>
    <row r="212">
      <c r="A212" s="41" t="n">
        <v>26115</v>
      </c>
      <c r="B212" s="21">
        <f>VLOOKUP(A212,'Database Rates'!$A$1:$D$1000,3,FALSE)</f>
        <v/>
      </c>
    </row>
    <row r="213">
      <c r="A213" s="41" t="n">
        <v>26146</v>
      </c>
      <c r="B213" s="21">
        <f>VLOOKUP(A213,'Database Rates'!$A$1:$D$1000,3,FALSE)</f>
        <v/>
      </c>
    </row>
    <row r="214">
      <c r="A214" s="41" t="n">
        <v>26177</v>
      </c>
      <c r="B214" s="21">
        <f>VLOOKUP(A214,'Database Rates'!$A$1:$D$1000,3,FALSE)</f>
        <v/>
      </c>
    </row>
    <row r="215">
      <c r="A215" s="41" t="n">
        <v>26207</v>
      </c>
      <c r="B215" s="21">
        <f>VLOOKUP(A215,'Database Rates'!$A$1:$D$1000,3,FALSE)</f>
        <v/>
      </c>
    </row>
    <row r="216">
      <c r="A216" s="41" t="n">
        <v>26238</v>
      </c>
      <c r="B216" s="21">
        <f>VLOOKUP(A216,'Database Rates'!$A$1:$D$1000,3,FALSE)</f>
        <v/>
      </c>
    </row>
    <row r="217">
      <c r="A217" s="41" t="n">
        <v>26268</v>
      </c>
      <c r="B217" s="21">
        <f>VLOOKUP(A217,'Database Rates'!$A$1:$D$1000,3,FALSE)</f>
        <v/>
      </c>
    </row>
    <row r="218">
      <c r="A218" s="41" t="n">
        <v>26299</v>
      </c>
      <c r="B218" s="21">
        <f>VLOOKUP(A218,'Database Rates'!$A$1:$D$1000,3,FALSE)</f>
        <v/>
      </c>
    </row>
    <row r="219">
      <c r="A219" s="41" t="n">
        <v>26330</v>
      </c>
      <c r="B219" s="21">
        <f>VLOOKUP(A219,'Database Rates'!$A$1:$D$1000,3,FALSE)</f>
        <v/>
      </c>
    </row>
    <row r="220">
      <c r="A220" s="41" t="n">
        <v>26359</v>
      </c>
      <c r="B220" s="21">
        <f>VLOOKUP(A220,'Database Rates'!$A$1:$D$1000,3,FALSE)</f>
        <v/>
      </c>
    </row>
    <row r="221">
      <c r="A221" s="41" t="n">
        <v>26390</v>
      </c>
      <c r="B221" s="21">
        <f>VLOOKUP(A221,'Database Rates'!$A$1:$D$1000,3,FALSE)</f>
        <v/>
      </c>
    </row>
    <row r="222">
      <c r="A222" s="41" t="n">
        <v>26420</v>
      </c>
      <c r="B222" s="21">
        <f>VLOOKUP(A222,'Database Rates'!$A$1:$D$1000,3,FALSE)</f>
        <v/>
      </c>
    </row>
    <row r="223">
      <c r="A223" s="41" t="n">
        <v>26451</v>
      </c>
      <c r="B223" s="21">
        <f>VLOOKUP(A223,'Database Rates'!$A$1:$D$1000,3,FALSE)</f>
        <v/>
      </c>
    </row>
    <row r="224">
      <c r="A224" s="41" t="n">
        <v>26481</v>
      </c>
      <c r="B224" s="21">
        <f>VLOOKUP(A224,'Database Rates'!$A$1:$D$1000,3,FALSE)</f>
        <v/>
      </c>
    </row>
    <row r="225">
      <c r="A225" s="41" t="n">
        <v>26512</v>
      </c>
      <c r="B225" s="21">
        <f>VLOOKUP(A225,'Database Rates'!$A$1:$D$1000,3,FALSE)</f>
        <v/>
      </c>
    </row>
    <row r="226">
      <c r="A226" s="41" t="n">
        <v>26543</v>
      </c>
      <c r="B226" s="21">
        <f>VLOOKUP(A226,'Database Rates'!$A$1:$D$1000,3,FALSE)</f>
        <v/>
      </c>
    </row>
    <row r="227">
      <c r="A227" s="41" t="n">
        <v>26573</v>
      </c>
      <c r="B227" s="21">
        <f>VLOOKUP(A227,'Database Rates'!$A$1:$D$1000,3,FALSE)</f>
        <v/>
      </c>
    </row>
    <row r="228">
      <c r="A228" s="41" t="n">
        <v>26604</v>
      </c>
      <c r="B228" s="21">
        <f>VLOOKUP(A228,'Database Rates'!$A$1:$D$1000,3,FALSE)</f>
        <v/>
      </c>
    </row>
    <row r="229">
      <c r="A229" s="41" t="n">
        <v>26634</v>
      </c>
      <c r="B229" s="21">
        <f>VLOOKUP(A229,'Database Rates'!$A$1:$D$1000,3,FALSE)</f>
        <v/>
      </c>
    </row>
    <row r="230">
      <c r="A230" s="41" t="n">
        <v>26665</v>
      </c>
      <c r="B230" s="21">
        <f>VLOOKUP(A230,'Database Rates'!$A$1:$D$1000,3,FALSE)</f>
        <v/>
      </c>
    </row>
    <row r="231">
      <c r="A231" s="41" t="n">
        <v>26696</v>
      </c>
      <c r="B231" s="21">
        <f>VLOOKUP(A231,'Database Rates'!$A$1:$D$1000,3,FALSE)</f>
        <v/>
      </c>
    </row>
    <row r="232">
      <c r="A232" s="41" t="n">
        <v>26724</v>
      </c>
      <c r="B232" s="21">
        <f>VLOOKUP(A232,'Database Rates'!$A$1:$D$1000,3,FALSE)</f>
        <v/>
      </c>
    </row>
    <row r="233">
      <c r="A233" s="41" t="n">
        <v>26755</v>
      </c>
      <c r="B233" s="21">
        <f>VLOOKUP(A233,'Database Rates'!$A$1:$D$1000,3,FALSE)</f>
        <v/>
      </c>
    </row>
    <row r="234">
      <c r="A234" s="41" t="n">
        <v>26785</v>
      </c>
      <c r="B234" s="21">
        <f>VLOOKUP(A234,'Database Rates'!$A$1:$D$1000,3,FALSE)</f>
        <v/>
      </c>
    </row>
    <row r="235">
      <c r="A235" s="41" t="n">
        <v>26816</v>
      </c>
      <c r="B235" s="21">
        <f>VLOOKUP(A235,'Database Rates'!$A$1:$D$1000,3,FALSE)</f>
        <v/>
      </c>
    </row>
    <row r="236">
      <c r="A236" s="41" t="n">
        <v>26846</v>
      </c>
      <c r="B236" s="21">
        <f>VLOOKUP(A236,'Database Rates'!$A$1:$D$1000,3,FALSE)</f>
        <v/>
      </c>
    </row>
    <row r="237">
      <c r="A237" s="41" t="n">
        <v>26877</v>
      </c>
      <c r="B237" s="21">
        <f>VLOOKUP(A237,'Database Rates'!$A$1:$D$1000,3,FALSE)</f>
        <v/>
      </c>
    </row>
    <row r="238">
      <c r="A238" s="41" t="n">
        <v>26908</v>
      </c>
      <c r="B238" s="21">
        <f>VLOOKUP(A238,'Database Rates'!$A$1:$D$1000,3,FALSE)</f>
        <v/>
      </c>
    </row>
    <row r="239">
      <c r="A239" s="41" t="n">
        <v>26938</v>
      </c>
      <c r="B239" s="21">
        <f>VLOOKUP(A239,'Database Rates'!$A$1:$D$1000,3,FALSE)</f>
        <v/>
      </c>
    </row>
    <row r="240">
      <c r="A240" s="41" t="n">
        <v>26969</v>
      </c>
      <c r="B240" s="21">
        <f>VLOOKUP(A240,'Database Rates'!$A$1:$D$1000,3,FALSE)</f>
        <v/>
      </c>
    </row>
    <row r="241">
      <c r="A241" s="41" t="n">
        <v>26999</v>
      </c>
      <c r="B241" s="21">
        <f>VLOOKUP(A241,'Database Rates'!$A$1:$D$1000,3,FALSE)</f>
        <v/>
      </c>
    </row>
    <row r="242">
      <c r="A242" s="41" t="n">
        <v>27030</v>
      </c>
      <c r="B242" s="21">
        <f>VLOOKUP(A242,'Database Rates'!$A$1:$D$1000,3,FALSE)</f>
        <v/>
      </c>
    </row>
    <row r="243">
      <c r="A243" s="41" t="n">
        <v>27061</v>
      </c>
      <c r="B243" s="21">
        <f>VLOOKUP(A243,'Database Rates'!$A$1:$D$1000,3,FALSE)</f>
        <v/>
      </c>
    </row>
    <row r="244">
      <c r="A244" s="41" t="n">
        <v>27089</v>
      </c>
      <c r="B244" s="21">
        <f>VLOOKUP(A244,'Database Rates'!$A$1:$D$1000,3,FALSE)</f>
        <v/>
      </c>
    </row>
    <row r="245">
      <c r="A245" s="41" t="n">
        <v>27120</v>
      </c>
      <c r="B245" s="21">
        <f>VLOOKUP(A245,'Database Rates'!$A$1:$D$1000,3,FALSE)</f>
        <v/>
      </c>
    </row>
    <row r="246">
      <c r="A246" s="41" t="n">
        <v>27150</v>
      </c>
      <c r="B246" s="21">
        <f>VLOOKUP(A246,'Database Rates'!$A$1:$D$1000,3,FALSE)</f>
        <v/>
      </c>
    </row>
    <row r="247">
      <c r="A247" s="41" t="n">
        <v>27181</v>
      </c>
      <c r="B247" s="21">
        <f>VLOOKUP(A247,'Database Rates'!$A$1:$D$1000,3,FALSE)</f>
        <v/>
      </c>
    </row>
    <row r="248">
      <c r="A248" s="41" t="n">
        <v>27211</v>
      </c>
      <c r="B248" s="21">
        <f>VLOOKUP(A248,'Database Rates'!$A$1:$D$1000,3,FALSE)</f>
        <v/>
      </c>
    </row>
    <row r="249">
      <c r="A249" s="41" t="n">
        <v>27242</v>
      </c>
      <c r="B249" s="21">
        <f>VLOOKUP(A249,'Database Rates'!$A$1:$D$1000,3,FALSE)</f>
        <v/>
      </c>
    </row>
    <row r="250">
      <c r="A250" s="41" t="n">
        <v>27273</v>
      </c>
      <c r="B250" s="21">
        <f>VLOOKUP(A250,'Database Rates'!$A$1:$D$1000,3,FALSE)</f>
        <v/>
      </c>
    </row>
    <row r="251">
      <c r="A251" s="41" t="n">
        <v>27303</v>
      </c>
      <c r="B251" s="21">
        <f>VLOOKUP(A251,'Database Rates'!$A$1:$D$1000,3,FALSE)</f>
        <v/>
      </c>
    </row>
    <row r="252">
      <c r="A252" s="41" t="n">
        <v>27334</v>
      </c>
      <c r="B252" s="21">
        <f>VLOOKUP(A252,'Database Rates'!$A$1:$D$1000,3,FALSE)</f>
        <v/>
      </c>
    </row>
    <row r="253">
      <c r="A253" s="41" t="n">
        <v>27364</v>
      </c>
      <c r="B253" s="21">
        <f>VLOOKUP(A253,'Database Rates'!$A$1:$D$1000,3,FALSE)</f>
        <v/>
      </c>
    </row>
    <row r="254">
      <c r="A254" s="41" t="n">
        <v>27395</v>
      </c>
      <c r="B254" s="21">
        <f>VLOOKUP(A254,'Database Rates'!$A$1:$D$1000,3,FALSE)</f>
        <v/>
      </c>
    </row>
    <row r="255">
      <c r="A255" s="41" t="n">
        <v>27426</v>
      </c>
      <c r="B255" s="21">
        <f>VLOOKUP(A255,'Database Rates'!$A$1:$D$1000,3,FALSE)</f>
        <v/>
      </c>
    </row>
    <row r="256">
      <c r="A256" s="41" t="n">
        <v>27454</v>
      </c>
      <c r="B256" s="21">
        <f>VLOOKUP(A256,'Database Rates'!$A$1:$D$1000,3,FALSE)</f>
        <v/>
      </c>
    </row>
    <row r="257">
      <c r="A257" s="41" t="n">
        <v>27485</v>
      </c>
      <c r="B257" s="21">
        <f>VLOOKUP(A257,'Database Rates'!$A$1:$D$1000,3,FALSE)</f>
        <v/>
      </c>
    </row>
    <row r="258">
      <c r="A258" s="41" t="n">
        <v>27515</v>
      </c>
      <c r="B258" s="21">
        <f>VLOOKUP(A258,'Database Rates'!$A$1:$D$1000,3,FALSE)</f>
        <v/>
      </c>
    </row>
    <row r="259">
      <c r="A259" s="41" t="n">
        <v>27546</v>
      </c>
      <c r="B259" s="21">
        <f>VLOOKUP(A259,'Database Rates'!$A$1:$D$1000,3,FALSE)</f>
        <v/>
      </c>
    </row>
    <row r="260">
      <c r="A260" s="41" t="n">
        <v>27576</v>
      </c>
      <c r="B260" s="21">
        <f>VLOOKUP(A260,'Database Rates'!$A$1:$D$1000,3,FALSE)</f>
        <v/>
      </c>
    </row>
    <row r="261">
      <c r="A261" s="41" t="n">
        <v>27607</v>
      </c>
      <c r="B261" s="21">
        <f>VLOOKUP(A261,'Database Rates'!$A$1:$D$1000,3,FALSE)</f>
        <v/>
      </c>
    </row>
    <row r="262">
      <c r="A262" s="41" t="n">
        <v>27638</v>
      </c>
      <c r="B262" s="21">
        <f>VLOOKUP(A262,'Database Rates'!$A$1:$D$1000,3,FALSE)</f>
        <v/>
      </c>
    </row>
    <row r="263">
      <c r="A263" s="41" t="n">
        <v>27668</v>
      </c>
      <c r="B263" s="21">
        <f>VLOOKUP(A263,'Database Rates'!$A$1:$D$1000,3,FALSE)</f>
        <v/>
      </c>
    </row>
    <row r="264">
      <c r="A264" s="41" t="n">
        <v>27699</v>
      </c>
      <c r="B264" s="21">
        <f>VLOOKUP(A264,'Database Rates'!$A$1:$D$1000,3,FALSE)</f>
        <v/>
      </c>
    </row>
    <row r="265">
      <c r="A265" s="41" t="n">
        <v>27729</v>
      </c>
      <c r="B265" s="21">
        <f>VLOOKUP(A265,'Database Rates'!$A$1:$D$1000,3,FALSE)</f>
        <v/>
      </c>
    </row>
    <row r="266">
      <c r="A266" s="41" t="n">
        <v>27760</v>
      </c>
      <c r="B266" s="21">
        <f>VLOOKUP(A266,'Database Rates'!$A$1:$D$1000,3,FALSE)</f>
        <v/>
      </c>
    </row>
    <row r="267">
      <c r="A267" s="41" t="n">
        <v>27791</v>
      </c>
      <c r="B267" s="21">
        <f>VLOOKUP(A267,'Database Rates'!$A$1:$D$1000,3,FALSE)</f>
        <v/>
      </c>
    </row>
    <row r="268">
      <c r="A268" s="41" t="n">
        <v>27820</v>
      </c>
      <c r="B268" s="21">
        <f>VLOOKUP(A268,'Database Rates'!$A$1:$D$1000,3,FALSE)</f>
        <v/>
      </c>
    </row>
    <row r="269">
      <c r="A269" s="41" t="n">
        <v>27851</v>
      </c>
      <c r="B269" s="21">
        <f>VLOOKUP(A269,'Database Rates'!$A$1:$D$1000,3,FALSE)</f>
        <v/>
      </c>
    </row>
    <row r="270">
      <c r="A270" s="41" t="n">
        <v>27881</v>
      </c>
      <c r="B270" s="21">
        <f>VLOOKUP(A270,'Database Rates'!$A$1:$D$1000,3,FALSE)</f>
        <v/>
      </c>
    </row>
    <row r="271">
      <c r="A271" s="41" t="n">
        <v>27912</v>
      </c>
      <c r="B271" s="21">
        <f>VLOOKUP(A271,'Database Rates'!$A$1:$D$1000,3,FALSE)</f>
        <v/>
      </c>
    </row>
    <row r="272">
      <c r="A272" s="41" t="n">
        <v>27942</v>
      </c>
      <c r="B272" s="21">
        <f>VLOOKUP(A272,'Database Rates'!$A$1:$D$1000,3,FALSE)</f>
        <v/>
      </c>
    </row>
    <row r="273">
      <c r="A273" s="41" t="n">
        <v>27973</v>
      </c>
      <c r="B273" s="21">
        <f>VLOOKUP(A273,'Database Rates'!$A$1:$D$1000,3,FALSE)</f>
        <v/>
      </c>
    </row>
    <row r="274">
      <c r="A274" s="41" t="n">
        <v>28004</v>
      </c>
      <c r="B274" s="21">
        <f>VLOOKUP(A274,'Database Rates'!$A$1:$D$1000,3,FALSE)</f>
        <v/>
      </c>
    </row>
    <row r="275">
      <c r="A275" s="41" t="n">
        <v>28034</v>
      </c>
      <c r="B275" s="21">
        <f>VLOOKUP(A275,'Database Rates'!$A$1:$D$1000,3,FALSE)</f>
        <v/>
      </c>
    </row>
    <row r="276">
      <c r="A276" s="41" t="n">
        <v>28065</v>
      </c>
      <c r="B276" s="21">
        <f>VLOOKUP(A276,'Database Rates'!$A$1:$D$1000,3,FALSE)</f>
        <v/>
      </c>
    </row>
    <row r="277">
      <c r="A277" s="41" t="n">
        <v>28095</v>
      </c>
      <c r="B277" s="21">
        <f>VLOOKUP(A277,'Database Rates'!$A$1:$D$1000,3,FALSE)</f>
        <v/>
      </c>
    </row>
    <row r="278">
      <c r="A278" s="41" t="n">
        <v>28126</v>
      </c>
      <c r="B278" s="21">
        <f>VLOOKUP(A278,'Database Rates'!$A$1:$D$1000,3,FALSE)</f>
        <v/>
      </c>
    </row>
    <row r="279">
      <c r="A279" s="41" t="n">
        <v>28157</v>
      </c>
      <c r="B279" s="21">
        <f>VLOOKUP(A279,'Database Rates'!$A$1:$D$1000,3,FALSE)</f>
        <v/>
      </c>
    </row>
    <row r="280">
      <c r="A280" s="41" t="n">
        <v>28185</v>
      </c>
      <c r="B280" s="21">
        <f>VLOOKUP(A280,'Database Rates'!$A$1:$D$1000,3,FALSE)</f>
        <v/>
      </c>
    </row>
    <row r="281">
      <c r="A281" s="41" t="n">
        <v>28216</v>
      </c>
      <c r="B281" s="21">
        <f>VLOOKUP(A281,'Database Rates'!$A$1:$D$1000,3,FALSE)</f>
        <v/>
      </c>
    </row>
    <row r="282">
      <c r="A282" s="41" t="n">
        <v>28246</v>
      </c>
      <c r="B282" s="21">
        <f>VLOOKUP(A282,'Database Rates'!$A$1:$D$1000,3,FALSE)</f>
        <v/>
      </c>
    </row>
    <row r="283">
      <c r="A283" s="41" t="n">
        <v>28277</v>
      </c>
      <c r="B283" s="21">
        <f>VLOOKUP(A283,'Database Rates'!$A$1:$D$1000,3,FALSE)</f>
        <v/>
      </c>
    </row>
    <row r="284">
      <c r="A284" s="41" t="n">
        <v>28307</v>
      </c>
      <c r="B284" s="21">
        <f>VLOOKUP(A284,'Database Rates'!$A$1:$D$1000,3,FALSE)</f>
        <v/>
      </c>
    </row>
    <row r="285">
      <c r="A285" s="41" t="n">
        <v>28338</v>
      </c>
      <c r="B285" s="21">
        <f>VLOOKUP(A285,'Database Rates'!$A$1:$D$1000,3,FALSE)</f>
        <v/>
      </c>
    </row>
    <row r="286">
      <c r="A286" s="41" t="n">
        <v>28369</v>
      </c>
      <c r="B286" s="21">
        <f>VLOOKUP(A286,'Database Rates'!$A$1:$D$1000,3,FALSE)</f>
        <v/>
      </c>
    </row>
    <row r="287">
      <c r="A287" s="41" t="n">
        <v>28399</v>
      </c>
      <c r="B287" s="21">
        <f>VLOOKUP(A287,'Database Rates'!$A$1:$D$1000,3,FALSE)</f>
        <v/>
      </c>
    </row>
    <row r="288">
      <c r="A288" s="41" t="n">
        <v>28430</v>
      </c>
      <c r="B288" s="21">
        <f>VLOOKUP(A288,'Database Rates'!$A$1:$D$1000,3,FALSE)</f>
        <v/>
      </c>
    </row>
    <row r="289">
      <c r="A289" s="41" t="n">
        <v>28460</v>
      </c>
      <c r="B289" s="21">
        <f>VLOOKUP(A289,'Database Rates'!$A$1:$D$1000,3,FALSE)</f>
        <v/>
      </c>
    </row>
    <row r="290">
      <c r="A290" s="41" t="n">
        <v>28491</v>
      </c>
      <c r="B290" s="21">
        <f>VLOOKUP(A290,'Database Rates'!$A$1:$D$1000,3,FALSE)</f>
        <v/>
      </c>
    </row>
    <row r="291">
      <c r="A291" s="41" t="n">
        <v>28522</v>
      </c>
      <c r="B291" s="21">
        <f>VLOOKUP(A291,'Database Rates'!$A$1:$D$1000,3,FALSE)</f>
        <v/>
      </c>
    </row>
    <row r="292">
      <c r="A292" s="41" t="n">
        <v>28550</v>
      </c>
      <c r="B292" s="21">
        <f>VLOOKUP(A292,'Database Rates'!$A$1:$D$1000,3,FALSE)</f>
        <v/>
      </c>
    </row>
    <row r="293">
      <c r="A293" s="41" t="n">
        <v>28581</v>
      </c>
      <c r="B293" s="21">
        <f>VLOOKUP(A293,'Database Rates'!$A$1:$D$1000,3,FALSE)</f>
        <v/>
      </c>
    </row>
    <row r="294">
      <c r="A294" s="41" t="n">
        <v>28611</v>
      </c>
      <c r="B294" s="21">
        <f>VLOOKUP(A294,'Database Rates'!$A$1:$D$1000,3,FALSE)</f>
        <v/>
      </c>
    </row>
    <row r="295">
      <c r="A295" s="41" t="n">
        <v>28642</v>
      </c>
      <c r="B295" s="21">
        <f>VLOOKUP(A295,'Database Rates'!$A$1:$D$1000,3,FALSE)</f>
        <v/>
      </c>
    </row>
    <row r="296">
      <c r="A296" s="41" t="n">
        <v>28672</v>
      </c>
      <c r="B296" s="21">
        <f>VLOOKUP(A296,'Database Rates'!$A$1:$D$1000,3,FALSE)</f>
        <v/>
      </c>
    </row>
    <row r="297">
      <c r="A297" s="41" t="n">
        <v>28703</v>
      </c>
      <c r="B297" s="21">
        <f>VLOOKUP(A297,'Database Rates'!$A$1:$D$1000,3,FALSE)</f>
        <v/>
      </c>
    </row>
    <row r="298">
      <c r="A298" s="41" t="n">
        <v>28734</v>
      </c>
      <c r="B298" s="21">
        <f>VLOOKUP(A298,'Database Rates'!$A$1:$D$1000,3,FALSE)</f>
        <v/>
      </c>
    </row>
    <row r="299">
      <c r="A299" s="41" t="n">
        <v>28764</v>
      </c>
      <c r="B299" s="21">
        <f>VLOOKUP(A299,'Database Rates'!$A$1:$D$1000,3,FALSE)</f>
        <v/>
      </c>
    </row>
    <row r="300">
      <c r="A300" s="41" t="n">
        <v>28795</v>
      </c>
      <c r="B300" s="21">
        <f>VLOOKUP(A300,'Database Rates'!$A$1:$D$1000,3,FALSE)</f>
        <v/>
      </c>
    </row>
    <row r="301">
      <c r="A301" s="41" t="n">
        <v>28825</v>
      </c>
      <c r="B301" s="21">
        <f>VLOOKUP(A301,'Database Rates'!$A$1:$D$1000,3,FALSE)</f>
        <v/>
      </c>
    </row>
    <row r="302">
      <c r="A302" s="41" t="n">
        <v>28856</v>
      </c>
      <c r="B302" s="21">
        <f>VLOOKUP(A302,'Database Rates'!$A$1:$D$1000,3,FALSE)</f>
        <v/>
      </c>
    </row>
    <row r="303">
      <c r="A303" s="41" t="n">
        <v>28887</v>
      </c>
      <c r="B303" s="21">
        <f>VLOOKUP(A303,'Database Rates'!$A$1:$D$1000,3,FALSE)</f>
        <v/>
      </c>
    </row>
    <row r="304">
      <c r="A304" s="41" t="n">
        <v>28915</v>
      </c>
      <c r="B304" s="21">
        <f>VLOOKUP(A304,'Database Rates'!$A$1:$D$1000,3,FALSE)</f>
        <v/>
      </c>
    </row>
    <row r="305">
      <c r="A305" s="41" t="n">
        <v>28946</v>
      </c>
      <c r="B305" s="21">
        <f>VLOOKUP(A305,'Database Rates'!$A$1:$D$1000,3,FALSE)</f>
        <v/>
      </c>
    </row>
    <row r="306">
      <c r="A306" s="41" t="n">
        <v>28976</v>
      </c>
      <c r="B306" s="21">
        <f>VLOOKUP(A306,'Database Rates'!$A$1:$D$1000,3,FALSE)</f>
        <v/>
      </c>
    </row>
    <row r="307">
      <c r="A307" s="41" t="n">
        <v>29007</v>
      </c>
      <c r="B307" s="21">
        <f>VLOOKUP(A307,'Database Rates'!$A$1:$D$1000,3,FALSE)</f>
        <v/>
      </c>
    </row>
    <row r="308">
      <c r="A308" s="41" t="n">
        <v>29037</v>
      </c>
      <c r="B308" s="21">
        <f>VLOOKUP(A308,'Database Rates'!$A$1:$D$1000,3,FALSE)</f>
        <v/>
      </c>
    </row>
    <row r="309">
      <c r="A309" s="41" t="n">
        <v>29068</v>
      </c>
      <c r="B309" s="21">
        <f>VLOOKUP(A309,'Database Rates'!$A$1:$D$1000,3,FALSE)</f>
        <v/>
      </c>
    </row>
    <row r="310">
      <c r="A310" s="41" t="n">
        <v>29099</v>
      </c>
      <c r="B310" s="21">
        <f>VLOOKUP(A310,'Database Rates'!$A$1:$D$1000,3,FALSE)</f>
        <v/>
      </c>
    </row>
    <row r="311">
      <c r="A311" s="41" t="n">
        <v>29129</v>
      </c>
      <c r="B311" s="21">
        <f>VLOOKUP(A311,'Database Rates'!$A$1:$D$1000,3,FALSE)</f>
        <v/>
      </c>
    </row>
    <row r="312">
      <c r="A312" s="41" t="n">
        <v>29160</v>
      </c>
      <c r="B312" s="21">
        <f>VLOOKUP(A312,'Database Rates'!$A$1:$D$1000,3,FALSE)</f>
        <v/>
      </c>
    </row>
    <row r="313">
      <c r="A313" s="41" t="n">
        <v>29190</v>
      </c>
      <c r="B313" s="21">
        <f>VLOOKUP(A313,'Database Rates'!$A$1:$D$1000,3,FALSE)</f>
        <v/>
      </c>
    </row>
    <row r="314">
      <c r="A314" s="41" t="n">
        <v>29221</v>
      </c>
      <c r="B314" s="21">
        <f>VLOOKUP(A314,'Database Rates'!$A$1:$D$1000,3,FALSE)</f>
        <v/>
      </c>
    </row>
    <row r="315">
      <c r="A315" s="41" t="n">
        <v>29252</v>
      </c>
      <c r="B315" s="21">
        <f>VLOOKUP(A315,'Database Rates'!$A$1:$D$1000,3,FALSE)</f>
        <v/>
      </c>
    </row>
    <row r="316">
      <c r="A316" s="41" t="n">
        <v>29281</v>
      </c>
      <c r="B316" s="21">
        <f>VLOOKUP(A316,'Database Rates'!$A$1:$D$1000,3,FALSE)</f>
        <v/>
      </c>
    </row>
    <row r="317">
      <c r="A317" s="41" t="n">
        <v>29312</v>
      </c>
      <c r="B317" s="21">
        <f>VLOOKUP(A317,'Database Rates'!$A$1:$D$1000,3,FALSE)</f>
        <v/>
      </c>
    </row>
    <row r="318">
      <c r="A318" s="41" t="n">
        <v>29342</v>
      </c>
      <c r="B318" s="21">
        <f>VLOOKUP(A318,'Database Rates'!$A$1:$D$1000,3,FALSE)</f>
        <v/>
      </c>
    </row>
    <row r="319">
      <c r="A319" s="41" t="n">
        <v>29373</v>
      </c>
      <c r="B319" s="21">
        <f>VLOOKUP(A319,'Database Rates'!$A$1:$D$1000,3,FALSE)</f>
        <v/>
      </c>
    </row>
    <row r="320">
      <c r="A320" s="41" t="n">
        <v>29403</v>
      </c>
      <c r="B320" s="21">
        <f>VLOOKUP(A320,'Database Rates'!$A$1:$D$1000,3,FALSE)</f>
        <v/>
      </c>
    </row>
    <row r="321">
      <c r="A321" s="41" t="n">
        <v>29434</v>
      </c>
      <c r="B321" s="21">
        <f>VLOOKUP(A321,'Database Rates'!$A$1:$D$1000,3,FALSE)</f>
        <v/>
      </c>
    </row>
    <row r="322">
      <c r="A322" s="41" t="n">
        <v>29465</v>
      </c>
      <c r="B322" s="21">
        <f>VLOOKUP(A322,'Database Rates'!$A$1:$D$1000,3,FALSE)</f>
        <v/>
      </c>
    </row>
    <row r="323">
      <c r="A323" s="41" t="n">
        <v>29495</v>
      </c>
      <c r="B323" s="21">
        <f>VLOOKUP(A323,'Database Rates'!$A$1:$D$1000,3,FALSE)</f>
        <v/>
      </c>
    </row>
    <row r="324">
      <c r="A324" s="41" t="n">
        <v>29526</v>
      </c>
      <c r="B324" s="21">
        <f>VLOOKUP(A324,'Database Rates'!$A$1:$D$1000,3,FALSE)</f>
        <v/>
      </c>
    </row>
    <row r="325">
      <c r="A325" s="41" t="n">
        <v>29556</v>
      </c>
      <c r="B325" s="21">
        <f>VLOOKUP(A325,'Database Rates'!$A$1:$D$1000,3,FALSE)</f>
        <v/>
      </c>
    </row>
    <row r="326">
      <c r="A326" s="41" t="n">
        <v>29587</v>
      </c>
      <c r="B326" s="21">
        <f>VLOOKUP(A326,'Database Rates'!$A$1:$D$1000,3,FALSE)</f>
        <v/>
      </c>
    </row>
    <row r="327">
      <c r="A327" s="41" t="n">
        <v>29618</v>
      </c>
      <c r="B327" s="21">
        <f>VLOOKUP(A327,'Database Rates'!$A$1:$D$1000,3,FALSE)</f>
        <v/>
      </c>
    </row>
    <row r="328">
      <c r="A328" s="41" t="n">
        <v>29646</v>
      </c>
      <c r="B328" s="21">
        <f>VLOOKUP(A328,'Database Rates'!$A$1:$D$1000,3,FALSE)</f>
        <v/>
      </c>
    </row>
    <row r="329">
      <c r="A329" s="41" t="n">
        <v>29677</v>
      </c>
      <c r="B329" s="21">
        <f>VLOOKUP(A329,'Database Rates'!$A$1:$D$1000,3,FALSE)</f>
        <v/>
      </c>
    </row>
    <row r="330">
      <c r="A330" s="41" t="n">
        <v>29707</v>
      </c>
      <c r="B330" s="21">
        <f>VLOOKUP(A330,'Database Rates'!$A$1:$D$1000,3,FALSE)</f>
        <v/>
      </c>
    </row>
    <row r="331">
      <c r="A331" s="41" t="n">
        <v>29738</v>
      </c>
      <c r="B331" s="21">
        <f>VLOOKUP(A331,'Database Rates'!$A$1:$D$1000,3,FALSE)</f>
        <v/>
      </c>
    </row>
    <row r="332">
      <c r="A332" s="41" t="n">
        <v>29768</v>
      </c>
      <c r="B332" s="21">
        <f>VLOOKUP(A332,'Database Rates'!$A$1:$D$1000,3,FALSE)</f>
        <v/>
      </c>
    </row>
    <row r="333">
      <c r="A333" s="41" t="n">
        <v>29799</v>
      </c>
      <c r="B333" s="21">
        <f>VLOOKUP(A333,'Database Rates'!$A$1:$D$1000,3,FALSE)</f>
        <v/>
      </c>
    </row>
    <row r="334">
      <c r="A334" s="41" t="n">
        <v>29830</v>
      </c>
      <c r="B334" s="21">
        <f>VLOOKUP(A334,'Database Rates'!$A$1:$D$1000,3,FALSE)</f>
        <v/>
      </c>
    </row>
    <row r="335">
      <c r="A335" s="41" t="n">
        <v>29860</v>
      </c>
      <c r="B335" s="21">
        <f>VLOOKUP(A335,'Database Rates'!$A$1:$D$1000,3,FALSE)</f>
        <v/>
      </c>
    </row>
    <row r="336">
      <c r="A336" s="41" t="n">
        <v>29891</v>
      </c>
      <c r="B336" s="21">
        <f>VLOOKUP(A336,'Database Rates'!$A$1:$D$1000,3,FALSE)</f>
        <v/>
      </c>
    </row>
    <row r="337">
      <c r="A337" s="41" t="n">
        <v>29921</v>
      </c>
      <c r="B337" s="21">
        <f>VLOOKUP(A337,'Database Rates'!$A$1:$D$1000,3,FALSE)</f>
        <v/>
      </c>
    </row>
    <row r="338">
      <c r="A338" s="41" t="n">
        <v>29952</v>
      </c>
      <c r="B338" s="21">
        <f>VLOOKUP(A338,'Database Rates'!$A$1:$D$1000,3,FALSE)</f>
        <v/>
      </c>
    </row>
    <row r="339">
      <c r="A339" s="41" t="n">
        <v>29983</v>
      </c>
      <c r="B339" s="21">
        <f>VLOOKUP(A339,'Database Rates'!$A$1:$D$1000,3,FALSE)</f>
        <v/>
      </c>
    </row>
    <row r="340">
      <c r="A340" s="41" t="n">
        <v>30011</v>
      </c>
      <c r="B340" s="21">
        <f>VLOOKUP(A340,'Database Rates'!$A$1:$D$1000,3,FALSE)</f>
        <v/>
      </c>
    </row>
    <row r="341">
      <c r="A341" s="41" t="n">
        <v>30042</v>
      </c>
      <c r="B341" s="21">
        <f>VLOOKUP(A341,'Database Rates'!$A$1:$D$1000,3,FALSE)</f>
        <v/>
      </c>
    </row>
    <row r="342">
      <c r="A342" s="41" t="n">
        <v>30072</v>
      </c>
      <c r="B342" s="21">
        <f>VLOOKUP(A342,'Database Rates'!$A$1:$D$1000,3,FALSE)</f>
        <v/>
      </c>
    </row>
    <row r="343">
      <c r="A343" s="41" t="n">
        <v>30103</v>
      </c>
      <c r="B343" s="21">
        <f>VLOOKUP(A343,'Database Rates'!$A$1:$D$1000,3,FALSE)</f>
        <v/>
      </c>
    </row>
    <row r="344">
      <c r="A344" s="41" t="n">
        <v>30133</v>
      </c>
      <c r="B344" s="21">
        <f>VLOOKUP(A344,'Database Rates'!$A$1:$D$1000,3,FALSE)</f>
        <v/>
      </c>
    </row>
    <row r="345">
      <c r="A345" s="41" t="n">
        <v>30164</v>
      </c>
      <c r="B345" s="21">
        <f>VLOOKUP(A345,'Database Rates'!$A$1:$D$1000,3,FALSE)</f>
        <v/>
      </c>
    </row>
    <row r="346">
      <c r="A346" s="41" t="n">
        <v>30195</v>
      </c>
      <c r="B346" s="21">
        <f>VLOOKUP(A346,'Database Rates'!$A$1:$D$1000,3,FALSE)</f>
        <v/>
      </c>
    </row>
    <row r="347">
      <c r="A347" s="41" t="n">
        <v>30225</v>
      </c>
      <c r="B347" s="21">
        <f>VLOOKUP(A347,'Database Rates'!$A$1:$D$1000,3,FALSE)</f>
        <v/>
      </c>
    </row>
    <row r="348">
      <c r="A348" s="41" t="n">
        <v>30256</v>
      </c>
      <c r="B348" s="21">
        <f>VLOOKUP(A348,'Database Rates'!$A$1:$D$1000,3,FALSE)</f>
        <v/>
      </c>
    </row>
    <row r="349">
      <c r="A349" s="41" t="n">
        <v>30286</v>
      </c>
      <c r="B349" s="21">
        <f>VLOOKUP(A349,'Database Rates'!$A$1:$D$1000,3,FALSE)</f>
        <v/>
      </c>
    </row>
    <row r="350">
      <c r="A350" s="41" t="n">
        <v>30317</v>
      </c>
      <c r="B350" s="21">
        <f>VLOOKUP(A350,'Database Rates'!$A$1:$D$1000,3,FALSE)</f>
        <v/>
      </c>
    </row>
    <row r="351">
      <c r="A351" s="41" t="n">
        <v>30348</v>
      </c>
      <c r="B351" s="21">
        <f>VLOOKUP(A351,'Database Rates'!$A$1:$D$1000,3,FALSE)</f>
        <v/>
      </c>
    </row>
    <row r="352">
      <c r="A352" s="41" t="n">
        <v>30376</v>
      </c>
      <c r="B352" s="21">
        <f>VLOOKUP(A352,'Database Rates'!$A$1:$D$1000,3,FALSE)</f>
        <v/>
      </c>
    </row>
    <row r="353">
      <c r="A353" s="41" t="n">
        <v>30407</v>
      </c>
      <c r="B353" s="21">
        <f>VLOOKUP(A353,'Database Rates'!$A$1:$D$1000,3,FALSE)</f>
        <v/>
      </c>
    </row>
    <row r="354">
      <c r="A354" s="41" t="n">
        <v>30437</v>
      </c>
      <c r="B354" s="21">
        <f>VLOOKUP(A354,'Database Rates'!$A$1:$D$1000,3,FALSE)</f>
        <v/>
      </c>
    </row>
    <row r="355">
      <c r="A355" s="41" t="n">
        <v>30468</v>
      </c>
      <c r="B355" s="21">
        <f>VLOOKUP(A355,'Database Rates'!$A$1:$D$1000,3,FALSE)</f>
        <v/>
      </c>
    </row>
    <row r="356">
      <c r="A356" s="41" t="n">
        <v>30498</v>
      </c>
      <c r="B356" s="21">
        <f>VLOOKUP(A356,'Database Rates'!$A$1:$D$1000,3,FALSE)</f>
        <v/>
      </c>
    </row>
    <row r="357">
      <c r="A357" s="41" t="n">
        <v>30529</v>
      </c>
      <c r="B357" s="21">
        <f>VLOOKUP(A357,'Database Rates'!$A$1:$D$1000,3,FALSE)</f>
        <v/>
      </c>
    </row>
    <row r="358">
      <c r="A358" s="41" t="n">
        <v>30560</v>
      </c>
      <c r="B358" s="21">
        <f>VLOOKUP(A358,'Database Rates'!$A$1:$D$1000,3,FALSE)</f>
        <v/>
      </c>
    </row>
    <row r="359">
      <c r="A359" s="41" t="n">
        <v>30590</v>
      </c>
      <c r="B359" s="21">
        <f>VLOOKUP(A359,'Database Rates'!$A$1:$D$1000,3,FALSE)</f>
        <v/>
      </c>
    </row>
    <row r="360">
      <c r="A360" s="41" t="n">
        <v>30621</v>
      </c>
      <c r="B360" s="21">
        <f>VLOOKUP(A360,'Database Rates'!$A$1:$D$1000,3,FALSE)</f>
        <v/>
      </c>
    </row>
    <row r="361">
      <c r="A361" s="41" t="n">
        <v>30651</v>
      </c>
      <c r="B361" s="21">
        <f>VLOOKUP(A361,'Database Rates'!$A$1:$D$1000,3,FALSE)</f>
        <v/>
      </c>
    </row>
    <row r="362">
      <c r="A362" s="41" t="n">
        <v>30682</v>
      </c>
      <c r="B362" s="21">
        <f>VLOOKUP(A362,'Database Rates'!$A$1:$D$1000,3,FALSE)</f>
        <v/>
      </c>
    </row>
    <row r="363">
      <c r="A363" s="41" t="n">
        <v>30713</v>
      </c>
      <c r="B363" s="21">
        <f>VLOOKUP(A363,'Database Rates'!$A$1:$D$1000,3,FALSE)</f>
        <v/>
      </c>
    </row>
    <row r="364">
      <c r="A364" s="41" t="n">
        <v>30742</v>
      </c>
      <c r="B364" s="21">
        <f>VLOOKUP(A364,'Database Rates'!$A$1:$D$1000,3,FALSE)</f>
        <v/>
      </c>
    </row>
    <row r="365">
      <c r="A365" s="41" t="n">
        <v>30773</v>
      </c>
      <c r="B365" s="21">
        <f>VLOOKUP(A365,'Database Rates'!$A$1:$D$1000,3,FALSE)</f>
        <v/>
      </c>
    </row>
    <row r="366">
      <c r="A366" s="41" t="n">
        <v>30803</v>
      </c>
      <c r="B366" s="21">
        <f>VLOOKUP(A366,'Database Rates'!$A$1:$D$1000,3,FALSE)</f>
        <v/>
      </c>
    </row>
    <row r="367">
      <c r="A367" s="41" t="n">
        <v>30834</v>
      </c>
      <c r="B367" s="21">
        <f>VLOOKUP(A367,'Database Rates'!$A$1:$D$1000,3,FALSE)</f>
        <v/>
      </c>
    </row>
    <row r="368">
      <c r="A368" s="41" t="n">
        <v>30864</v>
      </c>
      <c r="B368" s="21">
        <f>VLOOKUP(A368,'Database Rates'!$A$1:$D$1000,3,FALSE)</f>
        <v/>
      </c>
    </row>
    <row r="369">
      <c r="A369" s="41" t="n">
        <v>30895</v>
      </c>
      <c r="B369" s="21">
        <f>VLOOKUP(A369,'Database Rates'!$A$1:$D$1000,3,FALSE)</f>
        <v/>
      </c>
    </row>
    <row r="370">
      <c r="A370" s="41" t="n">
        <v>30926</v>
      </c>
      <c r="B370" s="21">
        <f>VLOOKUP(A370,'Database Rates'!$A$1:$D$1000,3,FALSE)</f>
        <v/>
      </c>
    </row>
    <row r="371">
      <c r="A371" s="41" t="n">
        <v>30956</v>
      </c>
      <c r="B371" s="21">
        <f>VLOOKUP(A371,'Database Rates'!$A$1:$D$1000,3,FALSE)</f>
        <v/>
      </c>
    </row>
    <row r="372">
      <c r="A372" s="41" t="n">
        <v>30987</v>
      </c>
      <c r="B372" s="21">
        <f>VLOOKUP(A372,'Database Rates'!$A$1:$D$1000,3,FALSE)</f>
        <v/>
      </c>
    </row>
    <row r="373">
      <c r="A373" s="41" t="n">
        <v>31017</v>
      </c>
      <c r="B373" s="21">
        <f>VLOOKUP(A373,'Database Rates'!$A$1:$D$1000,3,FALSE)</f>
        <v/>
      </c>
    </row>
    <row r="374">
      <c r="A374" s="41" t="n">
        <v>31048</v>
      </c>
      <c r="B374" s="21">
        <f>VLOOKUP(A374,'Database Rates'!$A$1:$D$1000,3,FALSE)</f>
        <v/>
      </c>
    </row>
    <row r="375">
      <c r="A375" s="41" t="n">
        <v>31079</v>
      </c>
      <c r="B375" s="21">
        <f>VLOOKUP(A375,'Database Rates'!$A$1:$D$1000,3,FALSE)</f>
        <v/>
      </c>
    </row>
    <row r="376">
      <c r="A376" s="41" t="n">
        <v>31107</v>
      </c>
      <c r="B376" s="21">
        <f>VLOOKUP(A376,'Database Rates'!$A$1:$D$1000,3,FALSE)</f>
        <v/>
      </c>
    </row>
    <row r="377">
      <c r="A377" s="41" t="n">
        <v>31138</v>
      </c>
      <c r="B377" s="21">
        <f>VLOOKUP(A377,'Database Rates'!$A$1:$D$1000,3,FALSE)</f>
        <v/>
      </c>
    </row>
    <row r="378">
      <c r="A378" s="41" t="n">
        <v>31168</v>
      </c>
      <c r="B378" s="21">
        <f>VLOOKUP(A378,'Database Rates'!$A$1:$D$1000,3,FALSE)</f>
        <v/>
      </c>
    </row>
    <row r="379">
      <c r="A379" s="41" t="n">
        <v>31199</v>
      </c>
      <c r="B379" s="21">
        <f>VLOOKUP(A379,'Database Rates'!$A$1:$D$1000,3,FALSE)</f>
        <v/>
      </c>
    </row>
    <row r="380">
      <c r="A380" s="41" t="n">
        <v>31229</v>
      </c>
      <c r="B380" s="21">
        <f>VLOOKUP(A380,'Database Rates'!$A$1:$D$1000,3,FALSE)</f>
        <v/>
      </c>
    </row>
    <row r="381">
      <c r="A381" s="41" t="n">
        <v>31260</v>
      </c>
      <c r="B381" s="21">
        <f>VLOOKUP(A381,'Database Rates'!$A$1:$D$1000,3,FALSE)</f>
        <v/>
      </c>
    </row>
    <row r="382">
      <c r="A382" s="41" t="n">
        <v>31291</v>
      </c>
      <c r="B382" s="21">
        <f>VLOOKUP(A382,'Database Rates'!$A$1:$D$1000,3,FALSE)</f>
        <v/>
      </c>
    </row>
    <row r="383">
      <c r="A383" s="41" t="n">
        <v>31321</v>
      </c>
      <c r="B383" s="21">
        <f>VLOOKUP(A383,'Database Rates'!$A$1:$D$1000,3,FALSE)</f>
        <v/>
      </c>
    </row>
    <row r="384">
      <c r="A384" s="41" t="n">
        <v>31352</v>
      </c>
      <c r="B384" s="21">
        <f>VLOOKUP(A384,'Database Rates'!$A$1:$D$1000,3,FALSE)</f>
        <v/>
      </c>
    </row>
    <row r="385">
      <c r="A385" s="41" t="n">
        <v>31382</v>
      </c>
      <c r="B385" s="21">
        <f>VLOOKUP(A385,'Database Rates'!$A$1:$D$1000,3,FALSE)</f>
        <v/>
      </c>
    </row>
    <row r="386">
      <c r="A386" s="41" t="n">
        <v>31413</v>
      </c>
      <c r="B386" s="21">
        <f>VLOOKUP(A386,'Database Rates'!$A$1:$D$1000,3,FALSE)</f>
        <v/>
      </c>
    </row>
    <row r="387">
      <c r="A387" s="41" t="n">
        <v>31444</v>
      </c>
      <c r="B387" s="21">
        <f>VLOOKUP(A387,'Database Rates'!$A$1:$D$1000,3,FALSE)</f>
        <v/>
      </c>
    </row>
    <row r="388">
      <c r="A388" s="41" t="n">
        <v>31472</v>
      </c>
      <c r="B388" s="21">
        <f>VLOOKUP(A388,'Database Rates'!$A$1:$D$1000,3,FALSE)</f>
        <v/>
      </c>
    </row>
    <row r="389">
      <c r="A389" s="41" t="n">
        <v>31503</v>
      </c>
      <c r="B389" s="21">
        <f>VLOOKUP(A389,'Database Rates'!$A$1:$D$1000,3,FALSE)</f>
        <v/>
      </c>
    </row>
    <row r="390">
      <c r="A390" s="41" t="n">
        <v>31533</v>
      </c>
      <c r="B390" s="21">
        <f>VLOOKUP(A390,'Database Rates'!$A$1:$D$1000,3,FALSE)</f>
        <v/>
      </c>
    </row>
    <row r="391">
      <c r="A391" s="41" t="n">
        <v>31564</v>
      </c>
      <c r="B391" s="21">
        <f>VLOOKUP(A391,'Database Rates'!$A$1:$D$1000,3,FALSE)</f>
        <v/>
      </c>
    </row>
    <row r="392">
      <c r="A392" s="41" t="n">
        <v>31594</v>
      </c>
      <c r="B392" s="21">
        <f>VLOOKUP(A392,'Database Rates'!$A$1:$D$1000,3,FALSE)</f>
        <v/>
      </c>
    </row>
    <row r="393">
      <c r="A393" s="41" t="n">
        <v>31625</v>
      </c>
      <c r="B393" s="21">
        <f>VLOOKUP(A393,'Database Rates'!$A$1:$D$1000,3,FALSE)</f>
        <v/>
      </c>
    </row>
    <row r="394">
      <c r="A394" s="41" t="n">
        <v>31656</v>
      </c>
      <c r="B394" s="21">
        <f>VLOOKUP(A394,'Database Rates'!$A$1:$D$1000,3,FALSE)</f>
        <v/>
      </c>
    </row>
    <row r="395">
      <c r="A395" s="41" t="n">
        <v>31686</v>
      </c>
      <c r="B395" s="21">
        <f>VLOOKUP(A395,'Database Rates'!$A$1:$D$1000,3,FALSE)</f>
        <v/>
      </c>
    </row>
    <row r="396">
      <c r="A396" s="41" t="n">
        <v>31717</v>
      </c>
      <c r="B396" s="21">
        <f>VLOOKUP(A396,'Database Rates'!$A$1:$D$1000,3,FALSE)</f>
        <v/>
      </c>
    </row>
    <row r="397">
      <c r="A397" s="41" t="n">
        <v>31747</v>
      </c>
      <c r="B397" s="21">
        <f>VLOOKUP(A397,'Database Rates'!$A$1:$D$1000,3,FALSE)</f>
        <v/>
      </c>
    </row>
    <row r="398">
      <c r="A398" s="41" t="n">
        <v>31778</v>
      </c>
      <c r="B398" s="21">
        <f>VLOOKUP(A398,'Database Rates'!$A$1:$D$1000,3,FALSE)</f>
        <v/>
      </c>
    </row>
    <row r="399">
      <c r="A399" s="41" t="n">
        <v>31809</v>
      </c>
      <c r="B399" s="21">
        <f>VLOOKUP(A399,'Database Rates'!$A$1:$D$1000,3,FALSE)</f>
        <v/>
      </c>
    </row>
    <row r="400">
      <c r="A400" s="41" t="n">
        <v>31837</v>
      </c>
      <c r="B400" s="21">
        <f>VLOOKUP(A400,'Database Rates'!$A$1:$D$1000,3,FALSE)</f>
        <v/>
      </c>
    </row>
    <row r="401">
      <c r="A401" s="41" t="n">
        <v>31868</v>
      </c>
      <c r="B401" s="21">
        <f>VLOOKUP(A401,'Database Rates'!$A$1:$D$1000,3,FALSE)</f>
        <v/>
      </c>
    </row>
    <row r="402">
      <c r="A402" s="41" t="n">
        <v>31898</v>
      </c>
      <c r="B402" s="21">
        <f>VLOOKUP(A402,'Database Rates'!$A$1:$D$1000,3,FALSE)</f>
        <v/>
      </c>
    </row>
    <row r="403">
      <c r="A403" s="41" t="n">
        <v>31929</v>
      </c>
      <c r="B403" s="21">
        <f>VLOOKUP(A403,'Database Rates'!$A$1:$D$1000,3,FALSE)</f>
        <v/>
      </c>
    </row>
    <row r="404">
      <c r="A404" s="41" t="n">
        <v>31959</v>
      </c>
      <c r="B404" s="21">
        <f>VLOOKUP(A404,'Database Rates'!$A$1:$D$1000,3,FALSE)</f>
        <v/>
      </c>
    </row>
    <row r="405">
      <c r="A405" s="41" t="n">
        <v>31990</v>
      </c>
      <c r="B405" s="21">
        <f>VLOOKUP(A405,'Database Rates'!$A$1:$D$1000,3,FALSE)</f>
        <v/>
      </c>
    </row>
    <row r="406">
      <c r="A406" s="41" t="n">
        <v>32021</v>
      </c>
      <c r="B406" s="21">
        <f>VLOOKUP(A406,'Database Rates'!$A$1:$D$1000,3,FALSE)</f>
        <v/>
      </c>
    </row>
    <row r="407">
      <c r="A407" s="41" t="n">
        <v>32051</v>
      </c>
      <c r="B407" s="21">
        <f>VLOOKUP(A407,'Database Rates'!$A$1:$D$1000,3,FALSE)</f>
        <v/>
      </c>
    </row>
    <row r="408">
      <c r="A408" s="41" t="n">
        <v>32082</v>
      </c>
      <c r="B408" s="21">
        <f>VLOOKUP(A408,'Database Rates'!$A$1:$D$1000,3,FALSE)</f>
        <v/>
      </c>
    </row>
    <row r="409">
      <c r="A409" s="41" t="n">
        <v>32112</v>
      </c>
      <c r="B409" s="21">
        <f>VLOOKUP(A409,'Database Rates'!$A$1:$D$1000,3,FALSE)</f>
        <v/>
      </c>
    </row>
    <row r="410">
      <c r="A410" s="41" t="n">
        <v>32143</v>
      </c>
      <c r="B410" s="21">
        <f>VLOOKUP(A410,'Database Rates'!$A$1:$D$1000,3,FALSE)</f>
        <v/>
      </c>
    </row>
    <row r="411">
      <c r="A411" s="41" t="n">
        <v>32174</v>
      </c>
      <c r="B411" s="21">
        <f>VLOOKUP(A411,'Database Rates'!$A$1:$D$1000,3,FALSE)</f>
        <v/>
      </c>
    </row>
    <row r="412">
      <c r="A412" s="41" t="n">
        <v>32203</v>
      </c>
      <c r="B412" s="21">
        <f>VLOOKUP(A412,'Database Rates'!$A$1:$D$1000,3,FALSE)</f>
        <v/>
      </c>
    </row>
    <row r="413">
      <c r="A413" s="41" t="n">
        <v>32234</v>
      </c>
      <c r="B413" s="21">
        <f>VLOOKUP(A413,'Database Rates'!$A$1:$D$1000,3,FALSE)</f>
        <v/>
      </c>
    </row>
    <row r="414">
      <c r="A414" s="41" t="n">
        <v>32264</v>
      </c>
      <c r="B414" s="21">
        <f>VLOOKUP(A414,'Database Rates'!$A$1:$D$1000,3,FALSE)</f>
        <v/>
      </c>
    </row>
    <row r="415">
      <c r="A415" s="41" t="n">
        <v>32295</v>
      </c>
      <c r="B415" s="21">
        <f>VLOOKUP(A415,'Database Rates'!$A$1:$D$1000,3,FALSE)</f>
        <v/>
      </c>
    </row>
    <row r="416">
      <c r="A416" s="41" t="n">
        <v>32325</v>
      </c>
      <c r="B416" s="21">
        <f>VLOOKUP(A416,'Database Rates'!$A$1:$D$1000,3,FALSE)</f>
        <v/>
      </c>
    </row>
    <row r="417">
      <c r="A417" s="41" t="n">
        <v>32356</v>
      </c>
      <c r="B417" s="21">
        <f>VLOOKUP(A417,'Database Rates'!$A$1:$D$1000,3,FALSE)</f>
        <v/>
      </c>
    </row>
    <row r="418">
      <c r="A418" s="41" t="n">
        <v>32387</v>
      </c>
      <c r="B418" s="21">
        <f>VLOOKUP(A418,'Database Rates'!$A$1:$D$1000,3,FALSE)</f>
        <v/>
      </c>
    </row>
    <row r="419">
      <c r="A419" s="41" t="n">
        <v>32417</v>
      </c>
      <c r="B419" s="21">
        <f>VLOOKUP(A419,'Database Rates'!$A$1:$D$1000,3,FALSE)</f>
        <v/>
      </c>
    </row>
    <row r="420">
      <c r="A420" s="41" t="n">
        <v>32448</v>
      </c>
      <c r="B420" s="21">
        <f>VLOOKUP(A420,'Database Rates'!$A$1:$D$1000,3,FALSE)</f>
        <v/>
      </c>
    </row>
    <row r="421">
      <c r="A421" s="41" t="n">
        <v>32478</v>
      </c>
      <c r="B421" s="21">
        <f>VLOOKUP(A421,'Database Rates'!$A$1:$D$1000,3,FALSE)</f>
        <v/>
      </c>
    </row>
    <row r="422">
      <c r="A422" s="41" t="n">
        <v>32509</v>
      </c>
      <c r="B422" s="21">
        <f>VLOOKUP(A422,'Database Rates'!$A$1:$D$1000,3,FALSE)</f>
        <v/>
      </c>
    </row>
    <row r="423">
      <c r="A423" s="41" t="n">
        <v>32540</v>
      </c>
      <c r="B423" s="21">
        <f>VLOOKUP(A423,'Database Rates'!$A$1:$D$1000,3,FALSE)</f>
        <v/>
      </c>
    </row>
    <row r="424">
      <c r="A424" s="41" t="n">
        <v>32568</v>
      </c>
      <c r="B424" s="21">
        <f>VLOOKUP(A424,'Database Rates'!$A$1:$D$1000,3,FALSE)</f>
        <v/>
      </c>
    </row>
    <row r="425">
      <c r="A425" s="41" t="n">
        <v>32599</v>
      </c>
      <c r="B425" s="21">
        <f>VLOOKUP(A425,'Database Rates'!$A$1:$D$1000,3,FALSE)</f>
        <v/>
      </c>
    </row>
    <row r="426">
      <c r="A426" s="41" t="n">
        <v>32629</v>
      </c>
      <c r="B426" s="21">
        <f>VLOOKUP(A426,'Database Rates'!$A$1:$D$1000,3,FALSE)</f>
        <v/>
      </c>
    </row>
    <row r="427">
      <c r="A427" s="41" t="n">
        <v>32660</v>
      </c>
      <c r="B427" s="21">
        <f>VLOOKUP(A427,'Database Rates'!$A$1:$D$1000,3,FALSE)</f>
        <v/>
      </c>
    </row>
    <row r="428">
      <c r="A428" s="41" t="n">
        <v>32690</v>
      </c>
      <c r="B428" s="21">
        <f>VLOOKUP(A428,'Database Rates'!$A$1:$D$1000,3,FALSE)</f>
        <v/>
      </c>
    </row>
    <row r="429">
      <c r="A429" s="41" t="n">
        <v>32721</v>
      </c>
      <c r="B429" s="21">
        <f>VLOOKUP(A429,'Database Rates'!$A$1:$D$1000,3,FALSE)</f>
        <v/>
      </c>
    </row>
    <row r="430">
      <c r="A430" s="41" t="n">
        <v>32752</v>
      </c>
      <c r="B430" s="21">
        <f>VLOOKUP(A430,'Database Rates'!$A$1:$D$1000,3,FALSE)</f>
        <v/>
      </c>
    </row>
    <row r="431">
      <c r="A431" s="41" t="n">
        <v>32782</v>
      </c>
      <c r="B431" s="21">
        <f>VLOOKUP(A431,'Database Rates'!$A$1:$D$1000,3,FALSE)</f>
        <v/>
      </c>
    </row>
    <row r="432">
      <c r="A432" s="41" t="n">
        <v>32813</v>
      </c>
      <c r="B432" s="21">
        <f>VLOOKUP(A432,'Database Rates'!$A$1:$D$1000,3,FALSE)</f>
        <v/>
      </c>
    </row>
    <row r="433">
      <c r="A433" s="41" t="n">
        <v>32843</v>
      </c>
      <c r="B433" s="21">
        <f>VLOOKUP(A433,'Database Rates'!$A$1:$D$1000,3,FALSE)</f>
        <v/>
      </c>
    </row>
    <row r="434">
      <c r="A434" s="41" t="n">
        <v>32874</v>
      </c>
      <c r="B434" s="21">
        <f>VLOOKUP(A434,'Database Rates'!$A$1:$D$1000,3,FALSE)</f>
        <v/>
      </c>
    </row>
    <row r="435">
      <c r="A435" s="41" t="n">
        <v>32905</v>
      </c>
      <c r="B435" s="21">
        <f>VLOOKUP(A435,'Database Rates'!$A$1:$D$1000,3,FALSE)</f>
        <v/>
      </c>
    </row>
    <row r="436">
      <c r="A436" s="41" t="n">
        <v>32933</v>
      </c>
      <c r="B436" s="21">
        <f>VLOOKUP(A436,'Database Rates'!$A$1:$D$1000,3,FALSE)</f>
        <v/>
      </c>
    </row>
    <row r="437">
      <c r="A437" s="41" t="n">
        <v>32964</v>
      </c>
      <c r="B437" s="21">
        <f>VLOOKUP(A437,'Database Rates'!$A$1:$D$1000,3,FALSE)</f>
        <v/>
      </c>
    </row>
    <row r="438">
      <c r="A438" s="41" t="n">
        <v>32994</v>
      </c>
      <c r="B438" s="21">
        <f>VLOOKUP(A438,'Database Rates'!$A$1:$D$1000,3,FALSE)</f>
        <v/>
      </c>
    </row>
    <row r="439">
      <c r="A439" s="41" t="n">
        <v>33025</v>
      </c>
      <c r="B439" s="21">
        <f>VLOOKUP(A439,'Database Rates'!$A$1:$D$1000,3,FALSE)</f>
        <v/>
      </c>
    </row>
    <row r="440">
      <c r="A440" s="41" t="n">
        <v>33055</v>
      </c>
      <c r="B440" s="21">
        <f>VLOOKUP(A440,'Database Rates'!$A$1:$D$1000,3,FALSE)</f>
        <v/>
      </c>
    </row>
    <row r="441">
      <c r="A441" s="41" t="n">
        <v>33086</v>
      </c>
      <c r="B441" s="21">
        <f>VLOOKUP(A441,'Database Rates'!$A$1:$D$1000,3,FALSE)</f>
        <v/>
      </c>
    </row>
    <row r="442">
      <c r="A442" s="41" t="n">
        <v>33117</v>
      </c>
      <c r="B442" s="21">
        <f>VLOOKUP(A442,'Database Rates'!$A$1:$D$1000,3,FALSE)</f>
        <v/>
      </c>
    </row>
    <row r="443">
      <c r="A443" s="41" t="n">
        <v>33147</v>
      </c>
      <c r="B443" s="21">
        <f>VLOOKUP(A443,'Database Rates'!$A$1:$D$1000,3,FALSE)</f>
        <v/>
      </c>
    </row>
    <row r="444">
      <c r="A444" s="41" t="n">
        <v>33178</v>
      </c>
      <c r="B444" s="21">
        <f>VLOOKUP(A444,'Database Rates'!$A$1:$D$1000,3,FALSE)</f>
        <v/>
      </c>
    </row>
    <row r="445">
      <c r="A445" s="41" t="n">
        <v>33208</v>
      </c>
      <c r="B445" s="21">
        <f>VLOOKUP(A445,'Database Rates'!$A$1:$D$1000,3,FALSE)</f>
        <v/>
      </c>
    </row>
    <row r="446">
      <c r="A446" s="41" t="n">
        <v>33239</v>
      </c>
      <c r="B446" s="21">
        <f>VLOOKUP(A446,'Database Rates'!$A$1:$D$1000,3,FALSE)</f>
        <v/>
      </c>
    </row>
    <row r="447">
      <c r="A447" s="41" t="n">
        <v>33270</v>
      </c>
      <c r="B447" s="21">
        <f>VLOOKUP(A447,'Database Rates'!$A$1:$D$1000,3,FALSE)</f>
        <v/>
      </c>
    </row>
    <row r="448">
      <c r="A448" s="41" t="n">
        <v>33298</v>
      </c>
      <c r="B448" s="21">
        <f>VLOOKUP(A448,'Database Rates'!$A$1:$D$1000,3,FALSE)</f>
        <v/>
      </c>
    </row>
    <row r="449">
      <c r="A449" s="41" t="n">
        <v>33329</v>
      </c>
      <c r="B449" s="21">
        <f>VLOOKUP(A449,'Database Rates'!$A$1:$D$1000,3,FALSE)</f>
        <v/>
      </c>
    </row>
    <row r="450">
      <c r="A450" s="41" t="n">
        <v>33359</v>
      </c>
      <c r="B450" s="21">
        <f>VLOOKUP(A450,'Database Rates'!$A$1:$D$1000,3,FALSE)</f>
        <v/>
      </c>
    </row>
    <row r="451">
      <c r="A451" s="41" t="n">
        <v>33390</v>
      </c>
      <c r="B451" s="21">
        <f>VLOOKUP(A451,'Database Rates'!$A$1:$D$1000,3,FALSE)</f>
        <v/>
      </c>
    </row>
    <row r="452">
      <c r="A452" s="41" t="n">
        <v>33420</v>
      </c>
      <c r="B452" s="21">
        <f>VLOOKUP(A452,'Database Rates'!$A$1:$D$1000,3,FALSE)</f>
        <v/>
      </c>
    </row>
    <row r="453">
      <c r="A453" s="41" t="n">
        <v>33451</v>
      </c>
      <c r="B453" s="21">
        <f>VLOOKUP(A453,'Database Rates'!$A$1:$D$1000,3,FALSE)</f>
        <v/>
      </c>
    </row>
    <row r="454">
      <c r="A454" s="41" t="n">
        <v>33482</v>
      </c>
      <c r="B454" s="21">
        <f>VLOOKUP(A454,'Database Rates'!$A$1:$D$1000,3,FALSE)</f>
        <v/>
      </c>
    </row>
    <row r="455">
      <c r="A455" s="41" t="n">
        <v>33512</v>
      </c>
      <c r="B455" s="21">
        <f>VLOOKUP(A455,'Database Rates'!$A$1:$D$1000,3,FALSE)</f>
        <v/>
      </c>
    </row>
    <row r="456">
      <c r="A456" s="41" t="n">
        <v>33543</v>
      </c>
      <c r="B456" s="21">
        <f>VLOOKUP(A456,'Database Rates'!$A$1:$D$1000,3,FALSE)</f>
        <v/>
      </c>
    </row>
    <row r="457">
      <c r="A457" s="41" t="n">
        <v>33573</v>
      </c>
      <c r="B457" s="21">
        <f>VLOOKUP(A457,'Database Rates'!$A$1:$D$1000,3,FALSE)</f>
        <v/>
      </c>
    </row>
    <row r="458">
      <c r="A458" s="41" t="n">
        <v>33604</v>
      </c>
      <c r="B458" s="21">
        <f>VLOOKUP(A458,'Database Rates'!$A$1:$D$1000,3,FALSE)</f>
        <v/>
      </c>
    </row>
    <row r="459">
      <c r="A459" s="41" t="n">
        <v>33635</v>
      </c>
      <c r="B459" s="21">
        <f>VLOOKUP(A459,'Database Rates'!$A$1:$D$1000,3,FALSE)</f>
        <v/>
      </c>
    </row>
    <row r="460">
      <c r="A460" s="41" t="n">
        <v>33664</v>
      </c>
      <c r="B460" s="21">
        <f>VLOOKUP(A460,'Database Rates'!$A$1:$D$1000,3,FALSE)</f>
        <v/>
      </c>
    </row>
    <row r="461">
      <c r="A461" s="41" t="n">
        <v>33695</v>
      </c>
      <c r="B461" s="21">
        <f>VLOOKUP(A461,'Database Rates'!$A$1:$D$1000,3,FALSE)</f>
        <v/>
      </c>
    </row>
    <row r="462">
      <c r="A462" s="41" t="n">
        <v>33725</v>
      </c>
      <c r="B462" s="21">
        <f>VLOOKUP(A462,'Database Rates'!$A$1:$D$1000,3,FALSE)</f>
        <v/>
      </c>
    </row>
    <row r="463">
      <c r="A463" s="41" t="n">
        <v>33756</v>
      </c>
      <c r="B463" s="21">
        <f>VLOOKUP(A463,'Database Rates'!$A$1:$D$1000,3,FALSE)</f>
        <v/>
      </c>
    </row>
    <row r="464">
      <c r="A464" s="41" t="n">
        <v>33786</v>
      </c>
      <c r="B464" s="21">
        <f>VLOOKUP(A464,'Database Rates'!$A$1:$D$1000,3,FALSE)</f>
        <v/>
      </c>
    </row>
    <row r="465">
      <c r="A465" s="41" t="n">
        <v>33817</v>
      </c>
      <c r="B465" s="21">
        <f>VLOOKUP(A465,'Database Rates'!$A$1:$D$1000,3,FALSE)</f>
        <v/>
      </c>
    </row>
    <row r="466">
      <c r="A466" s="41" t="n">
        <v>33848</v>
      </c>
      <c r="B466" s="21">
        <f>VLOOKUP(A466,'Database Rates'!$A$1:$D$1000,3,FALSE)</f>
        <v/>
      </c>
    </row>
    <row r="467">
      <c r="A467" s="41" t="n">
        <v>33878</v>
      </c>
      <c r="B467" s="21">
        <f>VLOOKUP(A467,'Database Rates'!$A$1:$D$1000,3,FALSE)</f>
        <v/>
      </c>
    </row>
    <row r="468">
      <c r="A468" s="41" t="n">
        <v>33909</v>
      </c>
      <c r="B468" s="21">
        <f>VLOOKUP(A468,'Database Rates'!$A$1:$D$1000,3,FALSE)</f>
        <v/>
      </c>
    </row>
    <row r="469">
      <c r="A469" s="41" t="n">
        <v>33939</v>
      </c>
      <c r="B469" s="21">
        <f>VLOOKUP(A469,'Database Rates'!$A$1:$D$1000,3,FALSE)</f>
        <v/>
      </c>
    </row>
    <row r="470">
      <c r="A470" s="41" t="n">
        <v>33970</v>
      </c>
      <c r="B470" s="21">
        <f>VLOOKUP(A470,'Database Rates'!$A$1:$D$1000,3,FALSE)</f>
        <v/>
      </c>
    </row>
    <row r="471">
      <c r="A471" s="41" t="n">
        <v>34001</v>
      </c>
      <c r="B471" s="21">
        <f>VLOOKUP(A471,'Database Rates'!$A$1:$D$1000,3,FALSE)</f>
        <v/>
      </c>
    </row>
    <row r="472">
      <c r="A472" s="41" t="n">
        <v>34029</v>
      </c>
      <c r="B472" s="21">
        <f>VLOOKUP(A472,'Database Rates'!$A$1:$D$1000,3,FALSE)</f>
        <v/>
      </c>
    </row>
    <row r="473">
      <c r="A473" s="41" t="n">
        <v>34060</v>
      </c>
      <c r="B473" s="21">
        <f>VLOOKUP(A473,'Database Rates'!$A$1:$D$1000,3,FALSE)</f>
        <v/>
      </c>
    </row>
    <row r="474">
      <c r="A474" s="41" t="n">
        <v>34090</v>
      </c>
      <c r="B474" s="21">
        <f>VLOOKUP(A474,'Database Rates'!$A$1:$D$1000,3,FALSE)</f>
        <v/>
      </c>
    </row>
    <row r="475">
      <c r="A475" s="41" t="n">
        <v>34121</v>
      </c>
      <c r="B475" s="21">
        <f>VLOOKUP(A475,'Database Rates'!$A$1:$D$1000,3,FALSE)</f>
        <v/>
      </c>
    </row>
    <row r="476">
      <c r="A476" s="41" t="n">
        <v>34151</v>
      </c>
      <c r="B476" s="21">
        <f>VLOOKUP(A476,'Database Rates'!$A$1:$D$1000,3,FALSE)</f>
        <v/>
      </c>
    </row>
    <row r="477">
      <c r="A477" s="41" t="n">
        <v>34182</v>
      </c>
      <c r="B477" s="21">
        <f>VLOOKUP(A477,'Database Rates'!$A$1:$D$1000,3,FALSE)</f>
        <v/>
      </c>
    </row>
    <row r="478">
      <c r="A478" s="41" t="n">
        <v>34213</v>
      </c>
      <c r="B478" s="21">
        <f>VLOOKUP(A478,'Database Rates'!$A$1:$D$1000,3,FALSE)</f>
        <v/>
      </c>
    </row>
    <row r="479">
      <c r="A479" s="41" t="n">
        <v>34243</v>
      </c>
      <c r="B479" s="21">
        <f>VLOOKUP(A479,'Database Rates'!$A$1:$D$1000,3,FALSE)</f>
        <v/>
      </c>
    </row>
    <row r="480">
      <c r="A480" s="41" t="n">
        <v>34274</v>
      </c>
      <c r="B480" s="21">
        <f>VLOOKUP(A480,'Database Rates'!$A$1:$D$1000,3,FALSE)</f>
        <v/>
      </c>
    </row>
    <row r="481">
      <c r="A481" s="41" t="n">
        <v>34304</v>
      </c>
      <c r="B481" s="21">
        <f>VLOOKUP(A481,'Database Rates'!$A$1:$D$1000,3,FALSE)</f>
        <v/>
      </c>
    </row>
    <row r="482">
      <c r="A482" s="41" t="n">
        <v>34335</v>
      </c>
      <c r="B482" s="21">
        <f>VLOOKUP(A482,'Database Rates'!$A$1:$D$1000,3,FALSE)</f>
        <v/>
      </c>
    </row>
    <row r="483">
      <c r="A483" s="41" t="n">
        <v>34366</v>
      </c>
      <c r="B483" s="21">
        <f>VLOOKUP(A483,'Database Rates'!$A$1:$D$1000,3,FALSE)</f>
        <v/>
      </c>
    </row>
    <row r="484">
      <c r="A484" s="41" t="n">
        <v>34394</v>
      </c>
      <c r="B484" s="21">
        <f>VLOOKUP(A484,'Database Rates'!$A$1:$D$1000,3,FALSE)</f>
        <v/>
      </c>
    </row>
    <row r="485">
      <c r="A485" s="41" t="n">
        <v>34425</v>
      </c>
      <c r="B485" s="21">
        <f>VLOOKUP(A485,'Database Rates'!$A$1:$D$1000,3,FALSE)</f>
        <v/>
      </c>
    </row>
    <row r="486">
      <c r="A486" s="41" t="n">
        <v>34455</v>
      </c>
      <c r="B486" s="21">
        <f>VLOOKUP(A486,'Database Rates'!$A$1:$D$1000,3,FALSE)</f>
        <v/>
      </c>
    </row>
    <row r="487">
      <c r="A487" s="41" t="n">
        <v>34486</v>
      </c>
      <c r="B487" s="21">
        <f>VLOOKUP(A487,'Database Rates'!$A$1:$D$1000,3,FALSE)</f>
        <v/>
      </c>
    </row>
    <row r="488">
      <c r="A488" s="41" t="n">
        <v>34516</v>
      </c>
      <c r="B488" s="21">
        <f>VLOOKUP(A488,'Database Rates'!$A$1:$D$1000,3,FALSE)</f>
        <v/>
      </c>
    </row>
    <row r="489">
      <c r="A489" s="41" t="n">
        <v>34547</v>
      </c>
      <c r="B489" s="21">
        <f>VLOOKUP(A489,'Database Rates'!$A$1:$D$1000,3,FALSE)</f>
        <v/>
      </c>
    </row>
    <row r="490">
      <c r="A490" s="41" t="n">
        <v>34578</v>
      </c>
      <c r="B490" s="21">
        <f>VLOOKUP(A490,'Database Rates'!$A$1:$D$1000,3,FALSE)</f>
        <v/>
      </c>
    </row>
    <row r="491">
      <c r="A491" s="41" t="n">
        <v>34608</v>
      </c>
      <c r="B491" s="21">
        <f>VLOOKUP(A491,'Database Rates'!$A$1:$D$1000,3,FALSE)</f>
        <v/>
      </c>
    </row>
    <row r="492">
      <c r="A492" s="41" t="n">
        <v>34639</v>
      </c>
      <c r="B492" s="21">
        <f>VLOOKUP(A492,'Database Rates'!$A$1:$D$1000,3,FALSE)</f>
        <v/>
      </c>
    </row>
    <row r="493">
      <c r="A493" s="41" t="n">
        <v>34669</v>
      </c>
      <c r="B493" s="21">
        <f>VLOOKUP(A493,'Database Rates'!$A$1:$D$1000,3,FALSE)</f>
        <v/>
      </c>
    </row>
    <row r="494">
      <c r="A494" s="41" t="n">
        <v>34700</v>
      </c>
      <c r="B494" s="21">
        <f>VLOOKUP(A494,'Database Rates'!$A$1:$D$1000,3,FALSE)</f>
        <v/>
      </c>
    </row>
    <row r="495">
      <c r="A495" s="41" t="n">
        <v>34731</v>
      </c>
      <c r="B495" s="21">
        <f>VLOOKUP(A495,'Database Rates'!$A$1:$D$1000,3,FALSE)</f>
        <v/>
      </c>
    </row>
    <row r="496">
      <c r="A496" s="41" t="n">
        <v>34759</v>
      </c>
      <c r="B496" s="21">
        <f>VLOOKUP(A496,'Database Rates'!$A$1:$D$1000,3,FALSE)</f>
        <v/>
      </c>
    </row>
    <row r="497">
      <c r="A497" s="41" t="n">
        <v>34790</v>
      </c>
      <c r="B497" s="21">
        <f>VLOOKUP(A497,'Database Rates'!$A$1:$D$1000,3,FALSE)</f>
        <v/>
      </c>
    </row>
    <row r="498">
      <c r="A498" s="41" t="n">
        <v>34820</v>
      </c>
      <c r="B498" s="21">
        <f>VLOOKUP(A498,'Database Rates'!$A$1:$D$1000,3,FALSE)</f>
        <v/>
      </c>
    </row>
    <row r="499">
      <c r="A499" s="41" t="n">
        <v>34851</v>
      </c>
      <c r="B499" s="21">
        <f>VLOOKUP(A499,'Database Rates'!$A$1:$D$1000,3,FALSE)</f>
        <v/>
      </c>
    </row>
    <row r="500">
      <c r="A500" s="41" t="n">
        <v>34881</v>
      </c>
      <c r="B500" s="21">
        <f>VLOOKUP(A500,'Database Rates'!$A$1:$D$1000,3,FALSE)</f>
        <v/>
      </c>
    </row>
    <row r="501">
      <c r="A501" s="41" t="n">
        <v>34912</v>
      </c>
      <c r="B501" s="21">
        <f>VLOOKUP(A501,'Database Rates'!$A$1:$D$1000,3,FALSE)</f>
        <v/>
      </c>
    </row>
    <row r="502">
      <c r="A502" s="41" t="n">
        <v>34943</v>
      </c>
      <c r="B502" s="21">
        <f>VLOOKUP(A502,'Database Rates'!$A$1:$D$1000,3,FALSE)</f>
        <v/>
      </c>
    </row>
    <row r="503">
      <c r="A503" s="41" t="n">
        <v>34973</v>
      </c>
      <c r="B503" s="21">
        <f>VLOOKUP(A503,'Database Rates'!$A$1:$D$1000,3,FALSE)</f>
        <v/>
      </c>
    </row>
    <row r="504">
      <c r="A504" s="41" t="n">
        <v>35004</v>
      </c>
      <c r="B504" s="21">
        <f>VLOOKUP(A504,'Database Rates'!$A$1:$D$1000,3,FALSE)</f>
        <v/>
      </c>
    </row>
    <row r="505">
      <c r="A505" s="41" t="n">
        <v>35034</v>
      </c>
      <c r="B505" s="21">
        <f>VLOOKUP(A505,'Database Rates'!$A$1:$D$1000,3,FALSE)</f>
        <v/>
      </c>
    </row>
    <row r="506">
      <c r="A506" s="41" t="n">
        <v>35065</v>
      </c>
      <c r="B506" s="21">
        <f>VLOOKUP(A506,'Database Rates'!$A$1:$D$1000,3,FALSE)</f>
        <v/>
      </c>
    </row>
    <row r="507">
      <c r="A507" s="41" t="n">
        <v>35096</v>
      </c>
      <c r="B507" s="21">
        <f>VLOOKUP(A507,'Database Rates'!$A$1:$D$1000,3,FALSE)</f>
        <v/>
      </c>
    </row>
    <row r="508">
      <c r="A508" s="41" t="n">
        <v>35125</v>
      </c>
      <c r="B508" s="21">
        <f>VLOOKUP(A508,'Database Rates'!$A$1:$D$1000,3,FALSE)</f>
        <v/>
      </c>
    </row>
    <row r="509">
      <c r="A509" s="41" t="n">
        <v>35156</v>
      </c>
      <c r="B509" s="21">
        <f>VLOOKUP(A509,'Database Rates'!$A$1:$D$1000,3,FALSE)</f>
        <v/>
      </c>
    </row>
    <row r="510">
      <c r="A510" s="41" t="n">
        <v>35186</v>
      </c>
      <c r="B510" s="21">
        <f>VLOOKUP(A510,'Database Rates'!$A$1:$D$1000,3,FALSE)</f>
        <v/>
      </c>
    </row>
    <row r="511">
      <c r="A511" s="41" t="n">
        <v>35217</v>
      </c>
      <c r="B511" s="21">
        <f>VLOOKUP(A511,'Database Rates'!$A$1:$D$1000,3,FALSE)</f>
        <v/>
      </c>
    </row>
    <row r="512">
      <c r="A512" s="41" t="n">
        <v>35247</v>
      </c>
      <c r="B512" s="21">
        <f>VLOOKUP(A512,'Database Rates'!$A$1:$D$1000,3,FALSE)</f>
        <v/>
      </c>
    </row>
    <row r="513">
      <c r="A513" s="41" t="n">
        <v>35278</v>
      </c>
      <c r="B513" s="21">
        <f>VLOOKUP(A513,'Database Rates'!$A$1:$D$1000,3,FALSE)</f>
        <v/>
      </c>
    </row>
    <row r="514">
      <c r="A514" s="41" t="n">
        <v>35309</v>
      </c>
      <c r="B514" s="21">
        <f>VLOOKUP(A514,'Database Rates'!$A$1:$D$1000,3,FALSE)</f>
        <v/>
      </c>
    </row>
    <row r="515">
      <c r="A515" s="41" t="n">
        <v>35339</v>
      </c>
      <c r="B515" s="21">
        <f>VLOOKUP(A515,'Database Rates'!$A$1:$D$1000,3,FALSE)</f>
        <v/>
      </c>
    </row>
    <row r="516">
      <c r="A516" s="41" t="n">
        <v>35370</v>
      </c>
      <c r="B516" s="21">
        <f>VLOOKUP(A516,'Database Rates'!$A$1:$D$1000,3,FALSE)</f>
        <v/>
      </c>
    </row>
    <row r="517">
      <c r="A517" s="41" t="n">
        <v>35400</v>
      </c>
      <c r="B517" s="21">
        <f>VLOOKUP(A517,'Database Rates'!$A$1:$D$1000,3,FALSE)</f>
        <v/>
      </c>
    </row>
    <row r="518">
      <c r="A518" s="41" t="n">
        <v>35431</v>
      </c>
      <c r="B518" s="21">
        <f>VLOOKUP(A518,'Database Rates'!$A$1:$D$1000,3,FALSE)</f>
        <v/>
      </c>
    </row>
    <row r="519">
      <c r="A519" s="41" t="n">
        <v>35462</v>
      </c>
      <c r="B519" s="21">
        <f>VLOOKUP(A519,'Database Rates'!$A$1:$D$1000,3,FALSE)</f>
        <v/>
      </c>
    </row>
    <row r="520">
      <c r="A520" s="41" t="n">
        <v>35490</v>
      </c>
      <c r="B520" s="21">
        <f>VLOOKUP(A520,'Database Rates'!$A$1:$D$1000,3,FALSE)</f>
        <v/>
      </c>
    </row>
    <row r="521">
      <c r="A521" s="41" t="n">
        <v>35521</v>
      </c>
      <c r="B521" s="21">
        <f>VLOOKUP(A521,'Database Rates'!$A$1:$D$1000,3,FALSE)</f>
        <v/>
      </c>
    </row>
    <row r="522">
      <c r="A522" s="41" t="n">
        <v>35551</v>
      </c>
      <c r="B522" s="21">
        <f>VLOOKUP(A522,'Database Rates'!$A$1:$D$1000,3,FALSE)</f>
        <v/>
      </c>
    </row>
    <row r="523">
      <c r="A523" s="41" t="n">
        <v>35582</v>
      </c>
      <c r="B523" s="21">
        <f>VLOOKUP(A523,'Database Rates'!$A$1:$D$1000,3,FALSE)</f>
        <v/>
      </c>
    </row>
    <row r="524">
      <c r="A524" s="41" t="n">
        <v>35612</v>
      </c>
      <c r="B524" s="21">
        <f>VLOOKUP(A524,'Database Rates'!$A$1:$D$1000,3,FALSE)</f>
        <v/>
      </c>
    </row>
    <row r="525">
      <c r="A525" s="41" t="n">
        <v>35643</v>
      </c>
      <c r="B525" s="21">
        <f>VLOOKUP(A525,'Database Rates'!$A$1:$D$1000,3,FALSE)</f>
        <v/>
      </c>
    </row>
    <row r="526">
      <c r="A526" s="41" t="n">
        <v>35674</v>
      </c>
      <c r="B526" s="21">
        <f>VLOOKUP(A526,'Database Rates'!$A$1:$D$1000,3,FALSE)</f>
        <v/>
      </c>
    </row>
    <row r="527">
      <c r="A527" s="41" t="n">
        <v>35704</v>
      </c>
      <c r="B527" s="21">
        <f>VLOOKUP(A527,'Database Rates'!$A$1:$D$1000,3,FALSE)</f>
        <v/>
      </c>
    </row>
    <row r="528">
      <c r="A528" s="41" t="n">
        <v>35735</v>
      </c>
      <c r="B528" s="21">
        <f>VLOOKUP(A528,'Database Rates'!$A$1:$D$1000,3,FALSE)</f>
        <v/>
      </c>
    </row>
    <row r="529">
      <c r="A529" s="41" t="n">
        <v>35765</v>
      </c>
      <c r="B529" s="21">
        <f>VLOOKUP(A529,'Database Rates'!$A$1:$D$1000,3,FALSE)</f>
        <v/>
      </c>
    </row>
    <row r="530">
      <c r="A530" s="41" t="n">
        <v>35796</v>
      </c>
      <c r="B530" s="21">
        <f>VLOOKUP(A530,'Database Rates'!$A$1:$D$1000,3,FALSE)</f>
        <v/>
      </c>
    </row>
    <row r="531">
      <c r="A531" s="41" t="n">
        <v>35827</v>
      </c>
      <c r="B531" s="21">
        <f>VLOOKUP(A531,'Database Rates'!$A$1:$D$1000,3,FALSE)</f>
        <v/>
      </c>
    </row>
    <row r="532">
      <c r="A532" s="41" t="n">
        <v>35855</v>
      </c>
      <c r="B532" s="21">
        <f>VLOOKUP(A532,'Database Rates'!$A$1:$D$1000,3,FALSE)</f>
        <v/>
      </c>
    </row>
    <row r="533">
      <c r="A533" s="41" t="n">
        <v>35886</v>
      </c>
      <c r="B533" s="21">
        <f>VLOOKUP(A533,'Database Rates'!$A$1:$D$1000,3,FALSE)</f>
        <v/>
      </c>
    </row>
    <row r="534">
      <c r="A534" s="41" t="n">
        <v>35916</v>
      </c>
      <c r="B534" s="21">
        <f>VLOOKUP(A534,'Database Rates'!$A$1:$D$1000,3,FALSE)</f>
        <v/>
      </c>
    </row>
    <row r="535">
      <c r="A535" s="41" t="n">
        <v>35947</v>
      </c>
      <c r="B535" s="21">
        <f>VLOOKUP(A535,'Database Rates'!$A$1:$D$1000,3,FALSE)</f>
        <v/>
      </c>
    </row>
    <row r="536">
      <c r="A536" s="41" t="n">
        <v>35977</v>
      </c>
      <c r="B536" s="21">
        <f>VLOOKUP(A536,'Database Rates'!$A$1:$D$1000,3,FALSE)</f>
        <v/>
      </c>
    </row>
    <row r="537">
      <c r="A537" s="41" t="n">
        <v>36008</v>
      </c>
      <c r="B537" s="21">
        <f>VLOOKUP(A537,'Database Rates'!$A$1:$D$1000,3,FALSE)</f>
        <v/>
      </c>
    </row>
    <row r="538">
      <c r="A538" s="41" t="n">
        <v>36039</v>
      </c>
      <c r="B538" s="21">
        <f>VLOOKUP(A538,'Database Rates'!$A$1:$D$1000,3,FALSE)</f>
        <v/>
      </c>
    </row>
    <row r="539">
      <c r="A539" s="41" t="n">
        <v>36069</v>
      </c>
      <c r="B539" s="21">
        <f>VLOOKUP(A539,'Database Rates'!$A$1:$D$1000,3,FALSE)</f>
        <v/>
      </c>
    </row>
    <row r="540">
      <c r="A540" s="41" t="n">
        <v>36100</v>
      </c>
      <c r="B540" s="21">
        <f>VLOOKUP(A540,'Database Rates'!$A$1:$D$1000,3,FALSE)</f>
        <v/>
      </c>
    </row>
    <row r="541">
      <c r="A541" s="41" t="n">
        <v>36130</v>
      </c>
      <c r="B541" s="21">
        <f>VLOOKUP(A541,'Database Rates'!$A$1:$D$1000,3,FALSE)</f>
        <v/>
      </c>
    </row>
    <row r="542">
      <c r="A542" s="41" t="n">
        <v>36161</v>
      </c>
      <c r="B542" s="21">
        <f>VLOOKUP(A542,'Database Rates'!$A$1:$D$1000,3,FALSE)</f>
        <v/>
      </c>
    </row>
    <row r="543">
      <c r="A543" s="41" t="n">
        <v>36192</v>
      </c>
      <c r="B543" s="21">
        <f>VLOOKUP(A543,'Database Rates'!$A$1:$D$1000,3,FALSE)</f>
        <v/>
      </c>
    </row>
    <row r="544">
      <c r="A544" s="41" t="n">
        <v>36220</v>
      </c>
      <c r="B544" s="21">
        <f>VLOOKUP(A544,'Database Rates'!$A$1:$D$1000,3,FALSE)</f>
        <v/>
      </c>
    </row>
    <row r="545">
      <c r="A545" s="41" t="n">
        <v>36251</v>
      </c>
      <c r="B545" s="21">
        <f>VLOOKUP(A545,'Database Rates'!$A$1:$D$1000,3,FALSE)</f>
        <v/>
      </c>
    </row>
    <row r="546">
      <c r="A546" s="41" t="n">
        <v>36281</v>
      </c>
      <c r="B546" s="21">
        <f>VLOOKUP(A546,'Database Rates'!$A$1:$D$1000,3,FALSE)</f>
        <v/>
      </c>
    </row>
    <row r="547">
      <c r="A547" s="41" t="n">
        <v>36312</v>
      </c>
      <c r="B547" s="21">
        <f>VLOOKUP(A547,'Database Rates'!$A$1:$D$1000,3,FALSE)</f>
        <v/>
      </c>
    </row>
    <row r="548">
      <c r="A548" s="41" t="n">
        <v>36342</v>
      </c>
      <c r="B548" s="21">
        <f>VLOOKUP(A548,'Database Rates'!$A$1:$D$1000,3,FALSE)</f>
        <v/>
      </c>
    </row>
    <row r="549">
      <c r="A549" s="41" t="n">
        <v>36373</v>
      </c>
      <c r="B549" s="21">
        <f>VLOOKUP(A549,'Database Rates'!$A$1:$D$1000,3,FALSE)</f>
        <v/>
      </c>
    </row>
    <row r="550">
      <c r="A550" s="41" t="n">
        <v>36404</v>
      </c>
      <c r="B550" s="21">
        <f>VLOOKUP(A550,'Database Rates'!$A$1:$D$1000,3,FALSE)</f>
        <v/>
      </c>
    </row>
    <row r="551">
      <c r="A551" s="41" t="n">
        <v>36434</v>
      </c>
      <c r="B551" s="21">
        <f>VLOOKUP(A551,'Database Rates'!$A$1:$D$1000,3,FALSE)</f>
        <v/>
      </c>
    </row>
    <row r="552">
      <c r="A552" s="41" t="n">
        <v>36465</v>
      </c>
      <c r="B552" s="21">
        <f>VLOOKUP(A552,'Database Rates'!$A$1:$D$1000,3,FALSE)</f>
        <v/>
      </c>
    </row>
    <row r="553">
      <c r="A553" s="41" t="n">
        <v>36495</v>
      </c>
      <c r="B553" s="21">
        <f>VLOOKUP(A553,'Database Rates'!$A$1:$D$1000,3,FALSE)</f>
        <v/>
      </c>
    </row>
    <row r="554">
      <c r="A554" s="41" t="n">
        <v>36526</v>
      </c>
      <c r="B554" s="21">
        <f>VLOOKUP(A554,'Database Rates'!$A$1:$D$1000,3,FALSE)</f>
        <v/>
      </c>
    </row>
    <row r="555">
      <c r="A555" s="41" t="n">
        <v>36557</v>
      </c>
      <c r="B555" s="21">
        <f>VLOOKUP(A555,'Database Rates'!$A$1:$D$1000,3,FALSE)</f>
        <v/>
      </c>
    </row>
    <row r="556">
      <c r="A556" s="41" t="n">
        <v>36586</v>
      </c>
      <c r="B556" s="21">
        <f>VLOOKUP(A556,'Database Rates'!$A$1:$D$1000,3,FALSE)</f>
        <v/>
      </c>
    </row>
    <row r="557">
      <c r="A557" s="41" t="n">
        <v>36617</v>
      </c>
      <c r="B557" s="21">
        <f>VLOOKUP(A557,'Database Rates'!$A$1:$D$1000,3,FALSE)</f>
        <v/>
      </c>
    </row>
    <row r="558">
      <c r="A558" s="41" t="n">
        <v>36647</v>
      </c>
      <c r="B558" s="21">
        <f>VLOOKUP(A558,'Database Rates'!$A$1:$D$1000,3,FALSE)</f>
        <v/>
      </c>
    </row>
    <row r="559">
      <c r="A559" s="41" t="n">
        <v>36678</v>
      </c>
      <c r="B559" s="21">
        <f>VLOOKUP(A559,'Database Rates'!$A$1:$D$1000,3,FALSE)</f>
        <v/>
      </c>
    </row>
    <row r="560">
      <c r="A560" s="41" t="n">
        <v>36708</v>
      </c>
      <c r="B560" s="21">
        <f>VLOOKUP(A560,'Database Rates'!$A$1:$D$1000,3,FALSE)</f>
        <v/>
      </c>
    </row>
    <row r="561">
      <c r="A561" s="41" t="n">
        <v>36739</v>
      </c>
      <c r="B561" s="21">
        <f>VLOOKUP(A561,'Database Rates'!$A$1:$D$1000,3,FALSE)</f>
        <v/>
      </c>
    </row>
    <row r="562">
      <c r="A562" s="41" t="n">
        <v>36770</v>
      </c>
      <c r="B562" s="21">
        <f>VLOOKUP(A562,'Database Rates'!$A$1:$D$1000,3,FALSE)</f>
        <v/>
      </c>
    </row>
    <row r="563">
      <c r="A563" s="41" t="n">
        <v>36800</v>
      </c>
      <c r="B563" s="21">
        <f>VLOOKUP(A563,'Database Rates'!$A$1:$D$1000,3,FALSE)</f>
        <v/>
      </c>
    </row>
    <row r="564">
      <c r="A564" s="41" t="n">
        <v>36831</v>
      </c>
      <c r="B564" s="21">
        <f>VLOOKUP(A564,'Database Rates'!$A$1:$D$1000,3,FALSE)</f>
        <v/>
      </c>
    </row>
    <row r="565">
      <c r="A565" s="41" t="n">
        <v>36861</v>
      </c>
      <c r="B565" s="21">
        <f>VLOOKUP(A565,'Database Rates'!$A$1:$D$1000,3,FALSE)</f>
        <v/>
      </c>
    </row>
    <row r="566">
      <c r="A566" s="41" t="n">
        <v>36892</v>
      </c>
      <c r="B566" s="21">
        <f>VLOOKUP(A566,'Database Rates'!$A$1:$D$1000,3,FALSE)</f>
        <v/>
      </c>
    </row>
    <row r="567">
      <c r="A567" s="41" t="n">
        <v>36923</v>
      </c>
      <c r="B567" s="21">
        <f>VLOOKUP(A567,'Database Rates'!$A$1:$D$1000,3,FALSE)</f>
        <v/>
      </c>
    </row>
    <row r="568">
      <c r="A568" s="41" t="n">
        <v>36951</v>
      </c>
      <c r="B568" s="21">
        <f>VLOOKUP(A568,'Database Rates'!$A$1:$D$1000,3,FALSE)</f>
        <v/>
      </c>
    </row>
    <row r="569">
      <c r="A569" s="41" t="n">
        <v>36982</v>
      </c>
      <c r="B569" s="21">
        <f>VLOOKUP(A569,'Database Rates'!$A$1:$D$1000,3,FALSE)</f>
        <v/>
      </c>
    </row>
    <row r="570">
      <c r="A570" s="41" t="n">
        <v>37012</v>
      </c>
      <c r="B570" s="21">
        <f>VLOOKUP(A570,'Database Rates'!$A$1:$D$1000,3,FALSE)</f>
        <v/>
      </c>
    </row>
    <row r="571">
      <c r="A571" s="41" t="n">
        <v>37043</v>
      </c>
      <c r="B571" s="21">
        <f>VLOOKUP(A571,'Database Rates'!$A$1:$D$1000,3,FALSE)</f>
        <v/>
      </c>
    </row>
    <row r="572">
      <c r="A572" s="41" t="n">
        <v>37073</v>
      </c>
      <c r="B572" s="21">
        <f>VLOOKUP(A572,'Database Rates'!$A$1:$D$1000,3,FALSE)</f>
        <v/>
      </c>
    </row>
    <row r="573">
      <c r="A573" s="41" t="n">
        <v>37104</v>
      </c>
      <c r="B573" s="21">
        <f>VLOOKUP(A573,'Database Rates'!$A$1:$D$1000,3,FALSE)</f>
        <v/>
      </c>
    </row>
    <row r="574">
      <c r="A574" s="41" t="n">
        <v>37135</v>
      </c>
      <c r="B574" s="21">
        <f>VLOOKUP(A574,'Database Rates'!$A$1:$D$1000,3,FALSE)</f>
        <v/>
      </c>
    </row>
    <row r="575">
      <c r="A575" s="41" t="n">
        <v>37165</v>
      </c>
      <c r="B575" s="21">
        <f>VLOOKUP(A575,'Database Rates'!$A$1:$D$1000,3,FALSE)</f>
        <v/>
      </c>
    </row>
    <row r="576">
      <c r="A576" s="41" t="n">
        <v>37196</v>
      </c>
      <c r="B576" s="21">
        <f>VLOOKUP(A576,'Database Rates'!$A$1:$D$1000,3,FALSE)</f>
        <v/>
      </c>
    </row>
    <row r="577">
      <c r="A577" s="41" t="n">
        <v>37226</v>
      </c>
      <c r="B577" s="21">
        <f>VLOOKUP(A577,'Database Rates'!$A$1:$D$1000,3,FALSE)</f>
        <v/>
      </c>
    </row>
    <row r="578">
      <c r="A578" s="41" t="n">
        <v>37257</v>
      </c>
      <c r="B578" s="21">
        <f>VLOOKUP(A578,'Database Rates'!$A$1:$D$1000,3,FALSE)</f>
        <v/>
      </c>
    </row>
    <row r="579">
      <c r="A579" s="41" t="n">
        <v>37288</v>
      </c>
      <c r="B579" s="21">
        <f>VLOOKUP(A579,'Database Rates'!$A$1:$D$1000,3,FALSE)</f>
        <v/>
      </c>
    </row>
    <row r="580">
      <c r="A580" s="41" t="n">
        <v>37316</v>
      </c>
      <c r="B580" s="21">
        <f>VLOOKUP(A580,'Database Rates'!$A$1:$D$1000,3,FALSE)</f>
        <v/>
      </c>
    </row>
    <row r="581">
      <c r="A581" s="41" t="n">
        <v>37347</v>
      </c>
      <c r="B581" s="21">
        <f>VLOOKUP(A581,'Database Rates'!$A$1:$D$1000,3,FALSE)</f>
        <v/>
      </c>
    </row>
    <row r="582">
      <c r="A582" s="41" t="n">
        <v>37377</v>
      </c>
      <c r="B582" s="21">
        <f>VLOOKUP(A582,'Database Rates'!$A$1:$D$1000,3,FALSE)</f>
        <v/>
      </c>
    </row>
    <row r="583">
      <c r="A583" s="41" t="n">
        <v>37408</v>
      </c>
      <c r="B583" s="21">
        <f>VLOOKUP(A583,'Database Rates'!$A$1:$D$1000,3,FALSE)</f>
        <v/>
      </c>
    </row>
    <row r="584">
      <c r="A584" s="41" t="n">
        <v>37438</v>
      </c>
      <c r="B584" s="21">
        <f>VLOOKUP(A584,'Database Rates'!$A$1:$D$1000,3,FALSE)</f>
        <v/>
      </c>
    </row>
    <row r="585">
      <c r="A585" s="41" t="n">
        <v>37469</v>
      </c>
      <c r="B585" s="21">
        <f>VLOOKUP(A585,'Database Rates'!$A$1:$D$1000,3,FALSE)</f>
        <v/>
      </c>
    </row>
    <row r="586">
      <c r="A586" s="41" t="n">
        <v>37500</v>
      </c>
      <c r="B586" s="21">
        <f>VLOOKUP(A586,'Database Rates'!$A$1:$D$1000,3,FALSE)</f>
        <v/>
      </c>
    </row>
    <row r="587">
      <c r="A587" s="41" t="n">
        <v>37530</v>
      </c>
      <c r="B587" s="21">
        <f>VLOOKUP(A587,'Database Rates'!$A$1:$D$1000,3,FALSE)</f>
        <v/>
      </c>
    </row>
    <row r="588">
      <c r="A588" s="41" t="n">
        <v>37561</v>
      </c>
      <c r="B588" s="21">
        <f>VLOOKUP(A588,'Database Rates'!$A$1:$D$1000,3,FALSE)</f>
        <v/>
      </c>
    </row>
    <row r="589">
      <c r="A589" s="41" t="n">
        <v>37591</v>
      </c>
      <c r="B589" s="21">
        <f>VLOOKUP(A589,'Database Rates'!$A$1:$D$1000,3,FALSE)</f>
        <v/>
      </c>
    </row>
    <row r="590">
      <c r="A590" s="41" t="n">
        <v>37622</v>
      </c>
      <c r="B590" s="21">
        <f>VLOOKUP(A590,'Database Rates'!$A$1:$D$1000,3,FALSE)</f>
        <v/>
      </c>
    </row>
    <row r="591">
      <c r="A591" s="41" t="n">
        <v>37653</v>
      </c>
      <c r="B591" s="21">
        <f>VLOOKUP(A591,'Database Rates'!$A$1:$D$1000,3,FALSE)</f>
        <v/>
      </c>
    </row>
    <row r="592">
      <c r="A592" s="41" t="n">
        <v>37681</v>
      </c>
      <c r="B592" s="21">
        <f>VLOOKUP(A592,'Database Rates'!$A$1:$D$1000,3,FALSE)</f>
        <v/>
      </c>
    </row>
    <row r="593">
      <c r="A593" s="41" t="n">
        <v>37712</v>
      </c>
      <c r="B593" s="21">
        <f>VLOOKUP(A593,'Database Rates'!$A$1:$D$1000,3,FALSE)</f>
        <v/>
      </c>
    </row>
    <row r="594">
      <c r="A594" s="41" t="n">
        <v>37742</v>
      </c>
      <c r="B594" s="21">
        <f>VLOOKUP(A594,'Database Rates'!$A$1:$D$1000,3,FALSE)</f>
        <v/>
      </c>
    </row>
    <row r="595">
      <c r="A595" s="41" t="n">
        <v>37773</v>
      </c>
      <c r="B595" s="21">
        <f>VLOOKUP(A595,'Database Rates'!$A$1:$D$1000,3,FALSE)</f>
        <v/>
      </c>
    </row>
    <row r="596">
      <c r="A596" s="41" t="n">
        <v>37803</v>
      </c>
      <c r="B596" s="21">
        <f>VLOOKUP(A596,'Database Rates'!$A$1:$D$1000,3,FALSE)</f>
        <v/>
      </c>
    </row>
    <row r="597">
      <c r="A597" s="41" t="n">
        <v>37834</v>
      </c>
      <c r="B597" s="21">
        <f>VLOOKUP(A597,'Database Rates'!$A$1:$D$1000,3,FALSE)</f>
        <v/>
      </c>
    </row>
    <row r="598">
      <c r="A598" s="41" t="n">
        <v>37865</v>
      </c>
      <c r="B598" s="21">
        <f>VLOOKUP(A598,'Database Rates'!$A$1:$D$1000,3,FALSE)</f>
        <v/>
      </c>
    </row>
    <row r="599">
      <c r="A599" s="41" t="n">
        <v>37895</v>
      </c>
      <c r="B599" s="21">
        <f>VLOOKUP(A599,'Database Rates'!$A$1:$D$1000,3,FALSE)</f>
        <v/>
      </c>
    </row>
    <row r="600">
      <c r="A600" s="41" t="n">
        <v>37926</v>
      </c>
      <c r="B600" s="21">
        <f>VLOOKUP(A600,'Database Rates'!$A$1:$D$1000,3,FALSE)</f>
        <v/>
      </c>
    </row>
    <row r="601">
      <c r="A601" s="41" t="n">
        <v>37956</v>
      </c>
      <c r="B601" s="21">
        <f>VLOOKUP(A601,'Database Rates'!$A$1:$D$1000,3,FALSE)</f>
        <v/>
      </c>
    </row>
    <row r="602">
      <c r="A602" s="41" t="n">
        <v>37987</v>
      </c>
      <c r="B602" s="21">
        <f>VLOOKUP(A602,'Database Rates'!$A$1:$D$1000,3,FALSE)</f>
        <v/>
      </c>
    </row>
    <row r="603">
      <c r="A603" s="41" t="n">
        <v>38018</v>
      </c>
      <c r="B603" s="21">
        <f>VLOOKUP(A603,'Database Rates'!$A$1:$D$1000,3,FALSE)</f>
        <v/>
      </c>
    </row>
    <row r="604">
      <c r="A604" s="41" t="n">
        <v>38047</v>
      </c>
      <c r="B604" s="21">
        <f>VLOOKUP(A604,'Database Rates'!$A$1:$D$1000,3,FALSE)</f>
        <v/>
      </c>
    </row>
    <row r="605">
      <c r="A605" s="41" t="n">
        <v>38078</v>
      </c>
      <c r="B605" s="21">
        <f>VLOOKUP(A605,'Database Rates'!$A$1:$D$1000,3,FALSE)</f>
        <v/>
      </c>
    </row>
    <row r="606">
      <c r="A606" s="41" t="n">
        <v>38108</v>
      </c>
      <c r="B606" s="21">
        <f>VLOOKUP(A606,'Database Rates'!$A$1:$D$1000,3,FALSE)</f>
        <v/>
      </c>
    </row>
    <row r="607">
      <c r="A607" s="41" t="n">
        <v>38139</v>
      </c>
      <c r="B607" s="21">
        <f>VLOOKUP(A607,'Database Rates'!$A$1:$D$1000,3,FALSE)</f>
        <v/>
      </c>
    </row>
    <row r="608">
      <c r="A608" s="41" t="n">
        <v>38169</v>
      </c>
      <c r="B608" s="21">
        <f>VLOOKUP(A608,'Database Rates'!$A$1:$D$1000,3,FALSE)</f>
        <v/>
      </c>
    </row>
    <row r="609">
      <c r="A609" s="41" t="n">
        <v>38200</v>
      </c>
      <c r="B609" s="21">
        <f>VLOOKUP(A609,'Database Rates'!$A$1:$D$1000,3,FALSE)</f>
        <v/>
      </c>
    </row>
    <row r="610">
      <c r="A610" s="41" t="n">
        <v>38231</v>
      </c>
      <c r="B610" s="21">
        <f>VLOOKUP(A610,'Database Rates'!$A$1:$D$1000,3,FALSE)</f>
        <v/>
      </c>
    </row>
    <row r="611">
      <c r="A611" s="41" t="n">
        <v>38261</v>
      </c>
      <c r="B611" s="21">
        <f>VLOOKUP(A611,'Database Rates'!$A$1:$D$1000,3,FALSE)</f>
        <v/>
      </c>
    </row>
    <row r="612">
      <c r="A612" s="41" t="n">
        <v>38292</v>
      </c>
      <c r="B612" s="21">
        <f>VLOOKUP(A612,'Database Rates'!$A$1:$D$1000,3,FALSE)</f>
        <v/>
      </c>
    </row>
    <row r="613">
      <c r="A613" s="41" t="n">
        <v>38322</v>
      </c>
      <c r="B613" s="21">
        <f>VLOOKUP(A613,'Database Rates'!$A$1:$D$1000,3,FALSE)</f>
        <v/>
      </c>
    </row>
    <row r="614">
      <c r="A614" s="41" t="n">
        <v>38353</v>
      </c>
      <c r="B614" s="21">
        <f>VLOOKUP(A614,'Database Rates'!$A$1:$D$1000,3,FALSE)</f>
        <v/>
      </c>
    </row>
    <row r="615">
      <c r="A615" s="41" t="n">
        <v>38384</v>
      </c>
      <c r="B615" s="21">
        <f>VLOOKUP(A615,'Database Rates'!$A$1:$D$1000,3,FALSE)</f>
        <v/>
      </c>
    </row>
    <row r="616">
      <c r="A616" s="41" t="n">
        <v>38412</v>
      </c>
      <c r="B616" s="21">
        <f>VLOOKUP(A616,'Database Rates'!$A$1:$D$1000,3,FALSE)</f>
        <v/>
      </c>
    </row>
    <row r="617">
      <c r="A617" s="41" t="n">
        <v>38443</v>
      </c>
      <c r="B617" s="21">
        <f>VLOOKUP(A617,'Database Rates'!$A$1:$D$1000,3,FALSE)</f>
        <v/>
      </c>
    </row>
    <row r="618">
      <c r="A618" s="41" t="n">
        <v>38473</v>
      </c>
      <c r="B618" s="21">
        <f>VLOOKUP(A618,'Database Rates'!$A$1:$D$1000,3,FALSE)</f>
        <v/>
      </c>
    </row>
    <row r="619">
      <c r="A619" s="41" t="n">
        <v>38504</v>
      </c>
      <c r="B619" s="21">
        <f>VLOOKUP(A619,'Database Rates'!$A$1:$D$1000,3,FALSE)</f>
        <v/>
      </c>
    </row>
    <row r="620">
      <c r="A620" s="41" t="n">
        <v>38534</v>
      </c>
      <c r="B620" s="21">
        <f>VLOOKUP(A620,'Database Rates'!$A$1:$D$1000,3,FALSE)</f>
        <v/>
      </c>
    </row>
    <row r="621">
      <c r="A621" s="41" t="n">
        <v>38565</v>
      </c>
      <c r="B621" s="21">
        <f>VLOOKUP(A621,'Database Rates'!$A$1:$D$1000,3,FALSE)</f>
        <v/>
      </c>
    </row>
    <row r="622">
      <c r="A622" s="41" t="n">
        <v>38596</v>
      </c>
      <c r="B622" s="21">
        <f>VLOOKUP(A622,'Database Rates'!$A$1:$D$1000,3,FALSE)</f>
        <v/>
      </c>
    </row>
    <row r="623">
      <c r="A623" s="41" t="n">
        <v>38626</v>
      </c>
      <c r="B623" s="21">
        <f>VLOOKUP(A623,'Database Rates'!$A$1:$D$1000,3,FALSE)</f>
        <v/>
      </c>
    </row>
    <row r="624">
      <c r="A624" s="41" t="n">
        <v>38657</v>
      </c>
      <c r="B624" s="21">
        <f>VLOOKUP(A624,'Database Rates'!$A$1:$D$1000,3,FALSE)</f>
        <v/>
      </c>
    </row>
    <row r="625">
      <c r="A625" s="41" t="n">
        <v>38687</v>
      </c>
      <c r="B625" s="21">
        <f>VLOOKUP(A625,'Database Rates'!$A$1:$D$1000,3,FALSE)</f>
        <v/>
      </c>
    </row>
    <row r="626">
      <c r="A626" s="41" t="n">
        <v>38718</v>
      </c>
      <c r="B626" s="21">
        <f>VLOOKUP(A626,'Database Rates'!$A$1:$D$1000,3,FALSE)</f>
        <v/>
      </c>
    </row>
    <row r="627">
      <c r="A627" s="41" t="n">
        <v>38749</v>
      </c>
      <c r="B627" s="21">
        <f>VLOOKUP(A627,'Database Rates'!$A$1:$D$1000,3,FALSE)</f>
        <v/>
      </c>
    </row>
    <row r="628">
      <c r="A628" s="41" t="n">
        <v>38777</v>
      </c>
      <c r="B628" s="21">
        <f>VLOOKUP(A628,'Database Rates'!$A$1:$D$1000,3,FALSE)</f>
        <v/>
      </c>
    </row>
    <row r="629">
      <c r="A629" s="41" t="n">
        <v>38808</v>
      </c>
      <c r="B629" s="21">
        <f>VLOOKUP(A629,'Database Rates'!$A$1:$D$1000,3,FALSE)</f>
        <v/>
      </c>
    </row>
    <row r="630">
      <c r="A630" s="41" t="n">
        <v>38838</v>
      </c>
      <c r="B630" s="21">
        <f>VLOOKUP(A630,'Database Rates'!$A$1:$D$1000,3,FALSE)</f>
        <v/>
      </c>
    </row>
    <row r="631">
      <c r="A631" s="41" t="n">
        <v>38869</v>
      </c>
      <c r="B631" s="21">
        <f>VLOOKUP(A631,'Database Rates'!$A$1:$D$1000,3,FALSE)</f>
        <v/>
      </c>
    </row>
    <row r="632">
      <c r="A632" s="41" t="n">
        <v>38899</v>
      </c>
      <c r="B632" s="21">
        <f>VLOOKUP(A632,'Database Rates'!$A$1:$D$1000,3,FALSE)</f>
        <v/>
      </c>
    </row>
    <row r="633">
      <c r="A633" s="41" t="n">
        <v>38930</v>
      </c>
      <c r="B633" s="21">
        <f>VLOOKUP(A633,'Database Rates'!$A$1:$D$1000,3,FALSE)</f>
        <v/>
      </c>
    </row>
    <row r="634">
      <c r="A634" s="41" t="n">
        <v>38961</v>
      </c>
      <c r="B634" s="21">
        <f>VLOOKUP(A634,'Database Rates'!$A$1:$D$1000,3,FALSE)</f>
        <v/>
      </c>
    </row>
    <row r="635">
      <c r="A635" s="41" t="n">
        <v>38991</v>
      </c>
      <c r="B635" s="21">
        <f>VLOOKUP(A635,'Database Rates'!$A$1:$D$1000,3,FALSE)</f>
        <v/>
      </c>
    </row>
    <row r="636">
      <c r="A636" s="41" t="n">
        <v>39022</v>
      </c>
      <c r="B636" s="21">
        <f>VLOOKUP(A636,'Database Rates'!$A$1:$D$1000,3,FALSE)</f>
        <v/>
      </c>
    </row>
    <row r="637">
      <c r="A637" s="41" t="n">
        <v>39052</v>
      </c>
      <c r="B637" s="21">
        <f>VLOOKUP(A637,'Database Rates'!$A$1:$D$1000,3,FALSE)</f>
        <v/>
      </c>
    </row>
    <row r="638">
      <c r="A638" s="41" t="n">
        <v>39083</v>
      </c>
      <c r="B638" s="21">
        <f>VLOOKUP(A638,'Database Rates'!$A$1:$D$1000,3,FALSE)</f>
        <v/>
      </c>
    </row>
    <row r="639">
      <c r="A639" s="41" t="n">
        <v>39114</v>
      </c>
      <c r="B639" s="21">
        <f>VLOOKUP(A639,'Database Rates'!$A$1:$D$1000,3,FALSE)</f>
        <v/>
      </c>
    </row>
    <row r="640">
      <c r="A640" s="41" t="n">
        <v>39142</v>
      </c>
      <c r="B640" s="21">
        <f>VLOOKUP(A640,'Database Rates'!$A$1:$D$1000,3,FALSE)</f>
        <v/>
      </c>
    </row>
    <row r="641">
      <c r="A641" s="41" t="n">
        <v>39173</v>
      </c>
      <c r="B641" s="21">
        <f>VLOOKUP(A641,'Database Rates'!$A$1:$D$1000,3,FALSE)</f>
        <v/>
      </c>
    </row>
    <row r="642">
      <c r="A642" s="41" t="n">
        <v>39203</v>
      </c>
      <c r="B642" s="21">
        <f>VLOOKUP(A642,'Database Rates'!$A$1:$D$1000,3,FALSE)</f>
        <v/>
      </c>
    </row>
    <row r="643">
      <c r="A643" s="41" t="n">
        <v>39234</v>
      </c>
      <c r="B643" s="21">
        <f>VLOOKUP(A643,'Database Rates'!$A$1:$D$1000,3,FALSE)</f>
        <v/>
      </c>
    </row>
    <row r="644">
      <c r="A644" s="41" t="n">
        <v>39264</v>
      </c>
      <c r="B644" s="21">
        <f>VLOOKUP(A644,'Database Rates'!$A$1:$D$1000,3,FALSE)</f>
        <v/>
      </c>
    </row>
    <row r="645">
      <c r="A645" s="41" t="n">
        <v>39295</v>
      </c>
      <c r="B645" s="21">
        <f>VLOOKUP(A645,'Database Rates'!$A$1:$D$1000,3,FALSE)</f>
        <v/>
      </c>
    </row>
    <row r="646">
      <c r="A646" s="41" t="n">
        <v>39326</v>
      </c>
      <c r="B646" s="21">
        <f>VLOOKUP(A646,'Database Rates'!$A$1:$D$1000,3,FALSE)</f>
        <v/>
      </c>
    </row>
    <row r="647">
      <c r="A647" s="41" t="n">
        <v>39356</v>
      </c>
      <c r="B647" s="21">
        <f>VLOOKUP(A647,'Database Rates'!$A$1:$D$1000,3,FALSE)</f>
        <v/>
      </c>
    </row>
    <row r="648">
      <c r="A648" s="41" t="n">
        <v>39387</v>
      </c>
      <c r="B648" s="21">
        <f>VLOOKUP(A648,'Database Rates'!$A$1:$D$1000,3,FALSE)</f>
        <v/>
      </c>
    </row>
    <row r="649">
      <c r="A649" s="41" t="n">
        <v>39417</v>
      </c>
      <c r="B649" s="21">
        <f>VLOOKUP(A649,'Database Rates'!$A$1:$D$1000,3,FALSE)</f>
        <v/>
      </c>
    </row>
    <row r="650">
      <c r="A650" s="41" t="n">
        <v>39448</v>
      </c>
      <c r="B650" s="21">
        <f>VLOOKUP(A650,'Database Rates'!$A$1:$D$1000,3,FALSE)</f>
        <v/>
      </c>
    </row>
    <row r="651">
      <c r="A651" s="41" t="n">
        <v>39479</v>
      </c>
      <c r="B651" s="21">
        <f>VLOOKUP(A651,'Database Rates'!$A$1:$D$1000,3,FALSE)</f>
        <v/>
      </c>
    </row>
    <row r="652">
      <c r="A652" s="41" t="n">
        <v>39508</v>
      </c>
      <c r="B652" s="21">
        <f>VLOOKUP(A652,'Database Rates'!$A$1:$D$1000,3,FALSE)</f>
        <v/>
      </c>
    </row>
    <row r="653">
      <c r="A653" s="41" t="n">
        <v>39539</v>
      </c>
      <c r="B653" s="21">
        <f>VLOOKUP(A653,'Database Rates'!$A$1:$D$1000,3,FALSE)</f>
        <v/>
      </c>
    </row>
    <row r="654">
      <c r="A654" s="41" t="n">
        <v>39569</v>
      </c>
      <c r="B654" s="21">
        <f>VLOOKUP(A654,'Database Rates'!$A$1:$D$1000,3,FALSE)</f>
        <v/>
      </c>
    </row>
    <row r="655">
      <c r="A655" s="41" t="n">
        <v>39600</v>
      </c>
      <c r="B655" s="21">
        <f>VLOOKUP(A655,'Database Rates'!$A$1:$D$1000,3,FALSE)</f>
        <v/>
      </c>
    </row>
    <row r="656">
      <c r="A656" s="41" t="n">
        <v>39630</v>
      </c>
      <c r="B656" s="21">
        <f>VLOOKUP(A656,'Database Rates'!$A$1:$D$1000,3,FALSE)</f>
        <v/>
      </c>
    </row>
    <row r="657">
      <c r="A657" s="41" t="n">
        <v>39661</v>
      </c>
      <c r="B657" s="21">
        <f>VLOOKUP(A657,'Database Rates'!$A$1:$D$1000,3,FALSE)</f>
        <v/>
      </c>
    </row>
    <row r="658">
      <c r="A658" s="41" t="n">
        <v>39692</v>
      </c>
      <c r="B658" s="21">
        <f>VLOOKUP(A658,'Database Rates'!$A$1:$D$1000,3,FALSE)</f>
        <v/>
      </c>
    </row>
    <row r="659">
      <c r="A659" s="41" t="n">
        <v>39722</v>
      </c>
      <c r="B659" s="21">
        <f>VLOOKUP(A659,'Database Rates'!$A$1:$D$1000,3,FALSE)</f>
        <v/>
      </c>
    </row>
    <row r="660">
      <c r="A660" s="41" t="n">
        <v>39753</v>
      </c>
      <c r="B660" s="21">
        <f>VLOOKUP(A660,'Database Rates'!$A$1:$D$1000,3,FALSE)</f>
        <v/>
      </c>
    </row>
    <row r="661">
      <c r="A661" s="41" t="n">
        <v>39783</v>
      </c>
      <c r="B661" s="21">
        <f>VLOOKUP(A661,'Database Rates'!$A$1:$D$1000,3,FALSE)</f>
        <v/>
      </c>
    </row>
    <row r="662">
      <c r="A662" s="41" t="n">
        <v>39814</v>
      </c>
      <c r="B662" s="21">
        <f>VLOOKUP(A662,'Database Rates'!$A$1:$D$1000,3,FALSE)</f>
        <v/>
      </c>
    </row>
    <row r="663">
      <c r="A663" s="41" t="n">
        <v>39845</v>
      </c>
      <c r="B663" s="21">
        <f>VLOOKUP(A663,'Database Rates'!$A$1:$D$1000,3,FALSE)</f>
        <v/>
      </c>
    </row>
    <row r="664">
      <c r="A664" s="41" t="n">
        <v>39873</v>
      </c>
      <c r="B664" s="21">
        <f>VLOOKUP(A664,'Database Rates'!$A$1:$D$1000,3,FALSE)</f>
        <v/>
      </c>
    </row>
    <row r="665">
      <c r="A665" s="41" t="n">
        <v>39904</v>
      </c>
      <c r="B665" s="21">
        <f>VLOOKUP(A665,'Database Rates'!$A$1:$D$1000,3,FALSE)</f>
        <v/>
      </c>
    </row>
    <row r="666">
      <c r="A666" s="41" t="n">
        <v>39934</v>
      </c>
      <c r="B666" s="21">
        <f>VLOOKUP(A666,'Database Rates'!$A$1:$D$1000,3,FALSE)</f>
        <v/>
      </c>
    </row>
    <row r="667">
      <c r="A667" s="41" t="n">
        <v>39965</v>
      </c>
      <c r="B667" s="21">
        <f>VLOOKUP(A667,'Database Rates'!$A$1:$D$1000,3,FALSE)</f>
        <v/>
      </c>
    </row>
    <row r="668">
      <c r="A668" s="41" t="n">
        <v>39995</v>
      </c>
      <c r="B668" s="21">
        <f>VLOOKUP(A668,'Database Rates'!$A$1:$D$1000,3,FALSE)</f>
        <v/>
      </c>
    </row>
    <row r="669">
      <c r="A669" s="41" t="n">
        <v>40026</v>
      </c>
      <c r="B669" s="21">
        <f>VLOOKUP(A669,'Database Rates'!$A$1:$D$1000,3,FALSE)</f>
        <v/>
      </c>
    </row>
    <row r="670">
      <c r="A670" s="41" t="n">
        <v>40057</v>
      </c>
      <c r="B670" s="21">
        <f>VLOOKUP(A670,'Database Rates'!$A$1:$D$1000,3,FALSE)</f>
        <v/>
      </c>
    </row>
    <row r="671">
      <c r="A671" s="41" t="n">
        <v>40087</v>
      </c>
      <c r="B671" s="21">
        <f>VLOOKUP(A671,'Database Rates'!$A$1:$D$1000,3,FALSE)</f>
        <v/>
      </c>
    </row>
    <row r="672">
      <c r="A672" s="41" t="n">
        <v>40118</v>
      </c>
      <c r="B672" s="21">
        <f>VLOOKUP(A672,'Database Rates'!$A$1:$D$1000,3,FALSE)</f>
        <v/>
      </c>
    </row>
    <row r="673">
      <c r="A673" s="41" t="n">
        <v>40148</v>
      </c>
      <c r="B673" s="21">
        <f>VLOOKUP(A673,'Database Rates'!$A$1:$D$1000,3,FALSE)</f>
        <v/>
      </c>
    </row>
    <row r="674">
      <c r="A674" s="41" t="n">
        <v>40179</v>
      </c>
      <c r="B674" s="21">
        <f>VLOOKUP(A674,'Database Rates'!$A$1:$D$1000,3,FALSE)</f>
        <v/>
      </c>
    </row>
    <row r="675">
      <c r="A675" s="41" t="n">
        <v>40210</v>
      </c>
      <c r="B675" s="21">
        <f>VLOOKUP(A675,'Database Rates'!$A$1:$D$1000,3,FALSE)</f>
        <v/>
      </c>
    </row>
    <row r="676">
      <c r="A676" s="41" t="n">
        <v>40238</v>
      </c>
      <c r="B676" s="21">
        <f>VLOOKUP(A676,'Database Rates'!$A$1:$D$1000,3,FALSE)</f>
        <v/>
      </c>
    </row>
    <row r="677">
      <c r="A677" s="41" t="n">
        <v>40269</v>
      </c>
      <c r="B677" s="21">
        <f>VLOOKUP(A677,'Database Rates'!$A$1:$D$1000,3,FALSE)</f>
        <v/>
      </c>
    </row>
    <row r="678">
      <c r="A678" s="41" t="n">
        <v>40299</v>
      </c>
      <c r="B678" s="21">
        <f>VLOOKUP(A678,'Database Rates'!$A$1:$D$1000,3,FALSE)</f>
        <v/>
      </c>
    </row>
    <row r="679">
      <c r="A679" s="41" t="n">
        <v>40330</v>
      </c>
      <c r="B679" s="21">
        <f>VLOOKUP(A679,'Database Rates'!$A$1:$D$1000,3,FALSE)</f>
        <v/>
      </c>
    </row>
    <row r="680">
      <c r="A680" s="41" t="n">
        <v>40360</v>
      </c>
      <c r="B680" s="21">
        <f>VLOOKUP(A680,'Database Rates'!$A$1:$D$1000,3,FALSE)</f>
        <v/>
      </c>
    </row>
    <row r="681">
      <c r="A681" s="41" t="n">
        <v>40391</v>
      </c>
      <c r="B681" s="21">
        <f>VLOOKUP(A681,'Database Rates'!$A$1:$D$1000,3,FALSE)</f>
        <v/>
      </c>
    </row>
    <row r="682">
      <c r="A682" s="41" t="n">
        <v>40422</v>
      </c>
      <c r="B682" s="21">
        <f>VLOOKUP(A682,'Database Rates'!$A$1:$D$1000,3,FALSE)</f>
        <v/>
      </c>
    </row>
    <row r="683">
      <c r="A683" s="41" t="n">
        <v>40452</v>
      </c>
      <c r="B683" s="21">
        <f>VLOOKUP(A683,'Database Rates'!$A$1:$D$1000,3,FALSE)</f>
        <v/>
      </c>
    </row>
    <row r="684">
      <c r="A684" s="41" t="n">
        <v>40483</v>
      </c>
      <c r="B684" s="21">
        <f>VLOOKUP(A684,'Database Rates'!$A$1:$D$1000,3,FALSE)</f>
        <v/>
      </c>
    </row>
    <row r="685">
      <c r="A685" s="41" t="n">
        <v>40513</v>
      </c>
      <c r="B685" s="21">
        <f>VLOOKUP(A685,'Database Rates'!$A$1:$D$1000,3,FALSE)</f>
        <v/>
      </c>
    </row>
    <row r="686">
      <c r="A686" s="41" t="n">
        <v>40544</v>
      </c>
      <c r="B686" s="21">
        <f>VLOOKUP(A686,'Database Rates'!$A$1:$D$1000,3,FALSE)</f>
        <v/>
      </c>
    </row>
    <row r="687">
      <c r="A687" s="41" t="n">
        <v>40575</v>
      </c>
      <c r="B687" s="21">
        <f>VLOOKUP(A687,'Database Rates'!$A$1:$D$1000,3,FALSE)</f>
        <v/>
      </c>
    </row>
    <row r="688">
      <c r="A688" s="41" t="n">
        <v>40603</v>
      </c>
      <c r="B688" s="21">
        <f>VLOOKUP(A688,'Database Rates'!$A$1:$D$1000,3,FALSE)</f>
        <v/>
      </c>
    </row>
    <row r="689">
      <c r="A689" s="41" t="n">
        <v>40634</v>
      </c>
      <c r="B689" s="21">
        <f>VLOOKUP(A689,'Database Rates'!$A$1:$D$1000,3,FALSE)</f>
        <v/>
      </c>
    </row>
    <row r="690">
      <c r="A690" s="41" t="n">
        <v>40664</v>
      </c>
      <c r="B690" s="21">
        <f>VLOOKUP(A690,'Database Rates'!$A$1:$D$1000,3,FALSE)</f>
        <v/>
      </c>
    </row>
    <row r="691">
      <c r="A691" s="41" t="n">
        <v>40695</v>
      </c>
      <c r="B691" s="21">
        <f>VLOOKUP(A691,'Database Rates'!$A$1:$D$1000,3,FALSE)</f>
        <v/>
      </c>
    </row>
    <row r="692">
      <c r="A692" s="41" t="n">
        <v>40725</v>
      </c>
      <c r="B692" s="21">
        <f>VLOOKUP(A692,'Database Rates'!$A$1:$D$1000,3,FALSE)</f>
        <v/>
      </c>
    </row>
    <row r="693">
      <c r="A693" s="41" t="n">
        <v>40756</v>
      </c>
      <c r="B693" s="21">
        <f>VLOOKUP(A693,'Database Rates'!$A$1:$D$1000,3,FALSE)</f>
        <v/>
      </c>
    </row>
    <row r="694">
      <c r="A694" s="41" t="n">
        <v>40787</v>
      </c>
      <c r="B694" s="21">
        <f>VLOOKUP(A694,'Database Rates'!$A$1:$D$1000,3,FALSE)</f>
        <v/>
      </c>
    </row>
    <row r="695">
      <c r="A695" s="41" t="n">
        <v>40817</v>
      </c>
      <c r="B695" s="21">
        <f>VLOOKUP(A695,'Database Rates'!$A$1:$D$1000,3,FALSE)</f>
        <v/>
      </c>
    </row>
    <row r="696">
      <c r="A696" s="41" t="n">
        <v>40848</v>
      </c>
      <c r="B696" s="21">
        <f>VLOOKUP(A696,'Database Rates'!$A$1:$D$1000,3,FALSE)</f>
        <v/>
      </c>
    </row>
    <row r="697">
      <c r="A697" s="41" t="n">
        <v>40878</v>
      </c>
      <c r="B697" s="21">
        <f>VLOOKUP(A697,'Database Rates'!$A$1:$D$1000,3,FALSE)</f>
        <v/>
      </c>
    </row>
    <row r="698">
      <c r="A698" s="41" t="n">
        <v>40909</v>
      </c>
      <c r="B698" s="21">
        <f>VLOOKUP(A698,'Database Rates'!$A$1:$D$1000,3,FALSE)</f>
        <v/>
      </c>
    </row>
    <row r="699">
      <c r="A699" s="41" t="n">
        <v>40940</v>
      </c>
      <c r="B699" s="21">
        <f>VLOOKUP(A699,'Database Rates'!$A$1:$D$1000,3,FALSE)</f>
        <v/>
      </c>
    </row>
    <row r="700">
      <c r="A700" s="41" t="n">
        <v>40969</v>
      </c>
      <c r="B700" s="21">
        <f>VLOOKUP(A700,'Database Rates'!$A$1:$D$1000,3,FALSE)</f>
        <v/>
      </c>
    </row>
    <row r="701">
      <c r="A701" s="41" t="n">
        <v>41000</v>
      </c>
      <c r="B701" s="21">
        <f>VLOOKUP(A701,'Database Rates'!$A$1:$D$1000,3,FALSE)</f>
        <v/>
      </c>
    </row>
    <row r="702">
      <c r="A702" s="41" t="n">
        <v>41030</v>
      </c>
      <c r="B702" s="21">
        <f>VLOOKUP(A702,'Database Rates'!$A$1:$D$1000,3,FALSE)</f>
        <v/>
      </c>
    </row>
    <row r="703">
      <c r="A703" s="41" t="n">
        <v>41061</v>
      </c>
      <c r="B703" s="21">
        <f>VLOOKUP(A703,'Database Rates'!$A$1:$D$1000,3,FALSE)</f>
        <v/>
      </c>
    </row>
    <row r="704">
      <c r="A704" s="41" t="n">
        <v>41091</v>
      </c>
      <c r="B704" s="21">
        <f>VLOOKUP(A704,'Database Rates'!$A$1:$D$1000,3,FALSE)</f>
        <v/>
      </c>
    </row>
    <row r="705">
      <c r="A705" s="41" t="n">
        <v>41122</v>
      </c>
      <c r="B705" s="21">
        <f>VLOOKUP(A705,'Database Rates'!$A$1:$D$1000,3,FALSE)</f>
        <v/>
      </c>
    </row>
    <row r="706">
      <c r="A706" s="41" t="n">
        <v>41153</v>
      </c>
      <c r="B706" s="21">
        <f>VLOOKUP(A706,'Database Rates'!$A$1:$D$1000,3,FALSE)</f>
        <v/>
      </c>
    </row>
    <row r="707">
      <c r="A707" s="41" t="n">
        <v>41183</v>
      </c>
      <c r="B707" s="21">
        <f>VLOOKUP(A707,'Database Rates'!$A$1:$D$1000,3,FALSE)</f>
        <v/>
      </c>
    </row>
    <row r="708">
      <c r="A708" s="41" t="n">
        <v>41214</v>
      </c>
      <c r="B708" s="21">
        <f>VLOOKUP(A708,'Database Rates'!$A$1:$D$1000,3,FALSE)</f>
        <v/>
      </c>
    </row>
    <row r="709">
      <c r="A709" s="41" t="n">
        <v>41244</v>
      </c>
      <c r="B709" s="21">
        <f>VLOOKUP(A709,'Database Rates'!$A$1:$D$1000,3,FALSE)</f>
        <v/>
      </c>
    </row>
    <row r="710">
      <c r="A710" s="41" t="n">
        <v>41275</v>
      </c>
      <c r="B710" s="21">
        <f>VLOOKUP(A710,'Database Rates'!$A$1:$D$1000,3,FALSE)</f>
        <v/>
      </c>
    </row>
    <row r="711">
      <c r="A711" s="41" t="n">
        <v>41306</v>
      </c>
      <c r="B711" s="21">
        <f>VLOOKUP(A711,'Database Rates'!$A$1:$D$1000,3,FALSE)</f>
        <v/>
      </c>
    </row>
    <row r="712">
      <c r="A712" s="41" t="n">
        <v>41334</v>
      </c>
      <c r="B712" s="21">
        <f>VLOOKUP(A712,'Database Rates'!$A$1:$D$1000,3,FALSE)</f>
        <v/>
      </c>
    </row>
    <row r="713">
      <c r="A713" s="41" t="n">
        <v>41365</v>
      </c>
      <c r="B713" s="21">
        <f>VLOOKUP(A713,'Database Rates'!$A$1:$D$1000,3,FALSE)</f>
        <v/>
      </c>
    </row>
    <row r="714">
      <c r="A714" s="41" t="n">
        <v>41395</v>
      </c>
      <c r="B714" s="21">
        <f>VLOOKUP(A714,'Database Rates'!$A$1:$D$1000,3,FALSE)</f>
        <v/>
      </c>
    </row>
    <row r="715">
      <c r="A715" s="41" t="n">
        <v>41426</v>
      </c>
      <c r="B715" s="21">
        <f>VLOOKUP(A715,'Database Rates'!$A$1:$D$1000,3,FALSE)</f>
        <v/>
      </c>
    </row>
    <row r="716">
      <c r="A716" s="41" t="n">
        <v>41456</v>
      </c>
      <c r="B716" s="21">
        <f>VLOOKUP(A716,'Database Rates'!$A$1:$D$1000,3,FALSE)</f>
        <v/>
      </c>
    </row>
    <row r="717">
      <c r="A717" s="41" t="n">
        <v>41487</v>
      </c>
      <c r="B717" s="21">
        <f>VLOOKUP(A717,'Database Rates'!$A$1:$D$1000,3,FALSE)</f>
        <v/>
      </c>
    </row>
    <row r="718">
      <c r="A718" s="41" t="n">
        <v>41518</v>
      </c>
      <c r="B718" s="21">
        <f>VLOOKUP(A718,'Database Rates'!$A$1:$D$1000,3,FALSE)</f>
        <v/>
      </c>
    </row>
    <row r="719">
      <c r="A719" s="41" t="n">
        <v>41548</v>
      </c>
      <c r="B719" s="21">
        <f>VLOOKUP(A719,'Database Rates'!$A$1:$D$1000,3,FALSE)</f>
        <v/>
      </c>
    </row>
    <row r="720">
      <c r="A720" s="41" t="n">
        <v>41579</v>
      </c>
      <c r="B720" s="21">
        <f>VLOOKUP(A720,'Database Rates'!$A$1:$D$1000,3,FALSE)</f>
        <v/>
      </c>
    </row>
    <row r="721">
      <c r="A721" s="41" t="n">
        <v>41609</v>
      </c>
      <c r="B721" s="21">
        <f>VLOOKUP(A721,'Database Rates'!$A$1:$D$1000,3,FALSE)</f>
        <v/>
      </c>
    </row>
    <row r="722">
      <c r="A722" s="41" t="n">
        <v>41640</v>
      </c>
      <c r="B722" s="21">
        <f>VLOOKUP(A722,'Database Rates'!$A$1:$D$1000,3,FALSE)</f>
        <v/>
      </c>
    </row>
    <row r="723">
      <c r="A723" s="41" t="n">
        <v>41671</v>
      </c>
      <c r="B723" s="21">
        <f>VLOOKUP(A723,'Database Rates'!$A$1:$D$1000,3,FALSE)</f>
        <v/>
      </c>
    </row>
    <row r="724">
      <c r="A724" s="41" t="n">
        <v>41699</v>
      </c>
      <c r="B724" s="21">
        <f>VLOOKUP(A724,'Database Rates'!$A$1:$D$1000,3,FALSE)</f>
        <v/>
      </c>
    </row>
    <row r="725">
      <c r="A725" s="41" t="n">
        <v>41730</v>
      </c>
      <c r="B725" s="21">
        <f>VLOOKUP(A725,'Database Rates'!$A$1:$D$1000,3,FALSE)</f>
        <v/>
      </c>
    </row>
    <row r="726">
      <c r="A726" s="41" t="n">
        <v>41760</v>
      </c>
      <c r="B726" s="21">
        <f>VLOOKUP(A726,'Database Rates'!$A$1:$D$1000,3,FALSE)</f>
        <v/>
      </c>
    </row>
    <row r="727">
      <c r="A727" s="41" t="n">
        <v>41791</v>
      </c>
      <c r="B727" s="21">
        <f>VLOOKUP(A727,'Database Rates'!$A$1:$D$1000,3,FALSE)</f>
        <v/>
      </c>
    </row>
    <row r="728">
      <c r="A728" s="41" t="n">
        <v>41821</v>
      </c>
      <c r="B728" s="21">
        <f>VLOOKUP(A728,'Database Rates'!$A$1:$D$1000,3,FALSE)</f>
        <v/>
      </c>
    </row>
    <row r="729">
      <c r="A729" s="41" t="n">
        <v>41852</v>
      </c>
      <c r="B729" s="21">
        <f>VLOOKUP(A729,'Database Rates'!$A$1:$D$1000,3,FALSE)</f>
        <v/>
      </c>
    </row>
    <row r="730">
      <c r="A730" s="41" t="n">
        <v>41883</v>
      </c>
      <c r="B730" s="21">
        <f>VLOOKUP(A730,'Database Rates'!$A$1:$D$1000,3,FALSE)</f>
        <v/>
      </c>
    </row>
    <row r="731">
      <c r="A731" s="41" t="n">
        <v>41913</v>
      </c>
      <c r="B731" s="21">
        <f>VLOOKUP(A731,'Database Rates'!$A$1:$D$1000,3,FALSE)</f>
        <v/>
      </c>
    </row>
    <row r="732">
      <c r="A732" s="41" t="n">
        <v>41944</v>
      </c>
      <c r="B732" s="21">
        <f>VLOOKUP(A732,'Database Rates'!$A$1:$D$1000,3,FALSE)</f>
        <v/>
      </c>
    </row>
    <row r="733">
      <c r="A733" s="41" t="n">
        <v>41974</v>
      </c>
      <c r="B733" s="21">
        <f>VLOOKUP(A733,'Database Rates'!$A$1:$D$1000,3,FALSE)</f>
        <v/>
      </c>
    </row>
    <row r="734">
      <c r="A734" s="41" t="n">
        <v>42005</v>
      </c>
      <c r="B734" s="21">
        <f>VLOOKUP(A734,'Database Rates'!$A$1:$D$1000,3,FALSE)</f>
        <v/>
      </c>
    </row>
    <row r="735">
      <c r="A735" s="41" t="n">
        <v>42036</v>
      </c>
      <c r="B735" s="21">
        <f>VLOOKUP(A735,'Database Rates'!$A$1:$D$1000,3,FALSE)</f>
        <v/>
      </c>
    </row>
    <row r="736">
      <c r="A736" s="41" t="n">
        <v>42064</v>
      </c>
      <c r="B736" s="21">
        <f>VLOOKUP(A736,'Database Rates'!$A$1:$D$1000,3,FALSE)</f>
        <v/>
      </c>
    </row>
    <row r="737">
      <c r="A737" s="41" t="n">
        <v>42095</v>
      </c>
      <c r="B737" s="21">
        <f>VLOOKUP(A737,'Database Rates'!$A$1:$D$1000,3,FALSE)</f>
        <v/>
      </c>
    </row>
    <row r="738">
      <c r="A738" s="41" t="n">
        <v>42125</v>
      </c>
      <c r="B738" s="21">
        <f>VLOOKUP(A738,'Database Rates'!$A$1:$D$1000,3,FALSE)</f>
        <v/>
      </c>
    </row>
    <row r="739">
      <c r="A739" s="41" t="n">
        <v>42156</v>
      </c>
      <c r="B739" s="21">
        <f>VLOOKUP(A739,'Database Rates'!$A$1:$D$1000,3,FALSE)</f>
        <v/>
      </c>
    </row>
    <row r="740">
      <c r="A740" s="41" t="n">
        <v>42186</v>
      </c>
      <c r="B740" s="21">
        <f>VLOOKUP(A740,'Database Rates'!$A$1:$D$1000,3,FALSE)</f>
        <v/>
      </c>
    </row>
    <row r="741">
      <c r="A741" s="41" t="n">
        <v>42217</v>
      </c>
      <c r="B741" s="21">
        <f>VLOOKUP(A741,'Database Rates'!$A$1:$D$1000,3,FALSE)</f>
        <v/>
      </c>
    </row>
    <row r="742">
      <c r="A742" s="41" t="n">
        <v>42248</v>
      </c>
      <c r="B742" s="21">
        <f>VLOOKUP(A742,'Database Rates'!$A$1:$D$1000,3,FALSE)</f>
        <v/>
      </c>
    </row>
    <row r="743">
      <c r="A743" s="41" t="n">
        <v>42278</v>
      </c>
      <c r="B743" s="21">
        <f>VLOOKUP(A743,'Database Rates'!$A$1:$D$1000,3,FALSE)</f>
        <v/>
      </c>
    </row>
    <row r="744">
      <c r="A744" s="41" t="n">
        <v>42309</v>
      </c>
      <c r="B744" s="21">
        <f>VLOOKUP(A744,'Database Rates'!$A$1:$D$1000,3,FALSE)</f>
        <v/>
      </c>
    </row>
    <row r="745">
      <c r="A745" s="41" t="n">
        <v>42339</v>
      </c>
      <c r="B745" s="21">
        <f>VLOOKUP(A745,'Database Rates'!$A$1:$D$1000,3,FALSE)</f>
        <v/>
      </c>
    </row>
    <row r="746">
      <c r="A746" s="41" t="n">
        <v>42370</v>
      </c>
      <c r="B746" s="21">
        <f>VLOOKUP(A746,'Database Rates'!$A$1:$D$1000,3,FALSE)</f>
        <v/>
      </c>
    </row>
    <row r="747">
      <c r="A747" s="41" t="n">
        <v>42401</v>
      </c>
      <c r="B747" s="21">
        <f>VLOOKUP(A747,'Database Rates'!$A$1:$D$1000,3,FALSE)</f>
        <v/>
      </c>
    </row>
    <row r="748">
      <c r="A748" s="41" t="n">
        <v>42430</v>
      </c>
      <c r="B748" s="21">
        <f>VLOOKUP(A748,'Database Rates'!$A$1:$D$1000,3,FALSE)</f>
        <v/>
      </c>
    </row>
    <row r="749">
      <c r="A749" s="41" t="n">
        <v>42461</v>
      </c>
      <c r="B749" s="21">
        <f>VLOOKUP(A749,'Database Rates'!$A$1:$D$1000,3,FALSE)</f>
        <v/>
      </c>
    </row>
    <row r="750">
      <c r="A750" s="41" t="n">
        <v>42491</v>
      </c>
      <c r="B750" s="21">
        <f>VLOOKUP(A750,'Database Rates'!$A$1:$D$1000,3,FALSE)</f>
        <v/>
      </c>
    </row>
    <row r="751">
      <c r="A751" s="41" t="n">
        <v>42522</v>
      </c>
      <c r="B751" s="21">
        <f>VLOOKUP(A751,'Database Rates'!$A$1:$D$1000,3,FALSE)</f>
        <v/>
      </c>
    </row>
    <row r="752">
      <c r="A752" s="41" t="n">
        <v>42552</v>
      </c>
      <c r="B752" s="21">
        <f>VLOOKUP(A752,'Database Rates'!$A$1:$D$1000,3,FALSE)</f>
        <v/>
      </c>
    </row>
    <row r="753">
      <c r="A753" s="41" t="n">
        <v>42583</v>
      </c>
      <c r="B753" s="21">
        <f>VLOOKUP(A753,'Database Rates'!$A$1:$D$1000,3,FALSE)</f>
        <v/>
      </c>
    </row>
    <row r="754">
      <c r="A754" s="41" t="n">
        <v>42614</v>
      </c>
      <c r="B754" s="21">
        <f>VLOOKUP(A754,'Database Rates'!$A$1:$D$1000,3,FALSE)</f>
        <v/>
      </c>
    </row>
    <row r="755">
      <c r="A755" s="41" t="n">
        <v>42644</v>
      </c>
      <c r="B755" s="21">
        <f>VLOOKUP(A755,'Database Rates'!$A$1:$D$1000,3,FALSE)</f>
        <v/>
      </c>
    </row>
    <row r="756">
      <c r="A756" s="41" t="n">
        <v>42675</v>
      </c>
      <c r="B756" s="21">
        <f>VLOOKUP(A756,'Database Rates'!$A$1:$D$1000,3,FALSE)</f>
        <v/>
      </c>
    </row>
    <row r="757">
      <c r="A757" s="41" t="n">
        <v>42705</v>
      </c>
      <c r="B757" s="21">
        <f>VLOOKUP(A757,'Database Rates'!$A$1:$D$1000,3,FALSE)</f>
        <v/>
      </c>
    </row>
    <row r="758">
      <c r="A758" s="41" t="n">
        <v>42736</v>
      </c>
      <c r="B758" s="21">
        <f>VLOOKUP(A758,'Database Rates'!$A$1:$D$1000,3,FALSE)</f>
        <v/>
      </c>
    </row>
    <row r="759">
      <c r="A759" s="41" t="n">
        <v>42767</v>
      </c>
      <c r="B759" s="21">
        <f>VLOOKUP(A759,'Database Rates'!$A$1:$D$1000,3,FALSE)</f>
        <v/>
      </c>
    </row>
    <row r="760">
      <c r="A760" s="41" t="n">
        <v>42795</v>
      </c>
      <c r="B760" s="21">
        <f>VLOOKUP(A760,'Database Rates'!$A$1:$D$1000,3,FALSE)</f>
        <v/>
      </c>
    </row>
    <row r="761">
      <c r="A761" s="41" t="n">
        <v>42826</v>
      </c>
      <c r="B761" s="21">
        <f>VLOOKUP(A761,'Database Rates'!$A$1:$D$1000,3,FALSE)</f>
        <v/>
      </c>
    </row>
    <row r="762">
      <c r="A762" s="41" t="n">
        <v>42856</v>
      </c>
      <c r="B762" s="21">
        <f>VLOOKUP(A762,'Database Rates'!$A$1:$D$1000,3,FALSE)</f>
        <v/>
      </c>
    </row>
    <row r="763">
      <c r="A763" s="41" t="n">
        <v>42887</v>
      </c>
      <c r="B763" s="21">
        <f>VLOOKUP(A763,'Database Rates'!$A$1:$D$1000,3,FALSE)</f>
        <v/>
      </c>
    </row>
    <row r="764">
      <c r="A764" s="41" t="n">
        <v>42917</v>
      </c>
      <c r="B764" s="21">
        <f>VLOOKUP(A764,'Database Rates'!$A$1:$D$1000,3,FALSE)</f>
        <v/>
      </c>
    </row>
    <row r="765">
      <c r="A765" s="41" t="n">
        <v>42948</v>
      </c>
      <c r="B765" s="21">
        <f>VLOOKUP(A765,'Database Rates'!$A$1:$D$1000,3,FALSE)</f>
        <v/>
      </c>
    </row>
    <row r="766">
      <c r="A766" s="41" t="n">
        <v>42979</v>
      </c>
      <c r="B766" s="21">
        <f>VLOOKUP(A766,'Database Rates'!$A$1:$D$1000,3,FALSE)</f>
        <v/>
      </c>
    </row>
    <row r="767">
      <c r="A767" s="41" t="n">
        <v>43009</v>
      </c>
      <c r="B767" s="21">
        <f>VLOOKUP(A767,'Database Rates'!$A$1:$D$1000,3,FALSE)</f>
        <v/>
      </c>
    </row>
    <row r="768">
      <c r="A768" s="41" t="n">
        <v>43040</v>
      </c>
      <c r="B768" s="21">
        <f>VLOOKUP(A768,'Database Rates'!$A$1:$D$1000,3,FALSE)</f>
        <v/>
      </c>
    </row>
    <row r="769">
      <c r="A769" s="41" t="n">
        <v>43070</v>
      </c>
      <c r="B769" s="21">
        <f>VLOOKUP(A769,'Database Rates'!$A$1:$D$1000,3,FALSE)</f>
        <v/>
      </c>
    </row>
    <row r="770">
      <c r="A770" s="41" t="n">
        <v>43101</v>
      </c>
      <c r="B770" s="21">
        <f>VLOOKUP(A770,'Database Rates'!$A$1:$D$1000,3,FALSE)</f>
        <v/>
      </c>
    </row>
    <row r="771">
      <c r="A771" s="41" t="n">
        <v>43132</v>
      </c>
      <c r="B771" s="21">
        <f>VLOOKUP(A771,'Database Rates'!$A$1:$D$1000,3,FALSE)</f>
        <v/>
      </c>
    </row>
    <row r="772">
      <c r="A772" s="41" t="n">
        <v>43160</v>
      </c>
      <c r="B772" s="21">
        <f>VLOOKUP(A772,'Database Rates'!$A$1:$D$1000,3,FALSE)</f>
        <v/>
      </c>
    </row>
    <row r="773">
      <c r="A773" s="41" t="n">
        <v>43191</v>
      </c>
      <c r="B773" s="21">
        <f>VLOOKUP(A773,'Database Rates'!$A$1:$D$1000,3,FALSE)</f>
        <v/>
      </c>
    </row>
    <row r="774">
      <c r="A774" s="41" t="n">
        <v>43221</v>
      </c>
      <c r="B774" s="21">
        <f>VLOOKUP(A774,'Database Rates'!$A$1:$D$1000,3,FALSE)</f>
        <v/>
      </c>
    </row>
    <row r="775">
      <c r="A775" s="41" t="n">
        <v>43252</v>
      </c>
      <c r="B775" s="21">
        <f>VLOOKUP(A775,'Database Rates'!$A$1:$D$1000,3,FALSE)</f>
        <v/>
      </c>
    </row>
    <row r="776">
      <c r="A776" s="41" t="n">
        <v>43282</v>
      </c>
      <c r="B776" s="21">
        <f>VLOOKUP(A776,'Database Rates'!$A$1:$D$1000,3,FALSE)</f>
        <v/>
      </c>
    </row>
    <row r="777">
      <c r="A777" s="41" t="n">
        <v>43313</v>
      </c>
      <c r="B777" s="21">
        <f>VLOOKUP(A777,'Database Rates'!$A$1:$D$1000,3,FALSE)</f>
        <v/>
      </c>
    </row>
    <row r="778">
      <c r="A778" s="41" t="n">
        <v>43344</v>
      </c>
      <c r="B778" s="21">
        <f>VLOOKUP(A778,'Database Rates'!$A$1:$D$1000,3,FALSE)</f>
        <v/>
      </c>
    </row>
    <row r="779">
      <c r="A779" s="41" t="n">
        <v>43374</v>
      </c>
      <c r="B779" s="21">
        <f>VLOOKUP(A779,'Database Rates'!$A$1:$D$1000,3,FALSE)</f>
        <v/>
      </c>
    </row>
    <row r="780">
      <c r="A780" s="41" t="n">
        <v>43405</v>
      </c>
      <c r="B780" s="21">
        <f>VLOOKUP(A780,'Database Rates'!$A$1:$D$1000,3,FALSE)</f>
        <v/>
      </c>
    </row>
    <row r="781">
      <c r="A781" s="41" t="n">
        <v>43435</v>
      </c>
      <c r="B781" s="21">
        <f>VLOOKUP(A781,'Database Rates'!$A$1:$D$1000,3,FALSE)</f>
        <v/>
      </c>
    </row>
    <row r="782">
      <c r="A782" s="41" t="n">
        <v>43466</v>
      </c>
      <c r="B782" s="21">
        <f>VLOOKUP(A782,'Database Rates'!$A$1:$D$1000,3,FALSE)</f>
        <v/>
      </c>
    </row>
    <row r="783">
      <c r="A783" s="41" t="n">
        <v>43497</v>
      </c>
      <c r="B783" s="21">
        <f>VLOOKUP(A783,'Database Rates'!$A$1:$D$1000,3,FALSE)</f>
        <v/>
      </c>
    </row>
    <row r="784">
      <c r="A784" s="41" t="n">
        <v>43525</v>
      </c>
      <c r="B784" s="21">
        <f>VLOOKUP(A784,'Database Rates'!$A$1:$D$1000,3,FALSE)</f>
        <v/>
      </c>
    </row>
    <row r="785">
      <c r="A785" s="43" t="n">
        <v>43556</v>
      </c>
      <c r="B785" s="21">
        <f>VLOOKUP(A785,'Database Rates'!$A$1:$D$1000,3,FALSE)</f>
        <v/>
      </c>
    </row>
    <row r="786">
      <c r="A786" s="41" t="n">
        <v>43586</v>
      </c>
      <c r="B786" s="21">
        <f>VLOOKUP(A786,'Database Rates'!$A$1:$D$1000,3,FALSE)</f>
        <v/>
      </c>
    </row>
    <row r="787">
      <c r="A787" s="41" t="n">
        <v>43617</v>
      </c>
      <c r="B787" s="21">
        <f>VLOOKUP(A787,'Database Rates'!$A$1:$D$1000,3,FALSE)</f>
        <v/>
      </c>
    </row>
    <row r="788">
      <c r="A788" s="41" t="n">
        <v>43647</v>
      </c>
      <c r="B788" s="21">
        <f>VLOOKUP(A788,'Database Rates'!$A$1:$D$1000,3,FALSE)</f>
        <v/>
      </c>
    </row>
    <row r="789">
      <c r="A789" s="41" t="n">
        <v>43678</v>
      </c>
      <c r="B789" s="21">
        <f>VLOOKUP(A789,'Database Rates'!$A$1:$D$1000,3,FALSE)</f>
        <v/>
      </c>
    </row>
    <row r="790">
      <c r="A790" s="41" t="n">
        <v>43709</v>
      </c>
      <c r="B790" s="21">
        <f>VLOOKUP(A790,'Database Rates'!$A$1:$D$1000,3,FALSE)</f>
        <v/>
      </c>
    </row>
    <row r="791">
      <c r="A791" s="41" t="n">
        <v>43739</v>
      </c>
      <c r="B791" s="21">
        <f>VLOOKUP(A791,'Database Rates'!$A$1:$D$1000,3,FALSE)</f>
        <v/>
      </c>
    </row>
    <row r="792">
      <c r="A792" s="41" t="n">
        <v>43770</v>
      </c>
      <c r="B792" s="21">
        <f>VLOOKUP(A792,'Database Rates'!$A$1:$D$1000,3,FALSE)</f>
        <v/>
      </c>
    </row>
    <row r="793">
      <c r="A793" s="41" t="n">
        <v>43800</v>
      </c>
      <c r="B793" s="21">
        <f>VLOOKUP(A793,'Database Rates'!$A$1:$D$1000,3,FALSE)</f>
        <v/>
      </c>
    </row>
    <row r="794">
      <c r="A794" s="41" t="n">
        <v>43831</v>
      </c>
      <c r="B794" s="21">
        <f>VLOOKUP(A794,'Database Rates'!$A$1:$D$1000,3,FALSE)</f>
        <v/>
      </c>
    </row>
    <row r="795">
      <c r="A795" s="41" t="n">
        <v>43862</v>
      </c>
      <c r="B795" s="21">
        <f>VLOOKUP(A795,'Database Rates'!$A$1:$D$1000,3,FALSE)</f>
        <v/>
      </c>
    </row>
    <row r="796">
      <c r="A796" s="42" t="n">
        <v>43891</v>
      </c>
      <c r="B796" s="21">
        <f>VLOOKUP(A796,'Database Rates'!$A$1:$D$1000,3,FALSE)</f>
        <v/>
      </c>
    </row>
    <row r="797">
      <c r="A797" s="41" t="n">
        <v>43922</v>
      </c>
      <c r="B797" s="21">
        <f>VLOOKUP(A797,'Database Rates'!$A$1:$D$1000,3,FALSE)</f>
        <v/>
      </c>
    </row>
    <row r="798">
      <c r="A798" s="42" t="n">
        <v>43952</v>
      </c>
      <c r="B798" s="21">
        <f>VLOOKUP(A798,'Database Rates'!$A$1:$D$1000,3,FALSE)</f>
        <v/>
      </c>
    </row>
    <row r="799">
      <c r="A799" s="41" t="n">
        <v>43983</v>
      </c>
      <c r="B799" s="21">
        <f>VLOOKUP(A799,'Database Rates'!$A$1:$D$1000,3,FALSE)</f>
        <v/>
      </c>
    </row>
    <row r="800">
      <c r="A800" s="42" t="n">
        <v>44013</v>
      </c>
      <c r="B800" s="21">
        <f>VLOOKUP(A800,'Database Rates'!$A$1:$D$1000,3,FALSE)</f>
        <v/>
      </c>
    </row>
    <row r="801">
      <c r="A801" s="41" t="n">
        <v>44044</v>
      </c>
      <c r="B801" s="21">
        <f>VLOOKUP(A801,'Database Rates'!$A$1:$D$1000,3,FALSE)</f>
        <v/>
      </c>
    </row>
    <row r="802">
      <c r="A802" s="42" t="n">
        <v>44075</v>
      </c>
      <c r="B802" s="21">
        <f>VLOOKUP(A802,'Database Rates'!$A$1:$D$1000,3,FALSE)</f>
        <v/>
      </c>
    </row>
    <row r="803">
      <c r="A803" s="41" t="n">
        <v>44105</v>
      </c>
      <c r="B803" s="21">
        <f>VLOOKUP(A803,'Database Rates'!$A$1:$D$1000,3,FALSE)</f>
        <v/>
      </c>
    </row>
    <row r="804">
      <c r="A804" s="42" t="n">
        <v>44136</v>
      </c>
      <c r="B804" s="21">
        <f>VLOOKUP(A804,'Database Rates'!$A$1:$D$1000,3,FALSE)</f>
        <v/>
      </c>
    </row>
    <row r="805">
      <c r="A805" s="41" t="n">
        <v>44166</v>
      </c>
      <c r="B805" s="21">
        <f>VLOOKUP(A805,'Database Rates'!$A$1:$D$1000,3,FALSE)</f>
        <v/>
      </c>
    </row>
    <row r="806">
      <c r="A806" s="42" t="n">
        <v>44197</v>
      </c>
      <c r="B806" s="21">
        <f>VLOOKUP(A806,'Database Rates'!$A$1:$D$1000,3,FALSE)</f>
        <v/>
      </c>
    </row>
    <row r="807">
      <c r="A807" s="41" t="n">
        <v>44228</v>
      </c>
      <c r="B807" s="21">
        <f>VLOOKUP(A807,'Database Rates'!$A$1:$D$1000,3,FALSE)</f>
        <v/>
      </c>
    </row>
    <row r="808">
      <c r="A808" s="42" t="n">
        <v>44256</v>
      </c>
      <c r="B808" s="21">
        <f>VLOOKUP(A808,'Database Rates'!$A$1:$D$1000,3,FALSE)</f>
        <v/>
      </c>
    </row>
    <row r="809">
      <c r="A809" s="41" t="n">
        <v>44287</v>
      </c>
      <c r="B809" s="21">
        <f>VLOOKUP(A809,'Database Rates'!$A$1:$D$1000,3,FALSE)</f>
        <v/>
      </c>
    </row>
    <row r="810">
      <c r="A810" s="42" t="n">
        <v>44317</v>
      </c>
      <c r="B810" s="21">
        <f>VLOOKUP(A810,'Database Rates'!$A$1:$D$1000,3,FALSE)</f>
        <v/>
      </c>
    </row>
    <row r="811">
      <c r="A811" s="41" t="n">
        <v>44348</v>
      </c>
      <c r="B811" s="21">
        <f>VLOOKUP(A811,'Database Rates'!$A$1:$D$1000,3,FALSE)</f>
        <v/>
      </c>
    </row>
    <row r="812">
      <c r="A812" s="42" t="n">
        <v>44378</v>
      </c>
      <c r="B812" s="21">
        <f>VLOOKUP(A812,'Database Rates'!$A$1:$D$1000,3,FALSE)</f>
        <v/>
      </c>
    </row>
    <row r="813">
      <c r="A813" s="41" t="n">
        <v>44409</v>
      </c>
      <c r="B813" s="21">
        <f>VLOOKUP(A813,'Database Rates'!$A$1:$D$1000,3,FALSE)</f>
        <v/>
      </c>
    </row>
    <row r="814">
      <c r="A814" s="41" t="n">
        <v>44440</v>
      </c>
      <c r="B814" s="21">
        <f>VLOOKUP(A814,'Database Rates'!$A$1:$D$1000,3,FALSE)</f>
        <v/>
      </c>
    </row>
    <row r="815">
      <c r="A815" s="42" t="n">
        <v>44470</v>
      </c>
      <c r="B815" s="21">
        <f>VLOOKUP(A815,'Database Rates'!$A$1:$D$1000,3,FALSE)</f>
        <v/>
      </c>
    </row>
    <row r="816">
      <c r="A816" s="41" t="n">
        <v>44501</v>
      </c>
      <c r="B816" s="21">
        <f>VLOOKUP(A816,'Database Rates'!$A$1:$D$1000,3,FALSE)</f>
        <v/>
      </c>
    </row>
    <row r="817">
      <c r="A817" s="41" t="n">
        <v>44531</v>
      </c>
      <c r="B817" s="21">
        <f>VLOOKUP(A817,'Database Rates'!$A$1:$D$1000,3,FALSE)</f>
        <v/>
      </c>
    </row>
    <row r="818">
      <c r="A818" s="42" t="n">
        <v>44562</v>
      </c>
      <c r="B818" s="21">
        <f>VLOOKUP(A818,'Database Rates'!$A$1:$D$1000,3,FALSE)</f>
        <v/>
      </c>
    </row>
    <row r="819">
      <c r="A819" s="42" t="n">
        <v>44593</v>
      </c>
      <c r="B819" s="21">
        <f>VLOOKUP(A819,'Database Rates'!$A$1:$D$1000,3,FALSE)</f>
        <v/>
      </c>
    </row>
    <row r="820">
      <c r="A820" s="41" t="n">
        <v>44621</v>
      </c>
      <c r="B820" s="21">
        <f>VLOOKUP(A820,'Database Rates'!$A$1:$D$1000,3,FALSE)</f>
        <v/>
      </c>
    </row>
    <row r="821">
      <c r="A821" s="41" t="n">
        <v>44652</v>
      </c>
      <c r="B821" s="21">
        <f>VLOOKUP(A821,'Database Rates'!$A$1:$D$1000,3,FALSE)</f>
        <v/>
      </c>
    </row>
    <row r="822">
      <c r="A822" s="41" t="n">
        <v>44682</v>
      </c>
      <c r="B822" s="21">
        <f>VLOOKUP(A822,'Database Rates'!$A$1:$D$1000,3,FALSE)</f>
        <v/>
      </c>
    </row>
    <row r="823">
      <c r="A823" s="41" t="n">
        <v>44713</v>
      </c>
      <c r="B823" s="21">
        <f>VLOOKUP(A823,'Database Rates'!$A$1:$D$1000,3,FALSE)</f>
        <v/>
      </c>
    </row>
    <row r="824">
      <c r="A824" s="41" t="n">
        <v>44743</v>
      </c>
      <c r="B824" s="21">
        <f>VLOOKUP(A824,'Database Rates'!$A$1:$D$1000,3,FALSE)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68"/>
  <sheetViews>
    <sheetView topLeftCell="D1" zoomScale="140" zoomScaleNormal="140" workbookViewId="0">
      <pane ySplit="6" topLeftCell="A749" activePane="bottomLeft" state="frozen"/>
      <selection pane="bottomLeft" activeCell="G772" sqref="G772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6" min="4" max="4"/>
    <col width="18.1640625" customWidth="1" style="56" min="5" max="5"/>
    <col width="9.1640625" customWidth="1" style="56" min="6" max="24"/>
    <col width="9.1640625" customWidth="1" style="56" min="25" max="16384"/>
  </cols>
  <sheetData>
    <row r="1">
      <c r="A1" s="5" t="inlineStr">
        <is>
          <t>https://fred.stlouisfed.org/series/M2SL</t>
        </is>
      </c>
    </row>
    <row r="3">
      <c r="A3" s="56" t="inlineStr">
        <is>
          <t>Average</t>
        </is>
      </c>
      <c r="B3" s="6">
        <f>AVERAGE(D8:D755)</f>
        <v/>
      </c>
    </row>
    <row r="4">
      <c r="A4" s="56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Rates'!$A$1:$D$1000,4,FALSE)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Rates'!$A$1:$D$1000,4,FALSE)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Rates'!$A$1:$D$1000,4,FALSE)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Rates'!$A$1:$D$1000,4,FALSE)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Rates'!$A$1:$D$1000,4,FALSE)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Rates'!$A$1:$D$1000,4,FALSE)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Rates'!$A$1:$D$1000,4,FALSE)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Rates'!$A$1:$D$1000,4,FALSE)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Rates'!$A$1:$D$1000,4,FALSE)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Rates'!$A$1:$D$1000,4,FALSE)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Rates'!$A$1:$D$1000,4,FALSE)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Rates'!$A$1:$D$1000,4,FALSE)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Rates'!$A$1:$D$1000,4,FALSE)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Rates'!$A$1:$D$1000,4,FALSE)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Rates'!$A$1:$D$1000,4,FALSE)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Rates'!$A$1:$D$1000,4,FALSE)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Rates'!$A$1:$D$1000,4,FALSE)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Rates'!$A$1:$D$1000,4,FALSE)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Rates'!$A$1:$D$1000,4,FALSE)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Rates'!$A$1:$D$1000,4,FALSE)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Rates'!$A$1:$D$1000,4,FALSE)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Rates'!$A$1:$D$1000,4,FALSE)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Rates'!$A$1:$D$1000,4,FALSE)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Rates'!$A$1:$D$1000,4,FALSE)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Rates'!$A$1:$D$1000,4,FALSE)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Rates'!$A$1:$D$1000,4,FALSE)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Rates'!$A$1:$D$1000,4,FALSE)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Rates'!$A$1:$D$1000,4,FALSE)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Rates'!$A$1:$D$1000,4,FALSE)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Rates'!$A$1:$D$1000,4,FALSE)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Rates'!$A$1:$D$1000,4,FALSE)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Rates'!$A$1:$D$1000,4,FALSE)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Rates'!$A$1:$D$1000,4,FALSE)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Rates'!$A$1:$D$1000,4,FALSE)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Rates'!$A$1:$D$1000,4,FALSE)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Rates'!$A$1:$D$1000,4,FALSE)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Rates'!$A$1:$D$1000,4,FALSE)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Rates'!$A$1:$D$1000,4,FALSE)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Rates'!$A$1:$D$1000,4,FALSE)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Rates'!$A$1:$D$1000,4,FALSE)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Rates'!$A$1:$D$1000,4,FALSE)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Rates'!$A$1:$D$1000,4,FALSE)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Rates'!$A$1:$D$1000,4,FALSE)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Rates'!$A$1:$D$1000,4,FALSE)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Rates'!$A$1:$D$1000,4,FALSE)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Rates'!$A$1:$D$1000,4,FALSE)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Rates'!$A$1:$D$1000,4,FALSE)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Rates'!$A$1:$D$1000,4,FALSE)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Rates'!$A$1:$D$1000,4,FALSE)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Rates'!$A$1:$D$1000,4,FALSE)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Rates'!$A$1:$D$1000,4,FALSE)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Rates'!$A$1:$D$1000,4,FALSE)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Rates'!$A$1:$D$1000,4,FALSE)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Rates'!$A$1:$D$1000,4,FALSE)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Rates'!$A$1:$D$1000,4,FALSE)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Rates'!$A$1:$D$1000,4,FALSE)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Rates'!$A$1:$D$1000,4,FALSE)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Rates'!$A$1:$D$1000,4,FALSE)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Rates'!$A$1:$D$1000,4,FALSE)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Rates'!$A$1:$D$1000,4,FALSE)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Rates'!$A$1:$D$1000,4,FALSE)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Rates'!$A$1:$D$1000,4,FALSE)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Rates'!$A$1:$D$1000,4,FALSE)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Rates'!$A$1:$D$1000,4,FALSE)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Rates'!$A$1:$D$1000,4,FALSE)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Rates'!$A$1:$D$1000,4,FALSE)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Rates'!$A$1:$D$1000,4,FALSE)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Rates'!$A$1:$D$1000,4,FALSE)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Rates'!$A$1:$D$1000,4,FALSE)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Rates'!$A$1:$D$1000,4,FALSE)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Rates'!$A$1:$D$1000,4,FALSE)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Rates'!$A$1:$D$1000,4,FALSE)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Rates'!$A$1:$D$1000,4,FALSE)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Rates'!$A$1:$D$1000,4,FALSE)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Rates'!$A$1:$D$1000,4,FALSE)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Rates'!$A$1:$D$1000,4,FALSE)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Rates'!$A$1:$D$1000,4,FALSE)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Rates'!$A$1:$D$1000,4,FALSE)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Rates'!$A$1:$D$1000,4,FALSE)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Rates'!$A$1:$D$1000,4,FALSE)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Rates'!$A$1:$D$1000,4,FALSE)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Rates'!$A$1:$D$1000,4,FALSE)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Rates'!$A$1:$D$1000,4,FALSE)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Rates'!$A$1:$D$1000,4,FALSE)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Rates'!$A$1:$D$1000,4,FALSE)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Rates'!$A$1:$D$1000,4,FALSE)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Rates'!$A$1:$D$1000,4,FALSE)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Rates'!$A$1:$D$1000,4,FALSE)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Rates'!$A$1:$D$1000,4,FALSE)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Rates'!$A$1:$D$1000,4,FALSE)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Rates'!$A$1:$D$1000,4,FALSE)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Rates'!$A$1:$D$1000,4,FALSE)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Rates'!$A$1:$D$1000,4,FALSE)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Rates'!$A$1:$D$1000,4,FALSE)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Rates'!$A$1:$D$1000,4,FALSE)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Rates'!$A$1:$D$1000,4,FALSE)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Rates'!$A$1:$D$1000,4,FALSE)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Rates'!$A$1:$D$1000,4,FALSE)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Rates'!$A$1:$D$1000,4,FALSE)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Rates'!$A$1:$D$1000,4,FALSE)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Rates'!$A$1:$D$1000,4,FALSE)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Rates'!$A$1:$D$1000,4,FALSE)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Rates'!$A$1:$D$1000,4,FALSE)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Rates'!$A$1:$D$1000,4,FALSE)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Rates'!$A$1:$D$1000,4,FALSE)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Rates'!$A$1:$D$1000,4,FALSE)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Rates'!$A$1:$D$1000,4,FALSE)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Rates'!$A$1:$D$1000,4,FALSE)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Rates'!$A$1:$D$1000,4,FALSE)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Rates'!$A$1:$D$1000,4,FALSE)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Rates'!$A$1:$D$1000,4,FALSE)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Rates'!$A$1:$D$1000,4,FALSE)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Rates'!$A$1:$D$1000,4,FALSE)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Rates'!$A$1:$D$1000,4,FALSE)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Rates'!$A$1:$D$1000,4,FALSE)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Rates'!$A$1:$D$1000,4,FALSE)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Rates'!$A$1:$D$1000,4,FALSE)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Rates'!$A$1:$D$1000,4,FALSE)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Rates'!$A$1:$D$1000,4,FALSE)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Rates'!$A$1:$D$1000,4,FALSE)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Rates'!$A$1:$D$1000,4,FALSE)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Rates'!$A$1:$D$1000,4,FALSE)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Rates'!$A$1:$D$1000,4,FALSE)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Rates'!$A$1:$D$1000,4,FALSE)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Rates'!$A$1:$D$1000,4,FALSE)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Rates'!$A$1:$D$1000,4,FALSE)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Rates'!$A$1:$D$1000,4,FALSE)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Rates'!$A$1:$D$1000,4,FALSE)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Rates'!$A$1:$D$1000,4,FALSE)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Rates'!$A$1:$D$1000,4,FALSE)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Rates'!$A$1:$D$1000,4,FALSE)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Rates'!$A$1:$D$1000,4,FALSE)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Rates'!$A$1:$D$1000,4,FALSE)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Rates'!$A$1:$D$1000,4,FALSE)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Rates'!$A$1:$D$1000,4,FALSE)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Rates'!$A$1:$D$1000,4,FALSE)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Rates'!$A$1:$D$1000,4,FALSE)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Rates'!$A$1:$D$1000,4,FALSE)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Rates'!$A$1:$D$1000,4,FALSE)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Rates'!$A$1:$D$1000,4,FALSE)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Rates'!$A$1:$D$1000,4,FALSE)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Rates'!$A$1:$D$1000,4,FALSE)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Rates'!$A$1:$D$1000,4,FALSE)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Rates'!$A$1:$D$1000,4,FALSE)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Rates'!$A$1:$D$1000,4,FALSE)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Rates'!$A$1:$D$1000,4,FALSE)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Rates'!$A$1:$D$1000,4,FALSE)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Rates'!$A$1:$D$1000,4,FALSE)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Rates'!$A$1:$D$1000,4,FALSE)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Rates'!$A$1:$D$1000,4,FALSE)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Rates'!$A$1:$D$1000,4,FALSE)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Rates'!$A$1:$D$1000,4,FALSE)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Rates'!$A$1:$D$1000,4,FALSE)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Rates'!$A$1:$D$1000,4,FALSE)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Rates'!$A$1:$D$1000,4,FALSE)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Rates'!$A$1:$D$1000,4,FALSE)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Rates'!$A$1:$D$1000,4,FALSE)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Rates'!$A$1:$D$1000,4,FALSE)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Rates'!$A$1:$D$1000,4,FALSE)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Rates'!$A$1:$D$1000,4,FALSE)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Rates'!$A$1:$D$1000,4,FALSE)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Rates'!$A$1:$D$1000,4,FALSE)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Rates'!$A$1:$D$1000,4,FALSE)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Rates'!$A$1:$D$1000,4,FALSE)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Rates'!$A$1:$D$1000,4,FALSE)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Rates'!$A$1:$D$1000,4,FALSE)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Rates'!$A$1:$D$1000,4,FALSE)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Rates'!$A$1:$D$1000,4,FALSE)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Rates'!$A$1:$D$1000,4,FALSE)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Rates'!$A$1:$D$1000,4,FALSE)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Rates'!$A$1:$D$1000,4,FALSE)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Rates'!$A$1:$D$1000,4,FALSE)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Rates'!$A$1:$D$1000,4,FALSE)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Rates'!$A$1:$D$1000,4,FALSE)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Rates'!$A$1:$D$1000,4,FALSE)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Rates'!$A$1:$D$1000,4,FALSE)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Rates'!$A$1:$D$1000,4,FALSE)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Rates'!$A$1:$D$1000,4,FALSE)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Rates'!$A$1:$D$1000,4,FALSE)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Rates'!$A$1:$D$1000,4,FALSE)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Rates'!$A$1:$D$1000,4,FALSE)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Rates'!$A$1:$D$1000,4,FALSE)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Rates'!$A$1:$D$1000,4,FALSE)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Rates'!$A$1:$D$1000,4,FALSE)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Rates'!$A$1:$D$1000,4,FALSE)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Rates'!$A$1:$D$1000,4,FALSE)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Rates'!$A$1:$D$1000,4,FALSE)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Rates'!$A$1:$D$1000,4,FALSE)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Rates'!$A$1:$D$1000,4,FALSE)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Rates'!$A$1:$D$1000,4,FALSE)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Rates'!$A$1:$D$1000,4,FALSE)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Rates'!$A$1:$D$1000,4,FALSE)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Rates'!$A$1:$D$1000,4,FALSE)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Rates'!$A$1:$D$1000,4,FALSE)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Rates'!$A$1:$D$1000,4,FALSE)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Rates'!$A$1:$D$1000,4,FALSE)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Rates'!$A$1:$D$1000,4,FALSE)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Rates'!$A$1:$D$1000,4,FALSE)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Rates'!$A$1:$D$1000,4,FALSE)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Rates'!$A$1:$D$1000,4,FALSE)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Rates'!$A$1:$D$1000,4,FALSE)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Rates'!$A$1:$D$1000,4,FALSE)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Rates'!$A$1:$D$1000,4,FALSE)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Rates'!$A$1:$D$1000,4,FALSE)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Rates'!$A$1:$D$1000,4,FALSE)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Rates'!$A$1:$D$1000,4,FALSE)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Rates'!$A$1:$D$1000,4,FALSE)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Rates'!$A$1:$D$1000,4,FALSE)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Rates'!$A$1:$D$1000,4,FALSE)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Rates'!$A$1:$D$1000,4,FALSE)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Rates'!$A$1:$D$1000,4,FALSE)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Rates'!$A$1:$D$1000,4,FALSE)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Rates'!$A$1:$D$1000,4,FALSE)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Rates'!$A$1:$D$1000,4,FALSE)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Rates'!$A$1:$D$1000,4,FALSE)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Rates'!$A$1:$D$1000,4,FALSE)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Rates'!$A$1:$D$1000,4,FALSE)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Rates'!$A$1:$D$1000,4,FALSE)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Rates'!$A$1:$D$1000,4,FALSE)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Rates'!$A$1:$D$1000,4,FALSE)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Rates'!$A$1:$D$1000,4,FALSE)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Rates'!$A$1:$D$1000,4,FALSE)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Rates'!$A$1:$D$1000,4,FALSE)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Rates'!$A$1:$D$1000,4,FALSE)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Rates'!$A$1:$D$1000,4,FALSE)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Rates'!$A$1:$D$1000,4,FALSE)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Rates'!$A$1:$D$1000,4,FALSE)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Rates'!$A$1:$D$1000,4,FALSE)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Rates'!$A$1:$D$1000,4,FALSE)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Rates'!$A$1:$D$1000,4,FALSE)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Rates'!$A$1:$D$1000,4,FALSE)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Rates'!$A$1:$D$1000,4,FALSE)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Rates'!$A$1:$D$1000,4,FALSE)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Rates'!$A$1:$D$1000,4,FALSE)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Rates'!$A$1:$D$1000,4,FALSE)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Rates'!$A$1:$D$1000,4,FALSE)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Rates'!$A$1:$D$1000,4,FALSE)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Rates'!$A$1:$D$1000,4,FALSE)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Rates'!$A$1:$D$1000,4,FALSE)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Rates'!$A$1:$D$1000,4,FALSE)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Rates'!$A$1:$D$1000,4,FALSE)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Rates'!$A$1:$D$1000,4,FALSE)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Rates'!$A$1:$D$1000,4,FALSE)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Rates'!$A$1:$D$1000,4,FALSE)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Rates'!$A$1:$D$1000,4,FALSE)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Rates'!$A$1:$D$1000,4,FALSE)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Rates'!$A$1:$D$1000,4,FALSE)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Rates'!$A$1:$D$1000,4,FALSE)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Rates'!$A$1:$D$1000,4,FALSE)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Rates'!$A$1:$D$1000,4,FALSE)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Rates'!$A$1:$D$1000,4,FALSE)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Rates'!$A$1:$D$1000,4,FALSE)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Rates'!$A$1:$D$1000,4,FALSE)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Rates'!$A$1:$D$1000,4,FALSE)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Rates'!$A$1:$D$1000,4,FALSE)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Rates'!$A$1:$D$1000,4,FALSE)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Rates'!$A$1:$D$1000,4,FALSE)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Rates'!$A$1:$D$1000,4,FALSE)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Rates'!$A$1:$D$1000,4,FALSE)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Rates'!$A$1:$D$1000,4,FALSE)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Rates'!$A$1:$D$1000,4,FALSE)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Rates'!$A$1:$D$1000,4,FALSE)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Rates'!$A$1:$D$1000,4,FALSE)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Rates'!$A$1:$D$1000,4,FALSE)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Rates'!$A$1:$D$1000,4,FALSE)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Rates'!$A$1:$D$1000,4,FALSE)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Rates'!$A$1:$D$1000,4,FALSE)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Rates'!$A$1:$D$1000,4,FALSE)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Rates'!$A$1:$D$1000,4,FALSE)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Rates'!$A$1:$D$1000,4,FALSE)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Rates'!$A$1:$D$1000,4,FALSE)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Rates'!$A$1:$D$1000,4,FALSE)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Rates'!$A$1:$D$1000,4,FALSE)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Rates'!$A$1:$D$1000,4,FALSE)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Rates'!$A$1:$D$1000,4,FALSE)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Rates'!$A$1:$D$1000,4,FALSE)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Rates'!$A$1:$D$1000,4,FALSE)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Rates'!$A$1:$D$1000,4,FALSE)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Rates'!$A$1:$D$1000,4,FALSE)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Rates'!$A$1:$D$1000,4,FALSE)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Rates'!$A$1:$D$1000,4,FALSE)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Rates'!$A$1:$D$1000,4,FALSE)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Rates'!$A$1:$D$1000,4,FALSE)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Rates'!$A$1:$D$1000,4,FALSE)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Rates'!$A$1:$D$1000,4,FALSE)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Rates'!$A$1:$D$1000,4,FALSE)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Rates'!$A$1:$D$1000,4,FALSE)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Rates'!$A$1:$D$1000,4,FALSE)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Rates'!$A$1:$D$1000,4,FALSE)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Rates'!$A$1:$D$1000,4,FALSE)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Rates'!$A$1:$D$1000,4,FALSE)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Rates'!$A$1:$D$1000,4,FALSE)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Rates'!$A$1:$D$1000,4,FALSE)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Rates'!$A$1:$D$1000,4,FALSE)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Rates'!$A$1:$D$1000,4,FALSE)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Rates'!$A$1:$D$1000,4,FALSE)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Rates'!$A$1:$D$1000,4,FALSE)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Rates'!$A$1:$D$1000,4,FALSE)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Rates'!$A$1:$D$1000,4,FALSE)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Rates'!$A$1:$D$1000,4,FALSE)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Rates'!$A$1:$D$1000,4,FALSE)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Rates'!$A$1:$D$1000,4,FALSE)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Rates'!$A$1:$D$1000,4,FALSE)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Rates'!$A$1:$D$1000,4,FALSE)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Rates'!$A$1:$D$1000,4,FALSE)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Rates'!$A$1:$D$1000,4,FALSE)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Rates'!$A$1:$D$1000,4,FALSE)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Rates'!$A$1:$D$1000,4,FALSE)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Rates'!$A$1:$D$1000,4,FALSE)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Rates'!$A$1:$D$1000,4,FALSE)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Rates'!$A$1:$D$1000,4,FALSE)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Rates'!$A$1:$D$1000,4,FALSE)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Rates'!$A$1:$D$1000,4,FALSE)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Rates'!$A$1:$D$1000,4,FALSE)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Rates'!$A$1:$D$1000,4,FALSE)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Rates'!$A$1:$D$1000,4,FALSE)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Rates'!$A$1:$D$1000,4,FALSE)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Rates'!$A$1:$D$1000,4,FALSE)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Rates'!$A$1:$D$1000,4,FALSE)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Rates'!$A$1:$D$1000,4,FALSE)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Rates'!$A$1:$D$1000,4,FALSE)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Rates'!$A$1:$D$1000,4,FALSE)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Rates'!$A$1:$D$1000,4,FALSE)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Rates'!$A$1:$D$1000,4,FALSE)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Rates'!$A$1:$D$1000,4,FALSE)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Rates'!$A$1:$D$1000,4,FALSE)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Rates'!$A$1:$D$1000,4,FALSE)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Rates'!$A$1:$D$1000,4,FALSE)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Rates'!$A$1:$D$1000,4,FALSE)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Rates'!$A$1:$D$1000,4,FALSE)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Rates'!$A$1:$D$1000,4,FALSE)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Rates'!$A$1:$D$1000,4,FALSE)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Rates'!$A$1:$D$1000,4,FALSE)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Rates'!$A$1:$D$1000,4,FALSE)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Rates'!$A$1:$D$1000,4,FALSE)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Rates'!$A$1:$D$1000,4,FALSE)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Rates'!$A$1:$D$1000,4,FALSE)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Rates'!$A$1:$D$1000,4,FALSE)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Rates'!$A$1:$D$1000,4,FALSE)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Rates'!$A$1:$D$1000,4,FALSE)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Rates'!$A$1:$D$1000,4,FALSE)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Rates'!$A$1:$D$1000,4,FALSE)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Rates'!$A$1:$D$1000,4,FALSE)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Rates'!$A$1:$D$1000,4,FALSE)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Rates'!$A$1:$D$1000,4,FALSE)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Rates'!$A$1:$D$1000,4,FALSE)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Rates'!$A$1:$D$1000,4,FALSE)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Rates'!$A$1:$D$1000,4,FALSE)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Rates'!$A$1:$D$1000,4,FALSE)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Rates'!$A$1:$D$1000,4,FALSE)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Rates'!$A$1:$D$1000,4,FALSE)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Rates'!$A$1:$D$1000,4,FALSE)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Rates'!$A$1:$D$1000,4,FALSE)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Rates'!$A$1:$D$1000,4,FALSE)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Rates'!$A$1:$D$1000,4,FALSE)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Rates'!$A$1:$D$1000,4,FALSE)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Rates'!$A$1:$D$1000,4,FALSE)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Rates'!$A$1:$D$1000,4,FALSE)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Rates'!$A$1:$D$1000,4,FALSE)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Rates'!$A$1:$D$1000,4,FALSE)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Rates'!$A$1:$D$1000,4,FALSE)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Rates'!$A$1:$D$1000,4,FALSE)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Rates'!$A$1:$D$1000,4,FALSE)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Rates'!$A$1:$D$1000,4,FALSE)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Rates'!$A$1:$D$1000,4,FALSE)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Rates'!$A$1:$D$1000,4,FALSE)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Rates'!$A$1:$D$1000,4,FALSE)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Rates'!$A$1:$D$1000,4,FALSE)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Rates'!$A$1:$D$1000,4,FALSE)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Rates'!$A$1:$D$1000,4,FALSE)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Rates'!$A$1:$D$1000,4,FALSE)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Rates'!$A$1:$D$1000,4,FALSE)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Rates'!$A$1:$D$1000,4,FALSE)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Rates'!$A$1:$D$1000,4,FALSE)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Rates'!$A$1:$D$1000,4,FALSE)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Rates'!$A$1:$D$1000,4,FALSE)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Rates'!$A$1:$D$1000,4,FALSE)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Rates'!$A$1:$D$1000,4,FALSE)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Rates'!$A$1:$D$1000,4,FALSE)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Rates'!$A$1:$D$1000,4,FALSE)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Rates'!$A$1:$D$1000,4,FALSE)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Rates'!$A$1:$D$1000,4,FALSE)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Rates'!$A$1:$D$1000,4,FALSE)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Rates'!$A$1:$D$1000,4,FALSE)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Rates'!$A$1:$D$1000,4,FALSE)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Rates'!$A$1:$D$1000,4,FALSE)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Rates'!$A$1:$D$1000,4,FALSE)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Rates'!$A$1:$D$1000,4,FALSE)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Rates'!$A$1:$D$1000,4,FALSE)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Rates'!$A$1:$D$1000,4,FALSE)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Rates'!$A$1:$D$1000,4,FALSE)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Rates'!$A$1:$D$1000,4,FALSE)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Rates'!$A$1:$D$1000,4,FALSE)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Rates'!$A$1:$D$1000,4,FALSE)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Rates'!$A$1:$D$1000,4,FALSE)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Rates'!$A$1:$D$1000,4,FALSE)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Rates'!$A$1:$D$1000,4,FALSE)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Rates'!$A$1:$D$1000,4,FALSE)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Rates'!$A$1:$D$1000,4,FALSE)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Rates'!$A$1:$D$1000,4,FALSE)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Rates'!$A$1:$D$1000,4,FALSE)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Rates'!$A$1:$D$1000,4,FALSE)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Rates'!$A$1:$D$1000,4,FALSE)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Rates'!$A$1:$D$1000,4,FALSE)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Rates'!$A$1:$D$1000,4,FALSE)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Rates'!$A$1:$D$1000,4,FALSE)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Rates'!$A$1:$D$1000,4,FALSE)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Rates'!$A$1:$D$1000,4,FALSE)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Rates'!$A$1:$D$1000,4,FALSE)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Rates'!$A$1:$D$1000,4,FALSE)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Rates'!$A$1:$D$1000,4,FALSE)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Rates'!$A$1:$D$1000,4,FALSE)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Rates'!$A$1:$D$1000,4,FALSE)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Rates'!$A$1:$D$1000,4,FALSE)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Rates'!$A$1:$D$1000,4,FALSE)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Rates'!$A$1:$D$1000,4,FALSE)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Rates'!$A$1:$D$1000,4,FALSE)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Rates'!$A$1:$D$1000,4,FALSE)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Rates'!$A$1:$D$1000,4,FALSE)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Rates'!$A$1:$D$1000,4,FALSE)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Rates'!$A$1:$D$1000,4,FALSE)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Rates'!$A$1:$D$1000,4,FALSE)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Rates'!$A$1:$D$1000,4,FALSE)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Rates'!$A$1:$D$1000,4,FALSE)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Rates'!$A$1:$D$1000,4,FALSE)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Rates'!$A$1:$D$1000,4,FALSE)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Rates'!$A$1:$D$1000,4,FALSE)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Rates'!$A$1:$D$1000,4,FALSE)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Rates'!$A$1:$D$1000,4,FALSE)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Rates'!$A$1:$D$1000,4,FALSE)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Rates'!$A$1:$D$1000,4,FALSE)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Rates'!$A$1:$D$1000,4,FALSE)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Rates'!$A$1:$D$1000,4,FALSE)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Rates'!$A$1:$D$1000,4,FALSE)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Rates'!$A$1:$D$1000,4,FALSE)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Rates'!$A$1:$D$1000,4,FALSE)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Rates'!$A$1:$D$1000,4,FALSE)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Rates'!$A$1:$D$1000,4,FALSE)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Rates'!$A$1:$D$1000,4,FALSE)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Rates'!$A$1:$D$1000,4,FALSE)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Rates'!$A$1:$D$1000,4,FALSE)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Rates'!$A$1:$D$1000,4,FALSE)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Rates'!$A$1:$D$1000,4,FALSE)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Rates'!$A$1:$D$1000,4,FALSE)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Rates'!$A$1:$D$1000,4,FALSE)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Rates'!$A$1:$D$1000,4,FALSE)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Rates'!$A$1:$D$1000,4,FALSE)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Rates'!$A$1:$D$1000,4,FALSE)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Rates'!$A$1:$D$1000,4,FALSE)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Rates'!$A$1:$D$1000,4,FALSE)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Rates'!$A$1:$D$1000,4,FALSE)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Rates'!$A$1:$D$1000,4,FALSE)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Rates'!$A$1:$D$1000,4,FALSE)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Rates'!$A$1:$D$1000,4,FALSE)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Rates'!$A$1:$D$1000,4,FALSE)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Rates'!$A$1:$D$1000,4,FALSE)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Rates'!$A$1:$D$1000,4,FALSE)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Rates'!$A$1:$D$1000,4,FALSE)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Rates'!$A$1:$D$1000,4,FALSE)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Rates'!$A$1:$D$1000,4,FALSE)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Rates'!$A$1:$D$1000,4,FALSE)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Rates'!$A$1:$D$1000,4,FALSE)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Rates'!$A$1:$D$1000,4,FALSE)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Rates'!$A$1:$D$1000,4,FALSE)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Rates'!$A$1:$D$1000,4,FALSE)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Rates'!$A$1:$D$1000,4,FALSE)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Rates'!$A$1:$D$1000,4,FALSE)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Rates'!$A$1:$D$1000,4,FALSE)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Rates'!$A$1:$D$1000,4,FALSE)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Rates'!$A$1:$D$1000,4,FALSE)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Rates'!$A$1:$D$1000,4,FALSE)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Rates'!$A$1:$D$1000,4,FALSE)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Rates'!$A$1:$D$1000,4,FALSE)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Rates'!$A$1:$D$1000,4,FALSE)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Rates'!$A$1:$D$1000,4,FALSE)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Rates'!$A$1:$D$1000,4,FALSE)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Rates'!$A$1:$D$1000,4,FALSE)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Rates'!$A$1:$D$1000,4,FALSE)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Rates'!$A$1:$D$1000,4,FALSE)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Rates'!$A$1:$D$1000,4,FALSE)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Rates'!$A$1:$D$1000,4,FALSE)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Rates'!$A$1:$D$1000,4,FALSE)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Rates'!$A$1:$D$1000,4,FALSE)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Rates'!$A$1:$D$1000,4,FALSE)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Rates'!$A$1:$D$1000,4,FALSE)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Rates'!$A$1:$D$1000,4,FALSE)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Rates'!$A$1:$D$1000,4,FALSE)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Rates'!$A$1:$D$1000,4,FALSE)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Rates'!$A$1:$D$1000,4,FALSE)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Rates'!$A$1:$D$1000,4,FALSE)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Rates'!$A$1:$D$1000,4,FALSE)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Rates'!$A$1:$D$1000,4,FALSE)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Rates'!$A$1:$D$1000,4,FALSE)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Rates'!$A$1:$D$1000,4,FALSE)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Rates'!$A$1:$D$1000,4,FALSE)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Rates'!$A$1:$D$1000,4,FALSE)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Rates'!$A$1:$D$1000,4,FALSE)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Rates'!$A$1:$D$1000,4,FALSE)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Rates'!$A$1:$D$1000,4,FALSE)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Rates'!$A$1:$D$1000,4,FALSE)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Rates'!$A$1:$D$1000,4,FALSE)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Rates'!$A$1:$D$1000,4,FALSE)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Rates'!$A$1:$D$1000,4,FALSE)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Rates'!$A$1:$D$1000,4,FALSE)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Rates'!$A$1:$D$1000,4,FALSE)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Rates'!$A$1:$D$1000,4,FALSE)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Rates'!$A$1:$D$1000,4,FALSE)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Rates'!$A$1:$D$1000,4,FALSE)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Rates'!$A$1:$D$1000,4,FALSE)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Rates'!$A$1:$D$1000,4,FALSE)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Rates'!$A$1:$D$1000,4,FALSE)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Rates'!$A$1:$D$1000,4,FALSE)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Rates'!$A$1:$D$1000,4,FALSE)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Rates'!$A$1:$D$1000,4,FALSE)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Rates'!$A$1:$D$1000,4,FALSE)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Rates'!$A$1:$D$1000,4,FALSE)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Rates'!$A$1:$D$1000,4,FALSE)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Rates'!$A$1:$D$1000,4,FALSE)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Rates'!$A$1:$D$1000,4,FALSE)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Rates'!$A$1:$D$1000,4,FALSE)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Rates'!$A$1:$D$1000,4,FALSE)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Rates'!$A$1:$D$1000,4,FALSE)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Rates'!$A$1:$D$1000,4,FALSE)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Rates'!$A$1:$D$1000,4,FALSE)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Rates'!$A$1:$D$1000,4,FALSE)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Rates'!$A$1:$D$1000,4,FALSE)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Rates'!$A$1:$D$1000,4,FALSE)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Rates'!$A$1:$D$1000,4,FALSE)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Rates'!$A$1:$D$1000,4,FALSE)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Rates'!$A$1:$D$1000,4,FALSE)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Rates'!$A$1:$D$1000,4,FALSE)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Rates'!$A$1:$D$1000,4,FALSE)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Rates'!$A$1:$D$1000,4,FALSE)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Rates'!$A$1:$D$1000,4,FALSE)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Rates'!$A$1:$D$1000,4,FALSE)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Rates'!$A$1:$D$1000,4,FALSE)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Rates'!$A$1:$D$1000,4,FALSE)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Rates'!$A$1:$D$1000,4,FALSE)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Rates'!$A$1:$D$1000,4,FALSE)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Rates'!$A$1:$D$1000,4,FALSE)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Rates'!$A$1:$D$1000,4,FALSE)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Rates'!$A$1:$D$1000,4,FALSE)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Rates'!$A$1:$D$1000,4,FALSE)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Rates'!$A$1:$D$1000,4,FALSE)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Rates'!$A$1:$D$1000,4,FALSE)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Rates'!$A$1:$D$1000,4,FALSE)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Rates'!$A$1:$D$1000,4,FALSE)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Rates'!$A$1:$D$1000,4,FALSE)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Rates'!$A$1:$D$1000,4,FALSE)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Rates'!$A$1:$D$1000,4,FALSE)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Rates'!$A$1:$D$1000,4,FALSE)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Rates'!$A$1:$D$1000,4,FALSE)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Rates'!$A$1:$D$1000,4,FALSE)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Rates'!$A$1:$D$1000,4,FALSE)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Rates'!$A$1:$D$1000,4,FALSE)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Rates'!$A$1:$D$1000,4,FALSE)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Rates'!$A$1:$D$1000,4,FALSE)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Rates'!$A$1:$D$1000,4,FALSE)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Rates'!$A$1:$D$1000,4,FALSE)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Rates'!$A$1:$D$1000,4,FALSE)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Rates'!$A$1:$D$1000,4,FALSE)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Rates'!$A$1:$D$1000,4,FALSE)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Rates'!$A$1:$D$1000,4,FALSE)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Rates'!$A$1:$D$1000,4,FALSE)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Rates'!$A$1:$D$1000,4,FALSE)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Rates'!$A$1:$D$1000,4,FALSE)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Rates'!$A$1:$D$1000,4,FALSE)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Rates'!$A$1:$D$1000,4,FALSE)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Rates'!$A$1:$D$1000,4,FALSE)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Rates'!$A$1:$D$1000,4,FALSE)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Rates'!$A$1:$D$1000,4,FALSE)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Rates'!$A$1:$D$1000,4,FALSE)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Rates'!$A$1:$D$1000,4,FALSE)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Rates'!$A$1:$D$1000,4,FALSE)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Rates'!$A$1:$D$1000,4,FALSE)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Rates'!$A$1:$D$1000,4,FALSE)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Rates'!$A$1:$D$1000,4,FALSE)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Rates'!$A$1:$D$1000,4,FALSE)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Rates'!$A$1:$D$1000,4,FALSE)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Rates'!$A$1:$D$1000,4,FALSE)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Rates'!$A$1:$D$1000,4,FALSE)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Rates'!$A$1:$D$1000,4,FALSE)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Rates'!$A$1:$D$1000,4,FALSE)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Rates'!$A$1:$D$1000,4,FALSE)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Rates'!$A$1:$D$1000,4,FALSE)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Rates'!$A$1:$D$1000,4,FALSE)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Rates'!$A$1:$D$1000,4,FALSE)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Rates'!$A$1:$D$1000,4,FALSE)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Rates'!$A$1:$D$1000,4,FALSE)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Rates'!$A$1:$D$1000,4,FALSE)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Rates'!$A$1:$D$1000,4,FALSE)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Rates'!$A$1:$D$1000,4,FALSE)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Rates'!$A$1:$D$1000,4,FALSE)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Rates'!$A$1:$D$1000,4,FALSE)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Rates'!$A$1:$D$1000,4,FALSE)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Rates'!$A$1:$D$1000,4,FALSE)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Rates'!$A$1:$D$1000,4,FALSE)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Rates'!$A$1:$D$1000,4,FALSE)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Rates'!$A$1:$D$1000,4,FALSE)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Rates'!$A$1:$D$1000,4,FALSE)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Rates'!$A$1:$D$1000,4,FALSE)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Rates'!$A$1:$D$1000,4,FALSE)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Rates'!$A$1:$D$1000,4,FALSE)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Rates'!$A$1:$D$1000,4,FALSE)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Rates'!$A$1:$D$1000,4,FALSE)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Rates'!$A$1:$D$1000,4,FALSE)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Rates'!$A$1:$D$1000,4,FALSE)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Rates'!$A$1:$D$1000,4,FALSE)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Rates'!$A$1:$D$1000,4,FALSE)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Rates'!$A$1:$D$1000,4,FALSE)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Rates'!$A$1:$D$1000,4,FALSE)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Rates'!$A$1:$D$1000,4,FALSE)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Rates'!$A$1:$D$1000,4,FALSE)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Rates'!$A$1:$D$1000,4,FALSE)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Rates'!$A$1:$D$1000,4,FALSE)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Rates'!$A$1:$D$1000,4,FALSE)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Rates'!$A$1:$D$1000,4,FALSE)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Rates'!$A$1:$D$1000,4,FALSE)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Rates'!$A$1:$D$1000,4,FALSE)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Rates'!$A$1:$D$1000,4,FALSE)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Rates'!$A$1:$D$1000,4,FALSE)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Rates'!$A$1:$D$1000,4,FALSE)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Rates'!$A$1:$D$1000,4,FALSE)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Rates'!$A$1:$D$1000,4,FALSE)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Rates'!$A$1:$D$1000,4,FALSE)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Rates'!$A$1:$D$1000,4,FALSE)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Rates'!$A$1:$D$1000,4,FALSE)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Rates'!$A$1:$D$1000,4,FALSE)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Rates'!$A$1:$D$1000,4,FALSE)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Rates'!$A$1:$D$1000,4,FALSE)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Rates'!$A$1:$D$1000,4,FALSE)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Rates'!$A$1:$D$1000,4,FALSE)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Rates'!$A$1:$D$1000,4,FALSE)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Rates'!$A$1:$D$1000,4,FALSE)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Rates'!$A$1:$D$1000,4,FALSE)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Rates'!$A$1:$D$1000,4,FALSE)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Rates'!$A$1:$D$1000,4,FALSE)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Rates'!$A$1:$D$1000,4,FALSE)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Rates'!$A$1:$D$1000,4,FALSE)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Rates'!$A$1:$D$1000,4,FALSE)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Rates'!$A$1:$D$1000,4,FALSE)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Rates'!$A$1:$D$1000,4,FALSE)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Rates'!$A$1:$D$1000,4,FALSE)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Rates'!$A$1:$D$1000,4,FALSE)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Rates'!$A$1:$D$1000,4,FALSE)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Rates'!$A$1:$D$1000,4,FALSE)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Rates'!$A$1:$D$1000,4,FALSE)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Rates'!$A$1:$D$1000,4,FALSE)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Rates'!$A$1:$D$1000,4,FALSE)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Rates'!$A$1:$D$1000,4,FALSE)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Rates'!$A$1:$D$1000,4,FALSE)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Rates'!$A$1:$D$1000,4,FALSE)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Rates'!$A$1:$D$1000,4,FALSE)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Rates'!$A$1:$D$1000,4,FALSE)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Rates'!$A$1:$D$1000,4,FALSE)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Rates'!$A$1:$D$1000,4,FALSE)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Rates'!$A$1:$D$1000,4,FALSE)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Rates'!$A$1:$D$1000,4,FALSE)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Rates'!$A$1:$D$1000,4,FALSE)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Rates'!$A$1:$D$1000,4,FALSE)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Rates'!$A$1:$D$1000,4,FALSE)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Rates'!$A$1:$D$1000,4,FALSE)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Rates'!$A$1:$D$1000,4,FALSE)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Rates'!$A$1:$D$1000,4,FALSE)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Rates'!$A$1:$D$1000,4,FALSE)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Rates'!$A$1:$D$1000,4,FALSE)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Rates'!$A$1:$D$1000,4,FALSE)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Rates'!$A$1:$D$1000,4,FALSE)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Rates'!$A$1:$D$1000,4,FALSE)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Rates'!$A$1:$D$1000,4,FALSE)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Rates'!$A$1:$D$1000,4,FALSE)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Rates'!$A$1:$D$1000,4,FALSE)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Rates'!$A$1:$D$1000,4,FALSE)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Rates'!$A$1:$D$1000,4,FALSE)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Rates'!$A$1:$D$1000,4,FALSE)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Rates'!$A$1:$D$1000,4,FALSE)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Rates'!$A$1:$D$1000,4,FALSE)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Rates'!$A$1:$D$1000,4,FALSE)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Rates'!$A$1:$D$1000,4,FALSE)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Rates'!$A$1:$D$1000,4,FALSE)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Rates'!$A$1:$D$1000,4,FALSE)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Rates'!$A$1:$D$1000,4,FALSE)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Rates'!$A$1:$D$1000,4,FALSE)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Rates'!$A$1:$D$1000,4,FALSE)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Rates'!$A$1:$D$1000,4,FALSE)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Rates'!$A$1:$D$1000,4,FALSE)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Rates'!$A$1:$D$1000,4,FALSE)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Rates'!$A$1:$D$1000,4,FALSE)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Rates'!$A$1:$D$1000,4,FALSE)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Rates'!$A$1:$D$1000,4,FALSE)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Rates'!$A$1:$D$1000,4,FALSE)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Rates'!$A$1:$D$1000,4,FALSE)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Rates'!$A$1:$D$1000,4,FALSE)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Rates'!$A$1:$D$1000,4,FALSE)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Rates'!$A$1:$D$1000,4,FALSE)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Rates'!$A$1:$D$1000,4,FALSE)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Rates'!$A$1:$D$1000,4,FALSE)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Rates'!$A$1:$D$1000,4,FALSE)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Rates'!$A$1:$D$1000,4,FALSE)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Rates'!$A$1:$D$1000,4,FALSE)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Rates'!$A$1:$D$1000,4,FALSE)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Rates'!$A$1:$D$1000,4,FALSE)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Rates'!$A$1:$D$1000,4,FALSE)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Rates'!$A$1:$D$1000,4,FALSE)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Rates'!$A$1:$D$1000,4,FALSE)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Rates'!$A$1:$D$1000,4,FALSE)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Rates'!$A$1:$D$1000,4,FALSE)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Rates'!$A$1:$D$1000,4,FALSE)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Rates'!$A$1:$D$1000,4,FALSE)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Rates'!$A$1:$D$1000,4,FALSE)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Rates'!$A$1:$D$1000,4,FALSE)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Rates'!$A$1:$D$1000,4,FALSE)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Rates'!$A$1:$D$1000,4,FALSE)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Rates'!$A$1:$D$1000,4,FALSE)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Rates'!$A$1:$D$1000,4,FALSE)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Rates'!$A$1:$D$1000,4,FALSE)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Rates'!$A$1:$D$1000,4,FALSE)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Rates'!$A$1:$D$1000,4,FALSE)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Rates'!$A$1:$D$1000,4,FALSE)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Rates'!$A$1:$D$1000,4,FALSE)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Rates'!$A$1:$D$1000,4,FALSE)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Rates'!$A$1:$D$1000,4,FALSE)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Rates'!$A$1:$D$1000,4,FALSE)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Rates'!$A$1:$D$1000,4,FALSE)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Rates'!$A$1:$D$1000,4,FALSE)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Rates'!$A$1:$D$1000,4,FALSE)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Rates'!$A$1:$D$1000,4,FALSE)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Rates'!$A$1:$D$1000,4,FALSE)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Rates'!$A$1:$D$1000,4,FALSE)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Rates'!$A$1:$D$1000,4,FALSE)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Rates'!$A$1:$D$1000,4,FALSE)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Rates'!$A$1:$D$1000,4,FALSE)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Rates'!$A$1:$D$1000,4,FALSE)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Rates'!$A$1:$D$1000,4,FALSE)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Rates'!$A$1:$D$1000,4,FALSE)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Rates'!$A$1:$D$1000,4,FALSE)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Rates'!$A$1:$D$1000,4,FALSE)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Rates'!$A$1:$D$1000,4,FALSE)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Rates'!$A$1:$D$1000,4,FALSE)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Rates'!$A$1:$D$1000,4,FALSE)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Rates'!$A$1:$D$1000,4,FALSE)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Rates'!$A$1:$D$1000,4,FALSE)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Rates'!$A$1:$D$1000,4,FALSE)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Rates'!$A$1:$D$1000,4,FALSE)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Rates'!$A$1:$D$1000,4,FALSE)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Rates'!$A$1:$D$1000,4,FALSE)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Rates'!$A$1:$D$1000,4,FALSE)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Rates'!$A$1:$D$1000,4,FALSE)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Rates'!$A$1:$D$1000,4,FALSE)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Rates'!$A$1:$D$1000,4,FALSE)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Rates'!$A$1:$D$1000,4,FALSE)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Rates'!$A$1:$D$1000,4,FALSE)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Rates'!$A$1:$D$1000,4,FALSE)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Rates'!$A$1:$D$1000,4,FALSE)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Rates'!$A$1:$D$1000,4,FALSE)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Rates'!$A$1:$D$1000,4,FALSE)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4">
        <f>VLOOKUP(A763,'Database Rates'!$A$1:$D$1000,4,FALSE)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  <row r="764">
      <c r="A764" s="24" t="n">
        <v>44593</v>
      </c>
      <c r="B764" s="44">
        <f>VLOOKUP(A764,'Database Rates'!$A$1:$D$1000,4,FALSE)</f>
        <v/>
      </c>
      <c r="C764" s="26">
        <f>(Table267[[#This Row],[M2 Money Stock, Billions of Dollars, Weekly, Seasonally Adjusted]]-B763)/B763</f>
        <v/>
      </c>
      <c r="D764" s="27">
        <f>((1+Table267[[#This Row],[Monthly change]])^12)-1</f>
        <v/>
      </c>
      <c r="E764" s="26">
        <f>(Table267[[#This Row],[M2 Money Stock, Billions of Dollars, Weekly, Seasonally Adjusted]]-B752)/B752</f>
        <v/>
      </c>
    </row>
    <row r="765">
      <c r="A765" s="24" t="n">
        <v>44621</v>
      </c>
      <c r="B765" s="44">
        <f>VLOOKUP(A765,'Database Rates'!$A$1:$D$1000,4,FALSE)</f>
        <v/>
      </c>
      <c r="C765" s="26">
        <f>(Table267[[#This Row],[M2 Money Stock, Billions of Dollars, Weekly, Seasonally Adjusted]]-B764)/B764</f>
        <v/>
      </c>
      <c r="D765" s="27">
        <f>((1+Table267[[#This Row],[Monthly change]])^12)-1</f>
        <v/>
      </c>
      <c r="E765" s="26">
        <f>(Table267[[#This Row],[M2 Money Stock, Billions of Dollars, Weekly, Seasonally Adjusted]]-B753)/B753</f>
        <v/>
      </c>
    </row>
    <row r="766">
      <c r="A766" s="24" t="n">
        <v>44652</v>
      </c>
      <c r="B766" s="44">
        <f>VLOOKUP(A766,'Database Rates'!$A$1:$D$1000,4,FALSE)</f>
        <v/>
      </c>
      <c r="C766" s="26">
        <f>(Table267[[#This Row],[M2 Money Stock, Billions of Dollars, Weekly, Seasonally Adjusted]]-B765)/B765</f>
        <v/>
      </c>
      <c r="D766" s="27">
        <f>((1+Table267[[#This Row],[Monthly change]])^12)-1</f>
        <v/>
      </c>
      <c r="E766" s="26">
        <f>(Table267[[#This Row],[M2 Money Stock, Billions of Dollars, Weekly, Seasonally Adjusted]]-B754)/B754</f>
        <v/>
      </c>
    </row>
    <row r="767">
      <c r="A767" s="24" t="n">
        <v>44682</v>
      </c>
      <c r="B767" s="44">
        <f>VLOOKUP(A767,'Database Rates'!$A$1:$D$1000,4,FALSE)</f>
        <v/>
      </c>
      <c r="C767" s="26">
        <f>(Table267[[#This Row],[M2 Money Stock, Billions of Dollars, Weekly, Seasonally Adjusted]]-B766)/B766</f>
        <v/>
      </c>
      <c r="D767" s="27">
        <f>((1+Table267[[#This Row],[Monthly change]])^12)-1</f>
        <v/>
      </c>
      <c r="E767" s="26">
        <f>(Table267[[#This Row],[M2 Money Stock, Billions of Dollars, Weekly, Seasonally Adjusted]]-B755)/B755</f>
        <v/>
      </c>
    </row>
    <row r="768">
      <c r="A768" s="24" t="n">
        <v>44713</v>
      </c>
      <c r="B768" s="44">
        <f>VLOOKUP(A768,'Database Rates'!$A$1:$D$1000,4,FALSE)</f>
        <v/>
      </c>
      <c r="C768" s="26">
        <f>(Table267[[#This Row],[M2 Money Stock, Billions of Dollars, Weekly, Seasonally Adjusted]]-B767)/B767</f>
        <v/>
      </c>
      <c r="D768" s="27">
        <f>((1+Table267[[#This Row],[Monthly change]])^12)-1</f>
        <v/>
      </c>
      <c r="E768" s="26">
        <f>(Table267[[#This Row],[M2 Money Stock, Billions of Dollars, Weekly, Seasonally Adjusted]]-B756)/B756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36"/>
  <sheetViews>
    <sheetView zoomScale="150" zoomScaleNormal="150" workbookViewId="0">
      <pane ySplit="11" topLeftCell="A1030" activePane="bottomLeft" state="frozen"/>
      <selection pane="bottomLeft" activeCell="D1039" sqref="D1039"/>
    </sheetView>
  </sheetViews>
  <sheetFormatPr baseColWidth="10" defaultColWidth="9.1640625" defaultRowHeight="15"/>
  <cols>
    <col width="20.6640625" customWidth="1" style="56" min="1" max="2"/>
    <col width="13.6640625" customWidth="1" style="56" min="3" max="3"/>
    <col width="9.1640625" customWidth="1" style="56" min="4" max="22"/>
    <col width="9.1640625" customWidth="1" style="56" min="23" max="16384"/>
  </cols>
  <sheetData>
    <row r="1">
      <c r="A1" s="5" t="inlineStr">
        <is>
          <t>https://fred.stlouisfed.org/series/WALCL</t>
        </is>
      </c>
    </row>
    <row r="2">
      <c r="A2" s="56" t="inlineStr">
        <is>
          <t>WALCL</t>
        </is>
      </c>
      <c r="B2" s="56" t="inlineStr">
        <is>
          <t>Assets: Total Assets: Total Assets (Less Eliminations From Consolidation): Wednesday Level, Millions of U.S. Dollars, Weekly, Not Seasonally Adjusted</t>
        </is>
      </c>
    </row>
    <row r="4">
      <c r="A4" s="56" t="inlineStr">
        <is>
          <t>Fed Balance Sheet</t>
        </is>
      </c>
    </row>
    <row r="10" ht="16" customHeight="1" s="39" thickBot="1">
      <c r="A10" s="56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  <row r="1014">
      <c r="A1014" s="34">
        <f>'Database FED'!$A1004</f>
        <v/>
      </c>
      <c r="B1014" s="35">
        <f>VLOOKUP(A1014,'Database FED'!$A$1:$D$1100,2,FALSE)</f>
        <v/>
      </c>
      <c r="C1014" s="35">
        <f>Table9[[#This Row],[WALCL]]-B1013</f>
        <v/>
      </c>
    </row>
    <row r="1015">
      <c r="A1015" s="34">
        <f>'Database FED'!$A1005</f>
        <v/>
      </c>
      <c r="B1015" s="35">
        <f>VLOOKUP(A1015,'Database FED'!$A$1:$D$1100,2,FALSE)</f>
        <v/>
      </c>
      <c r="C1015" s="35">
        <f>Table9[[#This Row],[WALCL]]-B1014</f>
        <v/>
      </c>
    </row>
    <row r="1016">
      <c r="A1016" s="34">
        <f>'Database FED'!$A1006</f>
        <v/>
      </c>
      <c r="B1016" s="35">
        <f>VLOOKUP(A1016,'Database FED'!$A$1:$D$1100,2,FALSE)</f>
        <v/>
      </c>
      <c r="C1016" s="35">
        <f>Table9[[#This Row],[WALCL]]-B1015</f>
        <v/>
      </c>
    </row>
    <row r="1017">
      <c r="A1017" s="34">
        <f>'Database FED'!$A1007</f>
        <v/>
      </c>
      <c r="B1017" s="35">
        <f>VLOOKUP(A1017,'Database FED'!$A$1:$D$1100,2,FALSE)</f>
        <v/>
      </c>
      <c r="C1017" s="35">
        <f>Table9[[#This Row],[WALCL]]-B1016</f>
        <v/>
      </c>
    </row>
    <row r="1018">
      <c r="A1018" s="34">
        <f>'Database FED'!$A1008</f>
        <v/>
      </c>
      <c r="B1018" s="35">
        <f>VLOOKUP(A1018,'Database FED'!$A$1:$D$1100,2,FALSE)</f>
        <v/>
      </c>
      <c r="C1018" s="35">
        <f>Table9[[#This Row],[WALCL]]-B1017</f>
        <v/>
      </c>
    </row>
    <row r="1019">
      <c r="A1019" s="34">
        <f>'Database FED'!$A1009</f>
        <v/>
      </c>
      <c r="B1019" s="35">
        <f>VLOOKUP(A1019,'Database FED'!$A$1:$D$1100,2,FALSE)</f>
        <v/>
      </c>
      <c r="C1019" s="35">
        <f>Table9[[#This Row],[WALCL]]-B1018</f>
        <v/>
      </c>
    </row>
    <row r="1020">
      <c r="A1020" s="34">
        <f>'Database FED'!$A1010</f>
        <v/>
      </c>
      <c r="B1020" s="35">
        <f>VLOOKUP(A1020,'Database FED'!$A$1:$D$1100,2,FALSE)</f>
        <v/>
      </c>
      <c r="C1020" s="35">
        <f>Table9[[#This Row],[WALCL]]-B1019</f>
        <v/>
      </c>
    </row>
    <row r="1021">
      <c r="A1021" s="34">
        <f>'Database FED'!$A1011</f>
        <v/>
      </c>
      <c r="B1021" s="35">
        <f>VLOOKUP(A1021,'Database FED'!$A$1:$D$1100,2,FALSE)</f>
        <v/>
      </c>
      <c r="C1021" s="35">
        <f>Table9[[#This Row],[WALCL]]-B1020</f>
        <v/>
      </c>
    </row>
    <row r="1022">
      <c r="A1022" s="34">
        <f>'Database FED'!$A1012</f>
        <v/>
      </c>
      <c r="B1022" s="35">
        <f>VLOOKUP(A1022,'Database FED'!$A$1:$D$1100,2,FALSE)</f>
        <v/>
      </c>
      <c r="C1022" s="35">
        <f>Table9[[#This Row],[WALCL]]-B1021</f>
        <v/>
      </c>
    </row>
    <row r="1023">
      <c r="A1023" s="34">
        <f>'Database FED'!$A1013</f>
        <v/>
      </c>
      <c r="B1023" s="35">
        <f>VLOOKUP(A1023,'Database FED'!$A$1:$D$1100,2,FALSE)</f>
        <v/>
      </c>
      <c r="C1023" s="35">
        <f>Table9[[#This Row],[WALCL]]-B1022</f>
        <v/>
      </c>
    </row>
    <row r="1024">
      <c r="A1024" s="34">
        <f>'Database FED'!$A1014</f>
        <v/>
      </c>
      <c r="B1024" s="35">
        <f>VLOOKUP(A1024,'Database FED'!$A$1:$D$1100,2,FALSE)</f>
        <v/>
      </c>
      <c r="C1024" s="35">
        <f>Table9[[#This Row],[WALCL]]-B1023</f>
        <v/>
      </c>
    </row>
    <row r="1025">
      <c r="A1025" s="34">
        <f>'Database FED'!$A1015</f>
        <v/>
      </c>
      <c r="B1025" s="35">
        <f>VLOOKUP(A1025,'Database FED'!$A$1:$D$1100,2,FALSE)</f>
        <v/>
      </c>
      <c r="C1025" s="35">
        <f>Table9[[#This Row],[WALCL]]-B1024</f>
        <v/>
      </c>
    </row>
    <row r="1026">
      <c r="A1026" s="34">
        <f>'Database FED'!$A1016</f>
        <v/>
      </c>
      <c r="B1026" s="35">
        <f>VLOOKUP(A1026,'Database FED'!$A$1:$D$1100,2,FALSE)</f>
        <v/>
      </c>
      <c r="C1026" s="35">
        <f>Table9[[#This Row],[WALCL]]-B1025</f>
        <v/>
      </c>
    </row>
    <row r="1027">
      <c r="A1027" s="34">
        <f>'Database FED'!$A1017</f>
        <v/>
      </c>
      <c r="B1027" s="35">
        <f>VLOOKUP(A1027,'Database FED'!$A$1:$D$1100,2,FALSE)</f>
        <v/>
      </c>
      <c r="C1027" s="35">
        <f>Table9[[#This Row],[WALCL]]-B1026</f>
        <v/>
      </c>
    </row>
    <row r="1028">
      <c r="A1028" s="34">
        <f>'Database FED'!$A1018</f>
        <v/>
      </c>
      <c r="B1028" s="35">
        <f>VLOOKUP(A1028,'Database FED'!$A$1:$D$1100,2,FALSE)</f>
        <v/>
      </c>
      <c r="C1028" s="35">
        <f>Table9[[#This Row],[WALCL]]-B1027</f>
        <v/>
      </c>
    </row>
    <row r="1029">
      <c r="A1029" s="34">
        <f>'Database FED'!$A1019</f>
        <v/>
      </c>
      <c r="B1029" s="35">
        <f>VLOOKUP(A1029,'Database FED'!$A$1:$D$1100,2,FALSE)</f>
        <v/>
      </c>
      <c r="C1029" s="35">
        <f>Table9[[#This Row],[WALCL]]-B1028</f>
        <v/>
      </c>
    </row>
    <row r="1030">
      <c r="A1030" s="34">
        <f>'Database FED'!$A1020</f>
        <v/>
      </c>
      <c r="B1030" s="35">
        <f>VLOOKUP(A1030,'Database FED'!$A$1:$D$1100,2,FALSE)</f>
        <v/>
      </c>
      <c r="C1030" s="35">
        <f>Table9[[#This Row],[WALCL]]-B1029</f>
        <v/>
      </c>
    </row>
    <row r="1031">
      <c r="A1031" s="34">
        <f>'Database FED'!$A1021</f>
        <v/>
      </c>
      <c r="B1031" s="35">
        <f>VLOOKUP(A1031,'Database FED'!$A$1:$D$1100,2,FALSE)</f>
        <v/>
      </c>
      <c r="C1031" s="35">
        <f>Table9[[#This Row],[WALCL]]-B1030</f>
        <v/>
      </c>
    </row>
    <row r="1032">
      <c r="A1032" s="34">
        <f>'Database FED'!$A1022</f>
        <v/>
      </c>
      <c r="B1032" s="35">
        <f>VLOOKUP(A1032,'Database FED'!$A$1:$D$1100,2,FALSE)</f>
        <v/>
      </c>
      <c r="C1032" s="35">
        <f>Table9[[#This Row],[WALCL]]-B1031</f>
        <v/>
      </c>
    </row>
    <row r="1033">
      <c r="A1033" s="34">
        <f>'Database FED'!$A1023</f>
        <v/>
      </c>
      <c r="B1033" s="35">
        <f>VLOOKUP(A1033,'Database FED'!$A$1:$D$1100,2,FALSE)</f>
        <v/>
      </c>
      <c r="C1033" s="35">
        <f>Table9[[#This Row],[WALCL]]-B1032</f>
        <v/>
      </c>
    </row>
    <row r="1034">
      <c r="A1034" s="34">
        <f>'Database FED'!$A1024</f>
        <v/>
      </c>
      <c r="B1034" s="35">
        <f>VLOOKUP(A1034,'Database FED'!$A$1:$D$1100,2,FALSE)</f>
        <v/>
      </c>
      <c r="C1034" s="35">
        <f>Table9[[#This Row],[WALCL]]-B1033</f>
        <v/>
      </c>
    </row>
    <row r="1035">
      <c r="A1035" s="34">
        <f>'Database FED'!$A1025</f>
        <v/>
      </c>
      <c r="B1035" s="35">
        <f>VLOOKUP(A1035,'Database FED'!$A$1:$D$1100,2,FALSE)</f>
        <v/>
      </c>
      <c r="C1035" s="35">
        <f>Table9[[#This Row],[WALCL]]-B1034</f>
        <v/>
      </c>
    </row>
    <row r="1036">
      <c r="A1036" s="34">
        <f>'Database FED'!$A1026</f>
        <v/>
      </c>
      <c r="B1036" s="35">
        <f>VLOOKUP(A1036,'Database FED'!$A$1:$D$1100,2,FALSE)</f>
        <v/>
      </c>
      <c r="C1036" s="35">
        <f>Table9[[#This Row],[WALCL]]-B1035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36"/>
  <sheetViews>
    <sheetView showGridLines="0" topLeftCell="B1" zoomScale="130" zoomScaleNormal="130" workbookViewId="0">
      <pane ySplit="11" topLeftCell="A1008" activePane="bottomLeft" state="frozen"/>
      <selection activeCell="G33" sqref="G33"/>
      <selection pane="bottomLeft" activeCell="F1038" sqref="F1038"/>
    </sheetView>
  </sheetViews>
  <sheetFormatPr baseColWidth="10" defaultColWidth="9.1640625" defaultRowHeight="15"/>
  <cols>
    <col width="20.6640625" customWidth="1" style="39" min="1" max="2"/>
    <col width="17" customWidth="1" style="56" min="3" max="3"/>
    <col width="9.1640625" customWidth="1" style="56" min="4" max="4"/>
    <col width="17.83203125" customWidth="1" style="56" min="5" max="5"/>
    <col width="12.33203125" customWidth="1" style="56" min="6" max="6"/>
    <col width="9.1640625" customWidth="1" style="56" min="7" max="15"/>
    <col width="36.1640625" customWidth="1" style="56" min="16" max="16"/>
    <col width="9.1640625" customWidth="1" style="56" min="17" max="17"/>
    <col width="29.6640625" customWidth="1" style="56" min="18" max="18"/>
    <col width="37.6640625" customWidth="1" style="56" min="19" max="19"/>
    <col width="9.1640625" customWidth="1" style="56" min="20" max="38"/>
    <col width="9.1640625" customWidth="1" style="56" min="39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6" t="n"/>
      <c r="B3" s="56" t="n"/>
    </row>
    <row r="4">
      <c r="A4" s="56" t="inlineStr">
        <is>
          <t>Fed Balance Sheet</t>
        </is>
      </c>
      <c r="B4" s="56" t="n"/>
    </row>
    <row r="5">
      <c r="A5" s="56" t="n"/>
      <c r="B5" s="56" t="n"/>
    </row>
    <row r="6">
      <c r="A6" s="56" t="n"/>
      <c r="B6" s="56" t="n"/>
    </row>
    <row r="7">
      <c r="A7" s="56" t="n"/>
      <c r="B7" s="56" t="n"/>
    </row>
    <row r="8">
      <c r="A8" s="56" t="n"/>
      <c r="B8" s="56" t="n"/>
    </row>
    <row r="9">
      <c r="A9" s="56" t="n"/>
      <c r="B9" s="56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  <row r="1014">
      <c r="A1014" s="9">
        <f>'Database FED'!$A1004</f>
        <v/>
      </c>
      <c r="B1014" s="8">
        <f>VLOOKUP(A1014,'Database FED'!$A$1:$D$1100,2,FALSE)</f>
        <v/>
      </c>
      <c r="C1014" s="6">
        <f>(Table4[[#This Row],[WALCL]]/1000)/19222</f>
        <v/>
      </c>
    </row>
    <row r="1015">
      <c r="A1015" s="9">
        <f>'Database FED'!$A1005</f>
        <v/>
      </c>
      <c r="B1015" s="8">
        <f>VLOOKUP(A1015,'Database FED'!$A$1:$D$1100,2,FALSE)</f>
        <v/>
      </c>
      <c r="C1015" s="6">
        <f>(Table4[[#This Row],[WALCL]]/1000)/19222</f>
        <v/>
      </c>
    </row>
    <row r="1016">
      <c r="A1016" s="9">
        <f>'Database FED'!$A1006</f>
        <v/>
      </c>
      <c r="B1016" s="8">
        <f>VLOOKUP(A1016,'Database FED'!$A$1:$D$1100,2,FALSE)</f>
        <v/>
      </c>
      <c r="C1016" s="6">
        <f>(Table4[[#This Row],[WALCL]]/1000)/19222</f>
        <v/>
      </c>
    </row>
    <row r="1017">
      <c r="A1017" s="9">
        <f>'Database FED'!$A1007</f>
        <v/>
      </c>
      <c r="B1017" s="8">
        <f>VLOOKUP(A1017,'Database FED'!$A$1:$D$1100,2,FALSE)</f>
        <v/>
      </c>
      <c r="C1017" s="6">
        <f>(Table4[[#This Row],[WALCL]]/1000)/19222</f>
        <v/>
      </c>
    </row>
    <row r="1018">
      <c r="A1018" s="9">
        <f>'Database FED'!$A1008</f>
        <v/>
      </c>
      <c r="B1018" s="8">
        <f>VLOOKUP(A1018,'Database FED'!$A$1:$D$1100,2,FALSE)</f>
        <v/>
      </c>
      <c r="C1018" s="6">
        <f>(Table4[[#This Row],[WALCL]]/1000)/19222</f>
        <v/>
      </c>
    </row>
    <row r="1019">
      <c r="A1019" s="9">
        <f>'Database FED'!$A1009</f>
        <v/>
      </c>
      <c r="B1019" s="8">
        <f>VLOOKUP(A1019,'Database FED'!$A$1:$D$1100,2,FALSE)</f>
        <v/>
      </c>
      <c r="C1019" s="6">
        <f>(Table4[[#This Row],[WALCL]]/1000)/19222</f>
        <v/>
      </c>
    </row>
    <row r="1020">
      <c r="A1020" s="9">
        <f>'Database FED'!$A1010</f>
        <v/>
      </c>
      <c r="B1020" s="8">
        <f>VLOOKUP(A1020,'Database FED'!$A$1:$D$1100,2,FALSE)</f>
        <v/>
      </c>
      <c r="C1020" s="6">
        <f>(Table4[[#This Row],[WALCL]]/1000)/19222</f>
        <v/>
      </c>
    </row>
    <row r="1021">
      <c r="A1021" s="9">
        <f>'Database FED'!$A1011</f>
        <v/>
      </c>
      <c r="B1021" s="8">
        <f>VLOOKUP(A1021,'Database FED'!$A$1:$D$1100,2,FALSE)</f>
        <v/>
      </c>
      <c r="C1021" s="6">
        <f>(Table4[[#This Row],[WALCL]]/1000)/19222</f>
        <v/>
      </c>
    </row>
    <row r="1022">
      <c r="A1022" s="9">
        <f>'Database FED'!$A1012</f>
        <v/>
      </c>
      <c r="B1022" s="8">
        <f>VLOOKUP(A1022,'Database FED'!$A$1:$D$1100,2,FALSE)</f>
        <v/>
      </c>
      <c r="C1022" s="6">
        <f>(Table4[[#This Row],[WALCL]]/1000)/19222</f>
        <v/>
      </c>
    </row>
    <row r="1023">
      <c r="A1023" s="9">
        <f>'Database FED'!$A1013</f>
        <v/>
      </c>
      <c r="B1023" s="8">
        <f>VLOOKUP(A1023,'Database FED'!$A$1:$D$1100,2,FALSE)</f>
        <v/>
      </c>
      <c r="C1023" s="6">
        <f>(Table4[[#This Row],[WALCL]]/1000)/19222</f>
        <v/>
      </c>
    </row>
    <row r="1024">
      <c r="A1024" s="9">
        <f>'Database FED'!$A1014</f>
        <v/>
      </c>
      <c r="B1024" s="8">
        <f>VLOOKUP(A1024,'Database FED'!$A$1:$D$1100,2,FALSE)</f>
        <v/>
      </c>
      <c r="C1024" s="6">
        <f>(Table4[[#This Row],[WALCL]]/1000)/19222</f>
        <v/>
      </c>
    </row>
    <row r="1025">
      <c r="A1025" s="9">
        <f>'Database FED'!$A1015</f>
        <v/>
      </c>
      <c r="B1025" s="8">
        <f>VLOOKUP(A1025,'Database FED'!$A$1:$D$1100,2,FALSE)</f>
        <v/>
      </c>
      <c r="C1025" s="6">
        <f>(Table4[[#This Row],[WALCL]]/1000)/19222</f>
        <v/>
      </c>
    </row>
    <row r="1026">
      <c r="A1026" s="9">
        <f>'Database FED'!$A1016</f>
        <v/>
      </c>
      <c r="B1026" s="8">
        <f>VLOOKUP(A1026,'Database FED'!$A$1:$D$1100,2,FALSE)</f>
        <v/>
      </c>
      <c r="C1026" s="6">
        <f>(Table4[[#This Row],[WALCL]]/1000)/19222</f>
        <v/>
      </c>
    </row>
    <row r="1027">
      <c r="A1027" s="9">
        <f>'Database FED'!$A1017</f>
        <v/>
      </c>
      <c r="B1027" s="8">
        <f>VLOOKUP(A1027,'Database FED'!$A$1:$D$1100,2,FALSE)</f>
        <v/>
      </c>
      <c r="C1027" s="6">
        <f>(Table4[[#This Row],[WALCL]]/1000)/19222</f>
        <v/>
      </c>
    </row>
    <row r="1028">
      <c r="A1028" s="9">
        <f>'Database FED'!$A1018</f>
        <v/>
      </c>
      <c r="B1028" s="8">
        <f>VLOOKUP(A1028,'Database FED'!$A$1:$D$1100,2,FALSE)</f>
        <v/>
      </c>
      <c r="C1028" s="6">
        <f>(Table4[[#This Row],[WALCL]]/1000)/19222</f>
        <v/>
      </c>
    </row>
    <row r="1029">
      <c r="A1029" s="9">
        <f>'Database FED'!$A1019</f>
        <v/>
      </c>
      <c r="B1029" s="8">
        <f>VLOOKUP(A1029,'Database FED'!$A$1:$D$1100,2,FALSE)</f>
        <v/>
      </c>
      <c r="C1029" s="6">
        <f>(Table4[[#This Row],[WALCL]]/1000)/19222</f>
        <v/>
      </c>
    </row>
    <row r="1030">
      <c r="A1030" s="9">
        <f>'Database FED'!$A1020</f>
        <v/>
      </c>
      <c r="B1030" s="8">
        <f>VLOOKUP(A1030,'Database FED'!$A$1:$D$1100,2,FALSE)</f>
        <v/>
      </c>
      <c r="C1030" s="6">
        <f>(Table4[[#This Row],[WALCL]]/1000)/19222</f>
        <v/>
      </c>
    </row>
    <row r="1031">
      <c r="A1031" s="9">
        <f>'Database FED'!$A1021</f>
        <v/>
      </c>
      <c r="B1031" s="8">
        <f>VLOOKUP(A1031,'Database FED'!$A$1:$D$1100,2,FALSE)</f>
        <v/>
      </c>
      <c r="C1031" s="6">
        <f>(Table4[[#This Row],[WALCL]]/1000)/19222</f>
        <v/>
      </c>
    </row>
    <row r="1032">
      <c r="A1032" s="9">
        <f>'Database FED'!$A1022</f>
        <v/>
      </c>
      <c r="B1032" s="8">
        <f>VLOOKUP(A1032,'Database FED'!$A$1:$D$1100,2,FALSE)</f>
        <v/>
      </c>
      <c r="C1032" s="6">
        <f>(Table4[[#This Row],[WALCL]]/1000)/19222</f>
        <v/>
      </c>
    </row>
    <row r="1033">
      <c r="A1033" s="9">
        <f>'Database FED'!$A1023</f>
        <v/>
      </c>
      <c r="B1033" s="8">
        <f>VLOOKUP(A1033,'Database FED'!$A$1:$D$1100,2,FALSE)</f>
        <v/>
      </c>
      <c r="C1033" s="6">
        <f>(Table4[[#This Row],[WALCL]]/1000)/19222</f>
        <v/>
      </c>
    </row>
    <row r="1034">
      <c r="A1034" s="9">
        <f>'Database FED'!$A1024</f>
        <v/>
      </c>
      <c r="B1034" s="8">
        <f>VLOOKUP(A1034,'Database FED'!$A$1:$D$1100,2,FALSE)</f>
        <v/>
      </c>
      <c r="C1034" s="6">
        <f>(Table4[[#This Row],[WALCL]]/1000)/19222</f>
        <v/>
      </c>
    </row>
    <row r="1035">
      <c r="A1035" s="9">
        <f>'Database FED'!$A1025</f>
        <v/>
      </c>
      <c r="B1035" s="8">
        <f>VLOOKUP(A1035,'Database FED'!$A$1:$D$1100,2,FALSE)</f>
        <v/>
      </c>
      <c r="C1035" s="6">
        <f>(Table4[[#This Row],[WALCL]]/1000)/19222</f>
        <v/>
      </c>
    </row>
    <row r="1036">
      <c r="A1036" s="9">
        <f>'Database FED'!$A1026</f>
        <v/>
      </c>
      <c r="B1036" s="8">
        <f>VLOOKUP(A1036,'Database FED'!$A$1:$D$1100,2,FALSE)</f>
        <v/>
      </c>
      <c r="C1036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296"/>
  <sheetViews>
    <sheetView zoomScale="110" zoomScaleNormal="110" workbookViewId="0">
      <pane ySplit="5" topLeftCell="A250" activePane="bottomLeft" state="frozen"/>
      <selection activeCell="A1206" sqref="A1206"/>
      <selection pane="bottomLeft" activeCell="A1206" sqref="A1206"/>
    </sheetView>
  </sheetViews>
  <sheetFormatPr baseColWidth="10" defaultColWidth="9.1640625" defaultRowHeight="15"/>
  <cols>
    <col width="20.1640625" customWidth="1" style="56" min="1" max="1"/>
    <col width="14.1640625" customWidth="1" style="56" min="2" max="2"/>
    <col width="9.1640625" customWidth="1" style="56" min="3" max="3"/>
    <col width="10.1640625" bestFit="1" customWidth="1" style="56" min="4" max="4"/>
    <col width="9.1640625" customWidth="1" style="56" min="5" max="21"/>
    <col width="9.1640625" customWidth="1" style="56" min="22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BOJ'!$A$1:$C$1100,2,FALSE)</f>
        <v/>
      </c>
      <c r="C6" s="29">
        <f>VLOOKUP(A6,'Database BOJ'!$A$1:$D$1100,4,FALSE)</f>
        <v/>
      </c>
      <c r="D6" s="46">
        <f>IFERROR(VLOOKUP(A6,'Database BOJ'!$A$1:$C$1100,2,FALSE)/VLOOKUP(A6,'Database BOJ'!$A$1:$C$1100,3,FALSE),#N/A)</f>
        <v/>
      </c>
    </row>
    <row r="7">
      <c r="A7" s="41" t="n">
        <v>35916</v>
      </c>
      <c r="B7" s="18">
        <f>VLOOKUP(A7,'Database BOJ'!$A$1:$C$1100,2,FALSE)</f>
        <v/>
      </c>
      <c r="C7" s="29">
        <f>VLOOKUP(A7,'Database BOJ'!$A$1:$D$1100,4,FALSE)</f>
        <v/>
      </c>
      <c r="D7" s="46">
        <f>IFERROR(VLOOKUP(A7,'Database BOJ'!$A$1:$C$1100,2,FALSE)/VLOOKUP(A7,'Database BOJ'!$A$1:$C$1100,3,FALSE),#N/A)</f>
        <v/>
      </c>
    </row>
    <row r="8">
      <c r="A8" s="41" t="n">
        <v>35947</v>
      </c>
      <c r="B8" s="18">
        <f>VLOOKUP(A8,'Database BOJ'!$A$1:$C$1100,2,FALSE)</f>
        <v/>
      </c>
      <c r="C8" s="29">
        <f>VLOOKUP(A8,'Database BOJ'!$A$1:$D$1100,4,FALSE)</f>
        <v/>
      </c>
      <c r="D8" s="46">
        <f>IFERROR(VLOOKUP(A8,'Database BOJ'!$A$1:$C$1100,2,FALSE)/VLOOKUP(A8,'Database BOJ'!$A$1:$C$1100,3,FALSE),#N/A)</f>
        <v/>
      </c>
    </row>
    <row r="9">
      <c r="A9" s="41" t="n">
        <v>35977</v>
      </c>
      <c r="B9" s="18">
        <f>VLOOKUP(A9,'Database BOJ'!$A$1:$C$1100,2,FALSE)</f>
        <v/>
      </c>
      <c r="C9" s="29">
        <f>VLOOKUP(A9,'Database BOJ'!$A$1:$D$1100,4,FALSE)</f>
        <v/>
      </c>
      <c r="D9" s="46">
        <f>IFERROR(VLOOKUP(A9,'Database BOJ'!$A$1:$C$1100,2,FALSE)/VLOOKUP(A9,'Database BOJ'!$A$1:$C$1100,3,FALSE),#N/A)</f>
        <v/>
      </c>
    </row>
    <row r="10">
      <c r="A10" s="41" t="n">
        <v>36008</v>
      </c>
      <c r="B10" s="18">
        <f>VLOOKUP(A10,'Database BOJ'!$A$1:$C$1100,2,FALSE)</f>
        <v/>
      </c>
      <c r="C10" s="29">
        <f>VLOOKUP(A10,'Database BOJ'!$A$1:$D$1100,4,FALSE)</f>
        <v/>
      </c>
      <c r="D10" s="46">
        <f>IFERROR(VLOOKUP(A10,'Database BOJ'!$A$1:$C$1100,2,FALSE)/VLOOKUP(A10,'Database BOJ'!$A$1:$C$1100,3,FALSE),#N/A)</f>
        <v/>
      </c>
    </row>
    <row r="11">
      <c r="A11" s="41" t="n">
        <v>36039</v>
      </c>
      <c r="B11" s="18">
        <f>VLOOKUP(A11,'Database BOJ'!$A$1:$C$1100,2,FALSE)</f>
        <v/>
      </c>
      <c r="C11" s="29">
        <f>VLOOKUP(A11,'Database BOJ'!$A$1:$D$1100,4,FALSE)</f>
        <v/>
      </c>
      <c r="D11" s="46">
        <f>IFERROR(VLOOKUP(A11,'Database BOJ'!$A$1:$C$1100,2,FALSE)/VLOOKUP(A11,'Database BOJ'!$A$1:$C$1100,3,FALSE),#N/A)</f>
        <v/>
      </c>
    </row>
    <row r="12">
      <c r="A12" s="41" t="n">
        <v>36069</v>
      </c>
      <c r="B12" s="18">
        <f>VLOOKUP(A12,'Database BOJ'!$A$1:$C$1100,2,FALSE)</f>
        <v/>
      </c>
      <c r="C12" s="29">
        <f>VLOOKUP(A12,'Database BOJ'!$A$1:$D$1100,4,FALSE)</f>
        <v/>
      </c>
      <c r="D12" s="46">
        <f>IFERROR(VLOOKUP(A12,'Database BOJ'!$A$1:$C$1100,2,FALSE)/VLOOKUP(A12,'Database BOJ'!$A$1:$C$1100,3,FALSE),#N/A)</f>
        <v/>
      </c>
    </row>
    <row r="13">
      <c r="A13" s="41" t="n">
        <v>36100</v>
      </c>
      <c r="B13" s="18">
        <f>VLOOKUP(A13,'Database BOJ'!$A$1:$C$1100,2,FALSE)</f>
        <v/>
      </c>
      <c r="C13" s="29">
        <f>VLOOKUP(A13,'Database BOJ'!$A$1:$D$1100,4,FALSE)</f>
        <v/>
      </c>
      <c r="D13" s="46">
        <f>IFERROR(VLOOKUP(A13,'Database BOJ'!$A$1:$C$1100,2,FALSE)/VLOOKUP(A13,'Database BOJ'!$A$1:$C$1100,3,FALSE),#N/A)</f>
        <v/>
      </c>
    </row>
    <row r="14">
      <c r="A14" s="41" t="n">
        <v>36130</v>
      </c>
      <c r="B14" s="18">
        <f>VLOOKUP(A14,'Database BOJ'!$A$1:$C$1100,2,FALSE)</f>
        <v/>
      </c>
      <c r="C14" s="29">
        <f>VLOOKUP(A14,'Database BOJ'!$A$1:$D$1100,4,FALSE)</f>
        <v/>
      </c>
      <c r="D14" s="46">
        <f>IFERROR(VLOOKUP(A14,'Database BOJ'!$A$1:$C$1100,2,FALSE)/VLOOKUP(A14,'Database BOJ'!$A$1:$C$1100,3,FALSE),#N/A)</f>
        <v/>
      </c>
    </row>
    <row r="15">
      <c r="A15" s="41" t="n">
        <v>36161</v>
      </c>
      <c r="B15" s="18">
        <f>VLOOKUP(A15,'Database BOJ'!$A$1:$C$1100,2,FALSE)</f>
        <v/>
      </c>
      <c r="C15" s="29">
        <f>VLOOKUP(A15,'Database BOJ'!$A$1:$D$1100,4,FALSE)</f>
        <v/>
      </c>
      <c r="D15" s="46">
        <f>IFERROR(VLOOKUP(A15,'Database BOJ'!$A$1:$C$1100,2,FALSE)/VLOOKUP(A15,'Database BOJ'!$A$1:$C$1100,3,FALSE),#N/A)</f>
        <v/>
      </c>
    </row>
    <row r="16">
      <c r="A16" s="41" t="n">
        <v>36192</v>
      </c>
      <c r="B16" s="18">
        <f>VLOOKUP(A16,'Database BOJ'!$A$1:$C$1100,2,FALSE)</f>
        <v/>
      </c>
      <c r="C16" s="29">
        <f>VLOOKUP(A16,'Database BOJ'!$A$1:$D$1100,4,FALSE)</f>
        <v/>
      </c>
      <c r="D16" s="46">
        <f>IFERROR(VLOOKUP(A16,'Database BOJ'!$A$1:$C$1100,2,FALSE)/VLOOKUP(A16,'Database BOJ'!$A$1:$C$1100,3,FALSE),#N/A)</f>
        <v/>
      </c>
    </row>
    <row r="17">
      <c r="A17" s="41" t="n">
        <v>36220</v>
      </c>
      <c r="B17" s="18">
        <f>VLOOKUP(A17,'Database BOJ'!$A$1:$C$1100,2,FALSE)</f>
        <v/>
      </c>
      <c r="C17" s="29">
        <f>VLOOKUP(A17,'Database BOJ'!$A$1:$D$1100,4,FALSE)</f>
        <v/>
      </c>
      <c r="D17" s="46">
        <f>IFERROR(VLOOKUP(A17,'Database BOJ'!$A$1:$C$1100,2,FALSE)/VLOOKUP(A17,'Database BOJ'!$A$1:$C$1100,3,FALSE),#N/A)</f>
        <v/>
      </c>
    </row>
    <row r="18">
      <c r="A18" s="41" t="n">
        <v>36251</v>
      </c>
      <c r="B18" s="18">
        <f>VLOOKUP(A18,'Database BOJ'!$A$1:$C$1100,2,FALSE)</f>
        <v/>
      </c>
      <c r="C18" s="29">
        <f>VLOOKUP(A18,'Database BOJ'!$A$1:$D$1100,4,FALSE)</f>
        <v/>
      </c>
      <c r="D18" s="46">
        <f>IFERROR(VLOOKUP(A18,'Database BOJ'!$A$1:$C$1100,2,FALSE)/VLOOKUP(A18,'Database BOJ'!$A$1:$C$1100,3,FALSE),#N/A)</f>
        <v/>
      </c>
    </row>
    <row r="19">
      <c r="A19" s="41" t="n">
        <v>36281</v>
      </c>
      <c r="B19" s="18">
        <f>VLOOKUP(A19,'Database BOJ'!$A$1:$C$1100,2,FALSE)</f>
        <v/>
      </c>
      <c r="C19" s="29">
        <f>VLOOKUP(A19,'Database BOJ'!$A$1:$D$1100,4,FALSE)</f>
        <v/>
      </c>
      <c r="D19" s="46">
        <f>IFERROR(VLOOKUP(A19,'Database BOJ'!$A$1:$C$1100,2,FALSE)/VLOOKUP(A19,'Database BOJ'!$A$1:$C$1100,3,FALSE),#N/A)</f>
        <v/>
      </c>
    </row>
    <row r="20">
      <c r="A20" s="41" t="n">
        <v>36312</v>
      </c>
      <c r="B20" s="18">
        <f>VLOOKUP(A20,'Database BOJ'!$A$1:$C$1100,2,FALSE)</f>
        <v/>
      </c>
      <c r="C20" s="29">
        <f>VLOOKUP(A20,'Database BOJ'!$A$1:$D$1100,4,FALSE)</f>
        <v/>
      </c>
      <c r="D20" s="46">
        <f>IFERROR(VLOOKUP(A20,'Database BOJ'!$A$1:$C$1100,2,FALSE)/VLOOKUP(A20,'Database BOJ'!$A$1:$C$1100,3,FALSE),#N/A)</f>
        <v/>
      </c>
    </row>
    <row r="21">
      <c r="A21" s="41" t="n">
        <v>36342</v>
      </c>
      <c r="B21" s="18">
        <f>VLOOKUP(A21,'Database BOJ'!$A$1:$C$1100,2,FALSE)</f>
        <v/>
      </c>
      <c r="C21" s="29">
        <f>VLOOKUP(A21,'Database BOJ'!$A$1:$D$1100,4,FALSE)</f>
        <v/>
      </c>
      <c r="D21" s="46">
        <f>IFERROR(VLOOKUP(A21,'Database BOJ'!$A$1:$C$1100,2,FALSE)/VLOOKUP(A21,'Database BOJ'!$A$1:$C$1100,3,FALSE),#N/A)</f>
        <v/>
      </c>
    </row>
    <row r="22">
      <c r="A22" s="41" t="n">
        <v>36373</v>
      </c>
      <c r="B22" s="18">
        <f>VLOOKUP(A22,'Database BOJ'!$A$1:$C$1100,2,FALSE)</f>
        <v/>
      </c>
      <c r="C22" s="29">
        <f>VLOOKUP(A22,'Database BOJ'!$A$1:$D$1100,4,FALSE)</f>
        <v/>
      </c>
      <c r="D22" s="46">
        <f>IFERROR(VLOOKUP(A22,'Database BOJ'!$A$1:$C$1100,2,FALSE)/VLOOKUP(A22,'Database BOJ'!$A$1:$C$1100,3,FALSE),#N/A)</f>
        <v/>
      </c>
    </row>
    <row r="23">
      <c r="A23" s="41" t="n">
        <v>36404</v>
      </c>
      <c r="B23" s="18">
        <f>VLOOKUP(A23,'Database BOJ'!$A$1:$C$1100,2,FALSE)</f>
        <v/>
      </c>
      <c r="C23" s="29">
        <f>VLOOKUP(A23,'Database BOJ'!$A$1:$D$1100,4,FALSE)</f>
        <v/>
      </c>
      <c r="D23" s="46">
        <f>IFERROR(VLOOKUP(A23,'Database BOJ'!$A$1:$C$1100,2,FALSE)/VLOOKUP(A23,'Database BOJ'!$A$1:$C$1100,3,FALSE),#N/A)</f>
        <v/>
      </c>
    </row>
    <row r="24">
      <c r="A24" s="41" t="n">
        <v>36434</v>
      </c>
      <c r="B24" s="18">
        <f>VLOOKUP(A24,'Database BOJ'!$A$1:$C$1100,2,FALSE)</f>
        <v/>
      </c>
      <c r="C24" s="29">
        <f>VLOOKUP(A24,'Database BOJ'!$A$1:$D$1100,4,FALSE)</f>
        <v/>
      </c>
      <c r="D24" s="46">
        <f>IFERROR(VLOOKUP(A24,'Database BOJ'!$A$1:$C$1100,2,FALSE)/VLOOKUP(A24,'Database BOJ'!$A$1:$C$1100,3,FALSE),#N/A)</f>
        <v/>
      </c>
    </row>
    <row r="25">
      <c r="A25" s="41" t="n">
        <v>36465</v>
      </c>
      <c r="B25" s="18">
        <f>VLOOKUP(A25,'Database BOJ'!$A$1:$C$1100,2,FALSE)</f>
        <v/>
      </c>
      <c r="C25" s="29">
        <f>VLOOKUP(A25,'Database BOJ'!$A$1:$D$1100,4,FALSE)</f>
        <v/>
      </c>
      <c r="D25" s="46">
        <f>IFERROR(VLOOKUP(A25,'Database BOJ'!$A$1:$C$1100,2,FALSE)/VLOOKUP(A25,'Database BOJ'!$A$1:$C$1100,3,FALSE),#N/A)</f>
        <v/>
      </c>
    </row>
    <row r="26">
      <c r="A26" s="41" t="n">
        <v>36495</v>
      </c>
      <c r="B26" s="18">
        <f>VLOOKUP(A26,'Database BOJ'!$A$1:$C$1100,2,FALSE)</f>
        <v/>
      </c>
      <c r="C26" s="29">
        <f>VLOOKUP(A26,'Database BOJ'!$A$1:$D$1100,4,FALSE)</f>
        <v/>
      </c>
      <c r="D26" s="46">
        <f>IFERROR(VLOOKUP(A26,'Database BOJ'!$A$1:$C$1100,2,FALSE)/VLOOKUP(A26,'Database BOJ'!$A$1:$C$1100,3,FALSE),#N/A)</f>
        <v/>
      </c>
    </row>
    <row r="27">
      <c r="A27" s="41" t="n">
        <v>36526</v>
      </c>
      <c r="B27" s="18">
        <f>VLOOKUP(A27,'Database BOJ'!$A$1:$C$1100,2,FALSE)</f>
        <v/>
      </c>
      <c r="C27" s="29">
        <f>VLOOKUP(A27,'Database BOJ'!$A$1:$D$1100,4,FALSE)</f>
        <v/>
      </c>
      <c r="D27" s="46">
        <f>IFERROR(VLOOKUP(A27,'Database BOJ'!$A$1:$C$1100,2,FALSE)/VLOOKUP(A27,'Database BOJ'!$A$1:$C$1100,3,FALSE),#N/A)</f>
        <v/>
      </c>
    </row>
    <row r="28">
      <c r="A28" s="41" t="n">
        <v>36557</v>
      </c>
      <c r="B28" s="18">
        <f>VLOOKUP(A28,'Database BOJ'!$A$1:$C$1100,2,FALSE)</f>
        <v/>
      </c>
      <c r="C28" s="29">
        <f>VLOOKUP(A28,'Database BOJ'!$A$1:$D$1100,4,FALSE)</f>
        <v/>
      </c>
      <c r="D28" s="46">
        <f>IFERROR(VLOOKUP(A28,'Database BOJ'!$A$1:$C$1100,2,FALSE)/VLOOKUP(A28,'Database BOJ'!$A$1:$C$1100,3,FALSE),#N/A)</f>
        <v/>
      </c>
    </row>
    <row r="29">
      <c r="A29" s="41" t="n">
        <v>36586</v>
      </c>
      <c r="B29" s="18">
        <f>VLOOKUP(A29,'Database BOJ'!$A$1:$C$1100,2,FALSE)</f>
        <v/>
      </c>
      <c r="C29" s="29">
        <f>VLOOKUP(A29,'Database BOJ'!$A$1:$D$1100,4,FALSE)</f>
        <v/>
      </c>
      <c r="D29" s="46">
        <f>IFERROR(VLOOKUP(A29,'Database BOJ'!$A$1:$C$1100,2,FALSE)/VLOOKUP(A29,'Database BOJ'!$A$1:$C$1100,3,FALSE),#N/A)</f>
        <v/>
      </c>
    </row>
    <row r="30">
      <c r="A30" s="41" t="n">
        <v>36617</v>
      </c>
      <c r="B30" s="18">
        <f>VLOOKUP(A30,'Database BOJ'!$A$1:$C$1100,2,FALSE)</f>
        <v/>
      </c>
      <c r="C30" s="29">
        <f>VLOOKUP(A30,'Database BOJ'!$A$1:$D$1100,4,FALSE)</f>
        <v/>
      </c>
      <c r="D30" s="46">
        <f>IFERROR(VLOOKUP(A30,'Database BOJ'!$A$1:$C$1100,2,FALSE)/VLOOKUP(A30,'Database BOJ'!$A$1:$C$1100,3,FALSE),#N/A)</f>
        <v/>
      </c>
    </row>
    <row r="31">
      <c r="A31" s="41" t="n">
        <v>36647</v>
      </c>
      <c r="B31" s="18">
        <f>VLOOKUP(A31,'Database BOJ'!$A$1:$C$1100,2,FALSE)</f>
        <v/>
      </c>
      <c r="C31" s="29">
        <f>VLOOKUP(A31,'Database BOJ'!$A$1:$D$1100,4,FALSE)</f>
        <v/>
      </c>
      <c r="D31" s="46">
        <f>IFERROR(VLOOKUP(A31,'Database BOJ'!$A$1:$C$1100,2,FALSE)/VLOOKUP(A31,'Database BOJ'!$A$1:$C$1100,3,FALSE),#N/A)</f>
        <v/>
      </c>
    </row>
    <row r="32">
      <c r="A32" s="41" t="n">
        <v>36678</v>
      </c>
      <c r="B32" s="18">
        <f>VLOOKUP(A32,'Database BOJ'!$A$1:$C$1100,2,FALSE)</f>
        <v/>
      </c>
      <c r="C32" s="29">
        <f>VLOOKUP(A32,'Database BOJ'!$A$1:$D$1100,4,FALSE)</f>
        <v/>
      </c>
      <c r="D32" s="46">
        <f>IFERROR(VLOOKUP(A32,'Database BOJ'!$A$1:$C$1100,2,FALSE)/VLOOKUP(A32,'Database BOJ'!$A$1:$C$1100,3,FALSE),#N/A)</f>
        <v/>
      </c>
    </row>
    <row r="33">
      <c r="A33" s="41" t="n">
        <v>36708</v>
      </c>
      <c r="B33" s="18">
        <f>VLOOKUP(A33,'Database BOJ'!$A$1:$C$1100,2,FALSE)</f>
        <v/>
      </c>
      <c r="C33" s="29">
        <f>VLOOKUP(A33,'Database BOJ'!$A$1:$D$1100,4,FALSE)</f>
        <v/>
      </c>
      <c r="D33" s="46">
        <f>IFERROR(VLOOKUP(A33,'Database BOJ'!$A$1:$C$1100,2,FALSE)/VLOOKUP(A33,'Database BOJ'!$A$1:$C$1100,3,FALSE),#N/A)</f>
        <v/>
      </c>
    </row>
    <row r="34">
      <c r="A34" s="41" t="n">
        <v>36739</v>
      </c>
      <c r="B34" s="18">
        <f>VLOOKUP(A34,'Database BOJ'!$A$1:$C$1100,2,FALSE)</f>
        <v/>
      </c>
      <c r="C34" s="29">
        <f>VLOOKUP(A34,'Database BOJ'!$A$1:$D$1100,4,FALSE)</f>
        <v/>
      </c>
      <c r="D34" s="46">
        <f>IFERROR(VLOOKUP(A34,'Database BOJ'!$A$1:$C$1100,2,FALSE)/VLOOKUP(A34,'Database BOJ'!$A$1:$C$1100,3,FALSE),#N/A)</f>
        <v/>
      </c>
    </row>
    <row r="35">
      <c r="A35" s="41" t="n">
        <v>36770</v>
      </c>
      <c r="B35" s="18">
        <f>VLOOKUP(A35,'Database BOJ'!$A$1:$C$1100,2,FALSE)</f>
        <v/>
      </c>
      <c r="C35" s="29">
        <f>VLOOKUP(A35,'Database BOJ'!$A$1:$D$1100,4,FALSE)</f>
        <v/>
      </c>
      <c r="D35" s="46">
        <f>IFERROR(VLOOKUP(A35,'Database BOJ'!$A$1:$C$1100,2,FALSE)/VLOOKUP(A35,'Database BOJ'!$A$1:$C$1100,3,FALSE),#N/A)</f>
        <v/>
      </c>
    </row>
    <row r="36">
      <c r="A36" s="41" t="n">
        <v>36800</v>
      </c>
      <c r="B36" s="18">
        <f>VLOOKUP(A36,'Database BOJ'!$A$1:$C$1100,2,FALSE)</f>
        <v/>
      </c>
      <c r="C36" s="29">
        <f>VLOOKUP(A36,'Database BOJ'!$A$1:$D$1100,4,FALSE)</f>
        <v/>
      </c>
      <c r="D36" s="46">
        <f>IFERROR(VLOOKUP(A36,'Database BOJ'!$A$1:$C$1100,2,FALSE)/VLOOKUP(A36,'Database BOJ'!$A$1:$C$1100,3,FALSE),#N/A)</f>
        <v/>
      </c>
    </row>
    <row r="37">
      <c r="A37" s="41" t="n">
        <v>36831</v>
      </c>
      <c r="B37" s="18">
        <f>VLOOKUP(A37,'Database BOJ'!$A$1:$C$1100,2,FALSE)</f>
        <v/>
      </c>
      <c r="C37" s="29">
        <f>VLOOKUP(A37,'Database BOJ'!$A$1:$D$1100,4,FALSE)</f>
        <v/>
      </c>
      <c r="D37" s="46">
        <f>IFERROR(VLOOKUP(A37,'Database BOJ'!$A$1:$C$1100,2,FALSE)/VLOOKUP(A37,'Database BOJ'!$A$1:$C$1100,3,FALSE),#N/A)</f>
        <v/>
      </c>
    </row>
    <row r="38">
      <c r="A38" s="41" t="n">
        <v>36861</v>
      </c>
      <c r="B38" s="18">
        <f>VLOOKUP(A38,'Database BOJ'!$A$1:$C$1100,2,FALSE)</f>
        <v/>
      </c>
      <c r="C38" s="29">
        <f>VLOOKUP(A38,'Database BOJ'!$A$1:$D$1100,4,FALSE)</f>
        <v/>
      </c>
      <c r="D38" s="46">
        <f>IFERROR(VLOOKUP(A38,'Database BOJ'!$A$1:$C$1100,2,FALSE)/VLOOKUP(A38,'Database BOJ'!$A$1:$C$1100,3,FALSE),#N/A)</f>
        <v/>
      </c>
    </row>
    <row r="39">
      <c r="A39" s="41" t="n">
        <v>36892</v>
      </c>
      <c r="B39" s="18">
        <f>VLOOKUP(A39,'Database BOJ'!$A$1:$C$1100,2,FALSE)</f>
        <v/>
      </c>
      <c r="C39" s="29">
        <f>VLOOKUP(A39,'Database BOJ'!$A$1:$D$1100,4,FALSE)</f>
        <v/>
      </c>
      <c r="D39" s="46">
        <f>IFERROR(VLOOKUP(A39,'Database BOJ'!$A$1:$C$1100,2,FALSE)/VLOOKUP(A39,'Database BOJ'!$A$1:$C$1100,3,FALSE),#N/A)</f>
        <v/>
      </c>
    </row>
    <row r="40">
      <c r="A40" s="41" t="n">
        <v>36923</v>
      </c>
      <c r="B40" s="18">
        <f>VLOOKUP(A40,'Database BOJ'!$A$1:$C$1100,2,FALSE)</f>
        <v/>
      </c>
      <c r="C40" s="29">
        <f>VLOOKUP(A40,'Database BOJ'!$A$1:$D$1100,4,FALSE)</f>
        <v/>
      </c>
      <c r="D40" s="46">
        <f>IFERROR(VLOOKUP(A40,'Database BOJ'!$A$1:$C$1100,2,FALSE)/VLOOKUP(A40,'Database BOJ'!$A$1:$C$1100,3,FALSE),#N/A)</f>
        <v/>
      </c>
    </row>
    <row r="41">
      <c r="A41" s="41" t="n">
        <v>36951</v>
      </c>
      <c r="B41" s="18">
        <f>VLOOKUP(A41,'Database BOJ'!$A$1:$C$1100,2,FALSE)</f>
        <v/>
      </c>
      <c r="C41" s="29">
        <f>VLOOKUP(A41,'Database BOJ'!$A$1:$D$1100,4,FALSE)</f>
        <v/>
      </c>
      <c r="D41" s="46">
        <f>IFERROR(VLOOKUP(A41,'Database BOJ'!$A$1:$C$1100,2,FALSE)/VLOOKUP(A41,'Database BOJ'!$A$1:$C$1100,3,FALSE),#N/A)</f>
        <v/>
      </c>
    </row>
    <row r="42">
      <c r="A42" s="41" t="n">
        <v>36982</v>
      </c>
      <c r="B42" s="18">
        <f>VLOOKUP(A42,'Database BOJ'!$A$1:$C$1100,2,FALSE)</f>
        <v/>
      </c>
      <c r="C42" s="29">
        <f>VLOOKUP(A42,'Database BOJ'!$A$1:$D$1100,4,FALSE)</f>
        <v/>
      </c>
      <c r="D42" s="46">
        <f>IFERROR(VLOOKUP(A42,'Database BOJ'!$A$1:$C$1100,2,FALSE)/VLOOKUP(A42,'Database BOJ'!$A$1:$C$1100,3,FALSE),#N/A)</f>
        <v/>
      </c>
    </row>
    <row r="43">
      <c r="A43" s="41" t="n">
        <v>37012</v>
      </c>
      <c r="B43" s="18">
        <f>VLOOKUP(A43,'Database BOJ'!$A$1:$C$1100,2,FALSE)</f>
        <v/>
      </c>
      <c r="C43" s="29">
        <f>VLOOKUP(A43,'Database BOJ'!$A$1:$D$1100,4,FALSE)</f>
        <v/>
      </c>
      <c r="D43" s="46">
        <f>IFERROR(VLOOKUP(A43,'Database BOJ'!$A$1:$C$1100,2,FALSE)/VLOOKUP(A43,'Database BOJ'!$A$1:$C$1100,3,FALSE),#N/A)</f>
        <v/>
      </c>
    </row>
    <row r="44">
      <c r="A44" s="41" t="n">
        <v>37043</v>
      </c>
      <c r="B44" s="18">
        <f>VLOOKUP(A44,'Database BOJ'!$A$1:$C$1100,2,FALSE)</f>
        <v/>
      </c>
      <c r="C44" s="29">
        <f>VLOOKUP(A44,'Database BOJ'!$A$1:$D$1100,4,FALSE)</f>
        <v/>
      </c>
      <c r="D44" s="46">
        <f>IFERROR(VLOOKUP(A44,'Database BOJ'!$A$1:$C$1100,2,FALSE)/VLOOKUP(A44,'Database BOJ'!$A$1:$C$1100,3,FALSE),#N/A)</f>
        <v/>
      </c>
    </row>
    <row r="45">
      <c r="A45" s="41" t="n">
        <v>37073</v>
      </c>
      <c r="B45" s="18">
        <f>VLOOKUP(A45,'Database BOJ'!$A$1:$C$1100,2,FALSE)</f>
        <v/>
      </c>
      <c r="C45" s="29">
        <f>VLOOKUP(A45,'Database BOJ'!$A$1:$D$1100,4,FALSE)</f>
        <v/>
      </c>
      <c r="D45" s="46">
        <f>IFERROR(VLOOKUP(A45,'Database BOJ'!$A$1:$C$1100,2,FALSE)/VLOOKUP(A45,'Database BOJ'!$A$1:$C$1100,3,FALSE),#N/A)</f>
        <v/>
      </c>
    </row>
    <row r="46">
      <c r="A46" s="41" t="n">
        <v>37104</v>
      </c>
      <c r="B46" s="18">
        <f>VLOOKUP(A46,'Database BOJ'!$A$1:$C$1100,2,FALSE)</f>
        <v/>
      </c>
      <c r="C46" s="29">
        <f>VLOOKUP(A46,'Database BOJ'!$A$1:$D$1100,4,FALSE)</f>
        <v/>
      </c>
      <c r="D46" s="46">
        <f>IFERROR(VLOOKUP(A46,'Database BOJ'!$A$1:$C$1100,2,FALSE)/VLOOKUP(A46,'Database BOJ'!$A$1:$C$1100,3,FALSE),#N/A)</f>
        <v/>
      </c>
    </row>
    <row r="47">
      <c r="A47" s="41" t="n">
        <v>37135</v>
      </c>
      <c r="B47" s="18">
        <f>VLOOKUP(A47,'Database BOJ'!$A$1:$C$1100,2,FALSE)</f>
        <v/>
      </c>
      <c r="C47" s="29">
        <f>VLOOKUP(A47,'Database BOJ'!$A$1:$D$1100,4,FALSE)</f>
        <v/>
      </c>
      <c r="D47" s="46">
        <f>IFERROR(VLOOKUP(A47,'Database BOJ'!$A$1:$C$1100,2,FALSE)/VLOOKUP(A47,'Database BOJ'!$A$1:$C$1100,3,FALSE),#N/A)</f>
        <v/>
      </c>
    </row>
    <row r="48">
      <c r="A48" s="41" t="n">
        <v>37165</v>
      </c>
      <c r="B48" s="18">
        <f>VLOOKUP(A48,'Database BOJ'!$A$1:$C$1100,2,FALSE)</f>
        <v/>
      </c>
      <c r="C48" s="29">
        <f>VLOOKUP(A48,'Database BOJ'!$A$1:$D$1100,4,FALSE)</f>
        <v/>
      </c>
      <c r="D48" s="46">
        <f>IFERROR(VLOOKUP(A48,'Database BOJ'!$A$1:$C$1100,2,FALSE)/VLOOKUP(A48,'Database BOJ'!$A$1:$C$1100,3,FALSE),#N/A)</f>
        <v/>
      </c>
    </row>
    <row r="49">
      <c r="A49" s="41" t="n">
        <v>37196</v>
      </c>
      <c r="B49" s="18">
        <f>VLOOKUP(A49,'Database BOJ'!$A$1:$C$1100,2,FALSE)</f>
        <v/>
      </c>
      <c r="C49" s="29">
        <f>VLOOKUP(A49,'Database BOJ'!$A$1:$D$1100,4,FALSE)</f>
        <v/>
      </c>
      <c r="D49" s="46">
        <f>IFERROR(VLOOKUP(A49,'Database BOJ'!$A$1:$C$1100,2,FALSE)/VLOOKUP(A49,'Database BOJ'!$A$1:$C$1100,3,FALSE),#N/A)</f>
        <v/>
      </c>
    </row>
    <row r="50">
      <c r="A50" s="41" t="n">
        <v>37226</v>
      </c>
      <c r="B50" s="18">
        <f>VLOOKUP(A50,'Database BOJ'!$A$1:$C$1100,2,FALSE)</f>
        <v/>
      </c>
      <c r="C50" s="29">
        <f>VLOOKUP(A50,'Database BOJ'!$A$1:$D$1100,4,FALSE)</f>
        <v/>
      </c>
      <c r="D50" s="46">
        <f>IFERROR(VLOOKUP(A50,'Database BOJ'!$A$1:$C$1100,2,FALSE)/VLOOKUP(A50,'Database BOJ'!$A$1:$C$1100,3,FALSE),#N/A)</f>
        <v/>
      </c>
    </row>
    <row r="51">
      <c r="A51" s="41" t="n">
        <v>37257</v>
      </c>
      <c r="B51" s="18">
        <f>VLOOKUP(A51,'Database BOJ'!$A$1:$C$1100,2,FALSE)</f>
        <v/>
      </c>
      <c r="C51" s="29">
        <f>VLOOKUP(A51,'Database BOJ'!$A$1:$D$1100,4,FALSE)</f>
        <v/>
      </c>
      <c r="D51" s="46">
        <f>IFERROR(VLOOKUP(A51,'Database BOJ'!$A$1:$C$1100,2,FALSE)/VLOOKUP(A51,'Database BOJ'!$A$1:$C$1100,3,FALSE),#N/A)</f>
        <v/>
      </c>
    </row>
    <row r="52">
      <c r="A52" s="41" t="n">
        <v>37288</v>
      </c>
      <c r="B52" s="18">
        <f>VLOOKUP(A52,'Database BOJ'!$A$1:$C$1100,2,FALSE)</f>
        <v/>
      </c>
      <c r="C52" s="29">
        <f>VLOOKUP(A52,'Database BOJ'!$A$1:$D$1100,4,FALSE)</f>
        <v/>
      </c>
      <c r="D52" s="46">
        <f>IFERROR(VLOOKUP(A52,'Database BOJ'!$A$1:$C$1100,2,FALSE)/VLOOKUP(A52,'Database BOJ'!$A$1:$C$1100,3,FALSE),#N/A)</f>
        <v/>
      </c>
    </row>
    <row r="53">
      <c r="A53" s="41" t="n">
        <v>37316</v>
      </c>
      <c r="B53" s="18">
        <f>VLOOKUP(A53,'Database BOJ'!$A$1:$C$1100,2,FALSE)</f>
        <v/>
      </c>
      <c r="C53" s="29">
        <f>VLOOKUP(A53,'Database BOJ'!$A$1:$D$1100,4,FALSE)</f>
        <v/>
      </c>
      <c r="D53" s="46">
        <f>IFERROR(VLOOKUP(A53,'Database BOJ'!$A$1:$C$1100,2,FALSE)/VLOOKUP(A53,'Database BOJ'!$A$1:$C$1100,3,FALSE),#N/A)</f>
        <v/>
      </c>
    </row>
    <row r="54">
      <c r="A54" s="41" t="n">
        <v>37347</v>
      </c>
      <c r="B54" s="18">
        <f>VLOOKUP(A54,'Database BOJ'!$A$1:$C$1100,2,FALSE)</f>
        <v/>
      </c>
      <c r="C54" s="29">
        <f>VLOOKUP(A54,'Database BOJ'!$A$1:$D$1100,4,FALSE)</f>
        <v/>
      </c>
      <c r="D54" s="46">
        <f>IFERROR(VLOOKUP(A54,'Database BOJ'!$A$1:$C$1100,2,FALSE)/VLOOKUP(A54,'Database BOJ'!$A$1:$C$1100,3,FALSE),#N/A)</f>
        <v/>
      </c>
    </row>
    <row r="55">
      <c r="A55" s="41" t="n">
        <v>37377</v>
      </c>
      <c r="B55" s="18">
        <f>VLOOKUP(A55,'Database BOJ'!$A$1:$C$1100,2,FALSE)</f>
        <v/>
      </c>
      <c r="C55" s="29">
        <f>VLOOKUP(A55,'Database BOJ'!$A$1:$D$1100,4,FALSE)</f>
        <v/>
      </c>
      <c r="D55" s="46">
        <f>IFERROR(VLOOKUP(A55,'Database BOJ'!$A$1:$C$1100,2,FALSE)/VLOOKUP(A55,'Database BOJ'!$A$1:$C$1100,3,FALSE),#N/A)</f>
        <v/>
      </c>
    </row>
    <row r="56">
      <c r="A56" s="41" t="n">
        <v>37408</v>
      </c>
      <c r="B56" s="18">
        <f>VLOOKUP(A56,'Database BOJ'!$A$1:$C$1100,2,FALSE)</f>
        <v/>
      </c>
      <c r="C56" s="29">
        <f>VLOOKUP(A56,'Database BOJ'!$A$1:$D$1100,4,FALSE)</f>
        <v/>
      </c>
      <c r="D56" s="46">
        <f>IFERROR(VLOOKUP(A56,'Database BOJ'!$A$1:$C$1100,2,FALSE)/VLOOKUP(A56,'Database BOJ'!$A$1:$C$1100,3,FALSE),#N/A)</f>
        <v/>
      </c>
    </row>
    <row r="57">
      <c r="A57" s="41" t="n">
        <v>37438</v>
      </c>
      <c r="B57" s="18">
        <f>VLOOKUP(A57,'Database BOJ'!$A$1:$C$1100,2,FALSE)</f>
        <v/>
      </c>
      <c r="C57" s="29">
        <f>VLOOKUP(A57,'Database BOJ'!$A$1:$D$1100,4,FALSE)</f>
        <v/>
      </c>
      <c r="D57" s="46">
        <f>IFERROR(VLOOKUP(A57,'Database BOJ'!$A$1:$C$1100,2,FALSE)/VLOOKUP(A57,'Database BOJ'!$A$1:$C$1100,3,FALSE),#N/A)</f>
        <v/>
      </c>
    </row>
    <row r="58">
      <c r="A58" s="41" t="n">
        <v>37469</v>
      </c>
      <c r="B58" s="18">
        <f>VLOOKUP(A58,'Database BOJ'!$A$1:$C$1100,2,FALSE)</f>
        <v/>
      </c>
      <c r="C58" s="29">
        <f>VLOOKUP(A58,'Database BOJ'!$A$1:$D$1100,4,FALSE)</f>
        <v/>
      </c>
      <c r="D58" s="46">
        <f>IFERROR(VLOOKUP(A58,'Database BOJ'!$A$1:$C$1100,2,FALSE)/VLOOKUP(A58,'Database BOJ'!$A$1:$C$1100,3,FALSE),#N/A)</f>
        <v/>
      </c>
    </row>
    <row r="59">
      <c r="A59" s="41" t="n">
        <v>37500</v>
      </c>
      <c r="B59" s="18">
        <f>VLOOKUP(A59,'Database BOJ'!$A$1:$C$1100,2,FALSE)</f>
        <v/>
      </c>
      <c r="C59" s="29">
        <f>VLOOKUP(A59,'Database BOJ'!$A$1:$D$1100,4,FALSE)</f>
        <v/>
      </c>
      <c r="D59" s="46">
        <f>IFERROR(VLOOKUP(A59,'Database BOJ'!$A$1:$C$1100,2,FALSE)/VLOOKUP(A59,'Database BOJ'!$A$1:$C$1100,3,FALSE),#N/A)</f>
        <v/>
      </c>
    </row>
    <row r="60">
      <c r="A60" s="41" t="n">
        <v>37530</v>
      </c>
      <c r="B60" s="18">
        <f>VLOOKUP(A60,'Database BOJ'!$A$1:$C$1100,2,FALSE)</f>
        <v/>
      </c>
      <c r="C60" s="29">
        <f>VLOOKUP(A60,'Database BOJ'!$A$1:$D$1100,4,FALSE)</f>
        <v/>
      </c>
      <c r="D60" s="46">
        <f>IFERROR(VLOOKUP(A60,'Database BOJ'!$A$1:$C$1100,2,FALSE)/VLOOKUP(A60,'Database BOJ'!$A$1:$C$1100,3,FALSE),#N/A)</f>
        <v/>
      </c>
    </row>
    <row r="61">
      <c r="A61" s="41" t="n">
        <v>37561</v>
      </c>
      <c r="B61" s="18">
        <f>VLOOKUP(A61,'Database BOJ'!$A$1:$C$1100,2,FALSE)</f>
        <v/>
      </c>
      <c r="C61" s="29">
        <f>VLOOKUP(A61,'Database BOJ'!$A$1:$D$1100,4,FALSE)</f>
        <v/>
      </c>
      <c r="D61" s="46">
        <f>IFERROR(VLOOKUP(A61,'Database BOJ'!$A$1:$C$1100,2,FALSE)/VLOOKUP(A61,'Database BOJ'!$A$1:$C$1100,3,FALSE),#N/A)</f>
        <v/>
      </c>
    </row>
    <row r="62">
      <c r="A62" s="41" t="n">
        <v>37591</v>
      </c>
      <c r="B62" s="18">
        <f>VLOOKUP(A62,'Database BOJ'!$A$1:$C$1100,2,FALSE)</f>
        <v/>
      </c>
      <c r="C62" s="29">
        <f>VLOOKUP(A62,'Database BOJ'!$A$1:$D$1100,4,FALSE)</f>
        <v/>
      </c>
      <c r="D62" s="46">
        <f>IFERROR(VLOOKUP(A62,'Database BOJ'!$A$1:$C$1100,2,FALSE)/VLOOKUP(A62,'Database BOJ'!$A$1:$C$1100,3,FALSE),#N/A)</f>
        <v/>
      </c>
    </row>
    <row r="63">
      <c r="A63" s="41" t="n">
        <v>37622</v>
      </c>
      <c r="B63" s="18">
        <f>VLOOKUP(A63,'Database BOJ'!$A$1:$C$1100,2,FALSE)</f>
        <v/>
      </c>
      <c r="C63" s="29">
        <f>VLOOKUP(A63,'Database BOJ'!$A$1:$D$1100,4,FALSE)</f>
        <v/>
      </c>
      <c r="D63" s="46">
        <f>IFERROR(VLOOKUP(A63,'Database BOJ'!$A$1:$C$1100,2,FALSE)/VLOOKUP(A63,'Database BOJ'!$A$1:$C$1100,3,FALSE),#N/A)</f>
        <v/>
      </c>
    </row>
    <row r="64">
      <c r="A64" s="41" t="n">
        <v>37653</v>
      </c>
      <c r="B64" s="18">
        <f>VLOOKUP(A64,'Database BOJ'!$A$1:$C$1100,2,FALSE)</f>
        <v/>
      </c>
      <c r="C64" s="29">
        <f>VLOOKUP(A64,'Database BOJ'!$A$1:$D$1100,4,FALSE)</f>
        <v/>
      </c>
      <c r="D64" s="46">
        <f>IFERROR(VLOOKUP(A64,'Database BOJ'!$A$1:$C$1100,2,FALSE)/VLOOKUP(A64,'Database BOJ'!$A$1:$C$1100,3,FALSE),#N/A)</f>
        <v/>
      </c>
    </row>
    <row r="65">
      <c r="A65" s="41" t="n">
        <v>37681</v>
      </c>
      <c r="B65" s="18">
        <f>VLOOKUP(A65,'Database BOJ'!$A$1:$C$1100,2,FALSE)</f>
        <v/>
      </c>
      <c r="C65" s="29">
        <f>VLOOKUP(A65,'Database BOJ'!$A$1:$D$1100,4,FALSE)</f>
        <v/>
      </c>
      <c r="D65" s="46">
        <f>IFERROR(VLOOKUP(A65,'Database BOJ'!$A$1:$C$1100,2,FALSE)/VLOOKUP(A65,'Database BOJ'!$A$1:$C$1100,3,FALSE),#N/A)</f>
        <v/>
      </c>
    </row>
    <row r="66">
      <c r="A66" s="41" t="n">
        <v>37712</v>
      </c>
      <c r="B66" s="18">
        <f>VLOOKUP(A66,'Database BOJ'!$A$1:$C$1100,2,FALSE)</f>
        <v/>
      </c>
      <c r="C66" s="29">
        <f>VLOOKUP(A66,'Database BOJ'!$A$1:$D$1100,4,FALSE)</f>
        <v/>
      </c>
      <c r="D66" s="46">
        <f>IFERROR(VLOOKUP(A66,'Database BOJ'!$A$1:$C$1100,2,FALSE)/VLOOKUP(A66,'Database BOJ'!$A$1:$C$1100,3,FALSE),#N/A)</f>
        <v/>
      </c>
    </row>
    <row r="67">
      <c r="A67" s="41" t="n">
        <v>37742</v>
      </c>
      <c r="B67" s="18">
        <f>VLOOKUP(A67,'Database BOJ'!$A$1:$C$1100,2,FALSE)</f>
        <v/>
      </c>
      <c r="C67" s="29">
        <f>VLOOKUP(A67,'Database BOJ'!$A$1:$D$1100,4,FALSE)</f>
        <v/>
      </c>
      <c r="D67" s="46">
        <f>IFERROR(VLOOKUP(A67,'Database BOJ'!$A$1:$C$1100,2,FALSE)/VLOOKUP(A67,'Database BOJ'!$A$1:$C$1100,3,FALSE),#N/A)</f>
        <v/>
      </c>
    </row>
    <row r="68">
      <c r="A68" s="41" t="n">
        <v>37773</v>
      </c>
      <c r="B68" s="18">
        <f>VLOOKUP(A68,'Database BOJ'!$A$1:$C$1100,2,FALSE)</f>
        <v/>
      </c>
      <c r="C68" s="29">
        <f>VLOOKUP(A68,'Database BOJ'!$A$1:$D$1100,4,FALSE)</f>
        <v/>
      </c>
      <c r="D68" s="46">
        <f>IFERROR(VLOOKUP(A68,'Database BOJ'!$A$1:$C$1100,2,FALSE)/VLOOKUP(A68,'Database BOJ'!$A$1:$C$1100,3,FALSE),#N/A)</f>
        <v/>
      </c>
    </row>
    <row r="69">
      <c r="A69" s="41" t="n">
        <v>37803</v>
      </c>
      <c r="B69" s="18">
        <f>VLOOKUP(A69,'Database BOJ'!$A$1:$C$1100,2,FALSE)</f>
        <v/>
      </c>
      <c r="C69" s="29">
        <f>VLOOKUP(A69,'Database BOJ'!$A$1:$D$1100,4,FALSE)</f>
        <v/>
      </c>
      <c r="D69" s="46">
        <f>IFERROR(VLOOKUP(A69,'Database BOJ'!$A$1:$C$1100,2,FALSE)/VLOOKUP(A69,'Database BOJ'!$A$1:$C$1100,3,FALSE),#N/A)</f>
        <v/>
      </c>
    </row>
    <row r="70">
      <c r="A70" s="41" t="n">
        <v>37834</v>
      </c>
      <c r="B70" s="18">
        <f>VLOOKUP(A70,'Database BOJ'!$A$1:$C$1100,2,FALSE)</f>
        <v/>
      </c>
      <c r="C70" s="29">
        <f>VLOOKUP(A70,'Database BOJ'!$A$1:$D$1100,4,FALSE)</f>
        <v/>
      </c>
      <c r="D70" s="46">
        <f>IFERROR(VLOOKUP(A70,'Database BOJ'!$A$1:$C$1100,2,FALSE)/VLOOKUP(A70,'Database BOJ'!$A$1:$C$1100,3,FALSE),#N/A)</f>
        <v/>
      </c>
    </row>
    <row r="71">
      <c r="A71" s="41" t="n">
        <v>37865</v>
      </c>
      <c r="B71" s="18">
        <f>VLOOKUP(A71,'Database BOJ'!$A$1:$C$1100,2,FALSE)</f>
        <v/>
      </c>
      <c r="C71" s="29">
        <f>VLOOKUP(A71,'Database BOJ'!$A$1:$D$1100,4,FALSE)</f>
        <v/>
      </c>
      <c r="D71" s="46">
        <f>IFERROR(VLOOKUP(A71,'Database BOJ'!$A$1:$C$1100,2,FALSE)/VLOOKUP(A71,'Database BOJ'!$A$1:$C$1100,3,FALSE),#N/A)</f>
        <v/>
      </c>
    </row>
    <row r="72">
      <c r="A72" s="41" t="n">
        <v>37895</v>
      </c>
      <c r="B72" s="18">
        <f>VLOOKUP(A72,'Database BOJ'!$A$1:$C$1100,2,FALSE)</f>
        <v/>
      </c>
      <c r="C72" s="29">
        <f>VLOOKUP(A72,'Database BOJ'!$A$1:$D$1100,4,FALSE)</f>
        <v/>
      </c>
      <c r="D72" s="46">
        <f>IFERROR(VLOOKUP(A72,'Database BOJ'!$A$1:$C$1100,2,FALSE)/VLOOKUP(A72,'Database BOJ'!$A$1:$C$1100,3,FALSE),#N/A)</f>
        <v/>
      </c>
    </row>
    <row r="73">
      <c r="A73" s="41" t="n">
        <v>37926</v>
      </c>
      <c r="B73" s="18">
        <f>VLOOKUP(A73,'Database BOJ'!$A$1:$C$1100,2,FALSE)</f>
        <v/>
      </c>
      <c r="C73" s="29">
        <f>VLOOKUP(A73,'Database BOJ'!$A$1:$D$1100,4,FALSE)</f>
        <v/>
      </c>
      <c r="D73" s="46">
        <f>IFERROR(VLOOKUP(A73,'Database BOJ'!$A$1:$C$1100,2,FALSE)/VLOOKUP(A73,'Database BOJ'!$A$1:$C$1100,3,FALSE),#N/A)</f>
        <v/>
      </c>
    </row>
    <row r="74">
      <c r="A74" s="41" t="n">
        <v>37956</v>
      </c>
      <c r="B74" s="18">
        <f>VLOOKUP(A74,'Database BOJ'!$A$1:$C$1100,2,FALSE)</f>
        <v/>
      </c>
      <c r="C74" s="29">
        <f>VLOOKUP(A74,'Database BOJ'!$A$1:$D$1100,4,FALSE)</f>
        <v/>
      </c>
      <c r="D74" s="46">
        <f>IFERROR(VLOOKUP(A74,'Database BOJ'!$A$1:$C$1100,2,FALSE)/VLOOKUP(A74,'Database BOJ'!$A$1:$C$1100,3,FALSE),#N/A)</f>
        <v/>
      </c>
    </row>
    <row r="75">
      <c r="A75" s="41" t="n">
        <v>37987</v>
      </c>
      <c r="B75" s="18">
        <f>VLOOKUP(A75,'Database BOJ'!$A$1:$C$1100,2,FALSE)</f>
        <v/>
      </c>
      <c r="C75" s="29">
        <f>VLOOKUP(A75,'Database BOJ'!$A$1:$D$1100,4,FALSE)</f>
        <v/>
      </c>
      <c r="D75" s="46">
        <f>IFERROR(VLOOKUP(A75,'Database BOJ'!$A$1:$C$1100,2,FALSE)/VLOOKUP(A75,'Database BOJ'!$A$1:$C$1100,3,FALSE),#N/A)</f>
        <v/>
      </c>
    </row>
    <row r="76">
      <c r="A76" s="41" t="n">
        <v>38018</v>
      </c>
      <c r="B76" s="18">
        <f>VLOOKUP(A76,'Database BOJ'!$A$1:$C$1100,2,FALSE)</f>
        <v/>
      </c>
      <c r="C76" s="29">
        <f>VLOOKUP(A76,'Database BOJ'!$A$1:$D$1100,4,FALSE)</f>
        <v/>
      </c>
      <c r="D76" s="46">
        <f>IFERROR(VLOOKUP(A76,'Database BOJ'!$A$1:$C$1100,2,FALSE)/VLOOKUP(A76,'Database BOJ'!$A$1:$C$1100,3,FALSE),#N/A)</f>
        <v/>
      </c>
    </row>
    <row r="77">
      <c r="A77" s="41" t="n">
        <v>38047</v>
      </c>
      <c r="B77" s="18">
        <f>VLOOKUP(A77,'Database BOJ'!$A$1:$C$1100,2,FALSE)</f>
        <v/>
      </c>
      <c r="C77" s="29">
        <f>VLOOKUP(A77,'Database BOJ'!$A$1:$D$1100,4,FALSE)</f>
        <v/>
      </c>
      <c r="D77" s="46">
        <f>IFERROR(VLOOKUP(A77,'Database BOJ'!$A$1:$C$1100,2,FALSE)/VLOOKUP(A77,'Database BOJ'!$A$1:$C$1100,3,FALSE),#N/A)</f>
        <v/>
      </c>
    </row>
    <row r="78">
      <c r="A78" s="41" t="n">
        <v>38078</v>
      </c>
      <c r="B78" s="18">
        <f>VLOOKUP(A78,'Database BOJ'!$A$1:$C$1100,2,FALSE)</f>
        <v/>
      </c>
      <c r="C78" s="29">
        <f>VLOOKUP(A78,'Database BOJ'!$A$1:$D$1100,4,FALSE)</f>
        <v/>
      </c>
      <c r="D78" s="46">
        <f>IFERROR(VLOOKUP(A78,'Database BOJ'!$A$1:$C$1100,2,FALSE)/VLOOKUP(A78,'Database BOJ'!$A$1:$C$1100,3,FALSE),#N/A)</f>
        <v/>
      </c>
    </row>
    <row r="79">
      <c r="A79" s="41" t="n">
        <v>38108</v>
      </c>
      <c r="B79" s="18">
        <f>VLOOKUP(A79,'Database BOJ'!$A$1:$C$1100,2,FALSE)</f>
        <v/>
      </c>
      <c r="C79" s="29">
        <f>VLOOKUP(A79,'Database BOJ'!$A$1:$D$1100,4,FALSE)</f>
        <v/>
      </c>
      <c r="D79" s="46">
        <f>IFERROR(VLOOKUP(A79,'Database BOJ'!$A$1:$C$1100,2,FALSE)/VLOOKUP(A79,'Database BOJ'!$A$1:$C$1100,3,FALSE),#N/A)</f>
        <v/>
      </c>
    </row>
    <row r="80">
      <c r="A80" s="41" t="n">
        <v>38139</v>
      </c>
      <c r="B80" s="18">
        <f>VLOOKUP(A80,'Database BOJ'!$A$1:$C$1100,2,FALSE)</f>
        <v/>
      </c>
      <c r="C80" s="29">
        <f>VLOOKUP(A80,'Database BOJ'!$A$1:$D$1100,4,FALSE)</f>
        <v/>
      </c>
      <c r="D80" s="46">
        <f>IFERROR(VLOOKUP(A80,'Database BOJ'!$A$1:$C$1100,2,FALSE)/VLOOKUP(A80,'Database BOJ'!$A$1:$C$1100,3,FALSE),#N/A)</f>
        <v/>
      </c>
    </row>
    <row r="81">
      <c r="A81" s="41" t="n">
        <v>38169</v>
      </c>
      <c r="B81" s="18">
        <f>VLOOKUP(A81,'Database BOJ'!$A$1:$C$1100,2,FALSE)</f>
        <v/>
      </c>
      <c r="C81" s="29">
        <f>VLOOKUP(A81,'Database BOJ'!$A$1:$D$1100,4,FALSE)</f>
        <v/>
      </c>
      <c r="D81" s="46">
        <f>IFERROR(VLOOKUP(A81,'Database BOJ'!$A$1:$C$1100,2,FALSE)/VLOOKUP(A81,'Database BOJ'!$A$1:$C$1100,3,FALSE),#N/A)</f>
        <v/>
      </c>
    </row>
    <row r="82">
      <c r="A82" s="41" t="n">
        <v>38200</v>
      </c>
      <c r="B82" s="18">
        <f>VLOOKUP(A82,'Database BOJ'!$A$1:$C$1100,2,FALSE)</f>
        <v/>
      </c>
      <c r="C82" s="29">
        <f>VLOOKUP(A82,'Database BOJ'!$A$1:$D$1100,4,FALSE)</f>
        <v/>
      </c>
      <c r="D82" s="46">
        <f>IFERROR(VLOOKUP(A82,'Database BOJ'!$A$1:$C$1100,2,FALSE)/VLOOKUP(A82,'Database BOJ'!$A$1:$C$1100,3,FALSE),#N/A)</f>
        <v/>
      </c>
    </row>
    <row r="83">
      <c r="A83" s="41" t="n">
        <v>38231</v>
      </c>
      <c r="B83" s="18">
        <f>VLOOKUP(A83,'Database BOJ'!$A$1:$C$1100,2,FALSE)</f>
        <v/>
      </c>
      <c r="C83" s="29">
        <f>VLOOKUP(A83,'Database BOJ'!$A$1:$D$1100,4,FALSE)</f>
        <v/>
      </c>
      <c r="D83" s="46">
        <f>IFERROR(VLOOKUP(A83,'Database BOJ'!$A$1:$C$1100,2,FALSE)/VLOOKUP(A83,'Database BOJ'!$A$1:$C$1100,3,FALSE),#N/A)</f>
        <v/>
      </c>
    </row>
    <row r="84">
      <c r="A84" s="41" t="n">
        <v>38261</v>
      </c>
      <c r="B84" s="18">
        <f>VLOOKUP(A84,'Database BOJ'!$A$1:$C$1100,2,FALSE)</f>
        <v/>
      </c>
      <c r="C84" s="29">
        <f>VLOOKUP(A84,'Database BOJ'!$A$1:$D$1100,4,FALSE)</f>
        <v/>
      </c>
      <c r="D84" s="46">
        <f>IFERROR(VLOOKUP(A84,'Database BOJ'!$A$1:$C$1100,2,FALSE)/VLOOKUP(A84,'Database BOJ'!$A$1:$C$1100,3,FALSE),#N/A)</f>
        <v/>
      </c>
    </row>
    <row r="85">
      <c r="A85" s="41" t="n">
        <v>38292</v>
      </c>
      <c r="B85" s="18">
        <f>VLOOKUP(A85,'Database BOJ'!$A$1:$C$1100,2,FALSE)</f>
        <v/>
      </c>
      <c r="C85" s="29">
        <f>VLOOKUP(A85,'Database BOJ'!$A$1:$D$1100,4,FALSE)</f>
        <v/>
      </c>
      <c r="D85" s="46">
        <f>IFERROR(VLOOKUP(A85,'Database BOJ'!$A$1:$C$1100,2,FALSE)/VLOOKUP(A85,'Database BOJ'!$A$1:$C$1100,3,FALSE),#N/A)</f>
        <v/>
      </c>
    </row>
    <row r="86">
      <c r="A86" s="41" t="n">
        <v>38322</v>
      </c>
      <c r="B86" s="18">
        <f>VLOOKUP(A86,'Database BOJ'!$A$1:$C$1100,2,FALSE)</f>
        <v/>
      </c>
      <c r="C86" s="29">
        <f>VLOOKUP(A86,'Database BOJ'!$A$1:$D$1100,4,FALSE)</f>
        <v/>
      </c>
      <c r="D86" s="46">
        <f>IFERROR(VLOOKUP(A86,'Database BOJ'!$A$1:$C$1100,2,FALSE)/VLOOKUP(A86,'Database BOJ'!$A$1:$C$1100,3,FALSE),#N/A)</f>
        <v/>
      </c>
    </row>
    <row r="87">
      <c r="A87" s="41" t="n">
        <v>38353</v>
      </c>
      <c r="B87" s="18">
        <f>VLOOKUP(A87,'Database BOJ'!$A$1:$C$1100,2,FALSE)</f>
        <v/>
      </c>
      <c r="C87" s="29">
        <f>VLOOKUP(A87,'Database BOJ'!$A$1:$D$1100,4,FALSE)</f>
        <v/>
      </c>
      <c r="D87" s="46">
        <f>IFERROR(VLOOKUP(A87,'Database BOJ'!$A$1:$C$1100,2,FALSE)/VLOOKUP(A87,'Database BOJ'!$A$1:$C$1100,3,FALSE),#N/A)</f>
        <v/>
      </c>
    </row>
    <row r="88">
      <c r="A88" s="41" t="n">
        <v>38384</v>
      </c>
      <c r="B88" s="18">
        <f>VLOOKUP(A88,'Database BOJ'!$A$1:$C$1100,2,FALSE)</f>
        <v/>
      </c>
      <c r="C88" s="29">
        <f>VLOOKUP(A88,'Database BOJ'!$A$1:$D$1100,4,FALSE)</f>
        <v/>
      </c>
      <c r="D88" s="46">
        <f>IFERROR(VLOOKUP(A88,'Database BOJ'!$A$1:$C$1100,2,FALSE)/VLOOKUP(A88,'Database BOJ'!$A$1:$C$1100,3,FALSE),#N/A)</f>
        <v/>
      </c>
    </row>
    <row r="89">
      <c r="A89" s="41" t="n">
        <v>38412</v>
      </c>
      <c r="B89" s="18">
        <f>VLOOKUP(A89,'Database BOJ'!$A$1:$C$1100,2,FALSE)</f>
        <v/>
      </c>
      <c r="C89" s="29">
        <f>VLOOKUP(A89,'Database BOJ'!$A$1:$D$1100,4,FALSE)</f>
        <v/>
      </c>
      <c r="D89" s="46">
        <f>IFERROR(VLOOKUP(A89,'Database BOJ'!$A$1:$C$1100,2,FALSE)/VLOOKUP(A89,'Database BOJ'!$A$1:$C$1100,3,FALSE),#N/A)</f>
        <v/>
      </c>
    </row>
    <row r="90">
      <c r="A90" s="41" t="n">
        <v>38443</v>
      </c>
      <c r="B90" s="18">
        <f>VLOOKUP(A90,'Database BOJ'!$A$1:$C$1100,2,FALSE)</f>
        <v/>
      </c>
      <c r="C90" s="29">
        <f>VLOOKUP(A90,'Database BOJ'!$A$1:$D$1100,4,FALSE)</f>
        <v/>
      </c>
      <c r="D90" s="46">
        <f>IFERROR(VLOOKUP(A90,'Database BOJ'!$A$1:$C$1100,2,FALSE)/VLOOKUP(A90,'Database BOJ'!$A$1:$C$1100,3,FALSE),#N/A)</f>
        <v/>
      </c>
    </row>
    <row r="91">
      <c r="A91" s="41" t="n">
        <v>38473</v>
      </c>
      <c r="B91" s="18">
        <f>VLOOKUP(A91,'Database BOJ'!$A$1:$C$1100,2,FALSE)</f>
        <v/>
      </c>
      <c r="C91" s="29">
        <f>VLOOKUP(A91,'Database BOJ'!$A$1:$D$1100,4,FALSE)</f>
        <v/>
      </c>
      <c r="D91" s="46">
        <f>IFERROR(VLOOKUP(A91,'Database BOJ'!$A$1:$C$1100,2,FALSE)/VLOOKUP(A91,'Database BOJ'!$A$1:$C$1100,3,FALSE),#N/A)</f>
        <v/>
      </c>
    </row>
    <row r="92">
      <c r="A92" s="41" t="n">
        <v>38504</v>
      </c>
      <c r="B92" s="18">
        <f>VLOOKUP(A92,'Database BOJ'!$A$1:$C$1100,2,FALSE)</f>
        <v/>
      </c>
      <c r="C92" s="29">
        <f>VLOOKUP(A92,'Database BOJ'!$A$1:$D$1100,4,FALSE)</f>
        <v/>
      </c>
      <c r="D92" s="46">
        <f>IFERROR(VLOOKUP(A92,'Database BOJ'!$A$1:$C$1100,2,FALSE)/VLOOKUP(A92,'Database BOJ'!$A$1:$C$1100,3,FALSE),#N/A)</f>
        <v/>
      </c>
    </row>
    <row r="93">
      <c r="A93" s="41" t="n">
        <v>38534</v>
      </c>
      <c r="B93" s="18">
        <f>VLOOKUP(A93,'Database BOJ'!$A$1:$C$1100,2,FALSE)</f>
        <v/>
      </c>
      <c r="C93" s="29">
        <f>VLOOKUP(A93,'Database BOJ'!$A$1:$D$1100,4,FALSE)</f>
        <v/>
      </c>
      <c r="D93" s="46">
        <f>IFERROR(VLOOKUP(A93,'Database BOJ'!$A$1:$C$1100,2,FALSE)/VLOOKUP(A93,'Database BOJ'!$A$1:$C$1100,3,FALSE),#N/A)</f>
        <v/>
      </c>
    </row>
    <row r="94">
      <c r="A94" s="41" t="n">
        <v>38565</v>
      </c>
      <c r="B94" s="18">
        <f>VLOOKUP(A94,'Database BOJ'!$A$1:$C$1100,2,FALSE)</f>
        <v/>
      </c>
      <c r="C94" s="29">
        <f>VLOOKUP(A94,'Database BOJ'!$A$1:$D$1100,4,FALSE)</f>
        <v/>
      </c>
      <c r="D94" s="46">
        <f>IFERROR(VLOOKUP(A94,'Database BOJ'!$A$1:$C$1100,2,FALSE)/VLOOKUP(A94,'Database BOJ'!$A$1:$C$1100,3,FALSE),#N/A)</f>
        <v/>
      </c>
    </row>
    <row r="95">
      <c r="A95" s="41" t="n">
        <v>38596</v>
      </c>
      <c r="B95" s="18">
        <f>VLOOKUP(A95,'Database BOJ'!$A$1:$C$1100,2,FALSE)</f>
        <v/>
      </c>
      <c r="C95" s="29">
        <f>VLOOKUP(A95,'Database BOJ'!$A$1:$D$1100,4,FALSE)</f>
        <v/>
      </c>
      <c r="D95" s="46">
        <f>IFERROR(VLOOKUP(A95,'Database BOJ'!$A$1:$C$1100,2,FALSE)/VLOOKUP(A95,'Database BOJ'!$A$1:$C$1100,3,FALSE),#N/A)</f>
        <v/>
      </c>
    </row>
    <row r="96">
      <c r="A96" s="41" t="n">
        <v>38626</v>
      </c>
      <c r="B96" s="18">
        <f>VLOOKUP(A96,'Database BOJ'!$A$1:$C$1100,2,FALSE)</f>
        <v/>
      </c>
      <c r="C96" s="29">
        <f>VLOOKUP(A96,'Database BOJ'!$A$1:$D$1100,4,FALSE)</f>
        <v/>
      </c>
      <c r="D96" s="46">
        <f>IFERROR(VLOOKUP(A96,'Database BOJ'!$A$1:$C$1100,2,FALSE)/VLOOKUP(A96,'Database BOJ'!$A$1:$C$1100,3,FALSE),#N/A)</f>
        <v/>
      </c>
    </row>
    <row r="97">
      <c r="A97" s="41" t="n">
        <v>38657</v>
      </c>
      <c r="B97" s="18">
        <f>VLOOKUP(A97,'Database BOJ'!$A$1:$C$1100,2,FALSE)</f>
        <v/>
      </c>
      <c r="C97" s="29">
        <f>VLOOKUP(A97,'Database BOJ'!$A$1:$D$1100,4,FALSE)</f>
        <v/>
      </c>
      <c r="D97" s="46">
        <f>IFERROR(VLOOKUP(A97,'Database BOJ'!$A$1:$C$1100,2,FALSE)/VLOOKUP(A97,'Database BOJ'!$A$1:$C$1100,3,FALSE),#N/A)</f>
        <v/>
      </c>
    </row>
    <row r="98">
      <c r="A98" s="41" t="n">
        <v>38687</v>
      </c>
      <c r="B98" s="18">
        <f>VLOOKUP(A98,'Database BOJ'!$A$1:$C$1100,2,FALSE)</f>
        <v/>
      </c>
      <c r="C98" s="29">
        <f>VLOOKUP(A98,'Database BOJ'!$A$1:$D$1100,4,FALSE)</f>
        <v/>
      </c>
      <c r="D98" s="46">
        <f>IFERROR(VLOOKUP(A98,'Database BOJ'!$A$1:$C$1100,2,FALSE)/VLOOKUP(A98,'Database BOJ'!$A$1:$C$1100,3,FALSE),#N/A)</f>
        <v/>
      </c>
    </row>
    <row r="99">
      <c r="A99" s="41" t="n">
        <v>38718</v>
      </c>
      <c r="B99" s="18">
        <f>VLOOKUP(A99,'Database BOJ'!$A$1:$C$1100,2,FALSE)</f>
        <v/>
      </c>
      <c r="C99" s="29">
        <f>VLOOKUP(A99,'Database BOJ'!$A$1:$D$1100,4,FALSE)</f>
        <v/>
      </c>
      <c r="D99" s="46">
        <f>IFERROR(VLOOKUP(A99,'Database BOJ'!$A$1:$C$1100,2,FALSE)/VLOOKUP(A99,'Database BOJ'!$A$1:$C$1100,3,FALSE),#N/A)</f>
        <v/>
      </c>
    </row>
    <row r="100">
      <c r="A100" s="41" t="n">
        <v>38749</v>
      </c>
      <c r="B100" s="18">
        <f>VLOOKUP(A100,'Database BOJ'!$A$1:$C$1100,2,FALSE)</f>
        <v/>
      </c>
      <c r="C100" s="29">
        <f>VLOOKUP(A100,'Database BOJ'!$A$1:$D$1100,4,FALSE)</f>
        <v/>
      </c>
      <c r="D100" s="46">
        <f>IFERROR(VLOOKUP(A100,'Database BOJ'!$A$1:$C$1100,2,FALSE)/VLOOKUP(A100,'Database BOJ'!$A$1:$C$1100,3,FALSE),#N/A)</f>
        <v/>
      </c>
    </row>
    <row r="101">
      <c r="A101" s="41" t="n">
        <v>38777</v>
      </c>
      <c r="B101" s="18">
        <f>VLOOKUP(A101,'Database BOJ'!$A$1:$C$1100,2,FALSE)</f>
        <v/>
      </c>
      <c r="C101" s="29">
        <f>VLOOKUP(A101,'Database BOJ'!$A$1:$D$1100,4,FALSE)</f>
        <v/>
      </c>
      <c r="D101" s="46">
        <f>IFERROR(VLOOKUP(A101,'Database BOJ'!$A$1:$C$1100,2,FALSE)/VLOOKUP(A101,'Database BOJ'!$A$1:$C$1100,3,FALSE),#N/A)</f>
        <v/>
      </c>
    </row>
    <row r="102">
      <c r="A102" s="41" t="n">
        <v>38808</v>
      </c>
      <c r="B102" s="18">
        <f>VLOOKUP(A102,'Database BOJ'!$A$1:$C$1100,2,FALSE)</f>
        <v/>
      </c>
      <c r="C102" s="29">
        <f>VLOOKUP(A102,'Database BOJ'!$A$1:$D$1100,4,FALSE)</f>
        <v/>
      </c>
      <c r="D102" s="46">
        <f>IFERROR(VLOOKUP(A102,'Database BOJ'!$A$1:$C$1100,2,FALSE)/VLOOKUP(A102,'Database BOJ'!$A$1:$C$1100,3,FALSE),#N/A)</f>
        <v/>
      </c>
    </row>
    <row r="103">
      <c r="A103" s="41" t="n">
        <v>38838</v>
      </c>
      <c r="B103" s="18">
        <f>VLOOKUP(A103,'Database BOJ'!$A$1:$C$1100,2,FALSE)</f>
        <v/>
      </c>
      <c r="C103" s="29">
        <f>VLOOKUP(A103,'Database BOJ'!$A$1:$D$1100,4,FALSE)</f>
        <v/>
      </c>
      <c r="D103" s="46">
        <f>IFERROR(VLOOKUP(A103,'Database BOJ'!$A$1:$C$1100,2,FALSE)/VLOOKUP(A103,'Database BOJ'!$A$1:$C$1100,3,FALSE),#N/A)</f>
        <v/>
      </c>
    </row>
    <row r="104">
      <c r="A104" s="41" t="n">
        <v>38869</v>
      </c>
      <c r="B104" s="18">
        <f>VLOOKUP(A104,'Database BOJ'!$A$1:$C$1100,2,FALSE)</f>
        <v/>
      </c>
      <c r="C104" s="29">
        <f>VLOOKUP(A104,'Database BOJ'!$A$1:$D$1100,4,FALSE)</f>
        <v/>
      </c>
      <c r="D104" s="46">
        <f>IFERROR(VLOOKUP(A104,'Database BOJ'!$A$1:$C$1100,2,FALSE)/VLOOKUP(A104,'Database BOJ'!$A$1:$C$1100,3,FALSE),#N/A)</f>
        <v/>
      </c>
    </row>
    <row r="105">
      <c r="A105" s="41" t="n">
        <v>38899</v>
      </c>
      <c r="B105" s="18">
        <f>VLOOKUP(A105,'Database BOJ'!$A$1:$C$1100,2,FALSE)</f>
        <v/>
      </c>
      <c r="C105" s="29">
        <f>VLOOKUP(A105,'Database BOJ'!$A$1:$D$1100,4,FALSE)</f>
        <v/>
      </c>
      <c r="D105" s="46">
        <f>IFERROR(VLOOKUP(A105,'Database BOJ'!$A$1:$C$1100,2,FALSE)/VLOOKUP(A105,'Database BOJ'!$A$1:$C$1100,3,FALSE),#N/A)</f>
        <v/>
      </c>
    </row>
    <row r="106">
      <c r="A106" s="41" t="n">
        <v>38930</v>
      </c>
      <c r="B106" s="18">
        <f>VLOOKUP(A106,'Database BOJ'!$A$1:$C$1100,2,FALSE)</f>
        <v/>
      </c>
      <c r="C106" s="29">
        <f>VLOOKUP(A106,'Database BOJ'!$A$1:$D$1100,4,FALSE)</f>
        <v/>
      </c>
      <c r="D106" s="46">
        <f>IFERROR(VLOOKUP(A106,'Database BOJ'!$A$1:$C$1100,2,FALSE)/VLOOKUP(A106,'Database BOJ'!$A$1:$C$1100,3,FALSE),#N/A)</f>
        <v/>
      </c>
    </row>
    <row r="107">
      <c r="A107" s="41" t="n">
        <v>38961</v>
      </c>
      <c r="B107" s="18">
        <f>VLOOKUP(A107,'Database BOJ'!$A$1:$C$1100,2,FALSE)</f>
        <v/>
      </c>
      <c r="C107" s="29">
        <f>VLOOKUP(A107,'Database BOJ'!$A$1:$D$1100,4,FALSE)</f>
        <v/>
      </c>
      <c r="D107" s="46">
        <f>IFERROR(VLOOKUP(A107,'Database BOJ'!$A$1:$C$1100,2,FALSE)/VLOOKUP(A107,'Database BOJ'!$A$1:$C$1100,3,FALSE),#N/A)</f>
        <v/>
      </c>
    </row>
    <row r="108">
      <c r="A108" s="41" t="n">
        <v>38991</v>
      </c>
      <c r="B108" s="18">
        <f>VLOOKUP(A108,'Database BOJ'!$A$1:$C$1100,2,FALSE)</f>
        <v/>
      </c>
      <c r="C108" s="29">
        <f>VLOOKUP(A108,'Database BOJ'!$A$1:$D$1100,4,FALSE)</f>
        <v/>
      </c>
      <c r="D108" s="46">
        <f>IFERROR(VLOOKUP(A108,'Database BOJ'!$A$1:$C$1100,2,FALSE)/VLOOKUP(A108,'Database BOJ'!$A$1:$C$1100,3,FALSE),#N/A)</f>
        <v/>
      </c>
    </row>
    <row r="109">
      <c r="A109" s="41" t="n">
        <v>39022</v>
      </c>
      <c r="B109" s="18">
        <f>VLOOKUP(A109,'Database BOJ'!$A$1:$C$1100,2,FALSE)</f>
        <v/>
      </c>
      <c r="C109" s="29">
        <f>VLOOKUP(A109,'Database BOJ'!$A$1:$D$1100,4,FALSE)</f>
        <v/>
      </c>
      <c r="D109" s="46">
        <f>IFERROR(VLOOKUP(A109,'Database BOJ'!$A$1:$C$1100,2,FALSE)/VLOOKUP(A109,'Database BOJ'!$A$1:$C$1100,3,FALSE),#N/A)</f>
        <v/>
      </c>
    </row>
    <row r="110">
      <c r="A110" s="41" t="n">
        <v>39052</v>
      </c>
      <c r="B110" s="18">
        <f>VLOOKUP(A110,'Database BOJ'!$A$1:$C$1100,2,FALSE)</f>
        <v/>
      </c>
      <c r="C110" s="29">
        <f>VLOOKUP(A110,'Database BOJ'!$A$1:$D$1100,4,FALSE)</f>
        <v/>
      </c>
      <c r="D110" s="46">
        <f>IFERROR(VLOOKUP(A110,'Database BOJ'!$A$1:$C$1100,2,FALSE)/VLOOKUP(A110,'Database BOJ'!$A$1:$C$1100,3,FALSE),#N/A)</f>
        <v/>
      </c>
    </row>
    <row r="111">
      <c r="A111" s="41" t="n">
        <v>39083</v>
      </c>
      <c r="B111" s="18">
        <f>VLOOKUP(A111,'Database BOJ'!$A$1:$C$1100,2,FALSE)</f>
        <v/>
      </c>
      <c r="C111" s="29">
        <f>VLOOKUP(A111,'Database BOJ'!$A$1:$D$1100,4,FALSE)</f>
        <v/>
      </c>
      <c r="D111" s="46">
        <f>IFERROR(VLOOKUP(A111,'Database BOJ'!$A$1:$C$1100,2,FALSE)/VLOOKUP(A111,'Database BOJ'!$A$1:$C$1100,3,FALSE),#N/A)</f>
        <v/>
      </c>
    </row>
    <row r="112">
      <c r="A112" s="41" t="n">
        <v>39114</v>
      </c>
      <c r="B112" s="18">
        <f>VLOOKUP(A112,'Database BOJ'!$A$1:$C$1100,2,FALSE)</f>
        <v/>
      </c>
      <c r="C112" s="29">
        <f>VLOOKUP(A112,'Database BOJ'!$A$1:$D$1100,4,FALSE)</f>
        <v/>
      </c>
      <c r="D112" s="46">
        <f>IFERROR(VLOOKUP(A112,'Database BOJ'!$A$1:$C$1100,2,FALSE)/VLOOKUP(A112,'Database BOJ'!$A$1:$C$1100,3,FALSE),#N/A)</f>
        <v/>
      </c>
    </row>
    <row r="113">
      <c r="A113" s="41" t="n">
        <v>39142</v>
      </c>
      <c r="B113" s="18">
        <f>VLOOKUP(A113,'Database BOJ'!$A$1:$C$1100,2,FALSE)</f>
        <v/>
      </c>
      <c r="C113" s="29">
        <f>VLOOKUP(A113,'Database BOJ'!$A$1:$D$1100,4,FALSE)</f>
        <v/>
      </c>
      <c r="D113" s="46">
        <f>IFERROR(VLOOKUP(A113,'Database BOJ'!$A$1:$C$1100,2,FALSE)/VLOOKUP(A113,'Database BOJ'!$A$1:$C$1100,3,FALSE),#N/A)</f>
        <v/>
      </c>
    </row>
    <row r="114">
      <c r="A114" s="41" t="n">
        <v>39173</v>
      </c>
      <c r="B114" s="18">
        <f>VLOOKUP(A114,'Database BOJ'!$A$1:$C$1100,2,FALSE)</f>
        <v/>
      </c>
      <c r="C114" s="29">
        <f>VLOOKUP(A114,'Database BOJ'!$A$1:$D$1100,4,FALSE)</f>
        <v/>
      </c>
      <c r="D114" s="46">
        <f>IFERROR(VLOOKUP(A114,'Database BOJ'!$A$1:$C$1100,2,FALSE)/VLOOKUP(A114,'Database BOJ'!$A$1:$C$1100,3,FALSE),#N/A)</f>
        <v/>
      </c>
    </row>
    <row r="115">
      <c r="A115" s="41" t="n">
        <v>39203</v>
      </c>
      <c r="B115" s="18">
        <f>VLOOKUP(A115,'Database BOJ'!$A$1:$C$1100,2,FALSE)</f>
        <v/>
      </c>
      <c r="C115" s="29">
        <f>VLOOKUP(A115,'Database BOJ'!$A$1:$D$1100,4,FALSE)</f>
        <v/>
      </c>
      <c r="D115" s="46">
        <f>IFERROR(VLOOKUP(A115,'Database BOJ'!$A$1:$C$1100,2,FALSE)/VLOOKUP(A115,'Database BOJ'!$A$1:$C$1100,3,FALSE),#N/A)</f>
        <v/>
      </c>
    </row>
    <row r="116">
      <c r="A116" s="41" t="n">
        <v>39234</v>
      </c>
      <c r="B116" s="18">
        <f>VLOOKUP(A116,'Database BOJ'!$A$1:$C$1100,2,FALSE)</f>
        <v/>
      </c>
      <c r="C116" s="29">
        <f>VLOOKUP(A116,'Database BOJ'!$A$1:$D$1100,4,FALSE)</f>
        <v/>
      </c>
      <c r="D116" s="46">
        <f>IFERROR(VLOOKUP(A116,'Database BOJ'!$A$1:$C$1100,2,FALSE)/VLOOKUP(A116,'Database BOJ'!$A$1:$C$1100,3,FALSE),#N/A)</f>
        <v/>
      </c>
    </row>
    <row r="117">
      <c r="A117" s="41" t="n">
        <v>39264</v>
      </c>
      <c r="B117" s="18">
        <f>VLOOKUP(A117,'Database BOJ'!$A$1:$C$1100,2,FALSE)</f>
        <v/>
      </c>
      <c r="C117" s="29">
        <f>VLOOKUP(A117,'Database BOJ'!$A$1:$D$1100,4,FALSE)</f>
        <v/>
      </c>
      <c r="D117" s="46">
        <f>IFERROR(VLOOKUP(A117,'Database BOJ'!$A$1:$C$1100,2,FALSE)/VLOOKUP(A117,'Database BOJ'!$A$1:$C$1100,3,FALSE),#N/A)</f>
        <v/>
      </c>
    </row>
    <row r="118">
      <c r="A118" s="41" t="n">
        <v>39295</v>
      </c>
      <c r="B118" s="18">
        <f>VLOOKUP(A118,'Database BOJ'!$A$1:$C$1100,2,FALSE)</f>
        <v/>
      </c>
      <c r="C118" s="29">
        <f>VLOOKUP(A118,'Database BOJ'!$A$1:$D$1100,4,FALSE)</f>
        <v/>
      </c>
      <c r="D118" s="46">
        <f>IFERROR(VLOOKUP(A118,'Database BOJ'!$A$1:$C$1100,2,FALSE)/VLOOKUP(A118,'Database BOJ'!$A$1:$C$1100,3,FALSE),#N/A)</f>
        <v/>
      </c>
    </row>
    <row r="119">
      <c r="A119" s="41" t="n">
        <v>39326</v>
      </c>
      <c r="B119" s="18">
        <f>VLOOKUP(A119,'Database BOJ'!$A$1:$C$1100,2,FALSE)</f>
        <v/>
      </c>
      <c r="C119" s="29">
        <f>VLOOKUP(A119,'Database BOJ'!$A$1:$D$1100,4,FALSE)</f>
        <v/>
      </c>
      <c r="D119" s="46">
        <f>IFERROR(VLOOKUP(A119,'Database BOJ'!$A$1:$C$1100,2,FALSE)/VLOOKUP(A119,'Database BOJ'!$A$1:$C$1100,3,FALSE),#N/A)</f>
        <v/>
      </c>
    </row>
    <row r="120">
      <c r="A120" s="41" t="n">
        <v>39356</v>
      </c>
      <c r="B120" s="18">
        <f>VLOOKUP(A120,'Database BOJ'!$A$1:$C$1100,2,FALSE)</f>
        <v/>
      </c>
      <c r="C120" s="29">
        <f>VLOOKUP(A120,'Database BOJ'!$A$1:$D$1100,4,FALSE)</f>
        <v/>
      </c>
      <c r="D120" s="46">
        <f>IFERROR(VLOOKUP(A120,'Database BOJ'!$A$1:$C$1100,2,FALSE)/VLOOKUP(A120,'Database BOJ'!$A$1:$C$1100,3,FALSE),#N/A)</f>
        <v/>
      </c>
    </row>
    <row r="121">
      <c r="A121" s="41" t="n">
        <v>39387</v>
      </c>
      <c r="B121" s="18">
        <f>VLOOKUP(A121,'Database BOJ'!$A$1:$C$1100,2,FALSE)</f>
        <v/>
      </c>
      <c r="C121" s="29">
        <f>VLOOKUP(A121,'Database BOJ'!$A$1:$D$1100,4,FALSE)</f>
        <v/>
      </c>
      <c r="D121" s="46">
        <f>IFERROR(VLOOKUP(A121,'Database BOJ'!$A$1:$C$1100,2,FALSE)/VLOOKUP(A121,'Database BOJ'!$A$1:$C$1100,3,FALSE),#N/A)</f>
        <v/>
      </c>
    </row>
    <row r="122">
      <c r="A122" s="41" t="n">
        <v>39417</v>
      </c>
      <c r="B122" s="18">
        <f>VLOOKUP(A122,'Database BOJ'!$A$1:$C$1100,2,FALSE)</f>
        <v/>
      </c>
      <c r="C122" s="29">
        <f>VLOOKUP(A122,'Database BOJ'!$A$1:$D$1100,4,FALSE)</f>
        <v/>
      </c>
      <c r="D122" s="46">
        <f>IFERROR(VLOOKUP(A122,'Database BOJ'!$A$1:$C$1100,2,FALSE)/VLOOKUP(A122,'Database BOJ'!$A$1:$C$1100,3,FALSE),#N/A)</f>
        <v/>
      </c>
    </row>
    <row r="123">
      <c r="A123" s="41" t="n">
        <v>39448</v>
      </c>
      <c r="B123" s="18">
        <f>VLOOKUP(A123,'Database BOJ'!$A$1:$C$1100,2,FALSE)</f>
        <v/>
      </c>
      <c r="C123" s="29">
        <f>VLOOKUP(A123,'Database BOJ'!$A$1:$D$1100,4,FALSE)</f>
        <v/>
      </c>
      <c r="D123" s="46">
        <f>IFERROR(VLOOKUP(A123,'Database BOJ'!$A$1:$C$1100,2,FALSE)/VLOOKUP(A123,'Database BOJ'!$A$1:$C$1100,3,FALSE),#N/A)</f>
        <v/>
      </c>
    </row>
    <row r="124">
      <c r="A124" s="41" t="n">
        <v>39479</v>
      </c>
      <c r="B124" s="18">
        <f>VLOOKUP(A124,'Database BOJ'!$A$1:$C$1100,2,FALSE)</f>
        <v/>
      </c>
      <c r="C124" s="29">
        <f>VLOOKUP(A124,'Database BOJ'!$A$1:$D$1100,4,FALSE)</f>
        <v/>
      </c>
      <c r="D124" s="46">
        <f>IFERROR(VLOOKUP(A124,'Database BOJ'!$A$1:$C$1100,2,FALSE)/VLOOKUP(A124,'Database BOJ'!$A$1:$C$1100,3,FALSE),#N/A)</f>
        <v/>
      </c>
    </row>
    <row r="125">
      <c r="A125" s="41" t="n">
        <v>39508</v>
      </c>
      <c r="B125" s="18">
        <f>VLOOKUP(A125,'Database BOJ'!$A$1:$C$1100,2,FALSE)</f>
        <v/>
      </c>
      <c r="C125" s="29">
        <f>VLOOKUP(A125,'Database BOJ'!$A$1:$D$1100,4,FALSE)</f>
        <v/>
      </c>
      <c r="D125" s="46">
        <f>IFERROR(VLOOKUP(A125,'Database BOJ'!$A$1:$C$1100,2,FALSE)/VLOOKUP(A125,'Database BOJ'!$A$1:$C$1100,3,FALSE),#N/A)</f>
        <v/>
      </c>
    </row>
    <row r="126">
      <c r="A126" s="41" t="n">
        <v>39539</v>
      </c>
      <c r="B126" s="18">
        <f>VLOOKUP(A126,'Database BOJ'!$A$1:$C$1100,2,FALSE)</f>
        <v/>
      </c>
      <c r="C126" s="29">
        <f>VLOOKUP(A126,'Database BOJ'!$A$1:$D$1100,4,FALSE)</f>
        <v/>
      </c>
      <c r="D126" s="46">
        <f>IFERROR(VLOOKUP(A126,'Database BOJ'!$A$1:$C$1100,2,FALSE)/VLOOKUP(A126,'Database BOJ'!$A$1:$C$1100,3,FALSE),#N/A)</f>
        <v/>
      </c>
    </row>
    <row r="127">
      <c r="A127" s="41" t="n">
        <v>39569</v>
      </c>
      <c r="B127" s="18">
        <f>VLOOKUP(A127,'Database BOJ'!$A$1:$C$1100,2,FALSE)</f>
        <v/>
      </c>
      <c r="C127" s="29">
        <f>VLOOKUP(A127,'Database BOJ'!$A$1:$D$1100,4,FALSE)</f>
        <v/>
      </c>
      <c r="D127" s="46">
        <f>IFERROR(VLOOKUP(A127,'Database BOJ'!$A$1:$C$1100,2,FALSE)/VLOOKUP(A127,'Database BOJ'!$A$1:$C$1100,3,FALSE),#N/A)</f>
        <v/>
      </c>
    </row>
    <row r="128">
      <c r="A128" s="41" t="n">
        <v>39600</v>
      </c>
      <c r="B128" s="18">
        <f>VLOOKUP(A128,'Database BOJ'!$A$1:$C$1100,2,FALSE)</f>
        <v/>
      </c>
      <c r="C128" s="29">
        <f>VLOOKUP(A128,'Database BOJ'!$A$1:$D$1100,4,FALSE)</f>
        <v/>
      </c>
      <c r="D128" s="46">
        <f>IFERROR(VLOOKUP(A128,'Database BOJ'!$A$1:$C$1100,2,FALSE)/VLOOKUP(A128,'Database BOJ'!$A$1:$C$1100,3,FALSE),#N/A)</f>
        <v/>
      </c>
    </row>
    <row r="129">
      <c r="A129" s="41" t="n">
        <v>39630</v>
      </c>
      <c r="B129" s="18">
        <f>VLOOKUP(A129,'Database BOJ'!$A$1:$C$1100,2,FALSE)</f>
        <v/>
      </c>
      <c r="C129" s="29">
        <f>VLOOKUP(A129,'Database BOJ'!$A$1:$D$1100,4,FALSE)</f>
        <v/>
      </c>
      <c r="D129" s="46">
        <f>IFERROR(VLOOKUP(A129,'Database BOJ'!$A$1:$C$1100,2,FALSE)/VLOOKUP(A129,'Database BOJ'!$A$1:$C$1100,3,FALSE),#N/A)</f>
        <v/>
      </c>
    </row>
    <row r="130">
      <c r="A130" s="41" t="n">
        <v>39661</v>
      </c>
      <c r="B130" s="18">
        <f>VLOOKUP(A130,'Database BOJ'!$A$1:$C$1100,2,FALSE)</f>
        <v/>
      </c>
      <c r="C130" s="29">
        <f>VLOOKUP(A130,'Database BOJ'!$A$1:$D$1100,4,FALSE)</f>
        <v/>
      </c>
      <c r="D130" s="46">
        <f>IFERROR(VLOOKUP(A130,'Database BOJ'!$A$1:$C$1100,2,FALSE)/VLOOKUP(A130,'Database BOJ'!$A$1:$C$1100,3,FALSE),#N/A)</f>
        <v/>
      </c>
    </row>
    <row r="131">
      <c r="A131" s="41" t="n">
        <v>39692</v>
      </c>
      <c r="B131" s="18">
        <f>VLOOKUP(A131,'Database BOJ'!$A$1:$C$1100,2,FALSE)</f>
        <v/>
      </c>
      <c r="C131" s="29">
        <f>VLOOKUP(A131,'Database BOJ'!$A$1:$D$1100,4,FALSE)</f>
        <v/>
      </c>
      <c r="D131" s="46">
        <f>IFERROR(VLOOKUP(A131,'Database BOJ'!$A$1:$C$1100,2,FALSE)/VLOOKUP(A131,'Database BOJ'!$A$1:$C$1100,3,FALSE),#N/A)</f>
        <v/>
      </c>
    </row>
    <row r="132">
      <c r="A132" s="41" t="n">
        <v>39722</v>
      </c>
      <c r="B132" s="18">
        <f>VLOOKUP(A132,'Database BOJ'!$A$1:$C$1100,2,FALSE)</f>
        <v/>
      </c>
      <c r="C132" s="29">
        <f>VLOOKUP(A132,'Database BOJ'!$A$1:$D$1100,4,FALSE)</f>
        <v/>
      </c>
      <c r="D132" s="46">
        <f>IFERROR(VLOOKUP(A132,'Database BOJ'!$A$1:$C$1100,2,FALSE)/VLOOKUP(A132,'Database BOJ'!$A$1:$C$1100,3,FALSE),#N/A)</f>
        <v/>
      </c>
    </row>
    <row r="133">
      <c r="A133" s="41" t="n">
        <v>39753</v>
      </c>
      <c r="B133" s="18">
        <f>VLOOKUP(A133,'Database BOJ'!$A$1:$C$1100,2,FALSE)</f>
        <v/>
      </c>
      <c r="C133" s="29">
        <f>VLOOKUP(A133,'Database BOJ'!$A$1:$D$1100,4,FALSE)</f>
        <v/>
      </c>
      <c r="D133" s="46">
        <f>IFERROR(VLOOKUP(A133,'Database BOJ'!$A$1:$C$1100,2,FALSE)/VLOOKUP(A133,'Database BOJ'!$A$1:$C$1100,3,FALSE),#N/A)</f>
        <v/>
      </c>
    </row>
    <row r="134">
      <c r="A134" s="41" t="n">
        <v>39783</v>
      </c>
      <c r="B134" s="18">
        <f>VLOOKUP(A134,'Database BOJ'!$A$1:$C$1100,2,FALSE)</f>
        <v/>
      </c>
      <c r="C134" s="29">
        <f>VLOOKUP(A134,'Database BOJ'!$A$1:$D$1100,4,FALSE)</f>
        <v/>
      </c>
      <c r="D134" s="46">
        <f>IFERROR(VLOOKUP(A134,'Database BOJ'!$A$1:$C$1100,2,FALSE)/VLOOKUP(A134,'Database BOJ'!$A$1:$C$1100,3,FALSE),#N/A)</f>
        <v/>
      </c>
    </row>
    <row r="135">
      <c r="A135" s="41" t="n">
        <v>39814</v>
      </c>
      <c r="B135" s="18">
        <f>VLOOKUP(A135,'Database BOJ'!$A$1:$C$1100,2,FALSE)</f>
        <v/>
      </c>
      <c r="C135" s="29">
        <f>VLOOKUP(A135,'Database BOJ'!$A$1:$D$1100,4,FALSE)</f>
        <v/>
      </c>
      <c r="D135" s="46">
        <f>IFERROR(VLOOKUP(A135,'Database BOJ'!$A$1:$C$1100,2,FALSE)/VLOOKUP(A135,'Database BOJ'!$A$1:$C$1100,3,FALSE),#N/A)</f>
        <v/>
      </c>
    </row>
    <row r="136">
      <c r="A136" s="41" t="n">
        <v>39845</v>
      </c>
      <c r="B136" s="18">
        <f>VLOOKUP(A136,'Database BOJ'!$A$1:$C$1100,2,FALSE)</f>
        <v/>
      </c>
      <c r="C136" s="29">
        <f>VLOOKUP(A136,'Database BOJ'!$A$1:$D$1100,4,FALSE)</f>
        <v/>
      </c>
      <c r="D136" s="46">
        <f>IFERROR(VLOOKUP(A136,'Database BOJ'!$A$1:$C$1100,2,FALSE)/VLOOKUP(A136,'Database BOJ'!$A$1:$C$1100,3,FALSE),#N/A)</f>
        <v/>
      </c>
    </row>
    <row r="137">
      <c r="A137" s="41" t="n">
        <v>39873</v>
      </c>
      <c r="B137" s="18">
        <f>VLOOKUP(A137,'Database BOJ'!$A$1:$C$1100,2,FALSE)</f>
        <v/>
      </c>
      <c r="C137" s="29">
        <f>VLOOKUP(A137,'Database BOJ'!$A$1:$D$1100,4,FALSE)</f>
        <v/>
      </c>
      <c r="D137" s="46">
        <f>IFERROR(VLOOKUP(A137,'Database BOJ'!$A$1:$C$1100,2,FALSE)/VLOOKUP(A137,'Database BOJ'!$A$1:$C$1100,3,FALSE),#N/A)</f>
        <v/>
      </c>
    </row>
    <row r="138">
      <c r="A138" s="41" t="n">
        <v>39904</v>
      </c>
      <c r="B138" s="18">
        <f>VLOOKUP(A138,'Database BOJ'!$A$1:$C$1100,2,FALSE)</f>
        <v/>
      </c>
      <c r="C138" s="29">
        <f>VLOOKUP(A138,'Database BOJ'!$A$1:$D$1100,4,FALSE)</f>
        <v/>
      </c>
      <c r="D138" s="46">
        <f>IFERROR(VLOOKUP(A138,'Database BOJ'!$A$1:$C$1100,2,FALSE)/VLOOKUP(A138,'Database BOJ'!$A$1:$C$1100,3,FALSE),#N/A)</f>
        <v/>
      </c>
    </row>
    <row r="139">
      <c r="A139" s="41" t="n">
        <v>39934</v>
      </c>
      <c r="B139" s="18">
        <f>VLOOKUP(A139,'Database BOJ'!$A$1:$C$1100,2,FALSE)</f>
        <v/>
      </c>
      <c r="C139" s="29">
        <f>VLOOKUP(A139,'Database BOJ'!$A$1:$D$1100,4,FALSE)</f>
        <v/>
      </c>
      <c r="D139" s="46">
        <f>IFERROR(VLOOKUP(A139,'Database BOJ'!$A$1:$C$1100,2,FALSE)/VLOOKUP(A139,'Database BOJ'!$A$1:$C$1100,3,FALSE),#N/A)</f>
        <v/>
      </c>
    </row>
    <row r="140">
      <c r="A140" s="41" t="n">
        <v>39965</v>
      </c>
      <c r="B140" s="18">
        <f>VLOOKUP(A140,'Database BOJ'!$A$1:$C$1100,2,FALSE)</f>
        <v/>
      </c>
      <c r="C140" s="29">
        <f>VLOOKUP(A140,'Database BOJ'!$A$1:$D$1100,4,FALSE)</f>
        <v/>
      </c>
      <c r="D140" s="46">
        <f>IFERROR(VLOOKUP(A140,'Database BOJ'!$A$1:$C$1100,2,FALSE)/VLOOKUP(A140,'Database BOJ'!$A$1:$C$1100,3,FALSE),#N/A)</f>
        <v/>
      </c>
    </row>
    <row r="141">
      <c r="A141" s="41" t="n">
        <v>39995</v>
      </c>
      <c r="B141" s="18">
        <f>VLOOKUP(A141,'Database BOJ'!$A$1:$C$1100,2,FALSE)</f>
        <v/>
      </c>
      <c r="C141" s="29">
        <f>VLOOKUP(A141,'Database BOJ'!$A$1:$D$1100,4,FALSE)</f>
        <v/>
      </c>
      <c r="D141" s="46">
        <f>IFERROR(VLOOKUP(A141,'Database BOJ'!$A$1:$C$1100,2,FALSE)/VLOOKUP(A141,'Database BOJ'!$A$1:$C$1100,3,FALSE),#N/A)</f>
        <v/>
      </c>
    </row>
    <row r="142">
      <c r="A142" s="41" t="n">
        <v>40026</v>
      </c>
      <c r="B142" s="18">
        <f>VLOOKUP(A142,'Database BOJ'!$A$1:$C$1100,2,FALSE)</f>
        <v/>
      </c>
      <c r="C142" s="29">
        <f>VLOOKUP(A142,'Database BOJ'!$A$1:$D$1100,4,FALSE)</f>
        <v/>
      </c>
      <c r="D142" s="46">
        <f>IFERROR(VLOOKUP(A142,'Database BOJ'!$A$1:$C$1100,2,FALSE)/VLOOKUP(A142,'Database BOJ'!$A$1:$C$1100,3,FALSE),#N/A)</f>
        <v/>
      </c>
    </row>
    <row r="143">
      <c r="A143" s="41" t="n">
        <v>40057</v>
      </c>
      <c r="B143" s="18">
        <f>VLOOKUP(A143,'Database BOJ'!$A$1:$C$1100,2,FALSE)</f>
        <v/>
      </c>
      <c r="C143" s="29">
        <f>VLOOKUP(A143,'Database BOJ'!$A$1:$D$1100,4,FALSE)</f>
        <v/>
      </c>
      <c r="D143" s="46">
        <f>IFERROR(VLOOKUP(A143,'Database BOJ'!$A$1:$C$1100,2,FALSE)/VLOOKUP(A143,'Database BOJ'!$A$1:$C$1100,3,FALSE),#N/A)</f>
        <v/>
      </c>
    </row>
    <row r="144">
      <c r="A144" s="41" t="n">
        <v>40087</v>
      </c>
      <c r="B144" s="18">
        <f>VLOOKUP(A144,'Database BOJ'!$A$1:$C$1100,2,FALSE)</f>
        <v/>
      </c>
      <c r="C144" s="29">
        <f>VLOOKUP(A144,'Database BOJ'!$A$1:$D$1100,4,FALSE)</f>
        <v/>
      </c>
      <c r="D144" s="46">
        <f>IFERROR(VLOOKUP(A144,'Database BOJ'!$A$1:$C$1100,2,FALSE)/VLOOKUP(A144,'Database BOJ'!$A$1:$C$1100,3,FALSE),#N/A)</f>
        <v/>
      </c>
    </row>
    <row r="145">
      <c r="A145" s="41" t="n">
        <v>40118</v>
      </c>
      <c r="B145" s="18">
        <f>VLOOKUP(A145,'Database BOJ'!$A$1:$C$1100,2,FALSE)</f>
        <v/>
      </c>
      <c r="C145" s="29">
        <f>VLOOKUP(A145,'Database BOJ'!$A$1:$D$1100,4,FALSE)</f>
        <v/>
      </c>
      <c r="D145" s="46">
        <f>IFERROR(VLOOKUP(A145,'Database BOJ'!$A$1:$C$1100,2,FALSE)/VLOOKUP(A145,'Database BOJ'!$A$1:$C$1100,3,FALSE),#N/A)</f>
        <v/>
      </c>
    </row>
    <row r="146">
      <c r="A146" s="41" t="n">
        <v>40148</v>
      </c>
      <c r="B146" s="18">
        <f>VLOOKUP(A146,'Database BOJ'!$A$1:$C$1100,2,FALSE)</f>
        <v/>
      </c>
      <c r="C146" s="29">
        <f>VLOOKUP(A146,'Database BOJ'!$A$1:$D$1100,4,FALSE)</f>
        <v/>
      </c>
      <c r="D146" s="46">
        <f>IFERROR(VLOOKUP(A146,'Database BOJ'!$A$1:$C$1100,2,FALSE)/VLOOKUP(A146,'Database BOJ'!$A$1:$C$1100,3,FALSE),#N/A)</f>
        <v/>
      </c>
    </row>
    <row r="147">
      <c r="A147" s="41" t="n">
        <v>40179</v>
      </c>
      <c r="B147" s="18">
        <f>VLOOKUP(A147,'Database BOJ'!$A$1:$C$1100,2,FALSE)</f>
        <v/>
      </c>
      <c r="C147" s="29">
        <f>VLOOKUP(A147,'Database BOJ'!$A$1:$D$1100,4,FALSE)</f>
        <v/>
      </c>
      <c r="D147" s="46">
        <f>IFERROR(VLOOKUP(A147,'Database BOJ'!$A$1:$C$1100,2,FALSE)/VLOOKUP(A147,'Database BOJ'!$A$1:$C$1100,3,FALSE),#N/A)</f>
        <v/>
      </c>
    </row>
    <row r="148">
      <c r="A148" s="41" t="n">
        <v>40210</v>
      </c>
      <c r="B148" s="18">
        <f>VLOOKUP(A148,'Database BOJ'!$A$1:$C$1100,2,FALSE)</f>
        <v/>
      </c>
      <c r="C148" s="29">
        <f>VLOOKUP(A148,'Database BOJ'!$A$1:$D$1100,4,FALSE)</f>
        <v/>
      </c>
      <c r="D148" s="46">
        <f>IFERROR(VLOOKUP(A148,'Database BOJ'!$A$1:$C$1100,2,FALSE)/VLOOKUP(A148,'Database BOJ'!$A$1:$C$1100,3,FALSE),#N/A)</f>
        <v/>
      </c>
    </row>
    <row r="149">
      <c r="A149" s="41" t="n">
        <v>40238</v>
      </c>
      <c r="B149" s="18">
        <f>VLOOKUP(A149,'Database BOJ'!$A$1:$C$1100,2,FALSE)</f>
        <v/>
      </c>
      <c r="C149" s="29">
        <f>VLOOKUP(A149,'Database BOJ'!$A$1:$D$1100,4,FALSE)</f>
        <v/>
      </c>
      <c r="D149" s="46">
        <f>IFERROR(VLOOKUP(A149,'Database BOJ'!$A$1:$C$1100,2,FALSE)/VLOOKUP(A149,'Database BOJ'!$A$1:$C$1100,3,FALSE),#N/A)</f>
        <v/>
      </c>
    </row>
    <row r="150">
      <c r="A150" s="41" t="n">
        <v>40269</v>
      </c>
      <c r="B150" s="18">
        <f>VLOOKUP(A150,'Database BOJ'!$A$1:$C$1100,2,FALSE)</f>
        <v/>
      </c>
      <c r="C150" s="29">
        <f>VLOOKUP(A150,'Database BOJ'!$A$1:$D$1100,4,FALSE)</f>
        <v/>
      </c>
      <c r="D150" s="46">
        <f>IFERROR(VLOOKUP(A150,'Database BOJ'!$A$1:$C$1100,2,FALSE)/VLOOKUP(A150,'Database BOJ'!$A$1:$C$1100,3,FALSE),#N/A)</f>
        <v/>
      </c>
    </row>
    <row r="151">
      <c r="A151" s="41" t="n">
        <v>40299</v>
      </c>
      <c r="B151" s="18">
        <f>VLOOKUP(A151,'Database BOJ'!$A$1:$C$1100,2,FALSE)</f>
        <v/>
      </c>
      <c r="C151" s="29">
        <f>VLOOKUP(A151,'Database BOJ'!$A$1:$D$1100,4,FALSE)</f>
        <v/>
      </c>
      <c r="D151" s="46">
        <f>IFERROR(VLOOKUP(A151,'Database BOJ'!$A$1:$C$1100,2,FALSE)/VLOOKUP(A151,'Database BOJ'!$A$1:$C$1100,3,FALSE),#N/A)</f>
        <v/>
      </c>
    </row>
    <row r="152">
      <c r="A152" s="41" t="n">
        <v>40330</v>
      </c>
      <c r="B152" s="18">
        <f>VLOOKUP(A152,'Database BOJ'!$A$1:$C$1100,2,FALSE)</f>
        <v/>
      </c>
      <c r="C152" s="29">
        <f>VLOOKUP(A152,'Database BOJ'!$A$1:$D$1100,4,FALSE)</f>
        <v/>
      </c>
      <c r="D152" s="46">
        <f>IFERROR(VLOOKUP(A152,'Database BOJ'!$A$1:$C$1100,2,FALSE)/VLOOKUP(A152,'Database BOJ'!$A$1:$C$1100,3,FALSE),#N/A)</f>
        <v/>
      </c>
    </row>
    <row r="153">
      <c r="A153" s="41" t="n">
        <v>40360</v>
      </c>
      <c r="B153" s="18">
        <f>VLOOKUP(A153,'Database BOJ'!$A$1:$C$1100,2,FALSE)</f>
        <v/>
      </c>
      <c r="C153" s="29">
        <f>VLOOKUP(A153,'Database BOJ'!$A$1:$D$1100,4,FALSE)</f>
        <v/>
      </c>
      <c r="D153" s="46">
        <f>IFERROR(VLOOKUP(A153,'Database BOJ'!$A$1:$C$1100,2,FALSE)/VLOOKUP(A153,'Database BOJ'!$A$1:$C$1100,3,FALSE),#N/A)</f>
        <v/>
      </c>
    </row>
    <row r="154">
      <c r="A154" s="41" t="n">
        <v>40391</v>
      </c>
      <c r="B154" s="18">
        <f>VLOOKUP(A154,'Database BOJ'!$A$1:$C$1100,2,FALSE)</f>
        <v/>
      </c>
      <c r="C154" s="29">
        <f>VLOOKUP(A154,'Database BOJ'!$A$1:$D$1100,4,FALSE)</f>
        <v/>
      </c>
      <c r="D154" s="46">
        <f>IFERROR(VLOOKUP(A154,'Database BOJ'!$A$1:$C$1100,2,FALSE)/VLOOKUP(A154,'Database BOJ'!$A$1:$C$1100,3,FALSE),#N/A)</f>
        <v/>
      </c>
    </row>
    <row r="155">
      <c r="A155" s="41" t="n">
        <v>40422</v>
      </c>
      <c r="B155" s="18">
        <f>VLOOKUP(A155,'Database BOJ'!$A$1:$C$1100,2,FALSE)</f>
        <v/>
      </c>
      <c r="C155" s="29">
        <f>VLOOKUP(A155,'Database BOJ'!$A$1:$D$1100,4,FALSE)</f>
        <v/>
      </c>
      <c r="D155" s="46">
        <f>IFERROR(VLOOKUP(A155,'Database BOJ'!$A$1:$C$1100,2,FALSE)/VLOOKUP(A155,'Database BOJ'!$A$1:$C$1100,3,FALSE),#N/A)</f>
        <v/>
      </c>
    </row>
    <row r="156">
      <c r="A156" s="41" t="n">
        <v>40452</v>
      </c>
      <c r="B156" s="18">
        <f>VLOOKUP(A156,'Database BOJ'!$A$1:$C$1100,2,FALSE)</f>
        <v/>
      </c>
      <c r="C156" s="29">
        <f>VLOOKUP(A156,'Database BOJ'!$A$1:$D$1100,4,FALSE)</f>
        <v/>
      </c>
      <c r="D156" s="46">
        <f>IFERROR(VLOOKUP(A156,'Database BOJ'!$A$1:$C$1100,2,FALSE)/VLOOKUP(A156,'Database BOJ'!$A$1:$C$1100,3,FALSE),#N/A)</f>
        <v/>
      </c>
    </row>
    <row r="157">
      <c r="A157" s="41" t="n">
        <v>40483</v>
      </c>
      <c r="B157" s="18">
        <f>VLOOKUP(A157,'Database BOJ'!$A$1:$C$1100,2,FALSE)</f>
        <v/>
      </c>
      <c r="C157" s="29">
        <f>VLOOKUP(A157,'Database BOJ'!$A$1:$D$1100,4,FALSE)</f>
        <v/>
      </c>
      <c r="D157" s="46">
        <f>IFERROR(VLOOKUP(A157,'Database BOJ'!$A$1:$C$1100,2,FALSE)/VLOOKUP(A157,'Database BOJ'!$A$1:$C$1100,3,FALSE),#N/A)</f>
        <v/>
      </c>
    </row>
    <row r="158">
      <c r="A158" s="41" t="n">
        <v>40513</v>
      </c>
      <c r="B158" s="18">
        <f>VLOOKUP(A158,'Database BOJ'!$A$1:$C$1100,2,FALSE)</f>
        <v/>
      </c>
      <c r="C158" s="29">
        <f>VLOOKUP(A158,'Database BOJ'!$A$1:$D$1100,4,FALSE)</f>
        <v/>
      </c>
      <c r="D158" s="46">
        <f>IFERROR(VLOOKUP(A158,'Database BOJ'!$A$1:$C$1100,2,FALSE)/VLOOKUP(A158,'Database BOJ'!$A$1:$C$1100,3,FALSE),#N/A)</f>
        <v/>
      </c>
    </row>
    <row r="159">
      <c r="A159" s="41" t="n">
        <v>40544</v>
      </c>
      <c r="B159" s="18">
        <f>VLOOKUP(A159,'Database BOJ'!$A$1:$C$1100,2,FALSE)</f>
        <v/>
      </c>
      <c r="C159" s="29">
        <f>VLOOKUP(A159,'Database BOJ'!$A$1:$D$1100,4,FALSE)</f>
        <v/>
      </c>
      <c r="D159" s="46">
        <f>IFERROR(VLOOKUP(A159,'Database BOJ'!$A$1:$C$1100,2,FALSE)/VLOOKUP(A159,'Database BOJ'!$A$1:$C$1100,3,FALSE),#N/A)</f>
        <v/>
      </c>
    </row>
    <row r="160">
      <c r="A160" s="41" t="n">
        <v>40575</v>
      </c>
      <c r="B160" s="18">
        <f>VLOOKUP(A160,'Database BOJ'!$A$1:$C$1100,2,FALSE)</f>
        <v/>
      </c>
      <c r="C160" s="29">
        <f>VLOOKUP(A160,'Database BOJ'!$A$1:$D$1100,4,FALSE)</f>
        <v/>
      </c>
      <c r="D160" s="46">
        <f>IFERROR(VLOOKUP(A160,'Database BOJ'!$A$1:$C$1100,2,FALSE)/VLOOKUP(A160,'Database BOJ'!$A$1:$C$1100,3,FALSE),#N/A)</f>
        <v/>
      </c>
    </row>
    <row r="161">
      <c r="A161" s="41" t="n">
        <v>40603</v>
      </c>
      <c r="B161" s="18">
        <f>VLOOKUP(A161,'Database BOJ'!$A$1:$C$1100,2,FALSE)</f>
        <v/>
      </c>
      <c r="C161" s="29">
        <f>VLOOKUP(A161,'Database BOJ'!$A$1:$D$1100,4,FALSE)</f>
        <v/>
      </c>
      <c r="D161" s="46">
        <f>IFERROR(VLOOKUP(A161,'Database BOJ'!$A$1:$C$1100,2,FALSE)/VLOOKUP(A161,'Database BOJ'!$A$1:$C$1100,3,FALSE),#N/A)</f>
        <v/>
      </c>
    </row>
    <row r="162">
      <c r="A162" s="41" t="n">
        <v>40634</v>
      </c>
      <c r="B162" s="18">
        <f>VLOOKUP(A162,'Database BOJ'!$A$1:$C$1100,2,FALSE)</f>
        <v/>
      </c>
      <c r="C162" s="29">
        <f>VLOOKUP(A162,'Database BOJ'!$A$1:$D$1100,4,FALSE)</f>
        <v/>
      </c>
      <c r="D162" s="46">
        <f>IFERROR(VLOOKUP(A162,'Database BOJ'!$A$1:$C$1100,2,FALSE)/VLOOKUP(A162,'Database BOJ'!$A$1:$C$1100,3,FALSE),#N/A)</f>
        <v/>
      </c>
    </row>
    <row r="163">
      <c r="A163" s="41" t="n">
        <v>40664</v>
      </c>
      <c r="B163" s="18">
        <f>VLOOKUP(A163,'Database BOJ'!$A$1:$C$1100,2,FALSE)</f>
        <v/>
      </c>
      <c r="C163" s="29">
        <f>VLOOKUP(A163,'Database BOJ'!$A$1:$D$1100,4,FALSE)</f>
        <v/>
      </c>
      <c r="D163" s="46">
        <f>IFERROR(VLOOKUP(A163,'Database BOJ'!$A$1:$C$1100,2,FALSE)/VLOOKUP(A163,'Database BOJ'!$A$1:$C$1100,3,FALSE),#N/A)</f>
        <v/>
      </c>
    </row>
    <row r="164">
      <c r="A164" s="41" t="n">
        <v>40695</v>
      </c>
      <c r="B164" s="18">
        <f>VLOOKUP(A164,'Database BOJ'!$A$1:$C$1100,2,FALSE)</f>
        <v/>
      </c>
      <c r="C164" s="29">
        <f>VLOOKUP(A164,'Database BOJ'!$A$1:$D$1100,4,FALSE)</f>
        <v/>
      </c>
      <c r="D164" s="46">
        <f>IFERROR(VLOOKUP(A164,'Database BOJ'!$A$1:$C$1100,2,FALSE)/VLOOKUP(A164,'Database BOJ'!$A$1:$C$1100,3,FALSE),#N/A)</f>
        <v/>
      </c>
    </row>
    <row r="165">
      <c r="A165" s="41" t="n">
        <v>40725</v>
      </c>
      <c r="B165" s="18">
        <f>VLOOKUP(A165,'Database BOJ'!$A$1:$C$1100,2,FALSE)</f>
        <v/>
      </c>
      <c r="C165" s="29">
        <f>VLOOKUP(A165,'Database BOJ'!$A$1:$D$1100,4,FALSE)</f>
        <v/>
      </c>
      <c r="D165" s="46">
        <f>IFERROR(VLOOKUP(A165,'Database BOJ'!$A$1:$C$1100,2,FALSE)/VLOOKUP(A165,'Database BOJ'!$A$1:$C$1100,3,FALSE),#N/A)</f>
        <v/>
      </c>
    </row>
    <row r="166">
      <c r="A166" s="41" t="n">
        <v>40756</v>
      </c>
      <c r="B166" s="18">
        <f>VLOOKUP(A166,'Database BOJ'!$A$1:$C$1100,2,FALSE)</f>
        <v/>
      </c>
      <c r="C166" s="29">
        <f>VLOOKUP(A166,'Database BOJ'!$A$1:$D$1100,4,FALSE)</f>
        <v/>
      </c>
      <c r="D166" s="46">
        <f>IFERROR(VLOOKUP(A166,'Database BOJ'!$A$1:$C$1100,2,FALSE)/VLOOKUP(A166,'Database BOJ'!$A$1:$C$1100,3,FALSE),#N/A)</f>
        <v/>
      </c>
    </row>
    <row r="167">
      <c r="A167" s="41" t="n">
        <v>40787</v>
      </c>
      <c r="B167" s="18">
        <f>VLOOKUP(A167,'Database BOJ'!$A$1:$C$1100,2,FALSE)</f>
        <v/>
      </c>
      <c r="C167" s="29">
        <f>VLOOKUP(A167,'Database BOJ'!$A$1:$D$1100,4,FALSE)</f>
        <v/>
      </c>
      <c r="D167" s="46">
        <f>IFERROR(VLOOKUP(A167,'Database BOJ'!$A$1:$C$1100,2,FALSE)/VLOOKUP(A167,'Database BOJ'!$A$1:$C$1100,3,FALSE),#N/A)</f>
        <v/>
      </c>
    </row>
    <row r="168">
      <c r="A168" s="41" t="n">
        <v>40817</v>
      </c>
      <c r="B168" s="18">
        <f>VLOOKUP(A168,'Database BOJ'!$A$1:$C$1100,2,FALSE)</f>
        <v/>
      </c>
      <c r="C168" s="29">
        <f>VLOOKUP(A168,'Database BOJ'!$A$1:$D$1100,4,FALSE)</f>
        <v/>
      </c>
      <c r="D168" s="46">
        <f>IFERROR(VLOOKUP(A168,'Database BOJ'!$A$1:$C$1100,2,FALSE)/VLOOKUP(A168,'Database BOJ'!$A$1:$C$1100,3,FALSE),#N/A)</f>
        <v/>
      </c>
    </row>
    <row r="169">
      <c r="A169" s="41" t="n">
        <v>40848</v>
      </c>
      <c r="B169" s="18">
        <f>VLOOKUP(A169,'Database BOJ'!$A$1:$C$1100,2,FALSE)</f>
        <v/>
      </c>
      <c r="C169" s="29">
        <f>VLOOKUP(A169,'Database BOJ'!$A$1:$D$1100,4,FALSE)</f>
        <v/>
      </c>
      <c r="D169" s="46">
        <f>IFERROR(VLOOKUP(A169,'Database BOJ'!$A$1:$C$1100,2,FALSE)/VLOOKUP(A169,'Database BOJ'!$A$1:$C$1100,3,FALSE),#N/A)</f>
        <v/>
      </c>
    </row>
    <row r="170">
      <c r="A170" s="41" t="n">
        <v>40878</v>
      </c>
      <c r="B170" s="18">
        <f>VLOOKUP(A170,'Database BOJ'!$A$1:$C$1100,2,FALSE)</f>
        <v/>
      </c>
      <c r="C170" s="29">
        <f>VLOOKUP(A170,'Database BOJ'!$A$1:$D$1100,4,FALSE)</f>
        <v/>
      </c>
      <c r="D170" s="46">
        <f>IFERROR(VLOOKUP(A170,'Database BOJ'!$A$1:$C$1100,2,FALSE)/VLOOKUP(A170,'Database BOJ'!$A$1:$C$1100,3,FALSE),#N/A)</f>
        <v/>
      </c>
    </row>
    <row r="171">
      <c r="A171" s="41" t="n">
        <v>40909</v>
      </c>
      <c r="B171" s="18">
        <f>VLOOKUP(A171,'Database BOJ'!$A$1:$C$1100,2,FALSE)</f>
        <v/>
      </c>
      <c r="C171" s="29">
        <f>VLOOKUP(A171,'Database BOJ'!$A$1:$D$1100,4,FALSE)</f>
        <v/>
      </c>
      <c r="D171" s="46">
        <f>IFERROR(VLOOKUP(A171,'Database BOJ'!$A$1:$C$1100,2,FALSE)/VLOOKUP(A171,'Database BOJ'!$A$1:$C$1100,3,FALSE),#N/A)</f>
        <v/>
      </c>
    </row>
    <row r="172">
      <c r="A172" s="41" t="n">
        <v>40940</v>
      </c>
      <c r="B172" s="18">
        <f>VLOOKUP(A172,'Database BOJ'!$A$1:$C$1100,2,FALSE)</f>
        <v/>
      </c>
      <c r="C172" s="29">
        <f>VLOOKUP(A172,'Database BOJ'!$A$1:$D$1100,4,FALSE)</f>
        <v/>
      </c>
      <c r="D172" s="46">
        <f>IFERROR(VLOOKUP(A172,'Database BOJ'!$A$1:$C$1100,2,FALSE)/VLOOKUP(A172,'Database BOJ'!$A$1:$C$1100,3,FALSE),#N/A)</f>
        <v/>
      </c>
    </row>
    <row r="173">
      <c r="A173" s="41" t="n">
        <v>40969</v>
      </c>
      <c r="B173" s="18">
        <f>VLOOKUP(A173,'Database BOJ'!$A$1:$C$1100,2,FALSE)</f>
        <v/>
      </c>
      <c r="C173" s="29">
        <f>VLOOKUP(A173,'Database BOJ'!$A$1:$D$1100,4,FALSE)</f>
        <v/>
      </c>
      <c r="D173" s="46">
        <f>IFERROR(VLOOKUP(A173,'Database BOJ'!$A$1:$C$1100,2,FALSE)/VLOOKUP(A173,'Database BOJ'!$A$1:$C$1100,3,FALSE),#N/A)</f>
        <v/>
      </c>
    </row>
    <row r="174">
      <c r="A174" s="41" t="n">
        <v>41000</v>
      </c>
      <c r="B174" s="18">
        <f>VLOOKUP(A174,'Database BOJ'!$A$1:$C$1100,2,FALSE)</f>
        <v/>
      </c>
      <c r="C174" s="29">
        <f>VLOOKUP(A174,'Database BOJ'!$A$1:$D$1100,4,FALSE)</f>
        <v/>
      </c>
      <c r="D174" s="46">
        <f>IFERROR(VLOOKUP(A174,'Database BOJ'!$A$1:$C$1100,2,FALSE)/VLOOKUP(A174,'Database BOJ'!$A$1:$C$1100,3,FALSE),#N/A)</f>
        <v/>
      </c>
    </row>
    <row r="175">
      <c r="A175" s="41" t="n">
        <v>41030</v>
      </c>
      <c r="B175" s="18">
        <f>VLOOKUP(A175,'Database BOJ'!$A$1:$C$1100,2,FALSE)</f>
        <v/>
      </c>
      <c r="C175" s="29">
        <f>VLOOKUP(A175,'Database BOJ'!$A$1:$D$1100,4,FALSE)</f>
        <v/>
      </c>
      <c r="D175" s="46">
        <f>IFERROR(VLOOKUP(A175,'Database BOJ'!$A$1:$C$1100,2,FALSE)/VLOOKUP(A175,'Database BOJ'!$A$1:$C$1100,3,FALSE),#N/A)</f>
        <v/>
      </c>
    </row>
    <row r="176">
      <c r="A176" s="41" t="n">
        <v>41061</v>
      </c>
      <c r="B176" s="18">
        <f>VLOOKUP(A176,'Database BOJ'!$A$1:$C$1100,2,FALSE)</f>
        <v/>
      </c>
      <c r="C176" s="29">
        <f>VLOOKUP(A176,'Database BOJ'!$A$1:$D$1100,4,FALSE)</f>
        <v/>
      </c>
      <c r="D176" s="46">
        <f>IFERROR(VLOOKUP(A176,'Database BOJ'!$A$1:$C$1100,2,FALSE)/VLOOKUP(A176,'Database BOJ'!$A$1:$C$1100,3,FALSE),#N/A)</f>
        <v/>
      </c>
    </row>
    <row r="177">
      <c r="A177" s="41" t="n">
        <v>41091</v>
      </c>
      <c r="B177" s="18">
        <f>VLOOKUP(A177,'Database BOJ'!$A$1:$C$1100,2,FALSE)</f>
        <v/>
      </c>
      <c r="C177" s="29">
        <f>VLOOKUP(A177,'Database BOJ'!$A$1:$D$1100,4,FALSE)</f>
        <v/>
      </c>
      <c r="D177" s="46">
        <f>IFERROR(VLOOKUP(A177,'Database BOJ'!$A$1:$C$1100,2,FALSE)/VLOOKUP(A177,'Database BOJ'!$A$1:$C$1100,3,FALSE),#N/A)</f>
        <v/>
      </c>
    </row>
    <row r="178">
      <c r="A178" s="41" t="n">
        <v>41122</v>
      </c>
      <c r="B178" s="18">
        <f>VLOOKUP(A178,'Database BOJ'!$A$1:$C$1100,2,FALSE)</f>
        <v/>
      </c>
      <c r="C178" s="29">
        <f>VLOOKUP(A178,'Database BOJ'!$A$1:$D$1100,4,FALSE)</f>
        <v/>
      </c>
      <c r="D178" s="46">
        <f>IFERROR(VLOOKUP(A178,'Database BOJ'!$A$1:$C$1100,2,FALSE)/VLOOKUP(A178,'Database BOJ'!$A$1:$C$1100,3,FALSE),#N/A)</f>
        <v/>
      </c>
    </row>
    <row r="179">
      <c r="A179" s="41" t="n">
        <v>41153</v>
      </c>
      <c r="B179" s="18">
        <f>VLOOKUP(A179,'Database BOJ'!$A$1:$C$1100,2,FALSE)</f>
        <v/>
      </c>
      <c r="C179" s="29">
        <f>VLOOKUP(A179,'Database BOJ'!$A$1:$D$1100,4,FALSE)</f>
        <v/>
      </c>
      <c r="D179" s="46">
        <f>IFERROR(VLOOKUP(A179,'Database BOJ'!$A$1:$C$1100,2,FALSE)/VLOOKUP(A179,'Database BOJ'!$A$1:$C$1100,3,FALSE),#N/A)</f>
        <v/>
      </c>
    </row>
    <row r="180">
      <c r="A180" s="41" t="n">
        <v>41183</v>
      </c>
      <c r="B180" s="18">
        <f>VLOOKUP(A180,'Database BOJ'!$A$1:$C$1100,2,FALSE)</f>
        <v/>
      </c>
      <c r="C180" s="29">
        <f>VLOOKUP(A180,'Database BOJ'!$A$1:$D$1100,4,FALSE)</f>
        <v/>
      </c>
      <c r="D180" s="46">
        <f>IFERROR(VLOOKUP(A180,'Database BOJ'!$A$1:$C$1100,2,FALSE)/VLOOKUP(A180,'Database BOJ'!$A$1:$C$1100,3,FALSE),#N/A)</f>
        <v/>
      </c>
    </row>
    <row r="181">
      <c r="A181" s="41" t="n">
        <v>41214</v>
      </c>
      <c r="B181" s="18">
        <f>VLOOKUP(A181,'Database BOJ'!$A$1:$C$1100,2,FALSE)</f>
        <v/>
      </c>
      <c r="C181" s="29">
        <f>VLOOKUP(A181,'Database BOJ'!$A$1:$D$1100,4,FALSE)</f>
        <v/>
      </c>
      <c r="D181" s="46">
        <f>IFERROR(VLOOKUP(A181,'Database BOJ'!$A$1:$C$1100,2,FALSE)/VLOOKUP(A181,'Database BOJ'!$A$1:$C$1100,3,FALSE),#N/A)</f>
        <v/>
      </c>
    </row>
    <row r="182">
      <c r="A182" s="41" t="n">
        <v>41244</v>
      </c>
      <c r="B182" s="18">
        <f>VLOOKUP(A182,'Database BOJ'!$A$1:$C$1100,2,FALSE)</f>
        <v/>
      </c>
      <c r="C182" s="29">
        <f>VLOOKUP(A182,'Database BOJ'!$A$1:$D$1100,4,FALSE)</f>
        <v/>
      </c>
      <c r="D182" s="46">
        <f>IFERROR(VLOOKUP(A182,'Database BOJ'!$A$1:$C$1100,2,FALSE)/VLOOKUP(A182,'Database BOJ'!$A$1:$C$1100,3,FALSE),#N/A)</f>
        <v/>
      </c>
    </row>
    <row r="183">
      <c r="A183" s="41" t="n">
        <v>41275</v>
      </c>
      <c r="B183" s="18">
        <f>VLOOKUP(A183,'Database BOJ'!$A$1:$C$1100,2,FALSE)</f>
        <v/>
      </c>
      <c r="C183" s="29">
        <f>VLOOKUP(A183,'Database BOJ'!$A$1:$D$1100,4,FALSE)</f>
        <v/>
      </c>
      <c r="D183" s="46">
        <f>IFERROR(VLOOKUP(A183,'Database BOJ'!$A$1:$C$1100,2,FALSE)/VLOOKUP(A183,'Database BOJ'!$A$1:$C$1100,3,FALSE),#N/A)</f>
        <v/>
      </c>
    </row>
    <row r="184">
      <c r="A184" s="41" t="n">
        <v>41306</v>
      </c>
      <c r="B184" s="18">
        <f>VLOOKUP(A184,'Database BOJ'!$A$1:$C$1100,2,FALSE)</f>
        <v/>
      </c>
      <c r="C184" s="29">
        <f>VLOOKUP(A184,'Database BOJ'!$A$1:$D$1100,4,FALSE)</f>
        <v/>
      </c>
      <c r="D184" s="46">
        <f>IFERROR(VLOOKUP(A184,'Database BOJ'!$A$1:$C$1100,2,FALSE)/VLOOKUP(A184,'Database BOJ'!$A$1:$C$1100,3,FALSE),#N/A)</f>
        <v/>
      </c>
    </row>
    <row r="185">
      <c r="A185" s="41" t="n">
        <v>41334</v>
      </c>
      <c r="B185" s="18">
        <f>VLOOKUP(A185,'Database BOJ'!$A$1:$C$1100,2,FALSE)</f>
        <v/>
      </c>
      <c r="C185" s="29">
        <f>VLOOKUP(A185,'Database BOJ'!$A$1:$D$1100,4,FALSE)</f>
        <v/>
      </c>
      <c r="D185" s="46">
        <f>IFERROR(VLOOKUP(A185,'Database BOJ'!$A$1:$C$1100,2,FALSE)/VLOOKUP(A185,'Database BOJ'!$A$1:$C$1100,3,FALSE),#N/A)</f>
        <v/>
      </c>
    </row>
    <row r="186">
      <c r="A186" s="41" t="n">
        <v>41365</v>
      </c>
      <c r="B186" s="18">
        <f>VLOOKUP(A186,'Database BOJ'!$A$1:$C$1100,2,FALSE)</f>
        <v/>
      </c>
      <c r="C186" s="29">
        <f>VLOOKUP(A186,'Database BOJ'!$A$1:$D$1100,4,FALSE)</f>
        <v/>
      </c>
      <c r="D186" s="46">
        <f>IFERROR(VLOOKUP(A186,'Database BOJ'!$A$1:$C$1100,2,FALSE)/VLOOKUP(A186,'Database BOJ'!$A$1:$C$1100,3,FALSE),#N/A)</f>
        <v/>
      </c>
    </row>
    <row r="187">
      <c r="A187" s="41" t="n">
        <v>41395</v>
      </c>
      <c r="B187" s="18">
        <f>VLOOKUP(A187,'Database BOJ'!$A$1:$C$1100,2,FALSE)</f>
        <v/>
      </c>
      <c r="C187" s="29">
        <f>VLOOKUP(A187,'Database BOJ'!$A$1:$D$1100,4,FALSE)</f>
        <v/>
      </c>
      <c r="D187" s="46">
        <f>IFERROR(VLOOKUP(A187,'Database BOJ'!$A$1:$C$1100,2,FALSE)/VLOOKUP(A187,'Database BOJ'!$A$1:$C$1100,3,FALSE),#N/A)</f>
        <v/>
      </c>
    </row>
    <row r="188">
      <c r="A188" s="41" t="n">
        <v>41426</v>
      </c>
      <c r="B188" s="18">
        <f>VLOOKUP(A188,'Database BOJ'!$A$1:$C$1100,2,FALSE)</f>
        <v/>
      </c>
      <c r="C188" s="29">
        <f>VLOOKUP(A188,'Database BOJ'!$A$1:$D$1100,4,FALSE)</f>
        <v/>
      </c>
      <c r="D188" s="46">
        <f>IFERROR(VLOOKUP(A188,'Database BOJ'!$A$1:$C$1100,2,FALSE)/VLOOKUP(A188,'Database BOJ'!$A$1:$C$1100,3,FALSE),#N/A)</f>
        <v/>
      </c>
    </row>
    <row r="189">
      <c r="A189" s="41" t="n">
        <v>41456</v>
      </c>
      <c r="B189" s="18">
        <f>VLOOKUP(A189,'Database BOJ'!$A$1:$C$1100,2,FALSE)</f>
        <v/>
      </c>
      <c r="C189" s="29">
        <f>VLOOKUP(A189,'Database BOJ'!$A$1:$D$1100,4,FALSE)</f>
        <v/>
      </c>
      <c r="D189" s="46">
        <f>IFERROR(VLOOKUP(A189,'Database BOJ'!$A$1:$C$1100,2,FALSE)/VLOOKUP(A189,'Database BOJ'!$A$1:$C$1100,3,FALSE),#N/A)</f>
        <v/>
      </c>
    </row>
    <row r="190">
      <c r="A190" s="41" t="n">
        <v>41487</v>
      </c>
      <c r="B190" s="18">
        <f>VLOOKUP(A190,'Database BOJ'!$A$1:$C$1100,2,FALSE)</f>
        <v/>
      </c>
      <c r="C190" s="29">
        <f>VLOOKUP(A190,'Database BOJ'!$A$1:$D$1100,4,FALSE)</f>
        <v/>
      </c>
      <c r="D190" s="46">
        <f>IFERROR(VLOOKUP(A190,'Database BOJ'!$A$1:$C$1100,2,FALSE)/VLOOKUP(A190,'Database BOJ'!$A$1:$C$1100,3,FALSE),#N/A)</f>
        <v/>
      </c>
    </row>
    <row r="191">
      <c r="A191" s="41" t="n">
        <v>41518</v>
      </c>
      <c r="B191" s="18">
        <f>VLOOKUP(A191,'Database BOJ'!$A$1:$C$1100,2,FALSE)</f>
        <v/>
      </c>
      <c r="C191" s="29">
        <f>VLOOKUP(A191,'Database BOJ'!$A$1:$D$1100,4,FALSE)</f>
        <v/>
      </c>
      <c r="D191" s="46">
        <f>IFERROR(VLOOKUP(A191,'Database BOJ'!$A$1:$C$1100,2,FALSE)/VLOOKUP(A191,'Database BOJ'!$A$1:$C$1100,3,FALSE),#N/A)</f>
        <v/>
      </c>
    </row>
    <row r="192">
      <c r="A192" s="41" t="n">
        <v>41548</v>
      </c>
      <c r="B192" s="18">
        <f>VLOOKUP(A192,'Database BOJ'!$A$1:$C$1100,2,FALSE)</f>
        <v/>
      </c>
      <c r="C192" s="29">
        <f>VLOOKUP(A192,'Database BOJ'!$A$1:$D$1100,4,FALSE)</f>
        <v/>
      </c>
      <c r="D192" s="46">
        <f>IFERROR(VLOOKUP(A192,'Database BOJ'!$A$1:$C$1100,2,FALSE)/VLOOKUP(A192,'Database BOJ'!$A$1:$C$1100,3,FALSE),#N/A)</f>
        <v/>
      </c>
    </row>
    <row r="193">
      <c r="A193" s="41" t="n">
        <v>41579</v>
      </c>
      <c r="B193" s="18">
        <f>VLOOKUP(A193,'Database BOJ'!$A$1:$C$1100,2,FALSE)</f>
        <v/>
      </c>
      <c r="C193" s="29">
        <f>VLOOKUP(A193,'Database BOJ'!$A$1:$D$1100,4,FALSE)</f>
        <v/>
      </c>
      <c r="D193" s="46">
        <f>IFERROR(VLOOKUP(A193,'Database BOJ'!$A$1:$C$1100,2,FALSE)/VLOOKUP(A193,'Database BOJ'!$A$1:$C$1100,3,FALSE),#N/A)</f>
        <v/>
      </c>
    </row>
    <row r="194">
      <c r="A194" s="41" t="n">
        <v>41609</v>
      </c>
      <c r="B194" s="18">
        <f>VLOOKUP(A194,'Database BOJ'!$A$1:$C$1100,2,FALSE)</f>
        <v/>
      </c>
      <c r="C194" s="29">
        <f>VLOOKUP(A194,'Database BOJ'!$A$1:$D$1100,4,FALSE)</f>
        <v/>
      </c>
      <c r="D194" s="46">
        <f>IFERROR(VLOOKUP(A194,'Database BOJ'!$A$1:$C$1100,2,FALSE)/VLOOKUP(A194,'Database BOJ'!$A$1:$C$1100,3,FALSE),#N/A)</f>
        <v/>
      </c>
    </row>
    <row r="195">
      <c r="A195" s="41" t="n">
        <v>41640</v>
      </c>
      <c r="B195" s="18">
        <f>VLOOKUP(A195,'Database BOJ'!$A$1:$C$1100,2,FALSE)</f>
        <v/>
      </c>
      <c r="C195" s="29">
        <f>VLOOKUP(A195,'Database BOJ'!$A$1:$D$1100,4,FALSE)</f>
        <v/>
      </c>
      <c r="D195" s="46">
        <f>IFERROR(VLOOKUP(A195,'Database BOJ'!$A$1:$C$1100,2,FALSE)/VLOOKUP(A195,'Database BOJ'!$A$1:$C$1100,3,FALSE),#N/A)</f>
        <v/>
      </c>
    </row>
    <row r="196">
      <c r="A196" s="41" t="n">
        <v>41671</v>
      </c>
      <c r="B196" s="18">
        <f>VLOOKUP(A196,'Database BOJ'!$A$1:$C$1100,2,FALSE)</f>
        <v/>
      </c>
      <c r="C196" s="29">
        <f>VLOOKUP(A196,'Database BOJ'!$A$1:$D$1100,4,FALSE)</f>
        <v/>
      </c>
      <c r="D196" s="46">
        <f>IFERROR(VLOOKUP(A196,'Database BOJ'!$A$1:$C$1100,2,FALSE)/VLOOKUP(A196,'Database BOJ'!$A$1:$C$1100,3,FALSE),#N/A)</f>
        <v/>
      </c>
    </row>
    <row r="197">
      <c r="A197" s="41" t="n">
        <v>41699</v>
      </c>
      <c r="B197" s="18">
        <f>VLOOKUP(A197,'Database BOJ'!$A$1:$C$1100,2,FALSE)</f>
        <v/>
      </c>
      <c r="C197" s="29">
        <f>VLOOKUP(A197,'Database BOJ'!$A$1:$D$1100,4,FALSE)</f>
        <v/>
      </c>
      <c r="D197" s="46">
        <f>IFERROR(VLOOKUP(A197,'Database BOJ'!$A$1:$C$1100,2,FALSE)/VLOOKUP(A197,'Database BOJ'!$A$1:$C$1100,3,FALSE),#N/A)</f>
        <v/>
      </c>
    </row>
    <row r="198">
      <c r="A198" s="41" t="n">
        <v>41730</v>
      </c>
      <c r="B198" s="18">
        <f>VLOOKUP(A198,'Database BOJ'!$A$1:$C$1100,2,FALSE)</f>
        <v/>
      </c>
      <c r="C198" s="29">
        <f>VLOOKUP(A198,'Database BOJ'!$A$1:$D$1100,4,FALSE)</f>
        <v/>
      </c>
      <c r="D198" s="46">
        <f>IFERROR(VLOOKUP(A198,'Database BOJ'!$A$1:$C$1100,2,FALSE)/VLOOKUP(A198,'Database BOJ'!$A$1:$C$1100,3,FALSE),#N/A)</f>
        <v/>
      </c>
    </row>
    <row r="199">
      <c r="A199" s="41" t="n">
        <v>41760</v>
      </c>
      <c r="B199" s="18">
        <f>VLOOKUP(A199,'Database BOJ'!$A$1:$C$1100,2,FALSE)</f>
        <v/>
      </c>
      <c r="C199" s="29">
        <f>VLOOKUP(A199,'Database BOJ'!$A$1:$D$1100,4,FALSE)</f>
        <v/>
      </c>
      <c r="D199" s="46">
        <f>IFERROR(VLOOKUP(A199,'Database BOJ'!$A$1:$C$1100,2,FALSE)/VLOOKUP(A199,'Database BOJ'!$A$1:$C$1100,3,FALSE),#N/A)</f>
        <v/>
      </c>
    </row>
    <row r="200">
      <c r="A200" s="41" t="n">
        <v>41791</v>
      </c>
      <c r="B200" s="18">
        <f>VLOOKUP(A200,'Database BOJ'!$A$1:$C$1100,2,FALSE)</f>
        <v/>
      </c>
      <c r="C200" s="29">
        <f>VLOOKUP(A200,'Database BOJ'!$A$1:$D$1100,4,FALSE)</f>
        <v/>
      </c>
      <c r="D200" s="46">
        <f>IFERROR(VLOOKUP(A200,'Database BOJ'!$A$1:$C$1100,2,FALSE)/VLOOKUP(A200,'Database BOJ'!$A$1:$C$1100,3,FALSE),#N/A)</f>
        <v/>
      </c>
    </row>
    <row r="201">
      <c r="A201" s="41" t="n">
        <v>41821</v>
      </c>
      <c r="B201" s="18">
        <f>VLOOKUP(A201,'Database BOJ'!$A$1:$C$1100,2,FALSE)</f>
        <v/>
      </c>
      <c r="C201" s="29">
        <f>VLOOKUP(A201,'Database BOJ'!$A$1:$D$1100,4,FALSE)</f>
        <v/>
      </c>
      <c r="D201" s="46">
        <f>IFERROR(VLOOKUP(A201,'Database BOJ'!$A$1:$C$1100,2,FALSE)/VLOOKUP(A201,'Database BOJ'!$A$1:$C$1100,3,FALSE),#N/A)</f>
        <v/>
      </c>
    </row>
    <row r="202">
      <c r="A202" s="41" t="n">
        <v>41852</v>
      </c>
      <c r="B202" s="18">
        <f>VLOOKUP(A202,'Database BOJ'!$A$1:$C$1100,2,FALSE)</f>
        <v/>
      </c>
      <c r="C202" s="29">
        <f>VLOOKUP(A202,'Database BOJ'!$A$1:$D$1100,4,FALSE)</f>
        <v/>
      </c>
      <c r="D202" s="46">
        <f>IFERROR(VLOOKUP(A202,'Database BOJ'!$A$1:$C$1100,2,FALSE)/VLOOKUP(A202,'Database BOJ'!$A$1:$C$1100,3,FALSE),#N/A)</f>
        <v/>
      </c>
    </row>
    <row r="203">
      <c r="A203" s="41" t="n">
        <v>41883</v>
      </c>
      <c r="B203" s="18">
        <f>VLOOKUP(A203,'Database BOJ'!$A$1:$C$1100,2,FALSE)</f>
        <v/>
      </c>
      <c r="C203" s="29">
        <f>VLOOKUP(A203,'Database BOJ'!$A$1:$D$1100,4,FALSE)</f>
        <v/>
      </c>
      <c r="D203" s="46">
        <f>IFERROR(VLOOKUP(A203,'Database BOJ'!$A$1:$C$1100,2,FALSE)/VLOOKUP(A203,'Database BOJ'!$A$1:$C$1100,3,FALSE),#N/A)</f>
        <v/>
      </c>
    </row>
    <row r="204">
      <c r="A204" s="41" t="n">
        <v>41913</v>
      </c>
      <c r="B204" s="18">
        <f>VLOOKUP(A204,'Database BOJ'!$A$1:$C$1100,2,FALSE)</f>
        <v/>
      </c>
      <c r="C204" s="29">
        <f>VLOOKUP(A204,'Database BOJ'!$A$1:$D$1100,4,FALSE)</f>
        <v/>
      </c>
      <c r="D204" s="46">
        <f>IFERROR(VLOOKUP(A204,'Database BOJ'!$A$1:$C$1100,2,FALSE)/VLOOKUP(A204,'Database BOJ'!$A$1:$C$1100,3,FALSE),#N/A)</f>
        <v/>
      </c>
    </row>
    <row r="205">
      <c r="A205" s="41" t="n">
        <v>41944</v>
      </c>
      <c r="B205" s="18">
        <f>VLOOKUP(A205,'Database BOJ'!$A$1:$C$1100,2,FALSE)</f>
        <v/>
      </c>
      <c r="C205" s="29">
        <f>VLOOKUP(A205,'Database BOJ'!$A$1:$D$1100,4,FALSE)</f>
        <v/>
      </c>
      <c r="D205" s="46">
        <f>IFERROR(VLOOKUP(A205,'Database BOJ'!$A$1:$C$1100,2,FALSE)/VLOOKUP(A205,'Database BOJ'!$A$1:$C$1100,3,FALSE),#N/A)</f>
        <v/>
      </c>
    </row>
    <row r="206">
      <c r="A206" s="41" t="n">
        <v>41974</v>
      </c>
      <c r="B206" s="18">
        <f>VLOOKUP(A206,'Database BOJ'!$A$1:$C$1100,2,FALSE)</f>
        <v/>
      </c>
      <c r="C206" s="29">
        <f>VLOOKUP(A206,'Database BOJ'!$A$1:$D$1100,4,FALSE)</f>
        <v/>
      </c>
      <c r="D206" s="46">
        <f>IFERROR(VLOOKUP(A206,'Database BOJ'!$A$1:$C$1100,2,FALSE)/VLOOKUP(A206,'Database BOJ'!$A$1:$C$1100,3,FALSE),#N/A)</f>
        <v/>
      </c>
    </row>
    <row r="207">
      <c r="A207" s="41" t="n">
        <v>42005</v>
      </c>
      <c r="B207" s="18">
        <f>VLOOKUP(A207,'Database BOJ'!$A$1:$C$1100,2,FALSE)</f>
        <v/>
      </c>
      <c r="C207" s="29">
        <f>VLOOKUP(A207,'Database BOJ'!$A$1:$D$1100,4,FALSE)</f>
        <v/>
      </c>
      <c r="D207" s="46">
        <f>IFERROR(VLOOKUP(A207,'Database BOJ'!$A$1:$C$1100,2,FALSE)/VLOOKUP(A207,'Database BOJ'!$A$1:$C$1100,3,FALSE),#N/A)</f>
        <v/>
      </c>
    </row>
    <row r="208">
      <c r="A208" s="41" t="n">
        <v>42036</v>
      </c>
      <c r="B208" s="18">
        <f>VLOOKUP(A208,'Database BOJ'!$A$1:$C$1100,2,FALSE)</f>
        <v/>
      </c>
      <c r="C208" s="29">
        <f>VLOOKUP(A208,'Database BOJ'!$A$1:$D$1100,4,FALSE)</f>
        <v/>
      </c>
      <c r="D208" s="46">
        <f>IFERROR(VLOOKUP(A208,'Database BOJ'!$A$1:$C$1100,2,FALSE)/VLOOKUP(A208,'Database BOJ'!$A$1:$C$1100,3,FALSE),#N/A)</f>
        <v/>
      </c>
    </row>
    <row r="209">
      <c r="A209" s="41" t="n">
        <v>42064</v>
      </c>
      <c r="B209" s="18">
        <f>VLOOKUP(A209,'Database BOJ'!$A$1:$C$1100,2,FALSE)</f>
        <v/>
      </c>
      <c r="C209" s="29">
        <f>VLOOKUP(A209,'Database BOJ'!$A$1:$D$1100,4,FALSE)</f>
        <v/>
      </c>
      <c r="D209" s="46">
        <f>IFERROR(VLOOKUP(A209,'Database BOJ'!$A$1:$C$1100,2,FALSE)/VLOOKUP(A209,'Database BOJ'!$A$1:$C$1100,3,FALSE),#N/A)</f>
        <v/>
      </c>
    </row>
    <row r="210">
      <c r="A210" s="41" t="n">
        <v>42095</v>
      </c>
      <c r="B210" s="18">
        <f>VLOOKUP(A210,'Database BOJ'!$A$1:$C$1100,2,FALSE)</f>
        <v/>
      </c>
      <c r="C210" s="29">
        <f>VLOOKUP(A210,'Database BOJ'!$A$1:$D$1100,4,FALSE)</f>
        <v/>
      </c>
      <c r="D210" s="46">
        <f>IFERROR(VLOOKUP(A210,'Database BOJ'!$A$1:$C$1100,2,FALSE)/VLOOKUP(A210,'Database BOJ'!$A$1:$C$1100,3,FALSE),#N/A)</f>
        <v/>
      </c>
    </row>
    <row r="211">
      <c r="A211" s="41" t="n">
        <v>42125</v>
      </c>
      <c r="B211" s="18">
        <f>VLOOKUP(A211,'Database BOJ'!$A$1:$C$1100,2,FALSE)</f>
        <v/>
      </c>
      <c r="C211" s="29">
        <f>VLOOKUP(A211,'Database BOJ'!$A$1:$D$1100,4,FALSE)</f>
        <v/>
      </c>
      <c r="D211" s="46">
        <f>IFERROR(VLOOKUP(A211,'Database BOJ'!$A$1:$C$1100,2,FALSE)/VLOOKUP(A211,'Database BOJ'!$A$1:$C$1100,3,FALSE),#N/A)</f>
        <v/>
      </c>
    </row>
    <row r="212">
      <c r="A212" s="41" t="n">
        <v>42156</v>
      </c>
      <c r="B212" s="18">
        <f>VLOOKUP(A212,'Database BOJ'!$A$1:$C$1100,2,FALSE)</f>
        <v/>
      </c>
      <c r="C212" s="29">
        <f>VLOOKUP(A212,'Database BOJ'!$A$1:$D$1100,4,FALSE)</f>
        <v/>
      </c>
      <c r="D212" s="46">
        <f>IFERROR(VLOOKUP(A212,'Database BOJ'!$A$1:$C$1100,2,FALSE)/VLOOKUP(A212,'Database BOJ'!$A$1:$C$1100,3,FALSE),#N/A)</f>
        <v/>
      </c>
    </row>
    <row r="213">
      <c r="A213" s="41" t="n">
        <v>42186</v>
      </c>
      <c r="B213" s="18">
        <f>VLOOKUP(A213,'Database BOJ'!$A$1:$C$1100,2,FALSE)</f>
        <v/>
      </c>
      <c r="C213" s="29">
        <f>VLOOKUP(A213,'Database BOJ'!$A$1:$D$1100,4,FALSE)</f>
        <v/>
      </c>
      <c r="D213" s="46">
        <f>IFERROR(VLOOKUP(A213,'Database BOJ'!$A$1:$C$1100,2,FALSE)/VLOOKUP(A213,'Database BOJ'!$A$1:$C$1100,3,FALSE),#N/A)</f>
        <v/>
      </c>
    </row>
    <row r="214">
      <c r="A214" s="41" t="n">
        <v>42217</v>
      </c>
      <c r="B214" s="18">
        <f>VLOOKUP(A214,'Database BOJ'!$A$1:$C$1100,2,FALSE)</f>
        <v/>
      </c>
      <c r="C214" s="29">
        <f>VLOOKUP(A214,'Database BOJ'!$A$1:$D$1100,4,FALSE)</f>
        <v/>
      </c>
      <c r="D214" s="46">
        <f>IFERROR(VLOOKUP(A214,'Database BOJ'!$A$1:$C$1100,2,FALSE)/VLOOKUP(A214,'Database BOJ'!$A$1:$C$1100,3,FALSE),#N/A)</f>
        <v/>
      </c>
    </row>
    <row r="215">
      <c r="A215" s="41" t="n">
        <v>42248</v>
      </c>
      <c r="B215" s="18">
        <f>VLOOKUP(A215,'Database BOJ'!$A$1:$C$1100,2,FALSE)</f>
        <v/>
      </c>
      <c r="C215" s="29">
        <f>VLOOKUP(A215,'Database BOJ'!$A$1:$D$1100,4,FALSE)</f>
        <v/>
      </c>
      <c r="D215" s="46">
        <f>IFERROR(VLOOKUP(A215,'Database BOJ'!$A$1:$C$1100,2,FALSE)/VLOOKUP(A215,'Database BOJ'!$A$1:$C$1100,3,FALSE),#N/A)</f>
        <v/>
      </c>
    </row>
    <row r="216">
      <c r="A216" s="41" t="n">
        <v>42278</v>
      </c>
      <c r="B216" s="18">
        <f>VLOOKUP(A216,'Database BOJ'!$A$1:$C$1100,2,FALSE)</f>
        <v/>
      </c>
      <c r="C216" s="29">
        <f>VLOOKUP(A216,'Database BOJ'!$A$1:$D$1100,4,FALSE)</f>
        <v/>
      </c>
      <c r="D216" s="46">
        <f>IFERROR(VLOOKUP(A216,'Database BOJ'!$A$1:$C$1100,2,FALSE)/VLOOKUP(A216,'Database BOJ'!$A$1:$C$1100,3,FALSE),#N/A)</f>
        <v/>
      </c>
    </row>
    <row r="217">
      <c r="A217" s="41" t="n">
        <v>42309</v>
      </c>
      <c r="B217" s="18">
        <f>VLOOKUP(A217,'Database BOJ'!$A$1:$C$1100,2,FALSE)</f>
        <v/>
      </c>
      <c r="C217" s="29">
        <f>VLOOKUP(A217,'Database BOJ'!$A$1:$D$1100,4,FALSE)</f>
        <v/>
      </c>
      <c r="D217" s="46">
        <f>IFERROR(VLOOKUP(A217,'Database BOJ'!$A$1:$C$1100,2,FALSE)/VLOOKUP(A217,'Database BOJ'!$A$1:$C$1100,3,FALSE),#N/A)</f>
        <v/>
      </c>
    </row>
    <row r="218">
      <c r="A218" s="41" t="n">
        <v>42339</v>
      </c>
      <c r="B218" s="18">
        <f>VLOOKUP(A218,'Database BOJ'!$A$1:$C$1100,2,FALSE)</f>
        <v/>
      </c>
      <c r="C218" s="29">
        <f>VLOOKUP(A218,'Database BOJ'!$A$1:$D$1100,4,FALSE)</f>
        <v/>
      </c>
      <c r="D218" s="46">
        <f>IFERROR(VLOOKUP(A218,'Database BOJ'!$A$1:$C$1100,2,FALSE)/VLOOKUP(A218,'Database BOJ'!$A$1:$C$1100,3,FALSE),#N/A)</f>
        <v/>
      </c>
    </row>
    <row r="219">
      <c r="A219" s="41" t="n">
        <v>42370</v>
      </c>
      <c r="B219" s="18">
        <f>VLOOKUP(A219,'Database BOJ'!$A$1:$C$1100,2,FALSE)</f>
        <v/>
      </c>
      <c r="C219" s="29">
        <f>VLOOKUP(A219,'Database BOJ'!$A$1:$D$1100,4,FALSE)</f>
        <v/>
      </c>
      <c r="D219" s="46">
        <f>IFERROR(VLOOKUP(A219,'Database BOJ'!$A$1:$C$1100,2,FALSE)/VLOOKUP(A219,'Database BOJ'!$A$1:$C$1100,3,FALSE),#N/A)</f>
        <v/>
      </c>
    </row>
    <row r="220">
      <c r="A220" s="41" t="n">
        <v>42401</v>
      </c>
      <c r="B220" s="18">
        <f>VLOOKUP(A220,'Database BOJ'!$A$1:$C$1100,2,FALSE)</f>
        <v/>
      </c>
      <c r="C220" s="29">
        <f>VLOOKUP(A220,'Database BOJ'!$A$1:$D$1100,4,FALSE)</f>
        <v/>
      </c>
      <c r="D220" s="46">
        <f>IFERROR(VLOOKUP(A220,'Database BOJ'!$A$1:$C$1100,2,FALSE)/VLOOKUP(A220,'Database BOJ'!$A$1:$C$1100,3,FALSE),#N/A)</f>
        <v/>
      </c>
    </row>
    <row r="221">
      <c r="A221" s="41" t="n">
        <v>42430</v>
      </c>
      <c r="B221" s="18">
        <f>VLOOKUP(A221,'Database BOJ'!$A$1:$C$1100,2,FALSE)</f>
        <v/>
      </c>
      <c r="C221" s="29">
        <f>VLOOKUP(A221,'Database BOJ'!$A$1:$D$1100,4,FALSE)</f>
        <v/>
      </c>
      <c r="D221" s="46">
        <f>IFERROR(VLOOKUP(A221,'Database BOJ'!$A$1:$C$1100,2,FALSE)/VLOOKUP(A221,'Database BOJ'!$A$1:$C$1100,3,FALSE),#N/A)</f>
        <v/>
      </c>
    </row>
    <row r="222">
      <c r="A222" s="41" t="n">
        <v>42461</v>
      </c>
      <c r="B222" s="18">
        <f>VLOOKUP(A222,'Database BOJ'!$A$1:$C$1100,2,FALSE)</f>
        <v/>
      </c>
      <c r="C222" s="29">
        <f>VLOOKUP(A222,'Database BOJ'!$A$1:$D$1100,4,FALSE)</f>
        <v/>
      </c>
      <c r="D222" s="46">
        <f>IFERROR(VLOOKUP(A222,'Database BOJ'!$A$1:$C$1100,2,FALSE)/VLOOKUP(A222,'Database BOJ'!$A$1:$C$1100,3,FALSE),#N/A)</f>
        <v/>
      </c>
    </row>
    <row r="223">
      <c r="A223" s="41" t="n">
        <v>42491</v>
      </c>
      <c r="B223" s="18">
        <f>VLOOKUP(A223,'Database BOJ'!$A$1:$C$1100,2,FALSE)</f>
        <v/>
      </c>
      <c r="C223" s="29">
        <f>VLOOKUP(A223,'Database BOJ'!$A$1:$D$1100,4,FALSE)</f>
        <v/>
      </c>
      <c r="D223" s="46">
        <f>IFERROR(VLOOKUP(A223,'Database BOJ'!$A$1:$C$1100,2,FALSE)/VLOOKUP(A223,'Database BOJ'!$A$1:$C$1100,3,FALSE),#N/A)</f>
        <v/>
      </c>
    </row>
    <row r="224">
      <c r="A224" s="41" t="n">
        <v>42522</v>
      </c>
      <c r="B224" s="18">
        <f>VLOOKUP(A224,'Database BOJ'!$A$1:$C$1100,2,FALSE)</f>
        <v/>
      </c>
      <c r="C224" s="29">
        <f>VLOOKUP(A224,'Database BOJ'!$A$1:$D$1100,4,FALSE)</f>
        <v/>
      </c>
      <c r="D224" s="46">
        <f>IFERROR(VLOOKUP(A224,'Database BOJ'!$A$1:$C$1100,2,FALSE)/VLOOKUP(A224,'Database BOJ'!$A$1:$C$1100,3,FALSE),#N/A)</f>
        <v/>
      </c>
    </row>
    <row r="225">
      <c r="A225" s="41" t="n">
        <v>42552</v>
      </c>
      <c r="B225" s="18">
        <f>VLOOKUP(A225,'Database BOJ'!$A$1:$C$1100,2,FALSE)</f>
        <v/>
      </c>
      <c r="C225" s="29">
        <f>VLOOKUP(A225,'Database BOJ'!$A$1:$D$1100,4,FALSE)</f>
        <v/>
      </c>
      <c r="D225" s="46">
        <f>IFERROR(VLOOKUP(A225,'Database BOJ'!$A$1:$C$1100,2,FALSE)/VLOOKUP(A225,'Database BOJ'!$A$1:$C$1100,3,FALSE),#N/A)</f>
        <v/>
      </c>
    </row>
    <row r="226">
      <c r="A226" s="41" t="n">
        <v>42583</v>
      </c>
      <c r="B226" s="18">
        <f>VLOOKUP(A226,'Database BOJ'!$A$1:$C$1100,2,FALSE)</f>
        <v/>
      </c>
      <c r="C226" s="29">
        <f>VLOOKUP(A226,'Database BOJ'!$A$1:$D$1100,4,FALSE)</f>
        <v/>
      </c>
      <c r="D226" s="46">
        <f>IFERROR(VLOOKUP(A226,'Database BOJ'!$A$1:$C$1100,2,FALSE)/VLOOKUP(A226,'Database BOJ'!$A$1:$C$1100,3,FALSE),#N/A)</f>
        <v/>
      </c>
    </row>
    <row r="227">
      <c r="A227" s="41" t="n">
        <v>42614</v>
      </c>
      <c r="B227" s="18">
        <f>VLOOKUP(A227,'Database BOJ'!$A$1:$C$1100,2,FALSE)</f>
        <v/>
      </c>
      <c r="C227" s="29">
        <f>VLOOKUP(A227,'Database BOJ'!$A$1:$D$1100,4,FALSE)</f>
        <v/>
      </c>
      <c r="D227" s="46">
        <f>IFERROR(VLOOKUP(A227,'Database BOJ'!$A$1:$C$1100,2,FALSE)/VLOOKUP(A227,'Database BOJ'!$A$1:$C$1100,3,FALSE),#N/A)</f>
        <v/>
      </c>
    </row>
    <row r="228">
      <c r="A228" s="41" t="n">
        <v>42644</v>
      </c>
      <c r="B228" s="18">
        <f>VLOOKUP(A228,'Database BOJ'!$A$1:$C$1100,2,FALSE)</f>
        <v/>
      </c>
      <c r="C228" s="29">
        <f>VLOOKUP(A228,'Database BOJ'!$A$1:$D$1100,4,FALSE)</f>
        <v/>
      </c>
      <c r="D228" s="46">
        <f>IFERROR(VLOOKUP(A228,'Database BOJ'!$A$1:$C$1100,2,FALSE)/VLOOKUP(A228,'Database BOJ'!$A$1:$C$1100,3,FALSE),#N/A)</f>
        <v/>
      </c>
    </row>
    <row r="229">
      <c r="A229" s="41" t="n">
        <v>42675</v>
      </c>
      <c r="B229" s="18">
        <f>VLOOKUP(A229,'Database BOJ'!$A$1:$C$1100,2,FALSE)</f>
        <v/>
      </c>
      <c r="C229" s="29">
        <f>VLOOKUP(A229,'Database BOJ'!$A$1:$D$1100,4,FALSE)</f>
        <v/>
      </c>
      <c r="D229" s="46">
        <f>IFERROR(VLOOKUP(A229,'Database BOJ'!$A$1:$C$1100,2,FALSE)/VLOOKUP(A229,'Database BOJ'!$A$1:$C$1100,3,FALSE),#N/A)</f>
        <v/>
      </c>
    </row>
    <row r="230">
      <c r="A230" s="41" t="n">
        <v>42705</v>
      </c>
      <c r="B230" s="18">
        <f>VLOOKUP(A230,'Database BOJ'!$A$1:$C$1100,2,FALSE)</f>
        <v/>
      </c>
      <c r="C230" s="29">
        <f>VLOOKUP(A230,'Database BOJ'!$A$1:$D$1100,4,FALSE)</f>
        <v/>
      </c>
      <c r="D230" s="46">
        <f>IFERROR(VLOOKUP(A230,'Database BOJ'!$A$1:$C$1100,2,FALSE)/VLOOKUP(A230,'Database BOJ'!$A$1:$C$1100,3,FALSE),#N/A)</f>
        <v/>
      </c>
    </row>
    <row r="231">
      <c r="A231" s="41" t="n">
        <v>42736</v>
      </c>
      <c r="B231" s="18">
        <f>VLOOKUP(A231,'Database BOJ'!$A$1:$C$1100,2,FALSE)</f>
        <v/>
      </c>
      <c r="C231" s="29">
        <f>VLOOKUP(A231,'Database BOJ'!$A$1:$D$1100,4,FALSE)</f>
        <v/>
      </c>
      <c r="D231" s="46">
        <f>IFERROR(VLOOKUP(A231,'Database BOJ'!$A$1:$C$1100,2,FALSE)/VLOOKUP(A231,'Database BOJ'!$A$1:$C$1100,3,FALSE),#N/A)</f>
        <v/>
      </c>
    </row>
    <row r="232">
      <c r="A232" s="41" t="n">
        <v>42767</v>
      </c>
      <c r="B232" s="18">
        <f>VLOOKUP(A232,'Database BOJ'!$A$1:$C$1100,2,FALSE)</f>
        <v/>
      </c>
      <c r="C232" s="29">
        <f>VLOOKUP(A232,'Database BOJ'!$A$1:$D$1100,4,FALSE)</f>
        <v/>
      </c>
      <c r="D232" s="46">
        <f>IFERROR(VLOOKUP(A232,'Database BOJ'!$A$1:$C$1100,2,FALSE)/VLOOKUP(A232,'Database BOJ'!$A$1:$C$1100,3,FALSE),#N/A)</f>
        <v/>
      </c>
    </row>
    <row r="233">
      <c r="A233" s="41" t="n">
        <v>42795</v>
      </c>
      <c r="B233" s="18">
        <f>VLOOKUP(A233,'Database BOJ'!$A$1:$C$1100,2,FALSE)</f>
        <v/>
      </c>
      <c r="C233" s="29">
        <f>VLOOKUP(A233,'Database BOJ'!$A$1:$D$1100,4,FALSE)</f>
        <v/>
      </c>
      <c r="D233" s="46">
        <f>IFERROR(VLOOKUP(A233,'Database BOJ'!$A$1:$C$1100,2,FALSE)/VLOOKUP(A233,'Database BOJ'!$A$1:$C$1100,3,FALSE),#N/A)</f>
        <v/>
      </c>
    </row>
    <row r="234">
      <c r="A234" s="41" t="n">
        <v>42826</v>
      </c>
      <c r="B234" s="18">
        <f>VLOOKUP(A234,'Database BOJ'!$A$1:$C$1100,2,FALSE)</f>
        <v/>
      </c>
      <c r="C234" s="29">
        <f>VLOOKUP(A234,'Database BOJ'!$A$1:$D$1100,4,FALSE)</f>
        <v/>
      </c>
      <c r="D234" s="46">
        <f>IFERROR(VLOOKUP(A234,'Database BOJ'!$A$1:$C$1100,2,FALSE)/VLOOKUP(A234,'Database BOJ'!$A$1:$C$1100,3,FALSE),#N/A)</f>
        <v/>
      </c>
    </row>
    <row r="235">
      <c r="A235" s="41" t="n">
        <v>42856</v>
      </c>
      <c r="B235" s="18">
        <f>VLOOKUP(A235,'Database BOJ'!$A$1:$C$1100,2,FALSE)</f>
        <v/>
      </c>
      <c r="C235" s="29">
        <f>VLOOKUP(A235,'Database BOJ'!$A$1:$D$1100,4,FALSE)</f>
        <v/>
      </c>
      <c r="D235" s="46">
        <f>IFERROR(VLOOKUP(A235,'Database BOJ'!$A$1:$C$1100,2,FALSE)/VLOOKUP(A235,'Database BOJ'!$A$1:$C$1100,3,FALSE),#N/A)</f>
        <v/>
      </c>
    </row>
    <row r="236">
      <c r="A236" s="41" t="n">
        <v>42887</v>
      </c>
      <c r="B236" s="18">
        <f>VLOOKUP(A236,'Database BOJ'!$A$1:$C$1100,2,FALSE)</f>
        <v/>
      </c>
      <c r="C236" s="29">
        <f>VLOOKUP(A236,'Database BOJ'!$A$1:$D$1100,4,FALSE)</f>
        <v/>
      </c>
      <c r="D236" s="46">
        <f>IFERROR(VLOOKUP(A236,'Database BOJ'!$A$1:$C$1100,2,FALSE)/VLOOKUP(A236,'Database BOJ'!$A$1:$C$1100,3,FALSE),#N/A)</f>
        <v/>
      </c>
    </row>
    <row r="237">
      <c r="A237" s="41" t="n">
        <v>42917</v>
      </c>
      <c r="B237" s="18">
        <f>VLOOKUP(A237,'Database BOJ'!$A$1:$C$1100,2,FALSE)</f>
        <v/>
      </c>
      <c r="C237" s="29">
        <f>VLOOKUP(A237,'Database BOJ'!$A$1:$D$1100,4,FALSE)</f>
        <v/>
      </c>
      <c r="D237" s="46">
        <f>IFERROR(VLOOKUP(A237,'Database BOJ'!$A$1:$C$1100,2,FALSE)/VLOOKUP(A237,'Database BOJ'!$A$1:$C$1100,3,FALSE),#N/A)</f>
        <v/>
      </c>
    </row>
    <row r="238">
      <c r="A238" s="41" t="n">
        <v>42948</v>
      </c>
      <c r="B238" s="18">
        <f>VLOOKUP(A238,'Database BOJ'!$A$1:$C$1100,2,FALSE)</f>
        <v/>
      </c>
      <c r="C238" s="29">
        <f>VLOOKUP(A238,'Database BOJ'!$A$1:$D$1100,4,FALSE)</f>
        <v/>
      </c>
      <c r="D238" s="46">
        <f>IFERROR(VLOOKUP(A238,'Database BOJ'!$A$1:$C$1100,2,FALSE)/VLOOKUP(A238,'Database BOJ'!$A$1:$C$1100,3,FALSE),#N/A)</f>
        <v/>
      </c>
    </row>
    <row r="239">
      <c r="A239" s="41" t="n">
        <v>42979</v>
      </c>
      <c r="B239" s="18">
        <f>VLOOKUP(A239,'Database BOJ'!$A$1:$C$1100,2,FALSE)</f>
        <v/>
      </c>
      <c r="C239" s="29">
        <f>VLOOKUP(A239,'Database BOJ'!$A$1:$D$1100,4,FALSE)</f>
        <v/>
      </c>
      <c r="D239" s="46">
        <f>IFERROR(VLOOKUP(A239,'Database BOJ'!$A$1:$C$1100,2,FALSE)/VLOOKUP(A239,'Database BOJ'!$A$1:$C$1100,3,FALSE),#N/A)</f>
        <v/>
      </c>
    </row>
    <row r="240">
      <c r="A240" s="41" t="n">
        <v>43009</v>
      </c>
      <c r="B240" s="18">
        <f>VLOOKUP(A240,'Database BOJ'!$A$1:$C$1100,2,FALSE)</f>
        <v/>
      </c>
      <c r="C240" s="29">
        <f>VLOOKUP(A240,'Database BOJ'!$A$1:$D$1100,4,FALSE)</f>
        <v/>
      </c>
      <c r="D240" s="46">
        <f>IFERROR(VLOOKUP(A240,'Database BOJ'!$A$1:$C$1100,2,FALSE)/VLOOKUP(A240,'Database BOJ'!$A$1:$C$1100,3,FALSE),#N/A)</f>
        <v/>
      </c>
    </row>
    <row r="241">
      <c r="A241" s="41" t="n">
        <v>43040</v>
      </c>
      <c r="B241" s="18">
        <f>VLOOKUP(A241,'Database BOJ'!$A$1:$C$1100,2,FALSE)</f>
        <v/>
      </c>
      <c r="C241" s="29">
        <f>VLOOKUP(A241,'Database BOJ'!$A$1:$D$1100,4,FALSE)</f>
        <v/>
      </c>
      <c r="D241" s="46">
        <f>IFERROR(VLOOKUP(A241,'Database BOJ'!$A$1:$C$1100,2,FALSE)/VLOOKUP(A241,'Database BOJ'!$A$1:$C$1100,3,FALSE),#N/A)</f>
        <v/>
      </c>
    </row>
    <row r="242">
      <c r="A242" s="41" t="n">
        <v>43070</v>
      </c>
      <c r="B242" s="18">
        <f>VLOOKUP(A242,'Database BOJ'!$A$1:$C$1100,2,FALSE)</f>
        <v/>
      </c>
      <c r="C242" s="29">
        <f>VLOOKUP(A242,'Database BOJ'!$A$1:$D$1100,4,FALSE)</f>
        <v/>
      </c>
      <c r="D242" s="46">
        <f>IFERROR(VLOOKUP(A242,'Database BOJ'!$A$1:$C$1100,2,FALSE)/VLOOKUP(A242,'Database BOJ'!$A$1:$C$1100,3,FALSE),#N/A)</f>
        <v/>
      </c>
    </row>
    <row r="243">
      <c r="A243" s="41" t="n">
        <v>43101</v>
      </c>
      <c r="B243" s="18">
        <f>VLOOKUP(A243,'Database BOJ'!$A$1:$C$1100,2,FALSE)</f>
        <v/>
      </c>
      <c r="C243" s="29">
        <f>VLOOKUP(A243,'Database BOJ'!$A$1:$D$1100,4,FALSE)</f>
        <v/>
      </c>
      <c r="D243" s="46">
        <f>IFERROR(VLOOKUP(A243,'Database BOJ'!$A$1:$C$1100,2,FALSE)/VLOOKUP(A243,'Database BOJ'!$A$1:$C$1100,3,FALSE),#N/A)</f>
        <v/>
      </c>
    </row>
    <row r="244">
      <c r="A244" s="41" t="n">
        <v>43132</v>
      </c>
      <c r="B244" s="18">
        <f>VLOOKUP(A244,'Database BOJ'!$A$1:$C$1100,2,FALSE)</f>
        <v/>
      </c>
      <c r="C244" s="29">
        <f>VLOOKUP(A244,'Database BOJ'!$A$1:$D$1100,4,FALSE)</f>
        <v/>
      </c>
      <c r="D244" s="46">
        <f>IFERROR(VLOOKUP(A244,'Database BOJ'!$A$1:$C$1100,2,FALSE)/VLOOKUP(A244,'Database BOJ'!$A$1:$C$1100,3,FALSE),#N/A)</f>
        <v/>
      </c>
    </row>
    <row r="245">
      <c r="A245" s="41" t="n">
        <v>43160</v>
      </c>
      <c r="B245" s="18">
        <f>VLOOKUP(A245,'Database BOJ'!$A$1:$C$1100,2,FALSE)</f>
        <v/>
      </c>
      <c r="C245" s="29">
        <f>VLOOKUP(A245,'Database BOJ'!$A$1:$D$1100,4,FALSE)</f>
        <v/>
      </c>
      <c r="D245" s="46">
        <f>IFERROR(VLOOKUP(A245,'Database BOJ'!$A$1:$C$1100,2,FALSE)/VLOOKUP(A245,'Database BOJ'!$A$1:$C$1100,3,FALSE),#N/A)</f>
        <v/>
      </c>
    </row>
    <row r="246">
      <c r="A246" s="41" t="n">
        <v>43191</v>
      </c>
      <c r="B246" s="18">
        <f>VLOOKUP(A246,'Database BOJ'!$A$1:$C$1100,2,FALSE)</f>
        <v/>
      </c>
      <c r="C246" s="29">
        <f>VLOOKUP(A246,'Database BOJ'!$A$1:$D$1100,4,FALSE)</f>
        <v/>
      </c>
      <c r="D246" s="46">
        <f>IFERROR(VLOOKUP(A246,'Database BOJ'!$A$1:$C$1100,2,FALSE)/VLOOKUP(A246,'Database BOJ'!$A$1:$C$1100,3,FALSE),#N/A)</f>
        <v/>
      </c>
    </row>
    <row r="247">
      <c r="A247" s="41" t="n">
        <v>43221</v>
      </c>
      <c r="B247" s="18">
        <f>VLOOKUP(A247,'Database BOJ'!$A$1:$C$1100,2,FALSE)</f>
        <v/>
      </c>
      <c r="C247" s="29">
        <f>VLOOKUP(A247,'Database BOJ'!$A$1:$D$1100,4,FALSE)</f>
        <v/>
      </c>
      <c r="D247" s="46">
        <f>IFERROR(VLOOKUP(A247,'Database BOJ'!$A$1:$C$1100,2,FALSE)/VLOOKUP(A247,'Database BOJ'!$A$1:$C$1100,3,FALSE),#N/A)</f>
        <v/>
      </c>
    </row>
    <row r="248">
      <c r="A248" s="41" t="n">
        <v>43252</v>
      </c>
      <c r="B248" s="18">
        <f>VLOOKUP(A248,'Database BOJ'!$A$1:$C$1100,2,FALSE)</f>
        <v/>
      </c>
      <c r="C248" s="29">
        <f>VLOOKUP(A248,'Database BOJ'!$A$1:$D$1100,4,FALSE)</f>
        <v/>
      </c>
      <c r="D248" s="46">
        <f>IFERROR(VLOOKUP(A248,'Database BOJ'!$A$1:$C$1100,2,FALSE)/VLOOKUP(A248,'Database BOJ'!$A$1:$C$1100,3,FALSE),#N/A)</f>
        <v/>
      </c>
    </row>
    <row r="249">
      <c r="A249" s="41" t="n">
        <v>43282</v>
      </c>
      <c r="B249" s="18">
        <f>VLOOKUP(A249,'Database BOJ'!$A$1:$C$1100,2,FALSE)</f>
        <v/>
      </c>
      <c r="C249" s="29">
        <f>VLOOKUP(A249,'Database BOJ'!$A$1:$D$1100,4,FALSE)</f>
        <v/>
      </c>
      <c r="D249" s="46">
        <f>IFERROR(VLOOKUP(A249,'Database BOJ'!$A$1:$C$1100,2,FALSE)/VLOOKUP(A249,'Database BOJ'!$A$1:$C$1100,3,FALSE),#N/A)</f>
        <v/>
      </c>
    </row>
    <row r="250">
      <c r="A250" s="41" t="n">
        <v>43313</v>
      </c>
      <c r="B250" s="18">
        <f>VLOOKUP(A250,'Database BOJ'!$A$1:$C$1100,2,FALSE)</f>
        <v/>
      </c>
      <c r="C250" s="29">
        <f>VLOOKUP(A250,'Database BOJ'!$A$1:$D$1100,4,FALSE)</f>
        <v/>
      </c>
      <c r="D250" s="46">
        <f>IFERROR(VLOOKUP(A250,'Database BOJ'!$A$1:$C$1100,2,FALSE)/VLOOKUP(A250,'Database BOJ'!$A$1:$C$1100,3,FALSE),#N/A)</f>
        <v/>
      </c>
    </row>
    <row r="251">
      <c r="A251" s="41" t="n">
        <v>43344</v>
      </c>
      <c r="B251" s="18">
        <f>VLOOKUP(A251,'Database BOJ'!$A$1:$C$1100,2,FALSE)</f>
        <v/>
      </c>
      <c r="C251" s="29">
        <f>VLOOKUP(A251,'Database BOJ'!$A$1:$D$1100,4,FALSE)</f>
        <v/>
      </c>
      <c r="D251" s="46">
        <f>IFERROR(VLOOKUP(A251,'Database BOJ'!$A$1:$C$1100,2,FALSE)/VLOOKUP(A251,'Database BOJ'!$A$1:$C$1100,3,FALSE),#N/A)</f>
        <v/>
      </c>
    </row>
    <row r="252">
      <c r="A252" s="41" t="n">
        <v>43374</v>
      </c>
      <c r="B252" s="18">
        <f>VLOOKUP(A252,'Database BOJ'!$A$1:$C$1100,2,FALSE)</f>
        <v/>
      </c>
      <c r="C252" s="29">
        <f>VLOOKUP(A252,'Database BOJ'!$A$1:$D$1100,4,FALSE)</f>
        <v/>
      </c>
      <c r="D252" s="46">
        <f>IFERROR(VLOOKUP(A252,'Database BOJ'!$A$1:$C$1100,2,FALSE)/VLOOKUP(A252,'Database BOJ'!$A$1:$C$1100,3,FALSE),#N/A)</f>
        <v/>
      </c>
    </row>
    <row r="253">
      <c r="A253" s="41" t="n">
        <v>43405</v>
      </c>
      <c r="B253" s="18">
        <f>VLOOKUP(A253,'Database BOJ'!$A$1:$C$1100,2,FALSE)</f>
        <v/>
      </c>
      <c r="C253" s="29">
        <f>VLOOKUP(A253,'Database BOJ'!$A$1:$D$1100,4,FALSE)</f>
        <v/>
      </c>
      <c r="D253" s="46">
        <f>IFERROR(VLOOKUP(A253,'Database BOJ'!$A$1:$C$1100,2,FALSE)/VLOOKUP(A253,'Database BOJ'!$A$1:$C$1100,3,FALSE),#N/A)</f>
        <v/>
      </c>
    </row>
    <row r="254">
      <c r="A254" s="41" t="n">
        <v>43435</v>
      </c>
      <c r="B254" s="18">
        <f>VLOOKUP(A254,'Database BOJ'!$A$1:$C$1100,2,FALSE)</f>
        <v/>
      </c>
      <c r="C254" s="29">
        <f>VLOOKUP(A254,'Database BOJ'!$A$1:$D$1100,4,FALSE)</f>
        <v/>
      </c>
      <c r="D254" s="46">
        <f>IFERROR(VLOOKUP(A254,'Database BOJ'!$A$1:$C$1100,2,FALSE)/VLOOKUP(A254,'Database BOJ'!$A$1:$C$1100,3,FALSE),#N/A)</f>
        <v/>
      </c>
    </row>
    <row r="255">
      <c r="A255" s="41" t="n">
        <v>43466</v>
      </c>
      <c r="B255" s="18">
        <f>VLOOKUP(A255,'Database BOJ'!$A$1:$C$1100,2,FALSE)</f>
        <v/>
      </c>
      <c r="C255" s="29">
        <f>VLOOKUP(A255,'Database BOJ'!$A$1:$D$1100,4,FALSE)</f>
        <v/>
      </c>
      <c r="D255" s="46">
        <f>IFERROR(VLOOKUP(A255,'Database BOJ'!$A$1:$C$1100,2,FALSE)/VLOOKUP(A255,'Database BOJ'!$A$1:$C$1100,3,FALSE),#N/A)</f>
        <v/>
      </c>
    </row>
    <row r="256">
      <c r="A256" s="41" t="n">
        <v>43497</v>
      </c>
      <c r="B256" s="18">
        <f>VLOOKUP(A256,'Database BOJ'!$A$1:$C$1100,2,FALSE)</f>
        <v/>
      </c>
      <c r="C256" s="29">
        <f>VLOOKUP(A256,'Database BOJ'!$A$1:$D$1100,4,FALSE)</f>
        <v/>
      </c>
      <c r="D256" s="46">
        <f>IFERROR(VLOOKUP(A256,'Database BOJ'!$A$1:$C$1100,2,FALSE)/VLOOKUP(A256,'Database BOJ'!$A$1:$C$1100,3,FALSE),#N/A)</f>
        <v/>
      </c>
    </row>
    <row r="257">
      <c r="A257" s="41" t="n">
        <v>43525</v>
      </c>
      <c r="B257" s="18">
        <f>VLOOKUP(A257,'Database BOJ'!$A$1:$C$1100,2,FALSE)</f>
        <v/>
      </c>
      <c r="C257" s="29">
        <f>VLOOKUP(A257,'Database BOJ'!$A$1:$D$1100,4,FALSE)</f>
        <v/>
      </c>
      <c r="D257" s="46">
        <f>IFERROR(VLOOKUP(A257,'Database BOJ'!$A$1:$C$1100,2,FALSE)/VLOOKUP(A257,'Database BOJ'!$A$1:$C$1100,3,FALSE),#N/A)</f>
        <v/>
      </c>
    </row>
    <row r="258">
      <c r="A258" s="41" t="n">
        <v>43556</v>
      </c>
      <c r="B258" s="18">
        <f>VLOOKUP(A258,'Database BOJ'!$A$1:$C$1100,2,FALSE)</f>
        <v/>
      </c>
      <c r="C258" s="29">
        <f>VLOOKUP(A258,'Database BOJ'!$A$1:$D$1100,4,FALSE)</f>
        <v/>
      </c>
      <c r="D258" s="46">
        <f>IFERROR(VLOOKUP(A258,'Database BOJ'!$A$1:$C$1100,2,FALSE)/VLOOKUP(A258,'Database BOJ'!$A$1:$C$1100,3,FALSE),#N/A)</f>
        <v/>
      </c>
    </row>
    <row r="259">
      <c r="A259" s="41" t="n">
        <v>43586</v>
      </c>
      <c r="B259" s="18">
        <f>VLOOKUP(A259,'Database BOJ'!$A$1:$C$1100,2,FALSE)</f>
        <v/>
      </c>
      <c r="C259" s="29">
        <f>VLOOKUP(A259,'Database BOJ'!$A$1:$D$1100,4,FALSE)</f>
        <v/>
      </c>
      <c r="D259" s="46">
        <f>IFERROR(VLOOKUP(A259,'Database BOJ'!$A$1:$C$1100,2,FALSE)/VLOOKUP(A259,'Database BOJ'!$A$1:$C$1100,3,FALSE),#N/A)</f>
        <v/>
      </c>
    </row>
    <row r="260">
      <c r="A260" s="41" t="n">
        <v>43617</v>
      </c>
      <c r="B260" s="18">
        <f>VLOOKUP(A260,'Database BOJ'!$A$1:$C$1100,2,FALSE)</f>
        <v/>
      </c>
      <c r="C260" s="29">
        <f>VLOOKUP(A260,'Database BOJ'!$A$1:$D$1100,4,FALSE)</f>
        <v/>
      </c>
      <c r="D260" s="46">
        <f>IFERROR(VLOOKUP(A260,'Database BOJ'!$A$1:$C$1100,2,FALSE)/VLOOKUP(A260,'Database BOJ'!$A$1:$C$1100,3,FALSE),#N/A)</f>
        <v/>
      </c>
    </row>
    <row r="261">
      <c r="A261" s="41" t="n">
        <v>43647</v>
      </c>
      <c r="B261" s="18">
        <f>VLOOKUP(A261,'Database BOJ'!$A$1:$C$1100,2,FALSE)</f>
        <v/>
      </c>
      <c r="C261" s="29">
        <f>VLOOKUP(A261,'Database BOJ'!$A$1:$D$1100,4,FALSE)</f>
        <v/>
      </c>
      <c r="D261" s="46">
        <f>IFERROR(VLOOKUP(A261,'Database BOJ'!$A$1:$C$1100,2,FALSE)/VLOOKUP(A261,'Database BOJ'!$A$1:$C$1100,3,FALSE),#N/A)</f>
        <v/>
      </c>
    </row>
    <row r="262">
      <c r="A262" s="41" t="n">
        <v>43678</v>
      </c>
      <c r="B262" s="18">
        <f>VLOOKUP(A262,'Database BOJ'!$A$1:$C$1100,2,FALSE)</f>
        <v/>
      </c>
      <c r="C262" s="29">
        <f>VLOOKUP(A262,'Database BOJ'!$A$1:$D$1100,4,FALSE)</f>
        <v/>
      </c>
      <c r="D262" s="46">
        <f>IFERROR(VLOOKUP(A262,'Database BOJ'!$A$1:$C$1100,2,FALSE)/VLOOKUP(A262,'Database BOJ'!$A$1:$C$1100,3,FALSE),#N/A)</f>
        <v/>
      </c>
    </row>
    <row r="263">
      <c r="A263" s="41" t="n">
        <v>43709</v>
      </c>
      <c r="B263" s="18">
        <f>VLOOKUP(A263,'Database BOJ'!$A$1:$C$1100,2,FALSE)</f>
        <v/>
      </c>
      <c r="C263" s="29">
        <f>VLOOKUP(A263,'Database BOJ'!$A$1:$D$1100,4,FALSE)</f>
        <v/>
      </c>
      <c r="D263" s="46">
        <f>IFERROR(VLOOKUP(A263,'Database BOJ'!$A$1:$C$1100,2,FALSE)/VLOOKUP(A263,'Database BOJ'!$A$1:$C$1100,3,FALSE),#N/A)</f>
        <v/>
      </c>
    </row>
    <row r="264">
      <c r="A264" s="41" t="n">
        <v>43739</v>
      </c>
      <c r="B264" s="18">
        <f>VLOOKUP(A264,'Database BOJ'!$A$1:$C$1100,2,FALSE)</f>
        <v/>
      </c>
      <c r="C264" s="29">
        <f>VLOOKUP(A264,'Database BOJ'!$A$1:$D$1100,4,FALSE)</f>
        <v/>
      </c>
      <c r="D264" s="46">
        <f>IFERROR(VLOOKUP(A264,'Database BOJ'!$A$1:$C$1100,2,FALSE)/VLOOKUP(A264,'Database BOJ'!$A$1:$C$1100,3,FALSE),#N/A)</f>
        <v/>
      </c>
    </row>
    <row r="265">
      <c r="A265" s="41" t="n">
        <v>43770</v>
      </c>
      <c r="B265" s="18">
        <f>VLOOKUP(A265,'Database BOJ'!$A$1:$C$1100,2,FALSE)</f>
        <v/>
      </c>
      <c r="C265" s="29">
        <f>VLOOKUP(A265,'Database BOJ'!$A$1:$D$1100,4,FALSE)</f>
        <v/>
      </c>
      <c r="D265" s="46">
        <f>IFERROR(VLOOKUP(A265,'Database BOJ'!$A$1:$C$1100,2,FALSE)/VLOOKUP(A265,'Database BOJ'!$A$1:$C$1100,3,FALSE),#N/A)</f>
        <v/>
      </c>
    </row>
    <row r="266">
      <c r="A266" s="41" t="n">
        <v>43800</v>
      </c>
      <c r="B266" s="18">
        <f>VLOOKUP(A266,'Database BOJ'!$A$1:$C$1100,2,FALSE)</f>
        <v/>
      </c>
      <c r="C266" s="29">
        <f>VLOOKUP(A266,'Database BOJ'!$A$1:$D$1100,4,FALSE)</f>
        <v/>
      </c>
      <c r="D266" s="46">
        <f>IFERROR(VLOOKUP(A266,'Database BOJ'!$A$1:$C$1100,2,FALSE)/VLOOKUP(A266,'Database BOJ'!$A$1:$C$1100,3,FALSE),#N/A)</f>
        <v/>
      </c>
    </row>
    <row r="267">
      <c r="A267" s="41" t="n">
        <v>43831</v>
      </c>
      <c r="B267" s="18">
        <f>VLOOKUP(A267,'Database BOJ'!$A$1:$C$1100,2,FALSE)</f>
        <v/>
      </c>
      <c r="C267" s="29">
        <f>VLOOKUP(A267,'Database BOJ'!$A$1:$D$1100,4,FALSE)</f>
        <v/>
      </c>
      <c r="D267" s="46">
        <f>IFERROR(VLOOKUP(A267,'Database BOJ'!$A$1:$C$1100,2,FALSE)/VLOOKUP(A267,'Database BOJ'!$A$1:$C$1100,3,FALSE),#N/A)</f>
        <v/>
      </c>
    </row>
    <row r="268">
      <c r="A268" s="42" t="n">
        <v>43862</v>
      </c>
      <c r="B268" s="18">
        <f>VLOOKUP(A268,'Database BOJ'!$A$1:$C$1100,2,FALSE)</f>
        <v/>
      </c>
      <c r="C268" s="29">
        <f>VLOOKUP(A268,'Database BOJ'!$A$1:$D$1100,4,FALSE)</f>
        <v/>
      </c>
      <c r="D268" s="46">
        <f>IFERROR(VLOOKUP(A268,'Database BOJ'!$A$1:$C$1100,2,FALSE)/VLOOKUP(A268,'Database BOJ'!$A$1:$C$1100,3,FALSE),#N/A)</f>
        <v/>
      </c>
    </row>
    <row r="269">
      <c r="A269" s="41" t="n">
        <v>43891</v>
      </c>
      <c r="B269" s="18">
        <f>VLOOKUP(A269,'Database BOJ'!$A$1:$C$1100,2,FALSE)</f>
        <v/>
      </c>
      <c r="C269" s="29">
        <f>VLOOKUP(A269,'Database BOJ'!$A$1:$D$1100,4,FALSE)</f>
        <v/>
      </c>
      <c r="D269" s="46">
        <f>IFERROR(VLOOKUP(A269,'Database BOJ'!$A$1:$C$1100,2,FALSE)/VLOOKUP(A269,'Database BOJ'!$A$1:$C$1100,3,FALSE),#N/A)</f>
        <v/>
      </c>
    </row>
    <row r="270">
      <c r="A270" s="42" t="n">
        <v>43922</v>
      </c>
      <c r="B270" s="18">
        <f>VLOOKUP(A270,'Database BOJ'!$A$1:$C$1100,2,FALSE)</f>
        <v/>
      </c>
      <c r="C270" s="29">
        <f>VLOOKUP(A270,'Database BOJ'!$A$1:$D$1100,4,FALSE)</f>
        <v/>
      </c>
      <c r="D270" s="46">
        <f>IFERROR(VLOOKUP(A270,'Database BOJ'!$A$1:$C$1100,2,FALSE)/VLOOKUP(A270,'Database BOJ'!$A$1:$C$1100,3,FALSE),#N/A)</f>
        <v/>
      </c>
    </row>
    <row r="271">
      <c r="A271" s="41" t="n">
        <v>43952</v>
      </c>
      <c r="B271" s="18">
        <f>VLOOKUP(A271,'Database BOJ'!$A$1:$C$1100,2,FALSE)</f>
        <v/>
      </c>
      <c r="C271" s="29">
        <f>VLOOKUP(A271,'Database BOJ'!$A$1:$D$1100,4,FALSE)</f>
        <v/>
      </c>
      <c r="D271" s="46">
        <f>IFERROR(VLOOKUP(A271,'Database BOJ'!$A$1:$C$1100,2,FALSE)/VLOOKUP(A271,'Database BOJ'!$A$1:$C$1100,3,FALSE),#N/A)</f>
        <v/>
      </c>
    </row>
    <row r="272">
      <c r="A272" s="42" t="n">
        <v>43983</v>
      </c>
      <c r="B272" s="18">
        <f>VLOOKUP(A272,'Database BOJ'!$A$1:$C$1100,2,FALSE)</f>
        <v/>
      </c>
      <c r="C272" s="29">
        <f>VLOOKUP(A272,'Database BOJ'!$A$1:$D$1100,4,FALSE)</f>
        <v/>
      </c>
      <c r="D272" s="46">
        <f>IFERROR(VLOOKUP(A272,'Database BOJ'!$A$1:$C$1100,2,FALSE)/VLOOKUP(A272,'Database BOJ'!$A$1:$C$1100,3,FALSE),#N/A)</f>
        <v/>
      </c>
    </row>
    <row r="273">
      <c r="A273" s="41" t="n">
        <v>44013</v>
      </c>
      <c r="B273" s="18">
        <f>VLOOKUP(A273,'Database BOJ'!$A$1:$C$1100,2,FALSE)</f>
        <v/>
      </c>
      <c r="C273" s="29">
        <f>VLOOKUP(A273,'Database BOJ'!$A$1:$D$1100,4,FALSE)</f>
        <v/>
      </c>
      <c r="D273" s="46">
        <f>IFERROR(VLOOKUP(A273,'Database BOJ'!$A$1:$C$1100,2,FALSE)/VLOOKUP(A273,'Database BOJ'!$A$1:$C$1100,3,FALSE),#N/A)</f>
        <v/>
      </c>
    </row>
    <row r="274">
      <c r="A274" s="42" t="n">
        <v>44044</v>
      </c>
      <c r="B274" s="18">
        <f>VLOOKUP(A274,'Database BOJ'!$A$1:$C$1100,2,FALSE)</f>
        <v/>
      </c>
      <c r="C274" s="29">
        <f>VLOOKUP(A274,'Database BOJ'!$A$1:$D$1100,4,FALSE)</f>
        <v/>
      </c>
      <c r="D274" s="46">
        <f>IFERROR(VLOOKUP(A274,'Database BOJ'!$A$1:$C$1100,2,FALSE)/VLOOKUP(A274,'Database BOJ'!$A$1:$C$1100,3,FALSE),#N/A)</f>
        <v/>
      </c>
    </row>
    <row r="275">
      <c r="A275" s="41" t="n">
        <v>44075</v>
      </c>
      <c r="B275" s="18">
        <f>VLOOKUP(A275,'Database BOJ'!$A$1:$C$1100,2,FALSE)</f>
        <v/>
      </c>
      <c r="C275" s="29">
        <f>VLOOKUP(A275,'Database BOJ'!$A$1:$D$1100,4,FALSE)</f>
        <v/>
      </c>
      <c r="D275" s="46">
        <f>IFERROR(VLOOKUP(A275,'Database BOJ'!$A$1:$C$1100,2,FALSE)/VLOOKUP(A275,'Database BOJ'!$A$1:$C$1100,3,FALSE),#N/A)</f>
        <v/>
      </c>
    </row>
    <row r="276">
      <c r="A276" s="42" t="n">
        <v>44105</v>
      </c>
      <c r="B276" s="18">
        <f>VLOOKUP(A276,'Database BOJ'!$A$1:$C$1100,2,FALSE)</f>
        <v/>
      </c>
      <c r="C276" s="29">
        <f>VLOOKUP(A276,'Database BOJ'!$A$1:$D$1100,4,FALSE)</f>
        <v/>
      </c>
      <c r="D276" s="46">
        <f>IFERROR(VLOOKUP(A276,'Database BOJ'!$A$1:$C$1100,2,FALSE)/VLOOKUP(A276,'Database BOJ'!$A$1:$C$1100,3,FALSE),#N/A)</f>
        <v/>
      </c>
    </row>
    <row r="277">
      <c r="A277" s="41" t="n">
        <v>44136</v>
      </c>
      <c r="B277" s="18">
        <f>VLOOKUP(A277,'Database BOJ'!$A$1:$C$1100,2,FALSE)</f>
        <v/>
      </c>
      <c r="C277" s="29">
        <f>VLOOKUP(A277,'Database BOJ'!$A$1:$D$1100,4,FALSE)</f>
        <v/>
      </c>
      <c r="D277" s="46">
        <f>IFERROR(VLOOKUP(A277,'Database BOJ'!$A$1:$C$1100,2,FALSE)/VLOOKUP(A277,'Database BOJ'!$A$1:$C$1100,3,FALSE),#N/A)</f>
        <v/>
      </c>
    </row>
    <row r="278">
      <c r="A278" s="42" t="n">
        <v>44166</v>
      </c>
      <c r="B278" s="18">
        <f>VLOOKUP(A278,'Database BOJ'!$A$1:$C$1100,2,FALSE)</f>
        <v/>
      </c>
      <c r="C278" s="29">
        <f>VLOOKUP(A278,'Database BOJ'!$A$1:$D$1100,4,FALSE)</f>
        <v/>
      </c>
      <c r="D278" s="46">
        <f>IFERROR(VLOOKUP(A278,'Database BOJ'!$A$1:$C$1100,2,FALSE)/VLOOKUP(A278,'Database BOJ'!$A$1:$C$1100,3,FALSE),#N/A)</f>
        <v/>
      </c>
    </row>
    <row r="279">
      <c r="A279" s="41" t="n">
        <v>44197</v>
      </c>
      <c r="B279" s="18">
        <f>VLOOKUP(A279,'Database BOJ'!$A$1:$C$1100,2,FALSE)</f>
        <v/>
      </c>
      <c r="C279" s="29">
        <f>VLOOKUP(A279,'Database BOJ'!$A$1:$D$1100,4,FALSE)</f>
        <v/>
      </c>
      <c r="D279" s="46">
        <f>IFERROR(VLOOKUP(A279,'Database BOJ'!$A$1:$C$1100,2,FALSE)/VLOOKUP(A279,'Database BOJ'!$A$1:$C$1100,3,FALSE),#N/A)</f>
        <v/>
      </c>
    </row>
    <row r="280">
      <c r="A280" s="41" t="n">
        <v>44228</v>
      </c>
      <c r="B280" s="18">
        <f>VLOOKUP(A280,'Database BOJ'!$A$1:$C$1100,2,FALSE)</f>
        <v/>
      </c>
      <c r="C280" s="29">
        <f>VLOOKUP(A280,'Database BOJ'!$A$1:$D$1100,4,FALSE)</f>
        <v/>
      </c>
      <c r="D280" s="46">
        <f>IFERROR(VLOOKUP(A280,'Database BOJ'!$A$1:$C$1100,2,FALSE)/VLOOKUP(A280,'Database BOJ'!$A$1:$C$1100,3,FALSE),#N/A)</f>
        <v/>
      </c>
    </row>
    <row r="281">
      <c r="A281" s="42" t="n">
        <v>44256</v>
      </c>
      <c r="B281" s="18">
        <f>VLOOKUP(A281,'Database BOJ'!$A$1:$C$1100,2,FALSE)</f>
        <v/>
      </c>
      <c r="C281" s="29">
        <f>VLOOKUP(A281,'Database BOJ'!$A$1:$D$1100,4,FALSE)</f>
        <v/>
      </c>
      <c r="D281" s="46">
        <f>IFERROR(VLOOKUP(A281,'Database BOJ'!$A$1:$C$1100,2,FALSE)/VLOOKUP(A281,'Database BOJ'!$A$1:$C$1100,3,FALSE),#N/A)</f>
        <v/>
      </c>
    </row>
    <row r="282">
      <c r="A282" s="41" t="n">
        <v>44287</v>
      </c>
      <c r="B282" s="18">
        <f>VLOOKUP(A282,'Database BOJ'!$A$1:$C$1100,2,FALSE)</f>
        <v/>
      </c>
      <c r="C282" s="29">
        <f>VLOOKUP(A282,'Database BOJ'!$A$1:$D$1100,4,FALSE)</f>
        <v/>
      </c>
      <c r="D282" s="46">
        <f>IFERROR(VLOOKUP(A282,'Database BOJ'!$A$1:$C$1100,2,FALSE)/VLOOKUP(A282,'Database BOJ'!$A$1:$C$1100,3,FALSE),#N/A)</f>
        <v/>
      </c>
    </row>
    <row r="283">
      <c r="A283" s="42" t="n">
        <v>44317</v>
      </c>
      <c r="B283" s="18">
        <f>VLOOKUP(A283,'Database BOJ'!$A$1:$C$1100,2,FALSE)</f>
        <v/>
      </c>
      <c r="C283" s="29">
        <f>VLOOKUP(A283,'Database BOJ'!$A$1:$D$1100,4,FALSE)</f>
        <v/>
      </c>
      <c r="D283" s="46">
        <f>IFERROR(VLOOKUP(A283,'Database BOJ'!$A$1:$C$1100,2,FALSE)/VLOOKUP(A283,'Database BOJ'!$A$1:$C$1100,3,FALSE),#N/A)</f>
        <v/>
      </c>
    </row>
    <row r="284">
      <c r="A284" s="41" t="n">
        <v>44348</v>
      </c>
      <c r="B284" s="18">
        <f>VLOOKUP(A284,'Database BOJ'!$A$1:$C$1100,2,FALSE)</f>
        <v/>
      </c>
      <c r="C284" s="29">
        <f>VLOOKUP(A284,'Database BOJ'!$A$1:$D$1100,4,FALSE)</f>
        <v/>
      </c>
      <c r="D284" s="46">
        <f>IFERROR(VLOOKUP(A284,'Database BOJ'!$A$1:$C$1100,2,FALSE)/VLOOKUP(A284,'Database BOJ'!$A$1:$C$1100,3,FALSE),#N/A)</f>
        <v/>
      </c>
    </row>
    <row r="285">
      <c r="A285" s="42" t="n">
        <v>44378</v>
      </c>
      <c r="B285" s="18">
        <f>VLOOKUP(A285,'Database BOJ'!$A$1:$C$1100,2,FALSE)</f>
        <v/>
      </c>
      <c r="C285" s="29">
        <f>VLOOKUP(A285,'Database BOJ'!$A$1:$D$1100,4,FALSE)</f>
        <v/>
      </c>
      <c r="D285" s="46">
        <f>IFERROR(VLOOKUP(A285,'Database BOJ'!$A$1:$C$1100,2,FALSE)/VLOOKUP(A285,'Database BOJ'!$A$1:$C$1100,3,FALSE),#N/A)</f>
        <v/>
      </c>
    </row>
    <row r="286">
      <c r="A286" s="42" t="n">
        <v>44409</v>
      </c>
      <c r="B286" s="18">
        <f>VLOOKUP(A286,'Database BOJ'!$A$1:$C$1100,2,FALSE)</f>
        <v/>
      </c>
      <c r="C286" s="29">
        <f>VLOOKUP(A286,'Database BOJ'!$A$1:$D$1100,4,FALSE)</f>
        <v/>
      </c>
      <c r="D286" s="46">
        <f>IFERROR(VLOOKUP(A286,'Database BOJ'!$A$1:$C$1100,2,FALSE)/VLOOKUP(A286,'Database BOJ'!$A$1:$C$1100,3,FALSE),#N/A)</f>
        <v/>
      </c>
    </row>
    <row r="287">
      <c r="A287" s="42" t="n">
        <v>44440</v>
      </c>
      <c r="B287" s="18">
        <f>VLOOKUP(A287,'Database BOJ'!$A$1:$C$1100,2,FALSE)</f>
        <v/>
      </c>
      <c r="C287" s="29">
        <f>VLOOKUP(A287,'Database BOJ'!$A$1:$D$1100,4,FALSE)</f>
        <v/>
      </c>
      <c r="D287" s="46">
        <f>IFERROR(VLOOKUP(A287,'Database BOJ'!$A$1:$C$1100,2,FALSE)/VLOOKUP(A287,'Database BOJ'!$A$1:$C$1100,3,FALSE),#N/A)</f>
        <v/>
      </c>
    </row>
    <row r="288">
      <c r="A288" s="41" t="n">
        <v>44470</v>
      </c>
      <c r="B288" s="18">
        <f>VLOOKUP(A288,'Database BOJ'!$A$1:$C$1100,2,FALSE)</f>
        <v/>
      </c>
      <c r="C288" s="29">
        <f>VLOOKUP(A288,'Database BOJ'!$A$1:$D$1100,4,FALSE)</f>
        <v/>
      </c>
      <c r="D288" s="46">
        <f>IFERROR(VLOOKUP(A288,'Database BOJ'!$A$1:$C$1100,2,FALSE)/VLOOKUP(A288,'Database BOJ'!$A$1:$C$1100,3,FALSE),#N/A)</f>
        <v/>
      </c>
    </row>
    <row r="289">
      <c r="A289" s="41" t="n">
        <v>44501</v>
      </c>
      <c r="B289" s="18">
        <f>VLOOKUP(A289,'Database BOJ'!$A$1:$C$1100,2,FALSE)</f>
        <v/>
      </c>
      <c r="C289" s="29">
        <f>VLOOKUP(A289,'Database BOJ'!$A$1:$D$1100,4,FALSE)</f>
        <v/>
      </c>
      <c r="D289" s="46">
        <f>IFERROR(VLOOKUP(A289,'Database BOJ'!$A$1:$C$1100,2,FALSE)/VLOOKUP(A289,'Database BOJ'!$A$1:$C$1100,3,FALSE),#N/A)</f>
        <v/>
      </c>
    </row>
    <row r="290">
      <c r="A290" s="41" t="n">
        <v>44531</v>
      </c>
      <c r="B290" s="18">
        <f>VLOOKUP(A290,'Database BOJ'!$A$1:$C$1100,2,FALSE)</f>
        <v/>
      </c>
      <c r="C290" s="29">
        <f>VLOOKUP(A290,'Database BOJ'!$A$1:$D$1100,4,FALSE)</f>
        <v/>
      </c>
      <c r="D290" s="46">
        <f>IFERROR(VLOOKUP(A290,'Database BOJ'!$A$1:$C$1100,2,FALSE)/VLOOKUP(A290,'Database BOJ'!$A$1:$C$1100,3,FALSE),#N/A)</f>
        <v/>
      </c>
    </row>
    <row r="291">
      <c r="A291" s="41" t="n">
        <v>44562</v>
      </c>
      <c r="B291" s="18">
        <f>VLOOKUP(A291,'Database BOJ'!$A$1:$C$1100,2,FALSE)</f>
        <v/>
      </c>
      <c r="C291" s="29">
        <f>VLOOKUP(A291,'Database BOJ'!$A$1:$D$1100,4,FALSE)</f>
        <v/>
      </c>
      <c r="D291" s="46">
        <f>IFERROR(VLOOKUP(A291,'Database BOJ'!$A$1:$C$1100,2,FALSE)/VLOOKUP(A291,'Database BOJ'!$A$1:$C$1100,3,FALSE),#N/A)</f>
        <v/>
      </c>
    </row>
    <row r="292">
      <c r="A292" s="41" t="n">
        <v>44593</v>
      </c>
      <c r="B292" s="18">
        <f>VLOOKUP(A292,'Database BOJ'!$A$1:$C$1100,2,FALSE)</f>
        <v/>
      </c>
      <c r="C292" s="29">
        <f>VLOOKUP(A292,'Database BOJ'!$A$1:$D$1100,4,FALSE)</f>
        <v/>
      </c>
      <c r="D292" s="46">
        <f>IFERROR(VLOOKUP(A292,'Database BOJ'!$A$1:$C$1100,2,FALSE)/VLOOKUP(A292,'Database BOJ'!$A$1:$C$1100,3,FALSE),#N/A)</f>
        <v/>
      </c>
    </row>
    <row r="293">
      <c r="A293" s="41" t="n">
        <v>44621</v>
      </c>
      <c r="B293" s="18">
        <f>VLOOKUP(A293,'Database BOJ'!$A$1:$C$1100,2,FALSE)</f>
        <v/>
      </c>
      <c r="C293" s="29">
        <f>VLOOKUP(A293,'Database BOJ'!$A$1:$D$1100,4,FALSE)</f>
        <v/>
      </c>
      <c r="D293" s="46">
        <f>IFERROR(VLOOKUP(A293,'Database BOJ'!$A$1:$C$1100,2,FALSE)/VLOOKUP(A293,'Database BOJ'!$A$1:$C$1100,3,FALSE),#N/A)</f>
        <v/>
      </c>
    </row>
    <row r="294">
      <c r="A294" s="41" t="n">
        <v>44652</v>
      </c>
      <c r="B294" s="18">
        <f>VLOOKUP(A294,'Database BOJ'!$A$1:$C$1100,2,FALSE)</f>
        <v/>
      </c>
      <c r="C294" s="29">
        <f>VLOOKUP(A294,'Database BOJ'!$A$1:$D$1100,4,FALSE)</f>
        <v/>
      </c>
      <c r="D294" s="46">
        <f>IFERROR(VLOOKUP(A294,'Database BOJ'!$A$1:$C$1100,2,FALSE)/VLOOKUP(A294,'Database BOJ'!$A$1:$C$1100,3,FALSE),#N/A)</f>
        <v/>
      </c>
    </row>
    <row r="295">
      <c r="A295" s="42" t="n">
        <v>44682</v>
      </c>
      <c r="B295" s="18">
        <f>VLOOKUP(A295,'Database BOJ'!$A$1:$C$1100,2,FALSE)</f>
        <v/>
      </c>
      <c r="C295" s="29">
        <f>VLOOKUP(A295,'Database BOJ'!$A$1:$D$1100,4,FALSE)</f>
        <v/>
      </c>
      <c r="D295" s="46">
        <f>IFERROR(VLOOKUP(A295,'Database BOJ'!$A$1:$C$1100,2,FALSE)/VLOOKUP(A295,'Database BOJ'!$A$1:$C$1100,3,FALSE),#N/A)</f>
        <v/>
      </c>
    </row>
    <row r="296">
      <c r="A296" s="41" t="n">
        <v>44713</v>
      </c>
      <c r="B296" s="18">
        <f>VLOOKUP(A296,'Database BOJ'!$A$1:$C$1100,2,FALSE)</f>
        <v/>
      </c>
      <c r="C296" s="29">
        <f>VLOOKUP(A296,'Database BOJ'!$A$1:$D$1100,4,FALSE)</f>
        <v/>
      </c>
      <c r="D296" s="46">
        <f>IFERROR(VLOOKUP(A296,'Database BOJ'!$A$1:$C$1100,2,FALSE)/VLOOKUP(A296,'Database BOJ'!$A$1:$C$1100,3,FALSE),#N/A)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390"/>
  <sheetViews>
    <sheetView tabSelected="1" topLeftCell="B1" zoomScale="170" zoomScaleNormal="170" workbookViewId="0">
      <pane ySplit="6" topLeftCell="A372" activePane="bottomLeft" state="frozen"/>
      <selection activeCell="A1206" sqref="A1206"/>
      <selection pane="bottomLeft" activeCell="B396" sqref="B396"/>
    </sheetView>
  </sheetViews>
  <sheetFormatPr baseColWidth="10" defaultColWidth="9.1640625" defaultRowHeight="15"/>
  <cols>
    <col width="20.1640625" customWidth="1" style="56" min="1" max="1"/>
    <col width="22.83203125" customWidth="1" style="56" min="2" max="2"/>
    <col width="9.1640625" customWidth="1" style="56" min="3" max="21"/>
    <col width="9.1640625" customWidth="1" style="56" min="22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ECB'!$A$1:$D$2000,2,FALSE)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ECB'!$A$1:$D$2000,2,FALSE)</f>
        <v/>
      </c>
    </row>
    <row r="262">
      <c r="A262" s="41" t="n">
        <v>43875</v>
      </c>
      <c r="B262" s="15">
        <f>VLOOKUP(A262,'Database ECB'!$A$1:$D$2000,2,FALSE)</f>
        <v/>
      </c>
    </row>
    <row r="263">
      <c r="A263" s="41" t="n">
        <v>43882</v>
      </c>
      <c r="B263" s="15">
        <f>VLOOKUP(A263,'Database ECB'!$A$1:$D$2000,2,FALSE)</f>
        <v/>
      </c>
    </row>
    <row r="264">
      <c r="A264" s="41" t="n">
        <v>43889</v>
      </c>
      <c r="B264" s="15">
        <f>VLOOKUP(A264,'Database ECB'!$A$1:$D$2000,2,FALSE)</f>
        <v/>
      </c>
    </row>
    <row r="265">
      <c r="A265" s="41" t="n">
        <v>43896</v>
      </c>
      <c r="B265" s="15">
        <f>VLOOKUP(A265,'Database ECB'!$A$1:$D$2000,2,FALSE)</f>
        <v/>
      </c>
    </row>
    <row r="266">
      <c r="A266" s="41" t="n">
        <v>43903</v>
      </c>
      <c r="B266" s="15">
        <f>VLOOKUP(A266,'Database ECB'!$A$1:$D$2000,2,FALSE)</f>
        <v/>
      </c>
    </row>
    <row r="267">
      <c r="A267" s="47" t="n">
        <v>43910</v>
      </c>
      <c r="B267" s="15">
        <f>VLOOKUP(A267,'Database ECB'!$A$1:$D$2000,2,FALSE)</f>
        <v/>
      </c>
    </row>
    <row r="268">
      <c r="A268" s="47" t="n">
        <v>43917</v>
      </c>
      <c r="B268" s="15">
        <f>VLOOKUP(A268,'Database ECB'!$A$1:$D$2000,2,FALSE)</f>
        <v/>
      </c>
    </row>
    <row r="269">
      <c r="A269" s="47" t="n">
        <v>43924</v>
      </c>
      <c r="B269" s="15">
        <f>VLOOKUP(A269,'Database ECB'!$A$1:$D$2000,2,FALSE)</f>
        <v/>
      </c>
    </row>
    <row r="270">
      <c r="A270" s="47" t="n">
        <v>43931</v>
      </c>
      <c r="B270" s="15">
        <f>VLOOKUP(A270,'Database ECB'!$A$1:$D$2000,2,FALSE)</f>
        <v/>
      </c>
    </row>
    <row r="271">
      <c r="A271" s="47" t="n">
        <v>43938</v>
      </c>
      <c r="B271" s="15">
        <f>VLOOKUP(A271,'Database ECB'!$A$1:$D$2000,2,FALSE)</f>
        <v/>
      </c>
    </row>
    <row r="272">
      <c r="A272" s="48" t="n">
        <v>43945</v>
      </c>
      <c r="B272" s="15">
        <f>VLOOKUP(A272,'Database ECB'!$A$1:$D$2000,2,FALSE)</f>
        <v/>
      </c>
    </row>
    <row r="273">
      <c r="A273" s="47" t="n">
        <v>43952</v>
      </c>
      <c r="B273" s="15">
        <f>VLOOKUP(A273,'Database ECB'!$A$1:$D$2000,2,FALSE)</f>
        <v/>
      </c>
    </row>
    <row r="274">
      <c r="A274" s="48" t="n">
        <v>43959</v>
      </c>
      <c r="B274" s="15">
        <f>VLOOKUP(A274,'Database ECB'!$A$1:$D$2000,2,FALSE)</f>
        <v/>
      </c>
    </row>
    <row r="275">
      <c r="A275" s="47" t="n">
        <v>43966</v>
      </c>
      <c r="B275" s="15">
        <f>VLOOKUP(A275,'Database ECB'!$A$1:$D$2000,2,FALSE)</f>
        <v/>
      </c>
    </row>
    <row r="276">
      <c r="A276" s="48" t="n">
        <v>43973</v>
      </c>
      <c r="B276" s="15">
        <f>VLOOKUP(A276,'Database ECB'!$A$1:$D$2000,2,FALSE)</f>
        <v/>
      </c>
    </row>
    <row r="277">
      <c r="A277" s="47" t="n">
        <v>43980</v>
      </c>
      <c r="B277" s="15">
        <f>VLOOKUP(A277,'Database ECB'!$A$1:$D$2000,2,FALSE)</f>
        <v/>
      </c>
    </row>
    <row r="278">
      <c r="A278" s="48" t="n">
        <v>43987</v>
      </c>
      <c r="B278" s="15">
        <f>VLOOKUP(A278,'Database ECB'!$A$1:$D$2000,2,FALSE)</f>
        <v/>
      </c>
    </row>
    <row r="279">
      <c r="A279" s="47" t="n">
        <v>43994</v>
      </c>
      <c r="B279" s="15">
        <f>VLOOKUP(A279,'Database ECB'!$A$1:$D$2000,2,FALSE)</f>
        <v/>
      </c>
    </row>
    <row r="280">
      <c r="A280" s="48" t="n">
        <v>44001</v>
      </c>
      <c r="B280" s="15">
        <f>VLOOKUP(A280,'Database ECB'!$A$1:$D$2000,2,FALSE)</f>
        <v/>
      </c>
    </row>
    <row r="281">
      <c r="A281" s="47" t="n">
        <v>44008</v>
      </c>
      <c r="B281" s="15">
        <f>VLOOKUP(A281,'Database ECB'!$A$1:$D$2000,2,FALSE)</f>
        <v/>
      </c>
    </row>
    <row r="282">
      <c r="A282" s="48" t="n">
        <v>44015</v>
      </c>
      <c r="B282" s="15">
        <f>VLOOKUP(A282,'Database ECB'!$A$1:$D$2000,2,FALSE)</f>
        <v/>
      </c>
    </row>
    <row r="283">
      <c r="A283" s="47" t="n">
        <v>44022</v>
      </c>
      <c r="B283" s="15">
        <f>VLOOKUP(A283,'Database ECB'!$A$1:$D$2000,2,FALSE)</f>
        <v/>
      </c>
    </row>
    <row r="284">
      <c r="A284" s="47" t="n">
        <v>44029</v>
      </c>
      <c r="B284" s="15">
        <f>VLOOKUP(A284,'Database ECB'!$A$1:$D$2000,2,FALSE)</f>
        <v/>
      </c>
    </row>
    <row r="285">
      <c r="A285" s="48" t="n">
        <v>44036</v>
      </c>
      <c r="B285" s="15">
        <f>VLOOKUP(A285,'Database ECB'!$A$1:$D$2000,2,FALSE)</f>
        <v/>
      </c>
    </row>
    <row r="286">
      <c r="A286" s="47" t="n">
        <v>44043</v>
      </c>
      <c r="B286" s="15">
        <f>VLOOKUP(A286,'Database ECB'!$A$1:$D$2000,2,FALSE)</f>
        <v/>
      </c>
    </row>
    <row r="287">
      <c r="A287" s="48" t="n">
        <v>44050</v>
      </c>
      <c r="B287" s="15">
        <f>VLOOKUP(A287,'Database ECB'!$A$1:$D$2000,2,FALSE)</f>
        <v/>
      </c>
    </row>
    <row r="288">
      <c r="A288" s="47" t="n">
        <v>44057</v>
      </c>
      <c r="B288" s="15">
        <f>VLOOKUP(A288,'Database ECB'!$A$1:$D$2000,2,FALSE)</f>
        <v/>
      </c>
    </row>
    <row r="289">
      <c r="A289" s="48" t="n">
        <v>44064</v>
      </c>
      <c r="B289" s="15">
        <f>VLOOKUP(A289,'Database ECB'!$A$1:$D$2000,2,FALSE)</f>
        <v/>
      </c>
    </row>
    <row r="290">
      <c r="A290" s="47" t="n">
        <v>44071</v>
      </c>
      <c r="B290" s="15">
        <f>VLOOKUP(A290,'Database ECB'!$A$1:$D$2000,2,FALSE)</f>
        <v/>
      </c>
    </row>
    <row r="291">
      <c r="A291" s="48" t="n">
        <v>44078</v>
      </c>
      <c r="B291" s="15">
        <f>VLOOKUP(A291,'Database ECB'!$A$1:$D$2000,2,FALSE)</f>
        <v/>
      </c>
    </row>
    <row r="292">
      <c r="A292" s="47" t="n">
        <v>44085</v>
      </c>
      <c r="B292" s="15">
        <f>VLOOKUP(A292,'Database ECB'!$A$1:$D$2000,2,FALSE)</f>
        <v/>
      </c>
    </row>
    <row r="293">
      <c r="A293" s="48" t="n">
        <v>44092</v>
      </c>
      <c r="B293" s="15">
        <f>VLOOKUP(A293,'Database ECB'!$A$1:$D$2000,2,FALSE)</f>
        <v/>
      </c>
    </row>
    <row r="294">
      <c r="A294" s="47" t="n">
        <v>44099</v>
      </c>
      <c r="B294" s="15">
        <f>VLOOKUP(A294,'Database ECB'!$A$1:$D$2000,2,FALSE)</f>
        <v/>
      </c>
    </row>
    <row r="295">
      <c r="A295" s="48" t="n">
        <v>44106</v>
      </c>
      <c r="B295" s="15">
        <f>VLOOKUP(A295,'Database ECB'!$A$1:$D$2000,2,FALSE)</f>
        <v/>
      </c>
    </row>
    <row r="296">
      <c r="A296" s="47" t="n">
        <v>44113</v>
      </c>
      <c r="B296" s="15">
        <f>VLOOKUP(A296,'Database ECB'!$A$1:$D$2000,2,FALSE)</f>
        <v/>
      </c>
    </row>
    <row r="297">
      <c r="A297" s="48" t="n">
        <v>44120</v>
      </c>
      <c r="B297" s="15">
        <f>VLOOKUP(A297,'Database ECB'!$A$1:$D$2000,2,FALSE)</f>
        <v/>
      </c>
    </row>
    <row r="298">
      <c r="A298" s="47" t="n">
        <v>44127</v>
      </c>
      <c r="B298" s="15">
        <f>VLOOKUP(A298,'Database ECB'!$A$1:$D$2000,2,FALSE)</f>
        <v/>
      </c>
    </row>
    <row r="299">
      <c r="A299" s="48" t="n">
        <v>44134</v>
      </c>
      <c r="B299" s="15">
        <f>VLOOKUP(A299,'Database ECB'!$A$1:$D$2000,2,FALSE)</f>
        <v/>
      </c>
    </row>
    <row r="300">
      <c r="A300" s="47" t="n">
        <v>44141</v>
      </c>
      <c r="B300" s="15">
        <f>VLOOKUP(A300,'Database ECB'!$A$1:$D$2000,2,FALSE)</f>
        <v/>
      </c>
    </row>
    <row r="301">
      <c r="A301" s="48" t="n">
        <v>44148</v>
      </c>
      <c r="B301" s="15">
        <f>VLOOKUP(A301,'Database ECB'!$A$1:$D$2000,2,FALSE)</f>
        <v/>
      </c>
    </row>
    <row r="302">
      <c r="A302" s="47" t="n">
        <v>44155</v>
      </c>
      <c r="B302" s="15">
        <f>VLOOKUP(A302,'Database ECB'!$A$1:$D$2000,2,FALSE)</f>
        <v/>
      </c>
    </row>
    <row r="303">
      <c r="A303" s="48" t="n">
        <v>44162</v>
      </c>
      <c r="B303" s="15">
        <f>VLOOKUP(A303,'Database ECB'!$A$1:$D$2000,2,FALSE)</f>
        <v/>
      </c>
    </row>
    <row r="304">
      <c r="A304" s="47" t="n">
        <v>44169</v>
      </c>
      <c r="B304" s="15">
        <f>VLOOKUP(A304,'Database ECB'!$A$1:$D$2000,2,FALSE)</f>
        <v/>
      </c>
    </row>
    <row r="305">
      <c r="A305" s="48" t="n">
        <v>44176</v>
      </c>
      <c r="B305" s="15">
        <f>VLOOKUP(A305,'Database ECB'!$A$1:$D$2000,2,FALSE)</f>
        <v/>
      </c>
    </row>
    <row r="306">
      <c r="A306" s="47" t="n">
        <v>44183</v>
      </c>
      <c r="B306" s="15">
        <f>VLOOKUP(A306,'Database ECB'!$A$1:$D$2000,2,FALSE)</f>
        <v/>
      </c>
    </row>
    <row r="307">
      <c r="A307" s="48" t="n">
        <v>44190</v>
      </c>
      <c r="B307" s="15">
        <f>VLOOKUP(A307,'Database ECB'!$A$1:$D$2000,2,FALSE)</f>
        <v/>
      </c>
    </row>
    <row r="308">
      <c r="A308" s="47" t="n">
        <v>44197</v>
      </c>
      <c r="B308" s="15">
        <f>VLOOKUP(A308,'Database ECB'!$A$1:$D$2000,2,FALSE)</f>
        <v/>
      </c>
    </row>
    <row r="309">
      <c r="A309" s="48" t="n">
        <v>44204</v>
      </c>
      <c r="B309" s="15">
        <f>VLOOKUP(A309,'Database ECB'!$A$1:$D$2000,2,FALSE)</f>
        <v/>
      </c>
    </row>
    <row r="310">
      <c r="A310" s="47" t="n">
        <v>44211</v>
      </c>
      <c r="B310" s="15">
        <f>VLOOKUP(A310,'Database ECB'!$A$1:$D$2000,2,FALSE)</f>
        <v/>
      </c>
    </row>
    <row r="311">
      <c r="A311" s="48" t="n">
        <v>44218</v>
      </c>
      <c r="B311" s="15">
        <f>VLOOKUP(A311,'Database ECB'!$A$1:$D$2000,2,FALSE)</f>
        <v/>
      </c>
    </row>
    <row r="312">
      <c r="A312" s="47" t="n">
        <v>44225</v>
      </c>
      <c r="B312" s="15">
        <f>VLOOKUP(A312,'Database ECB'!$A$1:$D$2000,2,FALSE)</f>
        <v/>
      </c>
    </row>
    <row r="313">
      <c r="A313" s="48" t="n">
        <v>44232</v>
      </c>
      <c r="B313" s="15">
        <f>VLOOKUP(A313,'Database ECB'!$A$1:$D$2000,2,FALSE)</f>
        <v/>
      </c>
    </row>
    <row r="314">
      <c r="A314" s="47" t="n">
        <v>44239</v>
      </c>
      <c r="B314" s="15">
        <f>VLOOKUP(A314,'Database ECB'!$A$1:$D$2000,2,FALSE)</f>
        <v/>
      </c>
    </row>
    <row r="315">
      <c r="A315" s="48" t="n">
        <v>44246</v>
      </c>
      <c r="B315" s="15">
        <f>VLOOKUP(A315,'Database ECB'!$A$1:$D$2000,2,FALSE)</f>
        <v/>
      </c>
    </row>
    <row r="316">
      <c r="A316" s="47" t="n">
        <v>44253</v>
      </c>
      <c r="B316" s="15">
        <f>VLOOKUP(A316,'Database ECB'!$A$1:$D$2000,2,FALSE)</f>
        <v/>
      </c>
    </row>
    <row r="317">
      <c r="A317" s="48" t="n">
        <v>44260</v>
      </c>
      <c r="B317" s="15">
        <f>VLOOKUP(A317,'Database ECB'!$A$1:$D$2000,2,FALSE)</f>
        <v/>
      </c>
    </row>
    <row r="318">
      <c r="A318" s="47" t="n">
        <v>44267</v>
      </c>
      <c r="B318" s="15">
        <f>VLOOKUP(A318,'Database ECB'!$A$1:$D$2000,2,FALSE)</f>
        <v/>
      </c>
    </row>
    <row r="319">
      <c r="A319" s="48" t="n">
        <v>44274</v>
      </c>
      <c r="B319" s="15">
        <f>VLOOKUP(A319,'Database ECB'!$A$1:$D$2000,2,FALSE)</f>
        <v/>
      </c>
    </row>
    <row r="320">
      <c r="A320" s="47" t="n">
        <v>44281</v>
      </c>
      <c r="B320" s="15">
        <f>VLOOKUP(A320,'Database ECB'!$A$1:$D$2000,2,FALSE)</f>
        <v/>
      </c>
    </row>
    <row r="321">
      <c r="A321" s="48" t="n">
        <v>44288</v>
      </c>
      <c r="B321" s="15">
        <f>VLOOKUP(A321,'Database ECB'!$A$1:$D$2000,2,FALSE)</f>
        <v/>
      </c>
    </row>
    <row r="322">
      <c r="A322" s="47" t="n">
        <v>44295</v>
      </c>
      <c r="B322" s="15">
        <f>VLOOKUP(A322,'Database ECB'!$A$1:$D$2000,2,FALSE)</f>
        <v/>
      </c>
    </row>
    <row r="323">
      <c r="A323" s="48" t="n">
        <v>44302</v>
      </c>
      <c r="B323" s="15">
        <f>VLOOKUP(A323,'Database ECB'!$A$1:$D$2000,2,FALSE)</f>
        <v/>
      </c>
    </row>
    <row r="324">
      <c r="A324" s="47" t="n">
        <v>44309</v>
      </c>
      <c r="B324" s="15">
        <f>VLOOKUP(A324,'Database ECB'!$A$1:$D$2000,2,FALSE)</f>
        <v/>
      </c>
    </row>
    <row r="325">
      <c r="A325" s="48" t="n">
        <v>44316</v>
      </c>
      <c r="B325" s="15">
        <f>VLOOKUP(A325,'Database ECB'!$A$1:$D$2000,2,FALSE)</f>
        <v/>
      </c>
    </row>
    <row r="326">
      <c r="A326" s="47" t="n">
        <v>44323</v>
      </c>
      <c r="B326" s="15">
        <f>VLOOKUP(A326,'Database ECB'!$A$1:$D$2000,2,FALSE)</f>
        <v/>
      </c>
    </row>
    <row r="327">
      <c r="A327" s="48" t="n">
        <v>44330</v>
      </c>
      <c r="B327" s="15">
        <f>VLOOKUP(A327,'Database ECB'!$A$1:$D$2000,2,FALSE)</f>
        <v/>
      </c>
    </row>
    <row r="328">
      <c r="A328" s="48" t="n">
        <v>44337</v>
      </c>
      <c r="B328" s="15">
        <f>VLOOKUP(A328,'Database ECB'!$A$1:$D$2000,2,FALSE)</f>
        <v/>
      </c>
    </row>
    <row r="329">
      <c r="A329" s="47" t="n">
        <v>44344</v>
      </c>
      <c r="B329" s="15">
        <f>VLOOKUP(A329,'Database ECB'!$A$1:$D$2000,2,FALSE)</f>
        <v/>
      </c>
    </row>
    <row r="330">
      <c r="A330" s="48" t="n">
        <v>44351</v>
      </c>
      <c r="B330" s="15">
        <f>VLOOKUP(A330,'Database ECB'!$A$1:$D$2000,2,FALSE)</f>
        <v/>
      </c>
    </row>
    <row r="331">
      <c r="A331" s="47" t="n">
        <v>44358</v>
      </c>
      <c r="B331" s="15">
        <f>VLOOKUP(A331,'Database ECB'!$A$1:$D$2000,2,FALSE)</f>
        <v/>
      </c>
    </row>
    <row r="332">
      <c r="A332" s="48" t="n">
        <v>44365</v>
      </c>
      <c r="B332" s="15">
        <f>VLOOKUP(A332,'Database ECB'!$A$1:$D$2000,2,FALSE)</f>
        <v/>
      </c>
    </row>
    <row r="333">
      <c r="A333" s="47" t="n">
        <v>44372</v>
      </c>
      <c r="B333" s="15">
        <f>VLOOKUP(A333,'Database ECB'!$A$1:$D$2000,2,FALSE)</f>
        <v/>
      </c>
    </row>
    <row r="334">
      <c r="A334" s="48" t="n">
        <v>44379</v>
      </c>
      <c r="B334" s="15">
        <f>VLOOKUP(A334,'Database ECB'!$A$1:$D$2000,2,FALSE)</f>
        <v/>
      </c>
    </row>
    <row r="335">
      <c r="A335" s="47" t="n">
        <v>44386</v>
      </c>
      <c r="B335" s="15">
        <f>VLOOKUP(A335,'Database ECB'!$A$1:$D$2000,2,FALSE)</f>
        <v/>
      </c>
    </row>
    <row r="336">
      <c r="A336" s="48" t="n">
        <v>44393</v>
      </c>
      <c r="B336" s="15">
        <f>VLOOKUP(A336,'Database ECB'!$A$1:$D$2000,2,FALSE)</f>
        <v/>
      </c>
    </row>
    <row r="337">
      <c r="A337" s="47" t="n">
        <v>44400</v>
      </c>
      <c r="B337" s="15">
        <f>VLOOKUP(A337,'Database ECB'!$A$1:$D$2000,2,FALSE)</f>
        <v/>
      </c>
    </row>
    <row r="338">
      <c r="A338" s="48" t="n">
        <v>44407</v>
      </c>
      <c r="B338" s="15">
        <f>VLOOKUP(A338,'Database ECB'!$A$1:$D$2000,2,FALSE)</f>
        <v/>
      </c>
    </row>
    <row r="339">
      <c r="A339" s="47" t="n">
        <v>44414</v>
      </c>
      <c r="B339" s="15">
        <f>VLOOKUP(A339,'Database ECB'!$A$1:$D$2000,2,FALSE)</f>
        <v/>
      </c>
    </row>
    <row r="340">
      <c r="A340" s="48" t="n">
        <v>44421</v>
      </c>
      <c r="B340" s="15">
        <f>VLOOKUP(A340,'Database ECB'!$A$1:$D$2000,2,FALSE)</f>
        <v/>
      </c>
    </row>
    <row r="341">
      <c r="A341" s="47" t="n">
        <v>44428</v>
      </c>
      <c r="B341" s="15">
        <f>VLOOKUP(A341,'Database ECB'!$A$1:$D$2000,2,FALSE)</f>
        <v/>
      </c>
    </row>
    <row r="342">
      <c r="A342" s="48" t="n">
        <v>44435</v>
      </c>
      <c r="B342" s="15">
        <f>VLOOKUP(A342,'Database ECB'!$A$1:$D$2000,2,FALSE)</f>
        <v/>
      </c>
    </row>
    <row r="343">
      <c r="A343" s="47" t="n">
        <v>44442</v>
      </c>
      <c r="B343" s="15">
        <f>VLOOKUP(A343,'Database ECB'!$A$1:$D$2000,2,FALSE)</f>
        <v/>
      </c>
    </row>
    <row r="344">
      <c r="A344" s="48" t="n">
        <v>44449</v>
      </c>
      <c r="B344" s="15">
        <f>VLOOKUP(A344,'Database ECB'!$A$1:$D$2000,2,FALSE)</f>
        <v/>
      </c>
    </row>
    <row r="345">
      <c r="A345" s="47" t="n">
        <v>44456</v>
      </c>
      <c r="B345" s="15">
        <f>VLOOKUP(A345,'Database ECB'!$A$1:$D$2000,2,FALSE)</f>
        <v/>
      </c>
    </row>
    <row r="346">
      <c r="A346" s="48" t="n">
        <v>44463</v>
      </c>
      <c r="B346" s="15">
        <f>VLOOKUP(A346,'Database ECB'!$A$1:$D$2000,2,FALSE)</f>
        <v/>
      </c>
    </row>
    <row r="347">
      <c r="A347" s="47" t="n">
        <v>44470</v>
      </c>
      <c r="B347" s="15">
        <f>VLOOKUP(A347,'Database ECB'!$A$1:$D$2000,2,FALSE)</f>
        <v/>
      </c>
    </row>
    <row r="348">
      <c r="A348" s="48" t="n">
        <v>44477</v>
      </c>
      <c r="B348" s="15">
        <f>VLOOKUP(A348,'Database ECB'!$A$1:$D$2000,2,FALSE)</f>
        <v/>
      </c>
    </row>
    <row r="349">
      <c r="A349" s="47" t="n">
        <v>44484</v>
      </c>
      <c r="B349" s="15">
        <f>VLOOKUP(A349,'Database ECB'!$A$1:$D$2000,2,FALSE)</f>
        <v/>
      </c>
    </row>
    <row r="350">
      <c r="A350" s="48" t="n">
        <v>44491</v>
      </c>
      <c r="B350" s="15">
        <f>VLOOKUP(A350,'Database ECB'!$A$1:$D$2000,2,FALSE)</f>
        <v/>
      </c>
    </row>
    <row r="351">
      <c r="A351" s="47" t="n">
        <v>44498</v>
      </c>
      <c r="B351" s="15">
        <f>VLOOKUP(A351,'Database ECB'!$A$1:$D$2000,2,FALSE)</f>
        <v/>
      </c>
    </row>
    <row r="352">
      <c r="A352" s="48" t="n">
        <v>44505</v>
      </c>
      <c r="B352" s="15">
        <f>VLOOKUP(A352,'Database ECB'!$A$1:$D$2000,2,FALSE)</f>
        <v/>
      </c>
    </row>
    <row r="353">
      <c r="A353" s="47" t="n">
        <v>44512</v>
      </c>
      <c r="B353" s="15">
        <f>VLOOKUP(A353,'Database ECB'!$A$1:$D$2000,2,FALSE)</f>
        <v/>
      </c>
    </row>
    <row r="354">
      <c r="A354" s="48" t="n">
        <v>44519</v>
      </c>
      <c r="B354" s="15">
        <f>VLOOKUP(A354,'Database ECB'!$A$1:$D$2000,2,FALSE)</f>
        <v/>
      </c>
    </row>
    <row r="355">
      <c r="A355" s="47" t="n">
        <v>44526</v>
      </c>
      <c r="B355" s="15">
        <f>VLOOKUP(A355,'Database ECB'!$A$1:$D$2000,2,FALSE)</f>
        <v/>
      </c>
    </row>
    <row r="356">
      <c r="A356" s="48" t="n">
        <v>44533</v>
      </c>
      <c r="B356" s="15">
        <f>VLOOKUP(A356,'Database ECB'!$A$1:$D$2000,2,FALSE)</f>
        <v/>
      </c>
    </row>
    <row r="357">
      <c r="A357" s="47" t="n">
        <v>44540</v>
      </c>
      <c r="B357" s="15">
        <f>VLOOKUP(A357,'Database ECB'!$A$1:$D$2000,2,FALSE)</f>
        <v/>
      </c>
    </row>
    <row r="358">
      <c r="A358" s="48">
        <f>'Database ECB'!$A1200</f>
        <v/>
      </c>
      <c r="B358" s="15">
        <f>VLOOKUP(A358,'Database ECB'!$A$1:$D$2000,2,FALSE)</f>
        <v/>
      </c>
    </row>
    <row r="359">
      <c r="A359" s="48">
        <f>'Database ECB'!$A1201</f>
        <v/>
      </c>
      <c r="B359" s="15">
        <f>VLOOKUP(A359,'Database ECB'!$A$1:$D$2000,2,FALSE)</f>
        <v/>
      </c>
    </row>
    <row r="360">
      <c r="A360" s="48">
        <f>'Database ECB'!$A1202</f>
        <v/>
      </c>
      <c r="B360" s="15">
        <f>VLOOKUP(A360,'Database ECB'!$A$1:$D$2000,2,FALSE)</f>
        <v/>
      </c>
    </row>
    <row r="361">
      <c r="A361" s="48">
        <f>'Database ECB'!$A1203</f>
        <v/>
      </c>
      <c r="B361" s="15">
        <f>VLOOKUP(A361,'Database ECB'!$A$1:$D$2000,2,FALSE)</f>
        <v/>
      </c>
    </row>
    <row r="362">
      <c r="A362" s="48">
        <f>'Database ECB'!$A1204</f>
        <v/>
      </c>
      <c r="B362" s="15">
        <f>VLOOKUP(A362,'Database ECB'!$A$1:$D$2000,2,FALSE)</f>
        <v/>
      </c>
    </row>
    <row r="363">
      <c r="A363" s="48">
        <f>'Database ECB'!$A1205</f>
        <v/>
      </c>
      <c r="B363" s="15">
        <f>VLOOKUP(A363,'Database ECB'!$A$1:$D$2000,2,FALSE)</f>
        <v/>
      </c>
    </row>
    <row r="364">
      <c r="A364" s="48">
        <f>'Database ECB'!$A1206</f>
        <v/>
      </c>
      <c r="B364" s="15">
        <f>VLOOKUP(A364,'Database ECB'!$A$1:$D$2000,2,FALSE)</f>
        <v/>
      </c>
    </row>
    <row r="365">
      <c r="A365" s="48">
        <f>'Database ECB'!$A1207</f>
        <v/>
      </c>
      <c r="B365" s="15">
        <f>VLOOKUP(A365,'Database ECB'!$A$1:$D$2000,2,FALSE)</f>
        <v/>
      </c>
    </row>
    <row r="366">
      <c r="A366" s="48">
        <f>'Database ECB'!$A1208</f>
        <v/>
      </c>
      <c r="B366" s="15">
        <f>VLOOKUP(A366,'Database ECB'!$A$1:$D$2000,2,FALSE)</f>
        <v/>
      </c>
    </row>
    <row r="367">
      <c r="A367" s="48">
        <f>'Database ECB'!$A1209</f>
        <v/>
      </c>
      <c r="B367" s="15">
        <f>VLOOKUP(A367,'Database ECB'!$A$1:$D$2000,2,FALSE)</f>
        <v/>
      </c>
    </row>
    <row r="368">
      <c r="A368" s="48">
        <f>'Database ECB'!$A1210</f>
        <v/>
      </c>
      <c r="B368" s="15">
        <f>VLOOKUP(A368,'Database ECB'!$A$1:$D$2000,2,FALSE)</f>
        <v/>
      </c>
    </row>
    <row r="369">
      <c r="A369" s="48">
        <f>'Database ECB'!$A1211</f>
        <v/>
      </c>
      <c r="B369" s="15">
        <f>VLOOKUP(A369,'Database ECB'!$A$1:$D$2000,2,FALSE)</f>
        <v/>
      </c>
    </row>
    <row r="370">
      <c r="A370" s="48">
        <f>'Database ECB'!$A1212</f>
        <v/>
      </c>
      <c r="B370" s="15">
        <f>VLOOKUP(A370,'Database ECB'!$A$1:$D$2000,2,FALSE)</f>
        <v/>
      </c>
    </row>
    <row r="371">
      <c r="A371" s="48">
        <f>'Database ECB'!$A1213</f>
        <v/>
      </c>
      <c r="B371" s="15">
        <f>VLOOKUP(A371,'Database ECB'!$A$1:$D$2000,2,FALSE)</f>
        <v/>
      </c>
    </row>
    <row r="372">
      <c r="A372" s="48">
        <f>'Database ECB'!$A1214</f>
        <v/>
      </c>
      <c r="B372" s="15">
        <f>VLOOKUP(A372,'Database ECB'!$A$1:$D$2000,2,FALSE)</f>
        <v/>
      </c>
    </row>
    <row r="373">
      <c r="A373" s="48">
        <f>'Database ECB'!$A1215</f>
        <v/>
      </c>
      <c r="B373" s="15">
        <f>VLOOKUP(A373,'Database ECB'!$A$1:$D$2000,2,FALSE)</f>
        <v/>
      </c>
    </row>
    <row r="374">
      <c r="A374" s="48">
        <f>'Database ECB'!$A1216</f>
        <v/>
      </c>
      <c r="B374" s="15">
        <f>VLOOKUP(A374,'Database ECB'!$A$1:$D$2000,2,FALSE)</f>
        <v/>
      </c>
    </row>
    <row r="375">
      <c r="A375" s="48">
        <f>'Database ECB'!$A1217</f>
        <v/>
      </c>
      <c r="B375" s="15">
        <f>VLOOKUP(A375,'Database ECB'!$A$1:$D$2000,2,FALSE)</f>
        <v/>
      </c>
    </row>
    <row r="376">
      <c r="A376" s="48">
        <f>'Database ECB'!$A1218</f>
        <v/>
      </c>
      <c r="B376" s="15">
        <f>VLOOKUP(A376,'Database ECB'!$A$1:$D$2000,2,FALSE)</f>
        <v/>
      </c>
    </row>
    <row r="377">
      <c r="A377" s="48">
        <f>'Database ECB'!$A1219</f>
        <v/>
      </c>
      <c r="B377" s="15">
        <f>VLOOKUP(A377,'Database ECB'!$A$1:$D$2000,2,FALSE)</f>
        <v/>
      </c>
    </row>
    <row r="378">
      <c r="A378" s="48">
        <f>'Database ECB'!$A1220</f>
        <v/>
      </c>
      <c r="B378" s="15">
        <f>VLOOKUP(A378,'Database ECB'!$A$1:$D$2000,2,FALSE)</f>
        <v/>
      </c>
    </row>
    <row r="379">
      <c r="A379" s="48">
        <f>'Database ECB'!$A1221</f>
        <v/>
      </c>
      <c r="B379" s="15">
        <f>VLOOKUP(A379,'Database ECB'!$A$1:$D$2000,2,FALSE)</f>
        <v/>
      </c>
    </row>
    <row r="380">
      <c r="A380" s="48">
        <f>'Database ECB'!$A1222</f>
        <v/>
      </c>
      <c r="B380" s="15">
        <f>VLOOKUP(A380,'Database ECB'!$A$1:$D$2000,2,FALSE)</f>
        <v/>
      </c>
    </row>
    <row r="381">
      <c r="A381" s="48">
        <f>'Database ECB'!$A1223</f>
        <v/>
      </c>
      <c r="B381" s="15">
        <f>VLOOKUP(A381,'Database ECB'!$A$1:$D$2000,2,FALSE)</f>
        <v/>
      </c>
    </row>
    <row r="382">
      <c r="A382" s="48">
        <f>'Database ECB'!$A1224</f>
        <v/>
      </c>
      <c r="B382" s="15">
        <f>VLOOKUP(A382,'Database ECB'!$A$1:$D$2000,2,FALSE)</f>
        <v/>
      </c>
    </row>
    <row r="383">
      <c r="A383" s="48">
        <f>'Database ECB'!$A1225</f>
        <v/>
      </c>
      <c r="B383" s="15">
        <f>VLOOKUP(A383,'Database ECB'!$A$1:$D$2000,2,FALSE)</f>
        <v/>
      </c>
    </row>
    <row r="384">
      <c r="A384" s="48">
        <f>'Database ECB'!$A1226</f>
        <v/>
      </c>
      <c r="B384" s="15">
        <f>VLOOKUP(A384,'Database ECB'!$A$1:$D$2000,2,FALSE)</f>
        <v/>
      </c>
    </row>
    <row r="385">
      <c r="A385" s="48">
        <f>'Database ECB'!$A1227</f>
        <v/>
      </c>
      <c r="B385" s="15">
        <f>VLOOKUP(A385,'Database ECB'!$A$1:$D$2000,2,FALSE)</f>
        <v/>
      </c>
    </row>
    <row r="386">
      <c r="A386" s="48">
        <f>'Database ECB'!$A1228</f>
        <v/>
      </c>
      <c r="B386" s="15">
        <f>VLOOKUP(A386,'Database ECB'!$A$1:$D$2000,2,FALSE)</f>
        <v/>
      </c>
    </row>
    <row r="387">
      <c r="A387" s="48">
        <f>'Database ECB'!$A1229</f>
        <v/>
      </c>
      <c r="B387" s="15">
        <f>VLOOKUP(A387,'Database ECB'!$A$1:$D$2000,2,FALSE)</f>
        <v/>
      </c>
    </row>
    <row r="388">
      <c r="A388" s="48">
        <f>'Database ECB'!$A1230</f>
        <v/>
      </c>
      <c r="B388" s="15">
        <f>VLOOKUP(A388,'Database ECB'!$A$1:$D$2000,2,FALSE)</f>
        <v/>
      </c>
    </row>
    <row r="389">
      <c r="A389" s="48">
        <f>'Database ECB'!$A1231</f>
        <v/>
      </c>
      <c r="B389" s="15">
        <f>VLOOKUP(A389,'Database ECB'!$A$1:$D$2000,2,FALSE)</f>
        <v/>
      </c>
    </row>
    <row r="390">
      <c r="A390" s="48">
        <f>'Database ECB'!$A1232</f>
        <v/>
      </c>
      <c r="B390" s="15">
        <f>VLOOKUP(A390,'Database ECB'!$A$1:$D$2000,2,FALSE)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2022-08-09T12:47:04Z</dcterms:modified>
  <cp:lastModifiedBy>Mark Mukherjee</cp:lastModifiedBy>
</cp:coreProperties>
</file>