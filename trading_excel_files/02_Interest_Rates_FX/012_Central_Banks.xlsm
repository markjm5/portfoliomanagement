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671EA71E-8BEA-45FD-AAE2-4F9C2E2E66CB}" xr6:coauthVersionLast="47" xr6:coauthVersionMax="47" xr10:uidLastSave="{00000000-0000-0000-0000-000000000000}"/>
  <bookViews>
    <workbookView xWindow="-20700" yWindow="-20490" windowWidth="40185" windowHeight="18525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7" r:id="rId7"/>
    <sheet name="Discount Rate" sheetId="8" r:id="rId8"/>
    <sheet name="Fed Funds Rate" sheetId="9" r:id="rId9"/>
    <sheet name="M2 new" sheetId="10" r:id="rId10"/>
    <sheet name="Fed Weekly Change" sheetId="11" r:id="rId11"/>
    <sheet name="Fed Balance Sheet" sheetId="12" r:id="rId12"/>
    <sheet name="BOJ Balance Sheet" sheetId="13" r:id="rId13"/>
    <sheet name="ECB Balance Sheet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4" i="14" l="1"/>
  <c r="B414" i="14"/>
  <c r="A1060" i="12"/>
  <c r="B1060" i="12"/>
  <c r="C1060" i="12"/>
  <c r="A1060" i="11"/>
  <c r="B1060" i="11"/>
  <c r="C1060" i="11"/>
  <c r="A413" i="14"/>
  <c r="B413" i="14" s="1"/>
  <c r="A412" i="14"/>
  <c r="B412" i="14" s="1"/>
  <c r="A411" i="14"/>
  <c r="B411" i="14" s="1"/>
  <c r="B410" i="14"/>
  <c r="A410" i="14"/>
  <c r="A409" i="14"/>
  <c r="B409" i="14" s="1"/>
  <c r="A408" i="14"/>
  <c r="B408" i="14" s="1"/>
  <c r="A407" i="14"/>
  <c r="B407" i="14" s="1"/>
  <c r="A406" i="14"/>
  <c r="B406" i="14" s="1"/>
  <c r="A405" i="14"/>
  <c r="B405" i="14" s="1"/>
  <c r="B404" i="14"/>
  <c r="A404" i="14"/>
  <c r="A403" i="14"/>
  <c r="B403" i="14" s="1"/>
  <c r="A402" i="14"/>
  <c r="B402" i="14" s="1"/>
  <c r="A401" i="14"/>
  <c r="B401" i="14" s="1"/>
  <c r="A400" i="14"/>
  <c r="B400" i="14" s="1"/>
  <c r="A399" i="14"/>
  <c r="B399" i="14" s="1"/>
  <c r="B398" i="14"/>
  <c r="A398" i="14"/>
  <c r="A397" i="14"/>
  <c r="B397" i="14" s="1"/>
  <c r="A396" i="14"/>
  <c r="B396" i="14" s="1"/>
  <c r="A395" i="14"/>
  <c r="B395" i="14" s="1"/>
  <c r="A394" i="14"/>
  <c r="B394" i="14" s="1"/>
  <c r="A393" i="14"/>
  <c r="B393" i="14" s="1"/>
  <c r="B392" i="14"/>
  <c r="A392" i="14"/>
  <c r="A391" i="14"/>
  <c r="B391" i="14" s="1"/>
  <c r="A390" i="14"/>
  <c r="B390" i="14" s="1"/>
  <c r="A389" i="14"/>
  <c r="B389" i="14" s="1"/>
  <c r="A388" i="14"/>
  <c r="B388" i="14" s="1"/>
  <c r="A387" i="14"/>
  <c r="B387" i="14" s="1"/>
  <c r="B386" i="14"/>
  <c r="A386" i="14"/>
  <c r="A385" i="14"/>
  <c r="B385" i="14" s="1"/>
  <c r="A384" i="14"/>
  <c r="B384" i="14" s="1"/>
  <c r="A383" i="14"/>
  <c r="B383" i="14" s="1"/>
  <c r="A382" i="14"/>
  <c r="B382" i="14" s="1"/>
  <c r="A381" i="14"/>
  <c r="B381" i="14" s="1"/>
  <c r="B380" i="14"/>
  <c r="A380" i="14"/>
  <c r="A379" i="14"/>
  <c r="B379" i="14" s="1"/>
  <c r="A378" i="14"/>
  <c r="B378" i="14" s="1"/>
  <c r="A377" i="14"/>
  <c r="B377" i="14" s="1"/>
  <c r="A376" i="14"/>
  <c r="B376" i="14" s="1"/>
  <c r="A375" i="14"/>
  <c r="B375" i="14" s="1"/>
  <c r="B374" i="14"/>
  <c r="A374" i="14"/>
  <c r="A373" i="14"/>
  <c r="B373" i="14" s="1"/>
  <c r="A372" i="14"/>
  <c r="B372" i="14" s="1"/>
  <c r="A371" i="14"/>
  <c r="B371" i="14" s="1"/>
  <c r="A370" i="14"/>
  <c r="B370" i="14" s="1"/>
  <c r="A369" i="14"/>
  <c r="B369" i="14" s="1"/>
  <c r="B368" i="14"/>
  <c r="A368" i="14"/>
  <c r="A367" i="14"/>
  <c r="B367" i="14" s="1"/>
  <c r="A366" i="14"/>
  <c r="B366" i="14" s="1"/>
  <c r="A365" i="14"/>
  <c r="B365" i="14" s="1"/>
  <c r="A364" i="14"/>
  <c r="B364" i="14" s="1"/>
  <c r="A363" i="14"/>
  <c r="B363" i="14" s="1"/>
  <c r="B362" i="14"/>
  <c r="A362" i="14"/>
  <c r="A361" i="14"/>
  <c r="B361" i="14" s="1"/>
  <c r="A360" i="14"/>
  <c r="B360" i="14" s="1"/>
  <c r="A359" i="14"/>
  <c r="B359" i="14" s="1"/>
  <c r="A358" i="14"/>
  <c r="B358" i="14" s="1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8" i="14"/>
  <c r="D302" i="13"/>
  <c r="C302" i="13"/>
  <c r="B302" i="13"/>
  <c r="D301" i="13"/>
  <c r="C301" i="13"/>
  <c r="B301" i="13"/>
  <c r="D300" i="13"/>
  <c r="C300" i="13"/>
  <c r="B300" i="13"/>
  <c r="D299" i="13"/>
  <c r="C299" i="13"/>
  <c r="B299" i="13"/>
  <c r="D298" i="13"/>
  <c r="C298" i="13"/>
  <c r="B298" i="13"/>
  <c r="D297" i="13"/>
  <c r="C297" i="13"/>
  <c r="B297" i="13"/>
  <c r="D296" i="13"/>
  <c r="C296" i="13"/>
  <c r="B296" i="13"/>
  <c r="D295" i="13"/>
  <c r="C295" i="13"/>
  <c r="B295" i="13"/>
  <c r="D294" i="13"/>
  <c r="C294" i="13"/>
  <c r="B294" i="13"/>
  <c r="D293" i="13"/>
  <c r="C293" i="13"/>
  <c r="B293" i="13"/>
  <c r="D292" i="13"/>
  <c r="C292" i="13"/>
  <c r="B292" i="13"/>
  <c r="D291" i="13"/>
  <c r="C291" i="13"/>
  <c r="B291" i="13"/>
  <c r="D290" i="13"/>
  <c r="C290" i="13"/>
  <c r="B290" i="13"/>
  <c r="D289" i="13"/>
  <c r="C289" i="13"/>
  <c r="B289" i="13"/>
  <c r="D288" i="13"/>
  <c r="C288" i="13"/>
  <c r="B288" i="13"/>
  <c r="D287" i="13"/>
  <c r="C287" i="13"/>
  <c r="B287" i="13"/>
  <c r="D286" i="13"/>
  <c r="C286" i="13"/>
  <c r="B286" i="13"/>
  <c r="D285" i="13"/>
  <c r="C285" i="13"/>
  <c r="B285" i="13"/>
  <c r="D284" i="13"/>
  <c r="C284" i="13"/>
  <c r="B284" i="13"/>
  <c r="D283" i="13"/>
  <c r="C283" i="13"/>
  <c r="B283" i="13"/>
  <c r="D282" i="13"/>
  <c r="C282" i="13"/>
  <c r="B282" i="13"/>
  <c r="D281" i="13"/>
  <c r="C281" i="13"/>
  <c r="B281" i="13"/>
  <c r="D280" i="13"/>
  <c r="C280" i="13"/>
  <c r="B280" i="13"/>
  <c r="D279" i="13"/>
  <c r="C279" i="13"/>
  <c r="B279" i="13"/>
  <c r="D278" i="13"/>
  <c r="C278" i="13"/>
  <c r="B278" i="13"/>
  <c r="D277" i="13"/>
  <c r="C277" i="13"/>
  <c r="B277" i="13"/>
  <c r="D276" i="13"/>
  <c r="C276" i="13"/>
  <c r="B276" i="13"/>
  <c r="D275" i="13"/>
  <c r="C275" i="13"/>
  <c r="B275" i="13"/>
  <c r="D274" i="13"/>
  <c r="C274" i="13"/>
  <c r="B274" i="13"/>
  <c r="D273" i="13"/>
  <c r="C273" i="13"/>
  <c r="B273" i="13"/>
  <c r="D272" i="13"/>
  <c r="C272" i="13"/>
  <c r="B272" i="13"/>
  <c r="D271" i="13"/>
  <c r="C271" i="13"/>
  <c r="B271" i="13"/>
  <c r="D270" i="13"/>
  <c r="C270" i="13"/>
  <c r="B270" i="13"/>
  <c r="D269" i="13"/>
  <c r="C269" i="13"/>
  <c r="B269" i="13"/>
  <c r="D268" i="13"/>
  <c r="C268" i="13"/>
  <c r="B268" i="13"/>
  <c r="D267" i="13"/>
  <c r="C267" i="13"/>
  <c r="B267" i="13"/>
  <c r="D266" i="13"/>
  <c r="C266" i="13"/>
  <c r="B266" i="13"/>
  <c r="D265" i="13"/>
  <c r="C265" i="13"/>
  <c r="B265" i="13"/>
  <c r="D264" i="13"/>
  <c r="C264" i="13"/>
  <c r="B264" i="13"/>
  <c r="D263" i="13"/>
  <c r="C263" i="13"/>
  <c r="B263" i="13"/>
  <c r="D262" i="13"/>
  <c r="C262" i="13"/>
  <c r="B262" i="13"/>
  <c r="D261" i="13"/>
  <c r="C261" i="13"/>
  <c r="B261" i="13"/>
  <c r="D260" i="13"/>
  <c r="C260" i="13"/>
  <c r="B260" i="13"/>
  <c r="D259" i="13"/>
  <c r="C259" i="13"/>
  <c r="B259" i="13"/>
  <c r="D258" i="13"/>
  <c r="C258" i="13"/>
  <c r="B258" i="13"/>
  <c r="D257" i="13"/>
  <c r="C257" i="13"/>
  <c r="B257" i="13"/>
  <c r="D256" i="13"/>
  <c r="C256" i="13"/>
  <c r="B256" i="13"/>
  <c r="D255" i="13"/>
  <c r="C255" i="13"/>
  <c r="B255" i="13"/>
  <c r="D254" i="13"/>
  <c r="C254" i="13"/>
  <c r="B254" i="13"/>
  <c r="D253" i="13"/>
  <c r="C253" i="13"/>
  <c r="B253" i="13"/>
  <c r="D252" i="13"/>
  <c r="C252" i="13"/>
  <c r="B252" i="13"/>
  <c r="D251" i="13"/>
  <c r="C251" i="13"/>
  <c r="B251" i="13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C1059" i="12"/>
  <c r="A1059" i="12"/>
  <c r="B1059" i="12" s="1"/>
  <c r="C1058" i="12"/>
  <c r="A1058" i="12"/>
  <c r="B1058" i="12" s="1"/>
  <c r="C1057" i="12"/>
  <c r="B1057" i="12"/>
  <c r="A1057" i="12"/>
  <c r="A1056" i="12"/>
  <c r="B1056" i="12" s="1"/>
  <c r="C1056" i="12" s="1"/>
  <c r="B1055" i="12"/>
  <c r="C1055" i="12" s="1"/>
  <c r="A1055" i="12"/>
  <c r="C1054" i="12"/>
  <c r="B1054" i="12"/>
  <c r="A1054" i="12"/>
  <c r="B1053" i="12"/>
  <c r="C1053" i="12" s="1"/>
  <c r="A1053" i="12"/>
  <c r="A1052" i="12"/>
  <c r="B1052" i="12" s="1"/>
  <c r="C1052" i="12" s="1"/>
  <c r="A1051" i="12"/>
  <c r="B1051" i="12" s="1"/>
  <c r="C1051" i="12" s="1"/>
  <c r="A1050" i="12"/>
  <c r="B1050" i="12" s="1"/>
  <c r="C1050" i="12" s="1"/>
  <c r="A1049" i="12"/>
  <c r="B1049" i="12" s="1"/>
  <c r="C1049" i="12" s="1"/>
  <c r="A1048" i="12"/>
  <c r="B1048" i="12" s="1"/>
  <c r="C1048" i="12" s="1"/>
  <c r="B1047" i="12"/>
  <c r="C1047" i="12" s="1"/>
  <c r="A1047" i="12"/>
  <c r="C1046" i="12"/>
  <c r="A1046" i="12"/>
  <c r="B1046" i="12" s="1"/>
  <c r="C1045" i="12"/>
  <c r="A1045" i="12"/>
  <c r="B1045" i="12" s="1"/>
  <c r="C1044" i="12"/>
  <c r="A1044" i="12"/>
  <c r="B1044" i="12" s="1"/>
  <c r="A1043" i="12"/>
  <c r="B1043" i="12" s="1"/>
  <c r="C1043" i="12" s="1"/>
  <c r="C1042" i="12"/>
  <c r="B1042" i="12"/>
  <c r="A1042" i="12"/>
  <c r="C1041" i="12"/>
  <c r="B1041" i="12"/>
  <c r="A1041" i="12"/>
  <c r="A1040" i="12"/>
  <c r="B1040" i="12" s="1"/>
  <c r="C1040" i="12" s="1"/>
  <c r="A1039" i="12"/>
  <c r="B1039" i="12" s="1"/>
  <c r="C1039" i="12" s="1"/>
  <c r="A1038" i="12"/>
  <c r="B1038" i="12" s="1"/>
  <c r="C1038" i="12" s="1"/>
  <c r="A1037" i="12"/>
  <c r="B1037" i="12" s="1"/>
  <c r="C1037" i="12" s="1"/>
  <c r="A1036" i="12"/>
  <c r="B1036" i="12" s="1"/>
  <c r="C1036" i="12" s="1"/>
  <c r="C1035" i="12"/>
  <c r="B1035" i="12"/>
  <c r="A1035" i="12"/>
  <c r="A1034" i="12"/>
  <c r="B1034" i="12" s="1"/>
  <c r="C1034" i="12" s="1"/>
  <c r="A1033" i="12"/>
  <c r="B1033" i="12" s="1"/>
  <c r="C1033" i="12" s="1"/>
  <c r="C1032" i="12"/>
  <c r="A1032" i="12"/>
  <c r="B1032" i="12" s="1"/>
  <c r="B1031" i="12"/>
  <c r="C1031" i="12" s="1"/>
  <c r="A1031" i="12"/>
  <c r="B1030" i="12"/>
  <c r="C1030" i="12" s="1"/>
  <c r="A1030" i="12"/>
  <c r="C1029" i="12"/>
  <c r="B1029" i="12"/>
  <c r="A1029" i="12"/>
  <c r="C1028" i="12"/>
  <c r="A1028" i="12"/>
  <c r="B1028" i="12" s="1"/>
  <c r="A1027" i="12"/>
  <c r="B1027" i="12" s="1"/>
  <c r="C1027" i="12" s="1"/>
  <c r="A1026" i="12"/>
  <c r="B1026" i="12" s="1"/>
  <c r="C1026" i="12" s="1"/>
  <c r="B1025" i="12"/>
  <c r="C1025" i="12" s="1"/>
  <c r="A1025" i="12"/>
  <c r="A1024" i="12"/>
  <c r="B1024" i="12" s="1"/>
  <c r="C1024" i="12" s="1"/>
  <c r="C1023" i="12"/>
  <c r="A1023" i="12"/>
  <c r="B1023" i="12" s="1"/>
  <c r="C1022" i="12"/>
  <c r="B1022" i="12"/>
  <c r="A1022" i="12"/>
  <c r="B1021" i="12"/>
  <c r="C1021" i="12" s="1"/>
  <c r="A1021" i="12"/>
  <c r="C1020" i="12"/>
  <c r="A1020" i="12"/>
  <c r="B1020" i="12" s="1"/>
  <c r="B1019" i="12"/>
  <c r="C1019" i="12" s="1"/>
  <c r="A1019" i="12"/>
  <c r="B1018" i="12"/>
  <c r="C1018" i="12" s="1"/>
  <c r="A1018" i="12"/>
  <c r="A1017" i="12"/>
  <c r="B1017" i="12" s="1"/>
  <c r="C1017" i="12" s="1"/>
  <c r="A1016" i="12"/>
  <c r="B1016" i="12" s="1"/>
  <c r="C1016" i="12" s="1"/>
  <c r="A1015" i="12"/>
  <c r="B1015" i="12" s="1"/>
  <c r="C1015" i="12" s="1"/>
  <c r="A1014" i="12"/>
  <c r="B1014" i="12" s="1"/>
  <c r="C1014" i="12" s="1"/>
  <c r="A1013" i="12"/>
  <c r="B1013" i="12" s="1"/>
  <c r="C1013" i="12" s="1"/>
  <c r="C1012" i="12"/>
  <c r="A1012" i="12"/>
  <c r="B1012" i="12" s="1"/>
  <c r="C1011" i="12"/>
  <c r="A1011" i="12"/>
  <c r="B1011" i="12" s="1"/>
  <c r="A1010" i="12"/>
  <c r="B1010" i="12" s="1"/>
  <c r="C1010" i="12" s="1"/>
  <c r="C1009" i="12"/>
  <c r="B1009" i="12"/>
  <c r="A1009" i="12"/>
  <c r="A1008" i="12"/>
  <c r="B1008" i="12" s="1"/>
  <c r="C1008" i="12" s="1"/>
  <c r="B1007" i="12"/>
  <c r="C1007" i="12" s="1"/>
  <c r="A1007" i="12"/>
  <c r="C1006" i="12"/>
  <c r="B1006" i="12"/>
  <c r="A1006" i="12"/>
  <c r="B1005" i="12"/>
  <c r="C1005" i="12" s="1"/>
  <c r="A1005" i="12"/>
  <c r="A1004" i="12"/>
  <c r="B1004" i="12" s="1"/>
  <c r="C1004" i="12" s="1"/>
  <c r="B1003" i="12"/>
  <c r="C1003" i="12" s="1"/>
  <c r="A1003" i="12"/>
  <c r="A1002" i="12"/>
  <c r="B1002" i="12" s="1"/>
  <c r="C1002" i="12" s="1"/>
  <c r="A1001" i="12"/>
  <c r="B1001" i="12" s="1"/>
  <c r="C1001" i="12" s="1"/>
  <c r="C1000" i="12"/>
  <c r="A1000" i="12"/>
  <c r="B1000" i="12" s="1"/>
  <c r="B999" i="12"/>
  <c r="C999" i="12" s="1"/>
  <c r="A999" i="12"/>
  <c r="A998" i="12"/>
  <c r="B998" i="12" s="1"/>
  <c r="C998" i="12" s="1"/>
  <c r="C997" i="12"/>
  <c r="A997" i="12"/>
  <c r="B997" i="12" s="1"/>
  <c r="C996" i="12"/>
  <c r="A996" i="12"/>
  <c r="B996" i="12" s="1"/>
  <c r="B995" i="12"/>
  <c r="C995" i="12" s="1"/>
  <c r="A995" i="12"/>
  <c r="B994" i="12"/>
  <c r="C994" i="12" s="1"/>
  <c r="A994" i="12"/>
  <c r="B993" i="12"/>
  <c r="C993" i="12" s="1"/>
  <c r="A993" i="12"/>
  <c r="A992" i="12"/>
  <c r="B992" i="12" s="1"/>
  <c r="C992" i="12" s="1"/>
  <c r="A991" i="12"/>
  <c r="B991" i="12" s="1"/>
  <c r="C991" i="12" s="1"/>
  <c r="B990" i="12"/>
  <c r="C990" i="12" s="1"/>
  <c r="A990" i="12"/>
  <c r="B989" i="12"/>
  <c r="C989" i="12" s="1"/>
  <c r="A989" i="12"/>
  <c r="A988" i="12"/>
  <c r="B988" i="12" s="1"/>
  <c r="C988" i="12" s="1"/>
  <c r="C987" i="12"/>
  <c r="B987" i="12"/>
  <c r="A987" i="12"/>
  <c r="A986" i="12"/>
  <c r="B986" i="12" s="1"/>
  <c r="C986" i="12" s="1"/>
  <c r="A985" i="12"/>
  <c r="B985" i="12" s="1"/>
  <c r="C985" i="12" s="1"/>
  <c r="C984" i="12"/>
  <c r="A984" i="12"/>
  <c r="B984" i="12" s="1"/>
  <c r="B983" i="12"/>
  <c r="C983" i="12" s="1"/>
  <c r="A983" i="12"/>
  <c r="B982" i="12"/>
  <c r="C982" i="12" s="1"/>
  <c r="A982" i="12"/>
  <c r="B981" i="12"/>
  <c r="C981" i="12" s="1"/>
  <c r="A981" i="12"/>
  <c r="C980" i="12"/>
  <c r="A980" i="12"/>
  <c r="B980" i="12" s="1"/>
  <c r="A979" i="12"/>
  <c r="B979" i="12" s="1"/>
  <c r="C979" i="12" s="1"/>
  <c r="A978" i="12"/>
  <c r="B978" i="12" s="1"/>
  <c r="C978" i="12" s="1"/>
  <c r="A977" i="12"/>
  <c r="B977" i="12" s="1"/>
  <c r="C977" i="12" s="1"/>
  <c r="A976" i="12"/>
  <c r="B976" i="12" s="1"/>
  <c r="C976" i="12" s="1"/>
  <c r="A975" i="12"/>
  <c r="B975" i="12" s="1"/>
  <c r="C975" i="12" s="1"/>
  <c r="C974" i="12"/>
  <c r="B974" i="12"/>
  <c r="A974" i="12"/>
  <c r="B973" i="12"/>
  <c r="C973" i="12" s="1"/>
  <c r="A973" i="12"/>
  <c r="C972" i="12"/>
  <c r="A972" i="12"/>
  <c r="B972" i="12" s="1"/>
  <c r="B971" i="12"/>
  <c r="C971" i="12" s="1"/>
  <c r="A971" i="12"/>
  <c r="B970" i="12"/>
  <c r="C970" i="12" s="1"/>
  <c r="A970" i="12"/>
  <c r="B969" i="12"/>
  <c r="C969" i="12" s="1"/>
  <c r="A969" i="12"/>
  <c r="A968" i="12"/>
  <c r="B968" i="12" s="1"/>
  <c r="C968" i="12" s="1"/>
  <c r="B967" i="12"/>
  <c r="C967" i="12" s="1"/>
  <c r="A967" i="12"/>
  <c r="A966" i="12"/>
  <c r="B966" i="12" s="1"/>
  <c r="C966" i="12" s="1"/>
  <c r="A965" i="12"/>
  <c r="B965" i="12" s="1"/>
  <c r="C965" i="12" s="1"/>
  <c r="C964" i="12"/>
  <c r="A964" i="12"/>
  <c r="B964" i="12" s="1"/>
  <c r="C963" i="12"/>
  <c r="A963" i="12"/>
  <c r="B963" i="12" s="1"/>
  <c r="A962" i="12"/>
  <c r="B962" i="12" s="1"/>
  <c r="C962" i="12" s="1"/>
  <c r="C961" i="12"/>
  <c r="B961" i="12"/>
  <c r="A961" i="12"/>
  <c r="C960" i="12"/>
  <c r="A960" i="12"/>
  <c r="B960" i="12" s="1"/>
  <c r="B959" i="12"/>
  <c r="C959" i="12" s="1"/>
  <c r="A959" i="12"/>
  <c r="C958" i="12"/>
  <c r="B958" i="12"/>
  <c r="A958" i="12"/>
  <c r="B957" i="12"/>
  <c r="C957" i="12" s="1"/>
  <c r="A957" i="12"/>
  <c r="A956" i="12"/>
  <c r="B956" i="12" s="1"/>
  <c r="C956" i="12" s="1"/>
  <c r="C955" i="12"/>
  <c r="B955" i="12"/>
  <c r="A955" i="12"/>
  <c r="A954" i="12"/>
  <c r="B954" i="12" s="1"/>
  <c r="C954" i="12" s="1"/>
  <c r="A953" i="12"/>
  <c r="B953" i="12" s="1"/>
  <c r="C953" i="12" s="1"/>
  <c r="C952" i="12"/>
  <c r="A952" i="12"/>
  <c r="B952" i="12" s="1"/>
  <c r="C951" i="12"/>
  <c r="B951" i="12"/>
  <c r="A951" i="12"/>
  <c r="C950" i="12"/>
  <c r="A950" i="12"/>
  <c r="B950" i="12" s="1"/>
  <c r="C949" i="12"/>
  <c r="A949" i="12"/>
  <c r="B949" i="12" s="1"/>
  <c r="C948" i="12"/>
  <c r="A948" i="12"/>
  <c r="B948" i="12" s="1"/>
  <c r="A947" i="12"/>
  <c r="B947" i="12" s="1"/>
  <c r="C947" i="12" s="1"/>
  <c r="C946" i="12"/>
  <c r="B946" i="12"/>
  <c r="A946" i="12"/>
  <c r="B945" i="12"/>
  <c r="C945" i="12" s="1"/>
  <c r="A945" i="12"/>
  <c r="A944" i="12"/>
  <c r="B944" i="12" s="1"/>
  <c r="C944" i="12" s="1"/>
  <c r="A943" i="12"/>
  <c r="B943" i="12" s="1"/>
  <c r="C943" i="12" s="1"/>
  <c r="B942" i="12"/>
  <c r="C942" i="12" s="1"/>
  <c r="A942" i="12"/>
  <c r="B941" i="12"/>
  <c r="C941" i="12" s="1"/>
  <c r="A941" i="12"/>
  <c r="A940" i="12"/>
  <c r="B940" i="12" s="1"/>
  <c r="C940" i="12" s="1"/>
  <c r="C939" i="12"/>
  <c r="B939" i="12"/>
  <c r="A939" i="12"/>
  <c r="A938" i="12"/>
  <c r="B938" i="12" s="1"/>
  <c r="C938" i="12" s="1"/>
  <c r="A937" i="12"/>
  <c r="B937" i="12" s="1"/>
  <c r="C937" i="12" s="1"/>
  <c r="C936" i="12"/>
  <c r="A936" i="12"/>
  <c r="B936" i="12" s="1"/>
  <c r="B935" i="12"/>
  <c r="C935" i="12" s="1"/>
  <c r="A935" i="12"/>
  <c r="B934" i="12"/>
  <c r="C934" i="12" s="1"/>
  <c r="A934" i="12"/>
  <c r="C933" i="12"/>
  <c r="B933" i="12"/>
  <c r="A933" i="12"/>
  <c r="C932" i="12"/>
  <c r="A932" i="12"/>
  <c r="B932" i="12" s="1"/>
  <c r="A931" i="12"/>
  <c r="B931" i="12" s="1"/>
  <c r="C931" i="12" s="1"/>
  <c r="A930" i="12"/>
  <c r="B930" i="12" s="1"/>
  <c r="C930" i="12" s="1"/>
  <c r="C929" i="12"/>
  <c r="B929" i="12"/>
  <c r="A929" i="12"/>
  <c r="A928" i="12"/>
  <c r="B928" i="12" s="1"/>
  <c r="C928" i="12" s="1"/>
  <c r="A927" i="12"/>
  <c r="B927" i="12" s="1"/>
  <c r="C927" i="12" s="1"/>
  <c r="C926" i="12"/>
  <c r="B926" i="12"/>
  <c r="A926" i="12"/>
  <c r="B925" i="12"/>
  <c r="C925" i="12" s="1"/>
  <c r="A925" i="12"/>
  <c r="C924" i="12"/>
  <c r="A924" i="12"/>
  <c r="B924" i="12" s="1"/>
  <c r="C923" i="12"/>
  <c r="B923" i="12"/>
  <c r="A923" i="12"/>
  <c r="B922" i="12"/>
  <c r="C922" i="12" s="1"/>
  <c r="A922" i="12"/>
  <c r="A921" i="12"/>
  <c r="B921" i="12" s="1"/>
  <c r="C921" i="12" s="1"/>
  <c r="A920" i="12"/>
  <c r="B920" i="12" s="1"/>
  <c r="C920" i="12" s="1"/>
  <c r="A919" i="12"/>
  <c r="B919" i="12" s="1"/>
  <c r="C919" i="12" s="1"/>
  <c r="A918" i="12"/>
  <c r="B918" i="12" s="1"/>
  <c r="C918" i="12" s="1"/>
  <c r="A917" i="12"/>
  <c r="B917" i="12" s="1"/>
  <c r="C917" i="12" s="1"/>
  <c r="C916" i="12"/>
  <c r="A916" i="12"/>
  <c r="B916" i="12" s="1"/>
  <c r="C915" i="12"/>
  <c r="A915" i="12"/>
  <c r="B915" i="12" s="1"/>
  <c r="A914" i="12"/>
  <c r="B914" i="12" s="1"/>
  <c r="C914" i="12" s="1"/>
  <c r="C913" i="12"/>
  <c r="B913" i="12"/>
  <c r="A913" i="12"/>
  <c r="C912" i="12"/>
  <c r="A912" i="12"/>
  <c r="B912" i="12" s="1"/>
  <c r="C911" i="12"/>
  <c r="B911" i="12"/>
  <c r="A911" i="12"/>
  <c r="C910" i="12"/>
  <c r="B910" i="12"/>
  <c r="A910" i="12"/>
  <c r="B909" i="12"/>
  <c r="C909" i="12" s="1"/>
  <c r="A909" i="12"/>
  <c r="A908" i="12"/>
  <c r="B908" i="12" s="1"/>
  <c r="C908" i="12" s="1"/>
  <c r="A907" i="12"/>
  <c r="B907" i="12" s="1"/>
  <c r="C907" i="12" s="1"/>
  <c r="B906" i="12"/>
  <c r="C906" i="12" s="1"/>
  <c r="A906" i="12"/>
  <c r="A905" i="12"/>
  <c r="B905" i="12" s="1"/>
  <c r="C905" i="12" s="1"/>
  <c r="C904" i="12"/>
  <c r="A904" i="12"/>
  <c r="B904" i="12" s="1"/>
  <c r="B903" i="12"/>
  <c r="C903" i="12" s="1"/>
  <c r="A903" i="12"/>
  <c r="C902" i="12"/>
  <c r="A902" i="12"/>
  <c r="B902" i="12" s="1"/>
  <c r="A901" i="12"/>
  <c r="B901" i="12" s="1"/>
  <c r="C901" i="12" s="1"/>
  <c r="C900" i="12"/>
  <c r="A900" i="12"/>
  <c r="B900" i="12" s="1"/>
  <c r="A899" i="12"/>
  <c r="B899" i="12" s="1"/>
  <c r="C899" i="12" s="1"/>
  <c r="C898" i="12"/>
  <c r="B898" i="12"/>
  <c r="A898" i="12"/>
  <c r="B897" i="12"/>
  <c r="C897" i="12" s="1"/>
  <c r="A897" i="12"/>
  <c r="A896" i="12"/>
  <c r="B896" i="12" s="1"/>
  <c r="C896" i="12" s="1"/>
  <c r="C895" i="12"/>
  <c r="A895" i="12"/>
  <c r="B895" i="12" s="1"/>
  <c r="A894" i="12"/>
  <c r="B894" i="12" s="1"/>
  <c r="C894" i="12" s="1"/>
  <c r="B893" i="12"/>
  <c r="C893" i="12" s="1"/>
  <c r="A893" i="12"/>
  <c r="A892" i="12"/>
  <c r="B892" i="12" s="1"/>
  <c r="C892" i="12" s="1"/>
  <c r="B891" i="12"/>
  <c r="C891" i="12" s="1"/>
  <c r="A891" i="12"/>
  <c r="B890" i="12"/>
  <c r="C890" i="12" s="1"/>
  <c r="A890" i="12"/>
  <c r="C889" i="12"/>
  <c r="A889" i="12"/>
  <c r="B889" i="12" s="1"/>
  <c r="C888" i="12"/>
  <c r="A888" i="12"/>
  <c r="B888" i="12" s="1"/>
  <c r="A887" i="12"/>
  <c r="B887" i="12" s="1"/>
  <c r="C887" i="12" s="1"/>
  <c r="A886" i="12"/>
  <c r="B886" i="12" s="1"/>
  <c r="C886" i="12" s="1"/>
  <c r="B885" i="12"/>
  <c r="C885" i="12" s="1"/>
  <c r="A885" i="12"/>
  <c r="A884" i="12"/>
  <c r="B884" i="12" s="1"/>
  <c r="C884" i="12" s="1"/>
  <c r="A883" i="12"/>
  <c r="B883" i="12" s="1"/>
  <c r="C883" i="12" s="1"/>
  <c r="C882" i="12"/>
  <c r="A882" i="12"/>
  <c r="B882" i="12" s="1"/>
  <c r="B881" i="12"/>
  <c r="C881" i="12" s="1"/>
  <c r="A881" i="12"/>
  <c r="A880" i="12"/>
  <c r="B880" i="12" s="1"/>
  <c r="C880" i="12" s="1"/>
  <c r="A879" i="12"/>
  <c r="B879" i="12" s="1"/>
  <c r="C879" i="12" s="1"/>
  <c r="C878" i="12"/>
  <c r="B878" i="12"/>
  <c r="A878" i="12"/>
  <c r="B877" i="12"/>
  <c r="C877" i="12" s="1"/>
  <c r="A877" i="12"/>
  <c r="C876" i="12"/>
  <c r="A876" i="12"/>
  <c r="B876" i="12" s="1"/>
  <c r="B875" i="12"/>
  <c r="C875" i="12" s="1"/>
  <c r="A875" i="12"/>
  <c r="A874" i="12"/>
  <c r="B874" i="12" s="1"/>
  <c r="C874" i="12" s="1"/>
  <c r="B873" i="12"/>
  <c r="C873" i="12" s="1"/>
  <c r="A873" i="12"/>
  <c r="C872" i="12"/>
  <c r="A872" i="12"/>
  <c r="B872" i="12" s="1"/>
  <c r="B871" i="12"/>
  <c r="C871" i="12" s="1"/>
  <c r="A871" i="12"/>
  <c r="A870" i="12"/>
  <c r="B870" i="12" s="1"/>
  <c r="C870" i="12" s="1"/>
  <c r="A869" i="12"/>
  <c r="B869" i="12" s="1"/>
  <c r="C869" i="12" s="1"/>
  <c r="A868" i="12"/>
  <c r="B868" i="12" s="1"/>
  <c r="C868" i="12" s="1"/>
  <c r="A867" i="12"/>
  <c r="B867" i="12" s="1"/>
  <c r="C867" i="12" s="1"/>
  <c r="A866" i="12"/>
  <c r="B866" i="12" s="1"/>
  <c r="C866" i="12" s="1"/>
  <c r="C865" i="12"/>
  <c r="B865" i="12"/>
  <c r="A865" i="12"/>
  <c r="C864" i="12"/>
  <c r="A864" i="12"/>
  <c r="B864" i="12" s="1"/>
  <c r="C863" i="12"/>
  <c r="B863" i="12"/>
  <c r="A863" i="12"/>
  <c r="B862" i="12"/>
  <c r="C862" i="12" s="1"/>
  <c r="A862" i="12"/>
  <c r="B861" i="12"/>
  <c r="C861" i="12" s="1"/>
  <c r="A861" i="12"/>
  <c r="A860" i="12"/>
  <c r="B860" i="12" s="1"/>
  <c r="C860" i="12" s="1"/>
  <c r="B859" i="12"/>
  <c r="C859" i="12" s="1"/>
  <c r="A859" i="12"/>
  <c r="B858" i="12"/>
  <c r="C858" i="12" s="1"/>
  <c r="A858" i="12"/>
  <c r="A857" i="12"/>
  <c r="B857" i="12" s="1"/>
  <c r="C857" i="12" s="1"/>
  <c r="C856" i="12"/>
  <c r="A856" i="12"/>
  <c r="B856" i="12" s="1"/>
  <c r="B855" i="12"/>
  <c r="C855" i="12" s="1"/>
  <c r="A855" i="12"/>
  <c r="C854" i="12"/>
  <c r="A854" i="12"/>
  <c r="B854" i="12" s="1"/>
  <c r="C853" i="12"/>
  <c r="A853" i="12"/>
  <c r="B853" i="12" s="1"/>
  <c r="C852" i="12"/>
  <c r="A852" i="12"/>
  <c r="B852" i="12" s="1"/>
  <c r="B851" i="12"/>
  <c r="C851" i="12" s="1"/>
  <c r="A851" i="12"/>
  <c r="B850" i="12"/>
  <c r="C850" i="12" s="1"/>
  <c r="A850" i="12"/>
  <c r="C849" i="12"/>
  <c r="B849" i="12"/>
  <c r="A849" i="12"/>
  <c r="A848" i="12"/>
  <c r="B848" i="12" s="1"/>
  <c r="C848" i="12" s="1"/>
  <c r="A847" i="12"/>
  <c r="B847" i="12" s="1"/>
  <c r="C847" i="12" s="1"/>
  <c r="B846" i="12"/>
  <c r="C846" i="12" s="1"/>
  <c r="A846" i="12"/>
  <c r="B845" i="12"/>
  <c r="C845" i="12" s="1"/>
  <c r="A845" i="12"/>
  <c r="A844" i="12"/>
  <c r="B844" i="12" s="1"/>
  <c r="C844" i="12" s="1"/>
  <c r="C843" i="12"/>
  <c r="B843" i="12"/>
  <c r="A843" i="12"/>
  <c r="A842" i="12"/>
  <c r="B842" i="12" s="1"/>
  <c r="C842" i="12" s="1"/>
  <c r="A841" i="12"/>
  <c r="B841" i="12" s="1"/>
  <c r="C841" i="12" s="1"/>
  <c r="C840" i="12"/>
  <c r="A840" i="12"/>
  <c r="B840" i="12" s="1"/>
  <c r="A839" i="12"/>
  <c r="B839" i="12" s="1"/>
  <c r="C839" i="12" s="1"/>
  <c r="A838" i="12"/>
  <c r="B838" i="12" s="1"/>
  <c r="C838" i="12" s="1"/>
  <c r="B837" i="12"/>
  <c r="C837" i="12" s="1"/>
  <c r="A837" i="12"/>
  <c r="C836" i="12"/>
  <c r="A836" i="12"/>
  <c r="B836" i="12" s="1"/>
  <c r="A835" i="12"/>
  <c r="B835" i="12" s="1"/>
  <c r="C835" i="12" s="1"/>
  <c r="C834" i="12"/>
  <c r="A834" i="12"/>
  <c r="B834" i="12" s="1"/>
  <c r="A833" i="12"/>
  <c r="B833" i="12" s="1"/>
  <c r="C833" i="12" s="1"/>
  <c r="A832" i="12"/>
  <c r="B832" i="12" s="1"/>
  <c r="C832" i="12" s="1"/>
  <c r="A831" i="12"/>
  <c r="B831" i="12" s="1"/>
  <c r="C831" i="12" s="1"/>
  <c r="B830" i="12"/>
  <c r="C830" i="12" s="1"/>
  <c r="A830" i="12"/>
  <c r="C829" i="12"/>
  <c r="A829" i="12"/>
  <c r="B829" i="12" s="1"/>
  <c r="C828" i="12"/>
  <c r="A828" i="12"/>
  <c r="B828" i="12" s="1"/>
  <c r="C827" i="12"/>
  <c r="B827" i="12"/>
  <c r="A827" i="12"/>
  <c r="B826" i="12"/>
  <c r="C826" i="12" s="1"/>
  <c r="A826" i="12"/>
  <c r="B825" i="12"/>
  <c r="C825" i="12" s="1"/>
  <c r="A825" i="12"/>
  <c r="C824" i="12"/>
  <c r="A824" i="12"/>
  <c r="B824" i="12" s="1"/>
  <c r="A823" i="12"/>
  <c r="B823" i="12" s="1"/>
  <c r="C823" i="12" s="1"/>
  <c r="A822" i="12"/>
  <c r="B822" i="12" s="1"/>
  <c r="C822" i="12" s="1"/>
  <c r="C821" i="12"/>
  <c r="A821" i="12"/>
  <c r="B821" i="12" s="1"/>
  <c r="A820" i="12"/>
  <c r="B820" i="12" s="1"/>
  <c r="C820" i="12" s="1"/>
  <c r="A819" i="12"/>
  <c r="B819" i="12" s="1"/>
  <c r="C819" i="12" s="1"/>
  <c r="A818" i="12"/>
  <c r="B818" i="12" s="1"/>
  <c r="C818" i="12" s="1"/>
  <c r="C817" i="12"/>
  <c r="B817" i="12"/>
  <c r="A817" i="12"/>
  <c r="C816" i="12"/>
  <c r="A816" i="12"/>
  <c r="B816" i="12" s="1"/>
  <c r="C815" i="12"/>
  <c r="B815" i="12"/>
  <c r="A815" i="12"/>
  <c r="B814" i="12"/>
  <c r="C814" i="12" s="1"/>
  <c r="A814" i="12"/>
  <c r="A813" i="12"/>
  <c r="B813" i="12" s="1"/>
  <c r="C813" i="12" s="1"/>
  <c r="A812" i="12"/>
  <c r="B812" i="12" s="1"/>
  <c r="C812" i="12" s="1"/>
  <c r="C811" i="12"/>
  <c r="A811" i="12"/>
  <c r="B811" i="12" s="1"/>
  <c r="B810" i="12"/>
  <c r="C810" i="12" s="1"/>
  <c r="A810" i="12"/>
  <c r="A809" i="12"/>
  <c r="B809" i="12" s="1"/>
  <c r="C809" i="12" s="1"/>
  <c r="C808" i="12"/>
  <c r="A808" i="12"/>
  <c r="B808" i="12" s="1"/>
  <c r="A807" i="12"/>
  <c r="B807" i="12" s="1"/>
  <c r="C807" i="12" s="1"/>
  <c r="A806" i="12"/>
  <c r="B806" i="12" s="1"/>
  <c r="C806" i="12" s="1"/>
  <c r="A805" i="12"/>
  <c r="B805" i="12" s="1"/>
  <c r="C805" i="12" s="1"/>
  <c r="C804" i="12"/>
  <c r="A804" i="12"/>
  <c r="B804" i="12" s="1"/>
  <c r="B803" i="12"/>
  <c r="C803" i="12" s="1"/>
  <c r="A803" i="12"/>
  <c r="C802" i="12"/>
  <c r="B802" i="12"/>
  <c r="A802" i="12"/>
  <c r="B801" i="12"/>
  <c r="C801" i="12" s="1"/>
  <c r="A801" i="12"/>
  <c r="A800" i="12"/>
  <c r="B800" i="12" s="1"/>
  <c r="C800" i="12" s="1"/>
  <c r="A799" i="12"/>
  <c r="B799" i="12" s="1"/>
  <c r="C799" i="12" s="1"/>
  <c r="C798" i="12"/>
  <c r="B798" i="12"/>
  <c r="A798" i="12"/>
  <c r="B797" i="12"/>
  <c r="C797" i="12" s="1"/>
  <c r="A797" i="12"/>
  <c r="A796" i="12"/>
  <c r="B796" i="12" s="1"/>
  <c r="C796" i="12" s="1"/>
  <c r="B795" i="12"/>
  <c r="C795" i="12" s="1"/>
  <c r="A795" i="12"/>
  <c r="A794" i="12"/>
  <c r="B794" i="12" s="1"/>
  <c r="C794" i="12" s="1"/>
  <c r="C793" i="12"/>
  <c r="A793" i="12"/>
  <c r="B793" i="12" s="1"/>
  <c r="C792" i="12"/>
  <c r="A792" i="12"/>
  <c r="B792" i="12" s="1"/>
  <c r="A791" i="12"/>
  <c r="B791" i="12" s="1"/>
  <c r="C791" i="12" s="1"/>
  <c r="A790" i="12"/>
  <c r="B790" i="12" s="1"/>
  <c r="C790" i="12" s="1"/>
  <c r="C789" i="12"/>
  <c r="B789" i="12"/>
  <c r="A789" i="12"/>
  <c r="A788" i="12"/>
  <c r="B788" i="12" s="1"/>
  <c r="C788" i="12" s="1"/>
  <c r="A787" i="12"/>
  <c r="B787" i="12" s="1"/>
  <c r="C787" i="12" s="1"/>
  <c r="A786" i="12"/>
  <c r="B786" i="12" s="1"/>
  <c r="C786" i="12" s="1"/>
  <c r="A785" i="12"/>
  <c r="B785" i="12" s="1"/>
  <c r="C785" i="12" s="1"/>
  <c r="A784" i="12"/>
  <c r="B784" i="12" s="1"/>
  <c r="C784" i="12" s="1"/>
  <c r="A783" i="12"/>
  <c r="B783" i="12" s="1"/>
  <c r="C783" i="12" s="1"/>
  <c r="B782" i="12"/>
  <c r="C782" i="12" s="1"/>
  <c r="A782" i="12"/>
  <c r="A781" i="12"/>
  <c r="B781" i="12" s="1"/>
  <c r="C781" i="12" s="1"/>
  <c r="C780" i="12"/>
  <c r="A780" i="12"/>
  <c r="B780" i="12" s="1"/>
  <c r="B779" i="12"/>
  <c r="C779" i="12" s="1"/>
  <c r="A779" i="12"/>
  <c r="B778" i="12"/>
  <c r="C778" i="12" s="1"/>
  <c r="A778" i="12"/>
  <c r="B777" i="12"/>
  <c r="C777" i="12" s="1"/>
  <c r="A777" i="12"/>
  <c r="A776" i="12"/>
  <c r="B776" i="12" s="1"/>
  <c r="C776" i="12" s="1"/>
  <c r="B775" i="12"/>
  <c r="C775" i="12" s="1"/>
  <c r="A775" i="12"/>
  <c r="B774" i="12"/>
  <c r="C774" i="12" s="1"/>
  <c r="A774" i="12"/>
  <c r="A773" i="12"/>
  <c r="B773" i="12" s="1"/>
  <c r="C773" i="12" s="1"/>
  <c r="A772" i="12"/>
  <c r="B772" i="12" s="1"/>
  <c r="C772" i="12" s="1"/>
  <c r="A771" i="12"/>
  <c r="B771" i="12" s="1"/>
  <c r="C771" i="12" s="1"/>
  <c r="A770" i="12"/>
  <c r="B770" i="12" s="1"/>
  <c r="C770" i="12" s="1"/>
  <c r="C769" i="12"/>
  <c r="B769" i="12"/>
  <c r="A769" i="12"/>
  <c r="C768" i="12"/>
  <c r="A768" i="12"/>
  <c r="B768" i="12" s="1"/>
  <c r="B767" i="12"/>
  <c r="C767" i="12" s="1"/>
  <c r="A767" i="12"/>
  <c r="C766" i="12"/>
  <c r="B766" i="12"/>
  <c r="A766" i="12"/>
  <c r="B765" i="12"/>
  <c r="C765" i="12" s="1"/>
  <c r="A765" i="12"/>
  <c r="A764" i="12"/>
  <c r="B764" i="12" s="1"/>
  <c r="C764" i="12" s="1"/>
  <c r="C763" i="12"/>
  <c r="A763" i="12"/>
  <c r="B763" i="12" s="1"/>
  <c r="A762" i="12"/>
  <c r="B762" i="12" s="1"/>
  <c r="C762" i="12" s="1"/>
  <c r="B761" i="12"/>
  <c r="C761" i="12" s="1"/>
  <c r="A761" i="12"/>
  <c r="C760" i="12"/>
  <c r="A760" i="12"/>
  <c r="B760" i="12" s="1"/>
  <c r="B759" i="12"/>
  <c r="C759" i="12" s="1"/>
  <c r="A759" i="12"/>
  <c r="C758" i="12"/>
  <c r="A758" i="12"/>
  <c r="B758" i="12" s="1"/>
  <c r="A757" i="12"/>
  <c r="B757" i="12" s="1"/>
  <c r="C757" i="12" s="1"/>
  <c r="A756" i="12"/>
  <c r="B756" i="12" s="1"/>
  <c r="C756" i="12" s="1"/>
  <c r="B755" i="12"/>
  <c r="C755" i="12" s="1"/>
  <c r="A755" i="12"/>
  <c r="B754" i="12"/>
  <c r="C754" i="12" s="1"/>
  <c r="A754" i="12"/>
  <c r="B753" i="12"/>
  <c r="C753" i="12" s="1"/>
  <c r="A753" i="12"/>
  <c r="A752" i="12"/>
  <c r="B752" i="12" s="1"/>
  <c r="C752" i="12" s="1"/>
  <c r="C751" i="12"/>
  <c r="A751" i="12"/>
  <c r="B751" i="12" s="1"/>
  <c r="A750" i="12"/>
  <c r="B750" i="12" s="1"/>
  <c r="C750" i="12" s="1"/>
  <c r="A749" i="12"/>
  <c r="B749" i="12" s="1"/>
  <c r="C749" i="12" s="1"/>
  <c r="A748" i="12"/>
  <c r="B748" i="12" s="1"/>
  <c r="C748" i="12" s="1"/>
  <c r="B747" i="12"/>
  <c r="C747" i="12" s="1"/>
  <c r="A747" i="12"/>
  <c r="B746" i="12"/>
  <c r="C746" i="12" s="1"/>
  <c r="A746" i="12"/>
  <c r="C745" i="12"/>
  <c r="A745" i="12"/>
  <c r="B745" i="12" s="1"/>
  <c r="C744" i="12"/>
  <c r="A744" i="12"/>
  <c r="B744" i="12" s="1"/>
  <c r="B743" i="12"/>
  <c r="C743" i="12" s="1"/>
  <c r="A743" i="12"/>
  <c r="B742" i="12"/>
  <c r="C742" i="12" s="1"/>
  <c r="A742" i="12"/>
  <c r="B741" i="12"/>
  <c r="C741" i="12" s="1"/>
  <c r="A741" i="12"/>
  <c r="C740" i="12"/>
  <c r="A740" i="12"/>
  <c r="B740" i="12" s="1"/>
  <c r="B739" i="12"/>
  <c r="C739" i="12" s="1"/>
  <c r="A739" i="12"/>
  <c r="C738" i="12"/>
  <c r="A738" i="12"/>
  <c r="B738" i="12" s="1"/>
  <c r="C737" i="12"/>
  <c r="A737" i="12"/>
  <c r="B737" i="12" s="1"/>
  <c r="A736" i="12"/>
  <c r="B736" i="12" s="1"/>
  <c r="C736" i="12" s="1"/>
  <c r="C735" i="12"/>
  <c r="B735" i="12"/>
  <c r="A735" i="12"/>
  <c r="C734" i="12"/>
  <c r="B734" i="12"/>
  <c r="A734" i="12"/>
  <c r="A733" i="12"/>
  <c r="B733" i="12" s="1"/>
  <c r="C733" i="12" s="1"/>
  <c r="C732" i="12"/>
  <c r="A732" i="12"/>
  <c r="B732" i="12" s="1"/>
  <c r="A731" i="12"/>
  <c r="B731" i="12" s="1"/>
  <c r="C731" i="12" s="1"/>
  <c r="A730" i="12"/>
  <c r="B730" i="12" s="1"/>
  <c r="C730" i="12" s="1"/>
  <c r="A729" i="12"/>
  <c r="B729" i="12" s="1"/>
  <c r="C729" i="12" s="1"/>
  <c r="C728" i="12"/>
  <c r="A728" i="12"/>
  <c r="B728" i="12" s="1"/>
  <c r="B727" i="12"/>
  <c r="C727" i="12" s="1"/>
  <c r="A727" i="12"/>
  <c r="A726" i="12"/>
  <c r="B726" i="12" s="1"/>
  <c r="C726" i="12" s="1"/>
  <c r="A725" i="12"/>
  <c r="B725" i="12" s="1"/>
  <c r="C725" i="12" s="1"/>
  <c r="A724" i="12"/>
  <c r="B724" i="12" s="1"/>
  <c r="C724" i="12" s="1"/>
  <c r="C723" i="12"/>
  <c r="A723" i="12"/>
  <c r="B723" i="12" s="1"/>
  <c r="A722" i="12"/>
  <c r="B722" i="12" s="1"/>
  <c r="C722" i="12" s="1"/>
  <c r="B721" i="12"/>
  <c r="C721" i="12" s="1"/>
  <c r="A721" i="12"/>
  <c r="A720" i="12"/>
  <c r="B720" i="12" s="1"/>
  <c r="C720" i="12" s="1"/>
  <c r="C719" i="12"/>
  <c r="B719" i="12"/>
  <c r="A719" i="12"/>
  <c r="A718" i="12"/>
  <c r="B718" i="12" s="1"/>
  <c r="C718" i="12" s="1"/>
  <c r="B717" i="12"/>
  <c r="C717" i="12" s="1"/>
  <c r="A717" i="12"/>
  <c r="B716" i="12"/>
  <c r="C716" i="12" s="1"/>
  <c r="A716" i="12"/>
  <c r="C715" i="12"/>
  <c r="B715" i="12"/>
  <c r="A715" i="12"/>
  <c r="B714" i="12"/>
  <c r="C714" i="12" s="1"/>
  <c r="A714" i="12"/>
  <c r="A713" i="12"/>
  <c r="B713" i="12" s="1"/>
  <c r="C713" i="12" s="1"/>
  <c r="A712" i="12"/>
  <c r="B712" i="12" s="1"/>
  <c r="C712" i="12" s="1"/>
  <c r="B711" i="12"/>
  <c r="C711" i="12" s="1"/>
  <c r="A711" i="12"/>
  <c r="A710" i="12"/>
  <c r="B710" i="12" s="1"/>
  <c r="C710" i="12" s="1"/>
  <c r="A709" i="12"/>
  <c r="B709" i="12" s="1"/>
  <c r="C709" i="12" s="1"/>
  <c r="A708" i="12"/>
  <c r="B708" i="12" s="1"/>
  <c r="C708" i="12" s="1"/>
  <c r="C707" i="12"/>
  <c r="B707" i="12"/>
  <c r="A707" i="12"/>
  <c r="C706" i="12"/>
  <c r="B706" i="12"/>
  <c r="A706" i="12"/>
  <c r="B705" i="12"/>
  <c r="C705" i="12" s="1"/>
  <c r="A705" i="12"/>
  <c r="B704" i="12"/>
  <c r="C704" i="12" s="1"/>
  <c r="A704" i="12"/>
  <c r="C703" i="12"/>
  <c r="B703" i="12"/>
  <c r="A703" i="12"/>
  <c r="B702" i="12"/>
  <c r="C702" i="12" s="1"/>
  <c r="A702" i="12"/>
  <c r="B701" i="12"/>
  <c r="C701" i="12" s="1"/>
  <c r="A701" i="12"/>
  <c r="B700" i="12"/>
  <c r="C700" i="12" s="1"/>
  <c r="A700" i="12"/>
  <c r="B699" i="12"/>
  <c r="C699" i="12" s="1"/>
  <c r="A699" i="12"/>
  <c r="A698" i="12"/>
  <c r="B698" i="12" s="1"/>
  <c r="C698" i="12" s="1"/>
  <c r="C697" i="12"/>
  <c r="B697" i="12"/>
  <c r="A697" i="12"/>
  <c r="B696" i="12"/>
  <c r="C696" i="12" s="1"/>
  <c r="A696" i="12"/>
  <c r="C695" i="12"/>
  <c r="B695" i="12"/>
  <c r="A695" i="12"/>
  <c r="C694" i="12"/>
  <c r="A694" i="12"/>
  <c r="B694" i="12" s="1"/>
  <c r="A693" i="12"/>
  <c r="B693" i="12" s="1"/>
  <c r="C693" i="12" s="1"/>
  <c r="B692" i="12"/>
  <c r="C692" i="12" s="1"/>
  <c r="A692" i="12"/>
  <c r="C691" i="12"/>
  <c r="B691" i="12"/>
  <c r="A691" i="12"/>
  <c r="C690" i="12"/>
  <c r="B690" i="12"/>
  <c r="A690" i="12"/>
  <c r="A689" i="12"/>
  <c r="B689" i="12" s="1"/>
  <c r="C689" i="12" s="1"/>
  <c r="A688" i="12"/>
  <c r="B688" i="12" s="1"/>
  <c r="C688" i="12" s="1"/>
  <c r="B687" i="12"/>
  <c r="C687" i="12" s="1"/>
  <c r="A687" i="12"/>
  <c r="B686" i="12"/>
  <c r="C686" i="12" s="1"/>
  <c r="A686" i="12"/>
  <c r="B685" i="12"/>
  <c r="C685" i="12" s="1"/>
  <c r="A685" i="12"/>
  <c r="A684" i="12"/>
  <c r="B684" i="12" s="1"/>
  <c r="C684" i="12" s="1"/>
  <c r="C683" i="12"/>
  <c r="B683" i="12"/>
  <c r="A683" i="12"/>
  <c r="B682" i="12"/>
  <c r="C682" i="12" s="1"/>
  <c r="A682" i="12"/>
  <c r="C681" i="12"/>
  <c r="A681" i="12"/>
  <c r="B681" i="12" s="1"/>
  <c r="B680" i="12"/>
  <c r="C680" i="12" s="1"/>
  <c r="A680" i="12"/>
  <c r="B679" i="12"/>
  <c r="C679" i="12" s="1"/>
  <c r="A679" i="12"/>
  <c r="C678" i="12"/>
  <c r="A678" i="12"/>
  <c r="B678" i="12" s="1"/>
  <c r="B677" i="12"/>
  <c r="C677" i="12" s="1"/>
  <c r="A677" i="12"/>
  <c r="A676" i="12"/>
  <c r="B676" i="12" s="1"/>
  <c r="C676" i="12" s="1"/>
  <c r="B675" i="12"/>
  <c r="C675" i="12" s="1"/>
  <c r="A675" i="12"/>
  <c r="C674" i="12"/>
  <c r="B674" i="12"/>
  <c r="A674" i="12"/>
  <c r="B673" i="12"/>
  <c r="C673" i="12" s="1"/>
  <c r="A673" i="12"/>
  <c r="A672" i="12"/>
  <c r="B672" i="12" s="1"/>
  <c r="C672" i="12" s="1"/>
  <c r="B671" i="12"/>
  <c r="C671" i="12" s="1"/>
  <c r="A671" i="12"/>
  <c r="B670" i="12"/>
  <c r="C670" i="12" s="1"/>
  <c r="A670" i="12"/>
  <c r="A669" i="12"/>
  <c r="B669" i="12" s="1"/>
  <c r="C669" i="12" s="1"/>
  <c r="B668" i="12"/>
  <c r="C668" i="12" s="1"/>
  <c r="A668" i="12"/>
  <c r="C667" i="12"/>
  <c r="B667" i="12"/>
  <c r="A667" i="12"/>
  <c r="A666" i="12"/>
  <c r="B666" i="12" s="1"/>
  <c r="C666" i="12" s="1"/>
  <c r="B665" i="12"/>
  <c r="C665" i="12" s="1"/>
  <c r="A665" i="12"/>
  <c r="A664" i="12"/>
  <c r="B664" i="12" s="1"/>
  <c r="C664" i="12" s="1"/>
  <c r="B663" i="12"/>
  <c r="C663" i="12" s="1"/>
  <c r="A663" i="12"/>
  <c r="B662" i="12"/>
  <c r="C662" i="12" s="1"/>
  <c r="A662" i="12"/>
  <c r="B661" i="12"/>
  <c r="C661" i="12" s="1"/>
  <c r="A661" i="12"/>
  <c r="B660" i="12"/>
  <c r="C660" i="12" s="1"/>
  <c r="A660" i="12"/>
  <c r="C659" i="12"/>
  <c r="B659" i="12"/>
  <c r="A659" i="12"/>
  <c r="C658" i="12"/>
  <c r="A658" i="12"/>
  <c r="B658" i="12" s="1"/>
  <c r="A657" i="12"/>
  <c r="B657" i="12" s="1"/>
  <c r="C657" i="12" s="1"/>
  <c r="B656" i="12"/>
  <c r="C656" i="12" s="1"/>
  <c r="A656" i="12"/>
  <c r="B655" i="12"/>
  <c r="C655" i="12" s="1"/>
  <c r="A655" i="12"/>
  <c r="C654" i="12"/>
  <c r="B654" i="12"/>
  <c r="A654" i="12"/>
  <c r="C653" i="12"/>
  <c r="A653" i="12"/>
  <c r="B653" i="12" s="1"/>
  <c r="B652" i="12"/>
  <c r="C652" i="12" s="1"/>
  <c r="A652" i="12"/>
  <c r="C651" i="12"/>
  <c r="B651" i="12"/>
  <c r="A651" i="12"/>
  <c r="B650" i="12"/>
  <c r="C650" i="12" s="1"/>
  <c r="A650" i="12"/>
  <c r="A649" i="12"/>
  <c r="B649" i="12" s="1"/>
  <c r="C649" i="12" s="1"/>
  <c r="A648" i="12"/>
  <c r="B648" i="12" s="1"/>
  <c r="C648" i="12" s="1"/>
  <c r="C647" i="12"/>
  <c r="B647" i="12"/>
  <c r="A647" i="12"/>
  <c r="A646" i="12"/>
  <c r="B646" i="12" s="1"/>
  <c r="C646" i="12" s="1"/>
  <c r="B645" i="12"/>
  <c r="C645" i="12" s="1"/>
  <c r="A645" i="12"/>
  <c r="A644" i="12"/>
  <c r="B644" i="12" s="1"/>
  <c r="C644" i="12" s="1"/>
  <c r="B643" i="12"/>
  <c r="C643" i="12" s="1"/>
  <c r="A643" i="12"/>
  <c r="B642" i="12"/>
  <c r="C642" i="12" s="1"/>
  <c r="A642" i="12"/>
  <c r="A641" i="12"/>
  <c r="B641" i="12" s="1"/>
  <c r="C641" i="12" s="1"/>
  <c r="B640" i="12"/>
  <c r="C640" i="12" s="1"/>
  <c r="A640" i="12"/>
  <c r="C639" i="12"/>
  <c r="B639" i="12"/>
  <c r="A639" i="12"/>
  <c r="B638" i="12"/>
  <c r="C638" i="12" s="1"/>
  <c r="A638" i="12"/>
  <c r="A637" i="12"/>
  <c r="B637" i="12" s="1"/>
  <c r="C637" i="12" s="1"/>
  <c r="A636" i="12"/>
  <c r="B636" i="12" s="1"/>
  <c r="C636" i="12" s="1"/>
  <c r="C635" i="12"/>
  <c r="B635" i="12"/>
  <c r="A635" i="12"/>
  <c r="A634" i="12"/>
  <c r="B634" i="12" s="1"/>
  <c r="C634" i="12" s="1"/>
  <c r="C633" i="12"/>
  <c r="A633" i="12"/>
  <c r="B633" i="12" s="1"/>
  <c r="A632" i="12"/>
  <c r="B632" i="12" s="1"/>
  <c r="C632" i="12" s="1"/>
  <c r="B631" i="12"/>
  <c r="C631" i="12" s="1"/>
  <c r="A631" i="12"/>
  <c r="B630" i="12"/>
  <c r="C630" i="12" s="1"/>
  <c r="A630" i="12"/>
  <c r="B629" i="12"/>
  <c r="C629" i="12" s="1"/>
  <c r="A629" i="12"/>
  <c r="B628" i="12"/>
  <c r="C628" i="12" s="1"/>
  <c r="A628" i="12"/>
  <c r="C627" i="12"/>
  <c r="B627" i="12"/>
  <c r="A627" i="12"/>
  <c r="A626" i="12"/>
  <c r="B626" i="12" s="1"/>
  <c r="C626" i="12" s="1"/>
  <c r="A625" i="12"/>
  <c r="B625" i="12" s="1"/>
  <c r="C625" i="12" s="1"/>
  <c r="A624" i="12"/>
  <c r="B624" i="12" s="1"/>
  <c r="C624" i="12" s="1"/>
  <c r="C623" i="12"/>
  <c r="B623" i="12"/>
  <c r="A623" i="12"/>
  <c r="A622" i="12"/>
  <c r="B622" i="12" s="1"/>
  <c r="C622" i="12" s="1"/>
  <c r="B621" i="12"/>
  <c r="C621" i="12" s="1"/>
  <c r="A621" i="12"/>
  <c r="B620" i="12"/>
  <c r="C620" i="12" s="1"/>
  <c r="A620" i="12"/>
  <c r="C619" i="12"/>
  <c r="B619" i="12"/>
  <c r="A619" i="12"/>
  <c r="C618" i="12"/>
  <c r="A618" i="12"/>
  <c r="B618" i="12" s="1"/>
  <c r="A617" i="12"/>
  <c r="B617" i="12" s="1"/>
  <c r="C617" i="12" s="1"/>
  <c r="A616" i="12"/>
  <c r="B616" i="12" s="1"/>
  <c r="C616" i="12" s="1"/>
  <c r="B615" i="12"/>
  <c r="C615" i="12" s="1"/>
  <c r="A615" i="12"/>
  <c r="C614" i="12"/>
  <c r="A614" i="12"/>
  <c r="B614" i="12" s="1"/>
  <c r="B613" i="12"/>
  <c r="C613" i="12" s="1"/>
  <c r="A613" i="12"/>
  <c r="A612" i="12"/>
  <c r="B612" i="12" s="1"/>
  <c r="C612" i="12" s="1"/>
  <c r="C611" i="12"/>
  <c r="B611" i="12"/>
  <c r="A611" i="12"/>
  <c r="B610" i="12"/>
  <c r="C610" i="12" s="1"/>
  <c r="A610" i="12"/>
  <c r="C609" i="12"/>
  <c r="B609" i="12"/>
  <c r="A609" i="12"/>
  <c r="B608" i="12"/>
  <c r="C608" i="12" s="1"/>
  <c r="A608" i="12"/>
  <c r="C607" i="12"/>
  <c r="B607" i="12"/>
  <c r="A607" i="12"/>
  <c r="A606" i="12"/>
  <c r="B606" i="12" s="1"/>
  <c r="C606" i="12" s="1"/>
  <c r="A605" i="12"/>
  <c r="B605" i="12" s="1"/>
  <c r="C605" i="12" s="1"/>
  <c r="B604" i="12"/>
  <c r="C604" i="12" s="1"/>
  <c r="A604" i="12"/>
  <c r="B603" i="12"/>
  <c r="C603" i="12" s="1"/>
  <c r="A603" i="12"/>
  <c r="A602" i="12"/>
  <c r="B602" i="12" s="1"/>
  <c r="C602" i="12" s="1"/>
  <c r="C601" i="12"/>
  <c r="B601" i="12"/>
  <c r="A601" i="12"/>
  <c r="A600" i="12"/>
  <c r="B600" i="12" s="1"/>
  <c r="C600" i="12" s="1"/>
  <c r="C599" i="12"/>
  <c r="B599" i="12"/>
  <c r="A599" i="12"/>
  <c r="C598" i="12"/>
  <c r="A598" i="12"/>
  <c r="B598" i="12" s="1"/>
  <c r="A597" i="12"/>
  <c r="B597" i="12" s="1"/>
  <c r="C597" i="12" s="1"/>
  <c r="B596" i="12"/>
  <c r="C596" i="12" s="1"/>
  <c r="A596" i="12"/>
  <c r="C595" i="12"/>
  <c r="B595" i="12"/>
  <c r="A595" i="12"/>
  <c r="C594" i="12"/>
  <c r="B594" i="12"/>
  <c r="A594" i="12"/>
  <c r="A593" i="12"/>
  <c r="B593" i="12" s="1"/>
  <c r="C593" i="12" s="1"/>
  <c r="B592" i="12"/>
  <c r="C592" i="12" s="1"/>
  <c r="A592" i="12"/>
  <c r="B591" i="12"/>
  <c r="C591" i="12" s="1"/>
  <c r="A591" i="12"/>
  <c r="B590" i="12"/>
  <c r="C590" i="12" s="1"/>
  <c r="A590" i="12"/>
  <c r="B589" i="12"/>
  <c r="C589" i="12" s="1"/>
  <c r="A589" i="12"/>
  <c r="A588" i="12"/>
  <c r="B588" i="12" s="1"/>
  <c r="C588" i="12" s="1"/>
  <c r="C587" i="12"/>
  <c r="B587" i="12"/>
  <c r="A587" i="12"/>
  <c r="C586" i="12"/>
  <c r="A586" i="12"/>
  <c r="B586" i="12" s="1"/>
  <c r="C585" i="12"/>
  <c r="A585" i="12"/>
  <c r="B585" i="12" s="1"/>
  <c r="B584" i="12"/>
  <c r="C584" i="12" s="1"/>
  <c r="A584" i="12"/>
  <c r="B583" i="12"/>
  <c r="C583" i="12" s="1"/>
  <c r="A583" i="12"/>
  <c r="C582" i="12"/>
  <c r="A582" i="12"/>
  <c r="B582" i="12" s="1"/>
  <c r="C581" i="12"/>
  <c r="B581" i="12"/>
  <c r="A581" i="12"/>
  <c r="A580" i="12"/>
  <c r="B580" i="12" s="1"/>
  <c r="C580" i="12" s="1"/>
  <c r="B579" i="12"/>
  <c r="C579" i="12" s="1"/>
  <c r="A579" i="12"/>
  <c r="B578" i="12"/>
  <c r="C578" i="12" s="1"/>
  <c r="A578" i="12"/>
  <c r="C577" i="12"/>
  <c r="B577" i="12"/>
  <c r="A577" i="12"/>
  <c r="A576" i="12"/>
  <c r="B576" i="12" s="1"/>
  <c r="C576" i="12" s="1"/>
  <c r="B575" i="12"/>
  <c r="C575" i="12" s="1"/>
  <c r="A575" i="12"/>
  <c r="B574" i="12"/>
  <c r="C574" i="12" s="1"/>
  <c r="A574" i="12"/>
  <c r="C573" i="12"/>
  <c r="A573" i="12"/>
  <c r="B573" i="12" s="1"/>
  <c r="C572" i="12"/>
  <c r="A572" i="12"/>
  <c r="B572" i="12" s="1"/>
  <c r="C571" i="12"/>
  <c r="B571" i="12"/>
  <c r="A571" i="12"/>
  <c r="A570" i="12"/>
  <c r="B570" i="12" s="1"/>
  <c r="C570" i="12" s="1"/>
  <c r="C569" i="12"/>
  <c r="B569" i="12"/>
  <c r="A569" i="12"/>
  <c r="A568" i="12"/>
  <c r="B568" i="12" s="1"/>
  <c r="C568" i="12" s="1"/>
  <c r="B567" i="12"/>
  <c r="C567" i="12" s="1"/>
  <c r="A567" i="12"/>
  <c r="C566" i="12"/>
  <c r="A566" i="12"/>
  <c r="B566" i="12" s="1"/>
  <c r="A565" i="12"/>
  <c r="B565" i="12" s="1"/>
  <c r="C565" i="12" s="1"/>
  <c r="A564" i="12"/>
  <c r="B564" i="12" s="1"/>
  <c r="C564" i="12" s="1"/>
  <c r="C563" i="12"/>
  <c r="B563" i="12"/>
  <c r="A563" i="12"/>
  <c r="B562" i="12"/>
  <c r="C562" i="12" s="1"/>
  <c r="A562" i="12"/>
  <c r="B561" i="12"/>
  <c r="C561" i="12" s="1"/>
  <c r="A561" i="12"/>
  <c r="C560" i="12"/>
  <c r="A560" i="12"/>
  <c r="B560" i="12" s="1"/>
  <c r="B559" i="12"/>
  <c r="C559" i="12" s="1"/>
  <c r="A559" i="12"/>
  <c r="C558" i="12"/>
  <c r="A558" i="12"/>
  <c r="B558" i="12" s="1"/>
  <c r="A557" i="12"/>
  <c r="B557" i="12" s="1"/>
  <c r="C557" i="12" s="1"/>
  <c r="A556" i="12"/>
  <c r="B556" i="12" s="1"/>
  <c r="C556" i="12" s="1"/>
  <c r="B555" i="12"/>
  <c r="C555" i="12" s="1"/>
  <c r="A555" i="12"/>
  <c r="B554" i="12"/>
  <c r="C554" i="12" s="1"/>
  <c r="A554" i="12"/>
  <c r="A553" i="12"/>
  <c r="B553" i="12" s="1"/>
  <c r="C553" i="12" s="1"/>
  <c r="A552" i="12"/>
  <c r="B552" i="12" s="1"/>
  <c r="C552" i="12" s="1"/>
  <c r="C551" i="12"/>
  <c r="B551" i="12"/>
  <c r="A551" i="12"/>
  <c r="C550" i="12"/>
  <c r="B550" i="12"/>
  <c r="A550" i="12"/>
  <c r="B549" i="12"/>
  <c r="C549" i="12" s="1"/>
  <c r="A549" i="12"/>
  <c r="A548" i="12"/>
  <c r="B548" i="12" s="1"/>
  <c r="C548" i="12" s="1"/>
  <c r="B547" i="12"/>
  <c r="C547" i="12" s="1"/>
  <c r="A547" i="12"/>
  <c r="B546" i="12"/>
  <c r="C546" i="12" s="1"/>
  <c r="A546" i="12"/>
  <c r="A545" i="12"/>
  <c r="B545" i="12" s="1"/>
  <c r="C545" i="12" s="1"/>
  <c r="A544" i="12"/>
  <c r="B544" i="12" s="1"/>
  <c r="C544" i="12" s="1"/>
  <c r="B543" i="12"/>
  <c r="C543" i="12" s="1"/>
  <c r="A543" i="12"/>
  <c r="B542" i="12"/>
  <c r="C542" i="12" s="1"/>
  <c r="A542" i="12"/>
  <c r="A541" i="12"/>
  <c r="B541" i="12" s="1"/>
  <c r="C541" i="12" s="1"/>
  <c r="C540" i="12"/>
  <c r="A540" i="12"/>
  <c r="B540" i="12" s="1"/>
  <c r="B539" i="12"/>
  <c r="C539" i="12" s="1"/>
  <c r="A539" i="12"/>
  <c r="A538" i="12"/>
  <c r="B538" i="12" s="1"/>
  <c r="C538" i="12" s="1"/>
  <c r="B537" i="12"/>
  <c r="C537" i="12" s="1"/>
  <c r="A537" i="12"/>
  <c r="A536" i="12"/>
  <c r="B536" i="12" s="1"/>
  <c r="C536" i="12" s="1"/>
  <c r="B535" i="12"/>
  <c r="C535" i="12" s="1"/>
  <c r="A535" i="12"/>
  <c r="B534" i="12"/>
  <c r="C534" i="12" s="1"/>
  <c r="A534" i="12"/>
  <c r="B533" i="12"/>
  <c r="C533" i="12" s="1"/>
  <c r="A533" i="12"/>
  <c r="C532" i="12"/>
  <c r="A532" i="12"/>
  <c r="B532" i="12" s="1"/>
  <c r="C531" i="12"/>
  <c r="A531" i="12"/>
  <c r="B531" i="12" s="1"/>
  <c r="C530" i="12"/>
  <c r="B530" i="12"/>
  <c r="A530" i="12"/>
  <c r="A529" i="12"/>
  <c r="B529" i="12" s="1"/>
  <c r="C529" i="12" s="1"/>
  <c r="A528" i="12"/>
  <c r="B528" i="12" s="1"/>
  <c r="C528" i="12" s="1"/>
  <c r="B527" i="12"/>
  <c r="C527" i="12" s="1"/>
  <c r="A527" i="12"/>
  <c r="A526" i="12"/>
  <c r="B526" i="12" s="1"/>
  <c r="C526" i="12" s="1"/>
  <c r="C525" i="12"/>
  <c r="A525" i="12"/>
  <c r="B525" i="12" s="1"/>
  <c r="A524" i="12"/>
  <c r="B524" i="12" s="1"/>
  <c r="C524" i="12" s="1"/>
  <c r="C523" i="12"/>
  <c r="B523" i="12"/>
  <c r="A523" i="12"/>
  <c r="A522" i="12"/>
  <c r="B522" i="12" s="1"/>
  <c r="C522" i="12" s="1"/>
  <c r="C521" i="12"/>
  <c r="B521" i="12"/>
  <c r="A521" i="12"/>
  <c r="A520" i="12"/>
  <c r="B520" i="12" s="1"/>
  <c r="C520" i="12" s="1"/>
  <c r="A519" i="12"/>
  <c r="B519" i="12" s="1"/>
  <c r="C519" i="12" s="1"/>
  <c r="C518" i="12"/>
  <c r="A518" i="12"/>
  <c r="B518" i="12" s="1"/>
  <c r="C517" i="12"/>
  <c r="A517" i="12"/>
  <c r="B517" i="12" s="1"/>
  <c r="A516" i="12"/>
  <c r="B516" i="12" s="1"/>
  <c r="C516" i="12" s="1"/>
  <c r="A515" i="12"/>
  <c r="B515" i="12" s="1"/>
  <c r="C515" i="12" s="1"/>
  <c r="C514" i="12"/>
  <c r="B514" i="12"/>
  <c r="A514" i="12"/>
  <c r="A513" i="12"/>
  <c r="B513" i="12" s="1"/>
  <c r="C513" i="12" s="1"/>
  <c r="C512" i="12"/>
  <c r="A512" i="12"/>
  <c r="B512" i="12" s="1"/>
  <c r="C511" i="12"/>
  <c r="A511" i="12"/>
  <c r="B511" i="12" s="1"/>
  <c r="B510" i="12"/>
  <c r="C510" i="12" s="1"/>
  <c r="A510" i="12"/>
  <c r="A509" i="12"/>
  <c r="B509" i="12" s="1"/>
  <c r="C509" i="12" s="1"/>
  <c r="C508" i="12"/>
  <c r="A508" i="12"/>
  <c r="B508" i="12" s="1"/>
  <c r="A507" i="12"/>
  <c r="B507" i="12" s="1"/>
  <c r="C507" i="12" s="1"/>
  <c r="B506" i="12"/>
  <c r="C506" i="12" s="1"/>
  <c r="A506" i="12"/>
  <c r="A505" i="12"/>
  <c r="B505" i="12" s="1"/>
  <c r="C505" i="12" s="1"/>
  <c r="C504" i="12"/>
  <c r="A504" i="12"/>
  <c r="B504" i="12" s="1"/>
  <c r="A503" i="12"/>
  <c r="B503" i="12" s="1"/>
  <c r="C503" i="12" s="1"/>
  <c r="A502" i="12"/>
  <c r="B502" i="12" s="1"/>
  <c r="C502" i="12" s="1"/>
  <c r="B501" i="12"/>
  <c r="C501" i="12" s="1"/>
  <c r="A501" i="12"/>
  <c r="A500" i="12"/>
  <c r="B500" i="12" s="1"/>
  <c r="C500" i="12" s="1"/>
  <c r="B499" i="12"/>
  <c r="C499" i="12" s="1"/>
  <c r="A499" i="12"/>
  <c r="A498" i="12"/>
  <c r="B498" i="12" s="1"/>
  <c r="C498" i="12" s="1"/>
  <c r="B497" i="12"/>
  <c r="C497" i="12" s="1"/>
  <c r="A497" i="12"/>
  <c r="A496" i="12"/>
  <c r="B496" i="12" s="1"/>
  <c r="C496" i="12" s="1"/>
  <c r="A495" i="12"/>
  <c r="B495" i="12" s="1"/>
  <c r="C495" i="12" s="1"/>
  <c r="B494" i="12"/>
  <c r="C494" i="12" s="1"/>
  <c r="A494" i="12"/>
  <c r="B493" i="12"/>
  <c r="C493" i="12" s="1"/>
  <c r="A493" i="12"/>
  <c r="C492" i="12"/>
  <c r="A492" i="12"/>
  <c r="B492" i="12" s="1"/>
  <c r="A491" i="12"/>
  <c r="B491" i="12" s="1"/>
  <c r="C491" i="12" s="1"/>
  <c r="A490" i="12"/>
  <c r="B490" i="12" s="1"/>
  <c r="C490" i="12" s="1"/>
  <c r="C489" i="12"/>
  <c r="B489" i="12"/>
  <c r="A489" i="12"/>
  <c r="A488" i="12"/>
  <c r="B488" i="12" s="1"/>
  <c r="C488" i="12" s="1"/>
  <c r="A487" i="12"/>
  <c r="B487" i="12" s="1"/>
  <c r="C487" i="12" s="1"/>
  <c r="C486" i="12"/>
  <c r="B486" i="12"/>
  <c r="A486" i="12"/>
  <c r="A485" i="12"/>
  <c r="B485" i="12" s="1"/>
  <c r="C485" i="12" s="1"/>
  <c r="A484" i="12"/>
  <c r="B484" i="12" s="1"/>
  <c r="C484" i="12" s="1"/>
  <c r="C483" i="12"/>
  <c r="A483" i="12"/>
  <c r="B483" i="12" s="1"/>
  <c r="B482" i="12"/>
  <c r="C482" i="12" s="1"/>
  <c r="A482" i="12"/>
  <c r="B481" i="12"/>
  <c r="C481" i="12" s="1"/>
  <c r="A481" i="12"/>
  <c r="C480" i="12"/>
  <c r="A480" i="12"/>
  <c r="B480" i="12" s="1"/>
  <c r="B479" i="12"/>
  <c r="C479" i="12" s="1"/>
  <c r="A479" i="12"/>
  <c r="B478" i="12"/>
  <c r="C478" i="12" s="1"/>
  <c r="A478" i="12"/>
  <c r="A477" i="12"/>
  <c r="B477" i="12" s="1"/>
  <c r="C477" i="12" s="1"/>
  <c r="A476" i="12"/>
  <c r="B476" i="12" s="1"/>
  <c r="C476" i="12" s="1"/>
  <c r="B475" i="12"/>
  <c r="C475" i="12" s="1"/>
  <c r="A475" i="12"/>
  <c r="A474" i="12"/>
  <c r="B474" i="12" s="1"/>
  <c r="C474" i="12" s="1"/>
  <c r="B473" i="12"/>
  <c r="C473" i="12" s="1"/>
  <c r="A473" i="12"/>
  <c r="A472" i="12"/>
  <c r="B472" i="12" s="1"/>
  <c r="C472" i="12" s="1"/>
  <c r="A471" i="12"/>
  <c r="B471" i="12" s="1"/>
  <c r="C471" i="12" s="1"/>
  <c r="A470" i="12"/>
  <c r="B470" i="12" s="1"/>
  <c r="C470" i="12" s="1"/>
  <c r="A469" i="12"/>
  <c r="B469" i="12" s="1"/>
  <c r="C469" i="12" s="1"/>
  <c r="A468" i="12"/>
  <c r="B468" i="12" s="1"/>
  <c r="C468" i="12" s="1"/>
  <c r="A467" i="12"/>
  <c r="B467" i="12" s="1"/>
  <c r="C467" i="12" s="1"/>
  <c r="B466" i="12"/>
  <c r="C466" i="12" s="1"/>
  <c r="A466" i="12"/>
  <c r="B465" i="12"/>
  <c r="C465" i="12" s="1"/>
  <c r="A465" i="12"/>
  <c r="C464" i="12"/>
  <c r="A464" i="12"/>
  <c r="B464" i="12" s="1"/>
  <c r="C463" i="12"/>
  <c r="B463" i="12"/>
  <c r="A463" i="12"/>
  <c r="A462" i="12"/>
  <c r="B462" i="12" s="1"/>
  <c r="C462" i="12" s="1"/>
  <c r="B461" i="12"/>
  <c r="C461" i="12" s="1"/>
  <c r="A461" i="12"/>
  <c r="C460" i="12"/>
  <c r="A460" i="12"/>
  <c r="B460" i="12" s="1"/>
  <c r="B459" i="12"/>
  <c r="C459" i="12" s="1"/>
  <c r="A459" i="12"/>
  <c r="A458" i="12"/>
  <c r="B458" i="12" s="1"/>
  <c r="C458" i="12" s="1"/>
  <c r="A457" i="12"/>
  <c r="B457" i="12" s="1"/>
  <c r="C457" i="12" s="1"/>
  <c r="C456" i="12"/>
  <c r="A456" i="12"/>
  <c r="B456" i="12" s="1"/>
  <c r="C455" i="12"/>
  <c r="A455" i="12"/>
  <c r="B455" i="12" s="1"/>
  <c r="B454" i="12"/>
  <c r="C454" i="12" s="1"/>
  <c r="A454" i="12"/>
  <c r="B453" i="12"/>
  <c r="C453" i="12" s="1"/>
  <c r="A453" i="12"/>
  <c r="C452" i="12"/>
  <c r="A452" i="12"/>
  <c r="B452" i="12" s="1"/>
  <c r="B451" i="12"/>
  <c r="C451" i="12" s="1"/>
  <c r="A451" i="12"/>
  <c r="A450" i="12"/>
  <c r="B450" i="12" s="1"/>
  <c r="C450" i="12" s="1"/>
  <c r="A449" i="12"/>
  <c r="B449" i="12" s="1"/>
  <c r="C449" i="12" s="1"/>
  <c r="A448" i="12"/>
  <c r="B448" i="12" s="1"/>
  <c r="C448" i="12" s="1"/>
  <c r="B447" i="12"/>
  <c r="C447" i="12" s="1"/>
  <c r="A447" i="12"/>
  <c r="C446" i="12"/>
  <c r="A446" i="12"/>
  <c r="B446" i="12" s="1"/>
  <c r="C445" i="12"/>
  <c r="B445" i="12"/>
  <c r="A445" i="12"/>
  <c r="C444" i="12"/>
  <c r="A444" i="12"/>
  <c r="B444" i="12" s="1"/>
  <c r="C443" i="12"/>
  <c r="B443" i="12"/>
  <c r="A443" i="12"/>
  <c r="B442" i="12"/>
  <c r="C442" i="12" s="1"/>
  <c r="A442" i="12"/>
  <c r="C441" i="12"/>
  <c r="B441" i="12"/>
  <c r="A441" i="12"/>
  <c r="C440" i="12"/>
  <c r="A440" i="12"/>
  <c r="B440" i="12" s="1"/>
  <c r="B439" i="12"/>
  <c r="C439" i="12" s="1"/>
  <c r="A439" i="12"/>
  <c r="C438" i="12"/>
  <c r="B438" i="12"/>
  <c r="A438" i="12"/>
  <c r="C437" i="12"/>
  <c r="A437" i="12"/>
  <c r="B437" i="12" s="1"/>
  <c r="C436" i="12"/>
  <c r="A436" i="12"/>
  <c r="B436" i="12" s="1"/>
  <c r="C435" i="12"/>
  <c r="A435" i="12"/>
  <c r="B435" i="12" s="1"/>
  <c r="A434" i="12"/>
  <c r="B434" i="12" s="1"/>
  <c r="C434" i="12" s="1"/>
  <c r="A433" i="12"/>
  <c r="B433" i="12" s="1"/>
  <c r="C433" i="12" s="1"/>
  <c r="A432" i="12"/>
  <c r="B432" i="12" s="1"/>
  <c r="C432" i="12" s="1"/>
  <c r="C431" i="12"/>
  <c r="B431" i="12"/>
  <c r="A431" i="12"/>
  <c r="B430" i="12"/>
  <c r="C430" i="12" s="1"/>
  <c r="A430" i="12"/>
  <c r="B429" i="12"/>
  <c r="C429" i="12" s="1"/>
  <c r="A429" i="12"/>
  <c r="C428" i="12"/>
  <c r="A428" i="12"/>
  <c r="B428" i="12" s="1"/>
  <c r="A427" i="12"/>
  <c r="B427" i="12" s="1"/>
  <c r="C427" i="12" s="1"/>
  <c r="B426" i="12"/>
  <c r="C426" i="12" s="1"/>
  <c r="A426" i="12"/>
  <c r="C425" i="12"/>
  <c r="B425" i="12"/>
  <c r="A425" i="12"/>
  <c r="A424" i="12"/>
  <c r="B424" i="12" s="1"/>
  <c r="C424" i="12" s="1"/>
  <c r="B423" i="12"/>
  <c r="C423" i="12" s="1"/>
  <c r="A423" i="12"/>
  <c r="B422" i="12"/>
  <c r="C422" i="12" s="1"/>
  <c r="A422" i="12"/>
  <c r="B421" i="12"/>
  <c r="C421" i="12" s="1"/>
  <c r="A421" i="12"/>
  <c r="C420" i="12"/>
  <c r="B420" i="12"/>
  <c r="A420" i="12"/>
  <c r="A419" i="12"/>
  <c r="B419" i="12" s="1"/>
  <c r="C419" i="12" s="1"/>
  <c r="B418" i="12"/>
  <c r="C418" i="12" s="1"/>
  <c r="A418" i="12"/>
  <c r="A417" i="12"/>
  <c r="B417" i="12" s="1"/>
  <c r="C417" i="12" s="1"/>
  <c r="A416" i="12"/>
  <c r="B416" i="12" s="1"/>
  <c r="C416" i="12" s="1"/>
  <c r="B415" i="12"/>
  <c r="C415" i="12" s="1"/>
  <c r="A415" i="12"/>
  <c r="B414" i="12"/>
  <c r="C414" i="12" s="1"/>
  <c r="A414" i="12"/>
  <c r="C413" i="12"/>
  <c r="B413" i="12"/>
  <c r="A413" i="12"/>
  <c r="C412" i="12"/>
  <c r="B412" i="12"/>
  <c r="A412" i="12"/>
  <c r="A411" i="12"/>
  <c r="B411" i="12" s="1"/>
  <c r="C411" i="12" s="1"/>
  <c r="A410" i="12"/>
  <c r="B410" i="12" s="1"/>
  <c r="C410" i="12" s="1"/>
  <c r="B409" i="12"/>
  <c r="C409" i="12" s="1"/>
  <c r="A409" i="12"/>
  <c r="A408" i="12"/>
  <c r="B408" i="12" s="1"/>
  <c r="C408" i="12" s="1"/>
  <c r="B407" i="12"/>
  <c r="C407" i="12" s="1"/>
  <c r="A407" i="12"/>
  <c r="B406" i="12"/>
  <c r="C406" i="12" s="1"/>
  <c r="A406" i="12"/>
  <c r="C405" i="12"/>
  <c r="A405" i="12"/>
  <c r="B405" i="12" s="1"/>
  <c r="A404" i="12"/>
  <c r="B404" i="12" s="1"/>
  <c r="C404" i="12" s="1"/>
  <c r="A403" i="12"/>
  <c r="B403" i="12" s="1"/>
  <c r="C403" i="12" s="1"/>
  <c r="A402" i="12"/>
  <c r="B402" i="12" s="1"/>
  <c r="C402" i="12" s="1"/>
  <c r="B401" i="12"/>
  <c r="C401" i="12" s="1"/>
  <c r="A401" i="12"/>
  <c r="C400" i="12"/>
  <c r="B400" i="12"/>
  <c r="A400" i="12"/>
  <c r="B399" i="12"/>
  <c r="C399" i="12" s="1"/>
  <c r="A399" i="12"/>
  <c r="B398" i="12"/>
  <c r="C398" i="12" s="1"/>
  <c r="A398" i="12"/>
  <c r="A397" i="12"/>
  <c r="B397" i="12" s="1"/>
  <c r="C397" i="12" s="1"/>
  <c r="B396" i="12"/>
  <c r="C396" i="12" s="1"/>
  <c r="A396" i="12"/>
  <c r="A395" i="12"/>
  <c r="B395" i="12" s="1"/>
  <c r="C395" i="12" s="1"/>
  <c r="A394" i="12"/>
  <c r="B394" i="12" s="1"/>
  <c r="C394" i="12" s="1"/>
  <c r="B393" i="12"/>
  <c r="C393" i="12" s="1"/>
  <c r="A393" i="12"/>
  <c r="A392" i="12"/>
  <c r="B392" i="12" s="1"/>
  <c r="C392" i="12" s="1"/>
  <c r="A391" i="12"/>
  <c r="B391" i="12" s="1"/>
  <c r="C391" i="12" s="1"/>
  <c r="A390" i="12"/>
  <c r="B390" i="12" s="1"/>
  <c r="C390" i="12" s="1"/>
  <c r="A389" i="12"/>
  <c r="B389" i="12" s="1"/>
  <c r="C389" i="12" s="1"/>
  <c r="A388" i="12"/>
  <c r="B388" i="12" s="1"/>
  <c r="C388" i="12" s="1"/>
  <c r="C387" i="12"/>
  <c r="B387" i="12"/>
  <c r="A387" i="12"/>
  <c r="A386" i="12"/>
  <c r="B386" i="12" s="1"/>
  <c r="C386" i="12" s="1"/>
  <c r="B385" i="12"/>
  <c r="C385" i="12" s="1"/>
  <c r="A385" i="12"/>
  <c r="A384" i="12"/>
  <c r="B384" i="12" s="1"/>
  <c r="C384" i="12" s="1"/>
  <c r="B383" i="12"/>
  <c r="C383" i="12" s="1"/>
  <c r="A383" i="12"/>
  <c r="A382" i="12"/>
  <c r="B382" i="12" s="1"/>
  <c r="C382" i="12" s="1"/>
  <c r="A381" i="12"/>
  <c r="B381" i="12" s="1"/>
  <c r="C381" i="12" s="1"/>
  <c r="B380" i="12"/>
  <c r="C380" i="12" s="1"/>
  <c r="A380" i="12"/>
  <c r="A379" i="12"/>
  <c r="B379" i="12" s="1"/>
  <c r="C379" i="12" s="1"/>
  <c r="B378" i="12"/>
  <c r="C378" i="12" s="1"/>
  <c r="A378" i="12"/>
  <c r="C377" i="12"/>
  <c r="B377" i="12"/>
  <c r="A377" i="12"/>
  <c r="A376" i="12"/>
  <c r="B376" i="12" s="1"/>
  <c r="C376" i="12" s="1"/>
  <c r="B375" i="12"/>
  <c r="C375" i="12" s="1"/>
  <c r="A375" i="12"/>
  <c r="B374" i="12"/>
  <c r="C374" i="12" s="1"/>
  <c r="A374" i="12"/>
  <c r="B373" i="12"/>
  <c r="C373" i="12" s="1"/>
  <c r="A373" i="12"/>
  <c r="B372" i="12"/>
  <c r="C372" i="12" s="1"/>
  <c r="A372" i="12"/>
  <c r="A371" i="12"/>
  <c r="B371" i="12" s="1"/>
  <c r="C371" i="12" s="1"/>
  <c r="A370" i="12"/>
  <c r="B370" i="12" s="1"/>
  <c r="C370" i="12" s="1"/>
  <c r="A369" i="12"/>
  <c r="B369" i="12" s="1"/>
  <c r="C369" i="12" s="1"/>
  <c r="C368" i="12"/>
  <c r="A368" i="12"/>
  <c r="B368" i="12" s="1"/>
  <c r="B367" i="12"/>
  <c r="C367" i="12" s="1"/>
  <c r="A367" i="12"/>
  <c r="B366" i="12"/>
  <c r="C366" i="12" s="1"/>
  <c r="A366" i="12"/>
  <c r="C365" i="12"/>
  <c r="B365" i="12"/>
  <c r="A365" i="12"/>
  <c r="A364" i="12"/>
  <c r="B364" i="12" s="1"/>
  <c r="C364" i="12" s="1"/>
  <c r="A363" i="12"/>
  <c r="B363" i="12" s="1"/>
  <c r="C363" i="12" s="1"/>
  <c r="A362" i="12"/>
  <c r="B362" i="12" s="1"/>
  <c r="C362" i="12" s="1"/>
  <c r="C361" i="12"/>
  <c r="B361" i="12"/>
  <c r="A361" i="12"/>
  <c r="A360" i="12"/>
  <c r="B360" i="12" s="1"/>
  <c r="C360" i="12" s="1"/>
  <c r="C359" i="12"/>
  <c r="B359" i="12"/>
  <c r="A359" i="12"/>
  <c r="B358" i="12"/>
  <c r="C358" i="12" s="1"/>
  <c r="A358" i="12"/>
  <c r="C357" i="12"/>
  <c r="A357" i="12"/>
  <c r="B357" i="12" s="1"/>
  <c r="A356" i="12"/>
  <c r="B356" i="12" s="1"/>
  <c r="C356" i="12" s="1"/>
  <c r="C355" i="12"/>
  <c r="A355" i="12"/>
  <c r="B355" i="12" s="1"/>
  <c r="A354" i="12"/>
  <c r="B354" i="12" s="1"/>
  <c r="C354" i="12" s="1"/>
  <c r="A353" i="12"/>
  <c r="B353" i="12" s="1"/>
  <c r="C353" i="12" s="1"/>
  <c r="C352" i="12"/>
  <c r="B352" i="12"/>
  <c r="A352" i="12"/>
  <c r="A351" i="12"/>
  <c r="B351" i="12" s="1"/>
  <c r="C351" i="12" s="1"/>
  <c r="B350" i="12"/>
  <c r="C350" i="12" s="1"/>
  <c r="A350" i="12"/>
  <c r="A349" i="12"/>
  <c r="B349" i="12" s="1"/>
  <c r="C349" i="12" s="1"/>
  <c r="B348" i="12"/>
  <c r="C348" i="12" s="1"/>
  <c r="A348" i="12"/>
  <c r="A347" i="12"/>
  <c r="B347" i="12" s="1"/>
  <c r="C347" i="12" s="1"/>
  <c r="A346" i="12"/>
  <c r="B346" i="12" s="1"/>
  <c r="C346" i="12" s="1"/>
  <c r="B345" i="12"/>
  <c r="C345" i="12" s="1"/>
  <c r="A345" i="12"/>
  <c r="A344" i="12"/>
  <c r="B344" i="12" s="1"/>
  <c r="C344" i="12" s="1"/>
  <c r="A343" i="12"/>
  <c r="B343" i="12" s="1"/>
  <c r="C343" i="12" s="1"/>
  <c r="B342" i="12"/>
  <c r="C342" i="12" s="1"/>
  <c r="A342" i="12"/>
  <c r="A341" i="12"/>
  <c r="B341" i="12" s="1"/>
  <c r="C341" i="12" s="1"/>
  <c r="A340" i="12"/>
  <c r="B340" i="12" s="1"/>
  <c r="C340" i="12" s="1"/>
  <c r="C339" i="12"/>
  <c r="B339" i="12"/>
  <c r="A339" i="12"/>
  <c r="A338" i="12"/>
  <c r="B338" i="12" s="1"/>
  <c r="C338" i="12" s="1"/>
  <c r="C337" i="12"/>
  <c r="B337" i="12"/>
  <c r="A337" i="12"/>
  <c r="A336" i="12"/>
  <c r="B336" i="12" s="1"/>
  <c r="C336" i="12" s="1"/>
  <c r="B335" i="12"/>
  <c r="C335" i="12" s="1"/>
  <c r="A335" i="12"/>
  <c r="A334" i="12"/>
  <c r="B334" i="12" s="1"/>
  <c r="C334" i="12" s="1"/>
  <c r="A333" i="12"/>
  <c r="B333" i="12" s="1"/>
  <c r="C333" i="12" s="1"/>
  <c r="B332" i="12"/>
  <c r="C332" i="12" s="1"/>
  <c r="A332" i="12"/>
  <c r="C331" i="12"/>
  <c r="A331" i="12"/>
  <c r="B331" i="12" s="1"/>
  <c r="B330" i="12"/>
  <c r="C330" i="12" s="1"/>
  <c r="A330" i="12"/>
  <c r="B329" i="12"/>
  <c r="C329" i="12" s="1"/>
  <c r="A329" i="12"/>
  <c r="A328" i="12"/>
  <c r="B328" i="12" s="1"/>
  <c r="C328" i="12" s="1"/>
  <c r="B327" i="12"/>
  <c r="C327" i="12" s="1"/>
  <c r="A327" i="12"/>
  <c r="B326" i="12"/>
  <c r="C326" i="12" s="1"/>
  <c r="A326" i="12"/>
  <c r="B325" i="12"/>
  <c r="C325" i="12" s="1"/>
  <c r="A325" i="12"/>
  <c r="C324" i="12"/>
  <c r="B324" i="12"/>
  <c r="A324" i="12"/>
  <c r="A323" i="12"/>
  <c r="B323" i="12" s="1"/>
  <c r="C323" i="12" s="1"/>
  <c r="B322" i="12"/>
  <c r="C322" i="12" s="1"/>
  <c r="A322" i="12"/>
  <c r="A321" i="12"/>
  <c r="B321" i="12" s="1"/>
  <c r="C321" i="12" s="1"/>
  <c r="A320" i="12"/>
  <c r="B320" i="12" s="1"/>
  <c r="C320" i="12" s="1"/>
  <c r="B319" i="12"/>
  <c r="C319" i="12" s="1"/>
  <c r="A319" i="12"/>
  <c r="B318" i="12"/>
  <c r="C318" i="12" s="1"/>
  <c r="A318" i="12"/>
  <c r="C317" i="12"/>
  <c r="B317" i="12"/>
  <c r="A317" i="12"/>
  <c r="B316" i="12"/>
  <c r="C316" i="12" s="1"/>
  <c r="A316" i="12"/>
  <c r="A315" i="12"/>
  <c r="B315" i="12" s="1"/>
  <c r="C315" i="12" s="1"/>
  <c r="A314" i="12"/>
  <c r="B314" i="12" s="1"/>
  <c r="C314" i="12" s="1"/>
  <c r="B313" i="12"/>
  <c r="C313" i="12" s="1"/>
  <c r="A313" i="12"/>
  <c r="A312" i="12"/>
  <c r="B312" i="12" s="1"/>
  <c r="C312" i="12" s="1"/>
  <c r="B311" i="12"/>
  <c r="C311" i="12" s="1"/>
  <c r="A311" i="12"/>
  <c r="B310" i="12"/>
  <c r="C310" i="12" s="1"/>
  <c r="A310" i="12"/>
  <c r="C309" i="12"/>
  <c r="A309" i="12"/>
  <c r="B309" i="12" s="1"/>
  <c r="A308" i="12"/>
  <c r="B308" i="12" s="1"/>
  <c r="C308" i="12" s="1"/>
  <c r="A307" i="12"/>
  <c r="B307" i="12" s="1"/>
  <c r="C307" i="12" s="1"/>
  <c r="A306" i="12"/>
  <c r="B306" i="12" s="1"/>
  <c r="C306" i="12" s="1"/>
  <c r="B305" i="12"/>
  <c r="C305" i="12" s="1"/>
  <c r="A305" i="12"/>
  <c r="C304" i="12"/>
  <c r="B304" i="12"/>
  <c r="A304" i="12"/>
  <c r="B303" i="12"/>
  <c r="C303" i="12" s="1"/>
  <c r="A303" i="12"/>
  <c r="B302" i="12"/>
  <c r="C302" i="12" s="1"/>
  <c r="A302" i="12"/>
  <c r="A301" i="12"/>
  <c r="B301" i="12" s="1"/>
  <c r="C301" i="12" s="1"/>
  <c r="C300" i="12"/>
  <c r="B300" i="12"/>
  <c r="A300" i="12"/>
  <c r="A299" i="12"/>
  <c r="B299" i="12" s="1"/>
  <c r="C299" i="12" s="1"/>
  <c r="A298" i="12"/>
  <c r="B298" i="12" s="1"/>
  <c r="C298" i="12" s="1"/>
  <c r="B297" i="12"/>
  <c r="C297" i="12" s="1"/>
  <c r="A297" i="12"/>
  <c r="A296" i="12"/>
  <c r="B296" i="12" s="1"/>
  <c r="C296" i="12" s="1"/>
  <c r="A295" i="12"/>
  <c r="B295" i="12" s="1"/>
  <c r="C295" i="12" s="1"/>
  <c r="A294" i="12"/>
  <c r="B294" i="12" s="1"/>
  <c r="C294" i="12" s="1"/>
  <c r="A293" i="12"/>
  <c r="B293" i="12" s="1"/>
  <c r="C293" i="12" s="1"/>
  <c r="A292" i="12"/>
  <c r="B292" i="12" s="1"/>
  <c r="C292" i="12" s="1"/>
  <c r="C291" i="12"/>
  <c r="B291" i="12"/>
  <c r="A291" i="12"/>
  <c r="A290" i="12"/>
  <c r="B290" i="12" s="1"/>
  <c r="C290" i="12" s="1"/>
  <c r="C289" i="12"/>
  <c r="B289" i="12"/>
  <c r="A289" i="12"/>
  <c r="A288" i="12"/>
  <c r="B288" i="12" s="1"/>
  <c r="C288" i="12" s="1"/>
  <c r="B287" i="12"/>
  <c r="C287" i="12" s="1"/>
  <c r="A287" i="12"/>
  <c r="A286" i="12"/>
  <c r="B286" i="12" s="1"/>
  <c r="C286" i="12" s="1"/>
  <c r="A285" i="12"/>
  <c r="B285" i="12" s="1"/>
  <c r="C285" i="12" s="1"/>
  <c r="B284" i="12"/>
  <c r="C284" i="12" s="1"/>
  <c r="A284" i="12"/>
  <c r="A283" i="12"/>
  <c r="B283" i="12" s="1"/>
  <c r="C283" i="12" s="1"/>
  <c r="B282" i="12"/>
  <c r="C282" i="12" s="1"/>
  <c r="A282" i="12"/>
  <c r="B281" i="12"/>
  <c r="C281" i="12" s="1"/>
  <c r="A281" i="12"/>
  <c r="A280" i="12"/>
  <c r="B280" i="12" s="1"/>
  <c r="C280" i="12" s="1"/>
  <c r="A279" i="12"/>
  <c r="B279" i="12" s="1"/>
  <c r="C279" i="12" s="1"/>
  <c r="B278" i="12"/>
  <c r="C278" i="12" s="1"/>
  <c r="A278" i="12"/>
  <c r="B277" i="12"/>
  <c r="C277" i="12" s="1"/>
  <c r="A277" i="12"/>
  <c r="B276" i="12"/>
  <c r="C276" i="12" s="1"/>
  <c r="A276" i="12"/>
  <c r="A275" i="12"/>
  <c r="B275" i="12" s="1"/>
  <c r="C275" i="12" s="1"/>
  <c r="A274" i="12"/>
  <c r="B274" i="12" s="1"/>
  <c r="C274" i="12" s="1"/>
  <c r="A273" i="12"/>
  <c r="B273" i="12" s="1"/>
  <c r="C273" i="12" s="1"/>
  <c r="A272" i="12"/>
  <c r="B272" i="12" s="1"/>
  <c r="C272" i="12" s="1"/>
  <c r="B271" i="12"/>
  <c r="C271" i="12" s="1"/>
  <c r="A271" i="12"/>
  <c r="A270" i="12"/>
  <c r="B270" i="12" s="1"/>
  <c r="C270" i="12" s="1"/>
  <c r="C269" i="12"/>
  <c r="B269" i="12"/>
  <c r="A269" i="12"/>
  <c r="B268" i="12"/>
  <c r="C268" i="12" s="1"/>
  <c r="A268" i="12"/>
  <c r="A267" i="12"/>
  <c r="B267" i="12" s="1"/>
  <c r="C267" i="12" s="1"/>
  <c r="A266" i="12"/>
  <c r="B266" i="12" s="1"/>
  <c r="C266" i="12" s="1"/>
  <c r="C265" i="12"/>
  <c r="B265" i="12"/>
  <c r="A265" i="12"/>
  <c r="A264" i="12"/>
  <c r="B264" i="12" s="1"/>
  <c r="C264" i="12" s="1"/>
  <c r="C263" i="12"/>
  <c r="A263" i="12"/>
  <c r="B263" i="12" s="1"/>
  <c r="A262" i="12"/>
  <c r="B262" i="12" s="1"/>
  <c r="C262" i="12" s="1"/>
  <c r="C261" i="12"/>
  <c r="B261" i="12"/>
  <c r="A261" i="12"/>
  <c r="C260" i="12"/>
  <c r="A260" i="12"/>
  <c r="B260" i="12" s="1"/>
  <c r="A259" i="12"/>
  <c r="B259" i="12" s="1"/>
  <c r="C259" i="12" s="1"/>
  <c r="A258" i="12"/>
  <c r="B258" i="12" s="1"/>
  <c r="C258" i="12" s="1"/>
  <c r="C257" i="12"/>
  <c r="B257" i="12"/>
  <c r="A257" i="12"/>
  <c r="A256" i="12"/>
  <c r="B256" i="12" s="1"/>
  <c r="C256" i="12" s="1"/>
  <c r="A255" i="12"/>
  <c r="B255" i="12" s="1"/>
  <c r="C255" i="12" s="1"/>
  <c r="B254" i="12"/>
  <c r="C254" i="12" s="1"/>
  <c r="A254" i="12"/>
  <c r="C253" i="12"/>
  <c r="B253" i="12"/>
  <c r="A253" i="12"/>
  <c r="A252" i="12"/>
  <c r="B252" i="12" s="1"/>
  <c r="C252" i="12" s="1"/>
  <c r="A251" i="12"/>
  <c r="B251" i="12" s="1"/>
  <c r="C251" i="12" s="1"/>
  <c r="A250" i="12"/>
  <c r="B250" i="12" s="1"/>
  <c r="C250" i="12" s="1"/>
  <c r="C249" i="12"/>
  <c r="B249" i="12"/>
  <c r="A249" i="12"/>
  <c r="B248" i="12"/>
  <c r="C248" i="12" s="1"/>
  <c r="A248" i="12"/>
  <c r="A247" i="12"/>
  <c r="B247" i="12" s="1"/>
  <c r="C247" i="12" s="1"/>
  <c r="A246" i="12"/>
  <c r="B246" i="12" s="1"/>
  <c r="C246" i="12" s="1"/>
  <c r="C245" i="12"/>
  <c r="B245" i="12"/>
  <c r="A245" i="12"/>
  <c r="C244" i="12"/>
  <c r="B244" i="12"/>
  <c r="A244" i="12"/>
  <c r="A243" i="12"/>
  <c r="B243" i="12" s="1"/>
  <c r="C243" i="12" s="1"/>
  <c r="A242" i="12"/>
  <c r="B242" i="12" s="1"/>
  <c r="C242" i="12" s="1"/>
  <c r="C241" i="12"/>
  <c r="B241" i="12"/>
  <c r="A241" i="12"/>
  <c r="A240" i="12"/>
  <c r="B240" i="12" s="1"/>
  <c r="C240" i="12" s="1"/>
  <c r="A239" i="12"/>
  <c r="B239" i="12" s="1"/>
  <c r="C239" i="12" s="1"/>
  <c r="B238" i="12"/>
  <c r="C238" i="12" s="1"/>
  <c r="A238" i="12"/>
  <c r="C237" i="12"/>
  <c r="B237" i="12"/>
  <c r="A237" i="12"/>
  <c r="A236" i="12"/>
  <c r="B236" i="12" s="1"/>
  <c r="C236" i="12" s="1"/>
  <c r="C235" i="12"/>
  <c r="A235" i="12"/>
  <c r="B235" i="12" s="1"/>
  <c r="B234" i="12"/>
  <c r="C234" i="12" s="1"/>
  <c r="A234" i="12"/>
  <c r="C233" i="12"/>
  <c r="B233" i="12"/>
  <c r="A233" i="12"/>
  <c r="B232" i="12"/>
  <c r="C232" i="12" s="1"/>
  <c r="A232" i="12"/>
  <c r="A231" i="12"/>
  <c r="B231" i="12" s="1"/>
  <c r="C231" i="12" s="1"/>
  <c r="A230" i="12"/>
  <c r="B230" i="12" s="1"/>
  <c r="C230" i="12" s="1"/>
  <c r="B229" i="12"/>
  <c r="C229" i="12" s="1"/>
  <c r="A229" i="12"/>
  <c r="A228" i="12"/>
  <c r="B228" i="12" s="1"/>
  <c r="C228" i="12" s="1"/>
  <c r="C227" i="12"/>
  <c r="A227" i="12"/>
  <c r="B227" i="12" s="1"/>
  <c r="A226" i="12"/>
  <c r="B226" i="12" s="1"/>
  <c r="C226" i="12" s="1"/>
  <c r="C225" i="12"/>
  <c r="B225" i="12"/>
  <c r="A225" i="12"/>
  <c r="A224" i="12"/>
  <c r="B224" i="12" s="1"/>
  <c r="C224" i="12" s="1"/>
  <c r="A223" i="12"/>
  <c r="B223" i="12" s="1"/>
  <c r="C223" i="12" s="1"/>
  <c r="A222" i="12"/>
  <c r="B222" i="12" s="1"/>
  <c r="C222" i="12" s="1"/>
  <c r="B221" i="12"/>
  <c r="C221" i="12" s="1"/>
  <c r="A221" i="12"/>
  <c r="A220" i="12"/>
  <c r="B220" i="12" s="1"/>
  <c r="C220" i="12" s="1"/>
  <c r="C219" i="12"/>
  <c r="A219" i="12"/>
  <c r="B219" i="12" s="1"/>
  <c r="A218" i="12"/>
  <c r="B218" i="12" s="1"/>
  <c r="C218" i="12" s="1"/>
  <c r="C217" i="12"/>
  <c r="B217" i="12"/>
  <c r="A217" i="12"/>
  <c r="B216" i="12"/>
  <c r="C216" i="12" s="1"/>
  <c r="A216" i="12"/>
  <c r="A215" i="12"/>
  <c r="B215" i="12" s="1"/>
  <c r="C215" i="12" s="1"/>
  <c r="B214" i="12"/>
  <c r="C214" i="12" s="1"/>
  <c r="A214" i="12"/>
  <c r="B213" i="12"/>
  <c r="C213" i="12" s="1"/>
  <c r="A213" i="12"/>
  <c r="A212" i="12"/>
  <c r="B212" i="12" s="1"/>
  <c r="C212" i="12" s="1"/>
  <c r="A211" i="12"/>
  <c r="B211" i="12" s="1"/>
  <c r="C211" i="12" s="1"/>
  <c r="B210" i="12"/>
  <c r="C210" i="12" s="1"/>
  <c r="A210" i="12"/>
  <c r="B209" i="12"/>
  <c r="C209" i="12" s="1"/>
  <c r="A209" i="12"/>
  <c r="C208" i="12"/>
  <c r="A208" i="12"/>
  <c r="B208" i="12" s="1"/>
  <c r="A207" i="12"/>
  <c r="B207" i="12" s="1"/>
  <c r="C207" i="12" s="1"/>
  <c r="B206" i="12"/>
  <c r="C206" i="12" s="1"/>
  <c r="A206" i="12"/>
  <c r="C205" i="12"/>
  <c r="B205" i="12"/>
  <c r="A205" i="12"/>
  <c r="A204" i="12"/>
  <c r="B204" i="12" s="1"/>
  <c r="C204" i="12" s="1"/>
  <c r="A203" i="12"/>
  <c r="B203" i="12" s="1"/>
  <c r="C203" i="12" s="1"/>
  <c r="A202" i="12"/>
  <c r="B202" i="12" s="1"/>
  <c r="C202" i="12" s="1"/>
  <c r="C201" i="12"/>
  <c r="B201" i="12"/>
  <c r="A201" i="12"/>
  <c r="A200" i="12"/>
  <c r="B200" i="12" s="1"/>
  <c r="C200" i="12" s="1"/>
  <c r="A199" i="12"/>
  <c r="B199" i="12" s="1"/>
  <c r="C199" i="12" s="1"/>
  <c r="A198" i="12"/>
  <c r="B198" i="12" s="1"/>
  <c r="C198" i="12" s="1"/>
  <c r="B197" i="12"/>
  <c r="C197" i="12" s="1"/>
  <c r="A197" i="12"/>
  <c r="B196" i="12"/>
  <c r="C196" i="12" s="1"/>
  <c r="A196" i="12"/>
  <c r="C195" i="12"/>
  <c r="A195" i="12"/>
  <c r="B195" i="12" s="1"/>
  <c r="A194" i="12"/>
  <c r="B194" i="12" s="1"/>
  <c r="C194" i="12" s="1"/>
  <c r="C193" i="12"/>
  <c r="B193" i="12"/>
  <c r="A193" i="12"/>
  <c r="A192" i="12"/>
  <c r="B192" i="12" s="1"/>
  <c r="C192" i="12" s="1"/>
  <c r="C191" i="12"/>
  <c r="A191" i="12"/>
  <c r="B191" i="12" s="1"/>
  <c r="B190" i="12"/>
  <c r="C190" i="12" s="1"/>
  <c r="A190" i="12"/>
  <c r="B189" i="12"/>
  <c r="C189" i="12" s="1"/>
  <c r="A189" i="12"/>
  <c r="C188" i="12"/>
  <c r="A188" i="12"/>
  <c r="B188" i="12" s="1"/>
  <c r="C187" i="12"/>
  <c r="A187" i="12"/>
  <c r="B187" i="12" s="1"/>
  <c r="A186" i="12"/>
  <c r="B186" i="12" s="1"/>
  <c r="C186" i="12" s="1"/>
  <c r="C185" i="12"/>
  <c r="B185" i="12"/>
  <c r="A185" i="12"/>
  <c r="B184" i="12"/>
  <c r="C184" i="12" s="1"/>
  <c r="A184" i="12"/>
  <c r="A183" i="12"/>
  <c r="B183" i="12" s="1"/>
  <c r="C183" i="12" s="1"/>
  <c r="B182" i="12"/>
  <c r="C182" i="12" s="1"/>
  <c r="A182" i="12"/>
  <c r="B181" i="12"/>
  <c r="C181" i="12" s="1"/>
  <c r="A181" i="12"/>
  <c r="A180" i="12"/>
  <c r="B180" i="12" s="1"/>
  <c r="C180" i="12" s="1"/>
  <c r="C179" i="12"/>
  <c r="A179" i="12"/>
  <c r="B179" i="12" s="1"/>
  <c r="A178" i="12"/>
  <c r="B178" i="12" s="1"/>
  <c r="C178" i="12" s="1"/>
  <c r="B177" i="12"/>
  <c r="C177" i="12" s="1"/>
  <c r="A177" i="12"/>
  <c r="A176" i="12"/>
  <c r="B176" i="12" s="1"/>
  <c r="C176" i="12" s="1"/>
  <c r="A175" i="12"/>
  <c r="B175" i="12" s="1"/>
  <c r="C175" i="12" s="1"/>
  <c r="A174" i="12"/>
  <c r="B174" i="12" s="1"/>
  <c r="C174" i="12" s="1"/>
  <c r="B173" i="12"/>
  <c r="C173" i="12" s="1"/>
  <c r="A173" i="12"/>
  <c r="A172" i="12"/>
  <c r="B172" i="12" s="1"/>
  <c r="C172" i="12" s="1"/>
  <c r="C171" i="12"/>
  <c r="A171" i="12"/>
  <c r="B171" i="12" s="1"/>
  <c r="A170" i="12"/>
  <c r="B170" i="12" s="1"/>
  <c r="C170" i="12" s="1"/>
  <c r="B169" i="12"/>
  <c r="C169" i="12" s="1"/>
  <c r="A169" i="12"/>
  <c r="B168" i="12"/>
  <c r="C168" i="12" s="1"/>
  <c r="A168" i="12"/>
  <c r="A167" i="12"/>
  <c r="B167" i="12" s="1"/>
  <c r="C167" i="12" s="1"/>
  <c r="A166" i="12"/>
  <c r="B166" i="12" s="1"/>
  <c r="C166" i="12" s="1"/>
  <c r="B165" i="12"/>
  <c r="C165" i="12" s="1"/>
  <c r="A165" i="12"/>
  <c r="A164" i="12"/>
  <c r="B164" i="12" s="1"/>
  <c r="C164" i="12" s="1"/>
  <c r="A163" i="12"/>
  <c r="B163" i="12" s="1"/>
  <c r="C163" i="12" s="1"/>
  <c r="B162" i="12"/>
  <c r="C162" i="12" s="1"/>
  <c r="A162" i="12"/>
  <c r="B161" i="12"/>
  <c r="C161" i="12" s="1"/>
  <c r="A161" i="12"/>
  <c r="C160" i="12"/>
  <c r="B160" i="12"/>
  <c r="A160" i="12"/>
  <c r="A159" i="12"/>
  <c r="B159" i="12" s="1"/>
  <c r="C159" i="12" s="1"/>
  <c r="B158" i="12"/>
  <c r="C158" i="12" s="1"/>
  <c r="A158" i="12"/>
  <c r="B157" i="12"/>
  <c r="C157" i="12" s="1"/>
  <c r="A157" i="12"/>
  <c r="A156" i="12"/>
  <c r="B156" i="12" s="1"/>
  <c r="C156" i="12" s="1"/>
  <c r="A155" i="12"/>
  <c r="B155" i="12" s="1"/>
  <c r="C155" i="12" s="1"/>
  <c r="A154" i="12"/>
  <c r="B154" i="12" s="1"/>
  <c r="C154" i="12" s="1"/>
  <c r="C153" i="12"/>
  <c r="B153" i="12"/>
  <c r="A153" i="12"/>
  <c r="B152" i="12"/>
  <c r="C152" i="12" s="1"/>
  <c r="A152" i="12"/>
  <c r="A151" i="12"/>
  <c r="B151" i="12" s="1"/>
  <c r="C151" i="12" s="1"/>
  <c r="A150" i="12"/>
  <c r="B150" i="12" s="1"/>
  <c r="C150" i="12" s="1"/>
  <c r="B149" i="12"/>
  <c r="C149" i="12" s="1"/>
  <c r="A149" i="12"/>
  <c r="C148" i="12"/>
  <c r="B148" i="12"/>
  <c r="A148" i="12"/>
  <c r="C147" i="12"/>
  <c r="A147" i="12"/>
  <c r="B147" i="12" s="1"/>
  <c r="A146" i="12"/>
  <c r="B146" i="12" s="1"/>
  <c r="C146" i="12" s="1"/>
  <c r="C145" i="12"/>
  <c r="B145" i="12"/>
  <c r="A145" i="12"/>
  <c r="B144" i="12"/>
  <c r="C144" i="12" s="1"/>
  <c r="A144" i="12"/>
  <c r="A143" i="12"/>
  <c r="B143" i="12" s="1"/>
  <c r="C143" i="12" s="1"/>
  <c r="B142" i="12"/>
  <c r="C142" i="12" s="1"/>
  <c r="A142" i="12"/>
  <c r="B141" i="12"/>
  <c r="C141" i="12" s="1"/>
  <c r="A141" i="12"/>
  <c r="A140" i="12"/>
  <c r="B140" i="12" s="1"/>
  <c r="C140" i="12" s="1"/>
  <c r="C139" i="12"/>
  <c r="A139" i="12"/>
  <c r="B139" i="12" s="1"/>
  <c r="B138" i="12"/>
  <c r="C138" i="12" s="1"/>
  <c r="A138" i="12"/>
  <c r="C137" i="12"/>
  <c r="B137" i="12"/>
  <c r="A137" i="12"/>
  <c r="A136" i="12"/>
  <c r="B136" i="12" s="1"/>
  <c r="C136" i="12" s="1"/>
  <c r="A135" i="12"/>
  <c r="B135" i="12" s="1"/>
  <c r="C135" i="12" s="1"/>
  <c r="A134" i="12"/>
  <c r="B134" i="12" s="1"/>
  <c r="C134" i="12" s="1"/>
  <c r="B133" i="12"/>
  <c r="C133" i="12" s="1"/>
  <c r="A133" i="12"/>
  <c r="A132" i="12"/>
  <c r="B132" i="12" s="1"/>
  <c r="C132" i="12" s="1"/>
  <c r="C131" i="12"/>
  <c r="A131" i="12"/>
  <c r="B131" i="12" s="1"/>
  <c r="A130" i="12"/>
  <c r="B130" i="12" s="1"/>
  <c r="C130" i="12" s="1"/>
  <c r="B129" i="12"/>
  <c r="C129" i="12" s="1"/>
  <c r="A129" i="12"/>
  <c r="A128" i="12"/>
  <c r="B128" i="12" s="1"/>
  <c r="C128" i="12" s="1"/>
  <c r="A127" i="12"/>
  <c r="B127" i="12" s="1"/>
  <c r="C127" i="12" s="1"/>
  <c r="A126" i="12"/>
  <c r="B126" i="12" s="1"/>
  <c r="C126" i="12" s="1"/>
  <c r="B125" i="12"/>
  <c r="C125" i="12" s="1"/>
  <c r="A125" i="12"/>
  <c r="B124" i="12"/>
  <c r="C124" i="12" s="1"/>
  <c r="A124" i="12"/>
  <c r="C123" i="12"/>
  <c r="B123" i="12"/>
  <c r="A123" i="12"/>
  <c r="B122" i="12"/>
  <c r="C122" i="12" s="1"/>
  <c r="A122" i="12"/>
  <c r="C121" i="12"/>
  <c r="B121" i="12"/>
  <c r="A121" i="12"/>
  <c r="B120" i="12"/>
  <c r="C120" i="12" s="1"/>
  <c r="A120" i="12"/>
  <c r="A119" i="12"/>
  <c r="B119" i="12" s="1"/>
  <c r="C119" i="12" s="1"/>
  <c r="A118" i="12"/>
  <c r="B118" i="12" s="1"/>
  <c r="C118" i="12" s="1"/>
  <c r="C117" i="12"/>
  <c r="B117" i="12"/>
  <c r="A117" i="12"/>
  <c r="B116" i="12"/>
  <c r="C116" i="12" s="1"/>
  <c r="A116" i="12"/>
  <c r="A115" i="12"/>
  <c r="B115" i="12" s="1"/>
  <c r="C115" i="12" s="1"/>
  <c r="B114" i="12"/>
  <c r="C114" i="12" s="1"/>
  <c r="A114" i="12"/>
  <c r="C113" i="12"/>
  <c r="B113" i="12"/>
  <c r="A113" i="12"/>
  <c r="A112" i="12"/>
  <c r="B112" i="12" s="1"/>
  <c r="C112" i="12" s="1"/>
  <c r="B111" i="12"/>
  <c r="C111" i="12" s="1"/>
  <c r="A111" i="12"/>
  <c r="A110" i="12"/>
  <c r="B110" i="12" s="1"/>
  <c r="C110" i="12" s="1"/>
  <c r="B109" i="12"/>
  <c r="C109" i="12" s="1"/>
  <c r="A109" i="12"/>
  <c r="A108" i="12"/>
  <c r="B108" i="12" s="1"/>
  <c r="C108" i="12" s="1"/>
  <c r="B107" i="12"/>
  <c r="C107" i="12" s="1"/>
  <c r="A107" i="12"/>
  <c r="B106" i="12"/>
  <c r="C106" i="12" s="1"/>
  <c r="A106" i="12"/>
  <c r="C105" i="12"/>
  <c r="B105" i="12"/>
  <c r="A105" i="12"/>
  <c r="B104" i="12"/>
  <c r="C104" i="12" s="1"/>
  <c r="A104" i="12"/>
  <c r="B103" i="12"/>
  <c r="C103" i="12" s="1"/>
  <c r="A103" i="12"/>
  <c r="B102" i="12"/>
  <c r="C102" i="12" s="1"/>
  <c r="A102" i="12"/>
  <c r="C101" i="12"/>
  <c r="B101" i="12"/>
  <c r="A101" i="12"/>
  <c r="B100" i="12"/>
  <c r="C100" i="12" s="1"/>
  <c r="A100" i="12"/>
  <c r="A99" i="12"/>
  <c r="B99" i="12" s="1"/>
  <c r="C99" i="12" s="1"/>
  <c r="B98" i="12"/>
  <c r="C98" i="12" s="1"/>
  <c r="A98" i="12"/>
  <c r="B97" i="12"/>
  <c r="C97" i="12" s="1"/>
  <c r="A97" i="12"/>
  <c r="B96" i="12"/>
  <c r="C96" i="12" s="1"/>
  <c r="A96" i="12"/>
  <c r="C95" i="12"/>
  <c r="A95" i="12"/>
  <c r="B95" i="12" s="1"/>
  <c r="B94" i="12"/>
  <c r="C94" i="12" s="1"/>
  <c r="A94" i="12"/>
  <c r="B93" i="12"/>
  <c r="C93" i="12" s="1"/>
  <c r="A93" i="12"/>
  <c r="A92" i="12"/>
  <c r="B92" i="12" s="1"/>
  <c r="C92" i="12" s="1"/>
  <c r="B91" i="12"/>
  <c r="C91" i="12" s="1"/>
  <c r="A91" i="12"/>
  <c r="A90" i="12"/>
  <c r="B90" i="12" s="1"/>
  <c r="C90" i="12" s="1"/>
  <c r="B89" i="12"/>
  <c r="C89" i="12" s="1"/>
  <c r="A89" i="12"/>
  <c r="B88" i="12"/>
  <c r="C88" i="12" s="1"/>
  <c r="A88" i="12"/>
  <c r="B87" i="12"/>
  <c r="C87" i="12" s="1"/>
  <c r="A87" i="12"/>
  <c r="A86" i="12"/>
  <c r="B86" i="12" s="1"/>
  <c r="C86" i="12" s="1"/>
  <c r="C85" i="12"/>
  <c r="B85" i="12"/>
  <c r="A85" i="12"/>
  <c r="C84" i="12"/>
  <c r="B84" i="12"/>
  <c r="A84" i="12"/>
  <c r="A83" i="12"/>
  <c r="B83" i="12" s="1"/>
  <c r="C83" i="12" s="1"/>
  <c r="B82" i="12"/>
  <c r="C82" i="12" s="1"/>
  <c r="A82" i="12"/>
  <c r="B81" i="12"/>
  <c r="C81" i="12" s="1"/>
  <c r="A81" i="12"/>
  <c r="C80" i="12"/>
  <c r="B80" i="12"/>
  <c r="A80" i="12"/>
  <c r="A79" i="12"/>
  <c r="B79" i="12" s="1"/>
  <c r="C79" i="12" s="1"/>
  <c r="B78" i="12"/>
  <c r="C78" i="12" s="1"/>
  <c r="A78" i="12"/>
  <c r="B77" i="12"/>
  <c r="C77" i="12" s="1"/>
  <c r="A77" i="12"/>
  <c r="A76" i="12"/>
  <c r="B76" i="12" s="1"/>
  <c r="C76" i="12" s="1"/>
  <c r="C75" i="12"/>
  <c r="B75" i="12"/>
  <c r="A75" i="12"/>
  <c r="B74" i="12"/>
  <c r="C74" i="12" s="1"/>
  <c r="A74" i="12"/>
  <c r="C73" i="12"/>
  <c r="B73" i="12"/>
  <c r="A73" i="12"/>
  <c r="B72" i="12"/>
  <c r="C72" i="12" s="1"/>
  <c r="A72" i="12"/>
  <c r="B71" i="12"/>
  <c r="C71" i="12" s="1"/>
  <c r="A71" i="12"/>
  <c r="A70" i="12"/>
  <c r="B70" i="12" s="1"/>
  <c r="C70" i="12" s="1"/>
  <c r="B69" i="12"/>
  <c r="C69" i="12" s="1"/>
  <c r="A69" i="12"/>
  <c r="B68" i="12"/>
  <c r="C68" i="12" s="1"/>
  <c r="A68" i="12"/>
  <c r="B67" i="12"/>
  <c r="C67" i="12" s="1"/>
  <c r="A67" i="12"/>
  <c r="B66" i="12"/>
  <c r="C66" i="12" s="1"/>
  <c r="A66" i="12"/>
  <c r="C65" i="12"/>
  <c r="B65" i="12"/>
  <c r="A65" i="12"/>
  <c r="A64" i="12"/>
  <c r="B64" i="12" s="1"/>
  <c r="C64" i="12" s="1"/>
  <c r="B63" i="12"/>
  <c r="C63" i="12" s="1"/>
  <c r="A63" i="12"/>
  <c r="A62" i="12"/>
  <c r="B62" i="12" s="1"/>
  <c r="C62" i="12" s="1"/>
  <c r="B61" i="12"/>
  <c r="C61" i="12" s="1"/>
  <c r="A61" i="12"/>
  <c r="C60" i="12"/>
  <c r="A60" i="12"/>
  <c r="B60" i="12" s="1"/>
  <c r="A59" i="12"/>
  <c r="B59" i="12" s="1"/>
  <c r="C59" i="12" s="1"/>
  <c r="A58" i="12"/>
  <c r="B58" i="12" s="1"/>
  <c r="C58" i="12" s="1"/>
  <c r="C57" i="12"/>
  <c r="B57" i="12"/>
  <c r="A57" i="12"/>
  <c r="B56" i="12"/>
  <c r="C56" i="12" s="1"/>
  <c r="A56" i="12"/>
  <c r="B55" i="12"/>
  <c r="C55" i="12" s="1"/>
  <c r="A55" i="12"/>
  <c r="A54" i="12"/>
  <c r="B54" i="12" s="1"/>
  <c r="C54" i="12" s="1"/>
  <c r="B53" i="12"/>
  <c r="C53" i="12" s="1"/>
  <c r="A53" i="12"/>
  <c r="B52" i="12"/>
  <c r="C52" i="12" s="1"/>
  <c r="A52" i="12"/>
  <c r="A51" i="12"/>
  <c r="B51" i="12" s="1"/>
  <c r="C51" i="12" s="1"/>
  <c r="B50" i="12"/>
  <c r="C50" i="12" s="1"/>
  <c r="A50" i="12"/>
  <c r="B49" i="12"/>
  <c r="C49" i="12" s="1"/>
  <c r="A49" i="12"/>
  <c r="A48" i="12"/>
  <c r="B48" i="12" s="1"/>
  <c r="C48" i="12" s="1"/>
  <c r="C47" i="12"/>
  <c r="A47" i="12"/>
  <c r="B47" i="12" s="1"/>
  <c r="B46" i="12"/>
  <c r="C46" i="12" s="1"/>
  <c r="A46" i="12"/>
  <c r="C45" i="12"/>
  <c r="B45" i="12"/>
  <c r="A45" i="12"/>
  <c r="A44" i="12"/>
  <c r="B44" i="12" s="1"/>
  <c r="C44" i="12" s="1"/>
  <c r="C43" i="12"/>
  <c r="B43" i="12"/>
  <c r="A43" i="12"/>
  <c r="A42" i="12"/>
  <c r="B42" i="12" s="1"/>
  <c r="C42" i="12" s="1"/>
  <c r="B41" i="12"/>
  <c r="C41" i="12" s="1"/>
  <c r="A41" i="12"/>
  <c r="C40" i="12"/>
  <c r="B40" i="12"/>
  <c r="A40" i="12"/>
  <c r="A39" i="12"/>
  <c r="B39" i="12" s="1"/>
  <c r="C39" i="12" s="1"/>
  <c r="A38" i="12"/>
  <c r="B38" i="12" s="1"/>
  <c r="C38" i="12" s="1"/>
  <c r="C37" i="12"/>
  <c r="B37" i="12"/>
  <c r="A37" i="12"/>
  <c r="A36" i="12"/>
  <c r="B36" i="12" s="1"/>
  <c r="C36" i="12" s="1"/>
  <c r="B35" i="12"/>
  <c r="C35" i="12" s="1"/>
  <c r="A35" i="12"/>
  <c r="B34" i="12"/>
  <c r="C34" i="12" s="1"/>
  <c r="A34" i="12"/>
  <c r="B33" i="12"/>
  <c r="C33" i="12" s="1"/>
  <c r="A33" i="12"/>
  <c r="B32" i="12"/>
  <c r="C32" i="12" s="1"/>
  <c r="A32" i="12"/>
  <c r="C31" i="12"/>
  <c r="A31" i="12"/>
  <c r="B31" i="12" s="1"/>
  <c r="A30" i="12"/>
  <c r="B30" i="12" s="1"/>
  <c r="C30" i="12" s="1"/>
  <c r="B29" i="12"/>
  <c r="C29" i="12" s="1"/>
  <c r="A29" i="12"/>
  <c r="A28" i="12"/>
  <c r="B28" i="12" s="1"/>
  <c r="C28" i="12" s="1"/>
  <c r="B27" i="12"/>
  <c r="C27" i="12" s="1"/>
  <c r="A27" i="12"/>
  <c r="B26" i="12"/>
  <c r="C26" i="12" s="1"/>
  <c r="A26" i="12"/>
  <c r="C25" i="12"/>
  <c r="B25" i="12"/>
  <c r="A25" i="12"/>
  <c r="B24" i="12"/>
  <c r="C24" i="12" s="1"/>
  <c r="A24" i="12"/>
  <c r="C23" i="12"/>
  <c r="B23" i="12"/>
  <c r="A23" i="12"/>
  <c r="A22" i="12"/>
  <c r="B22" i="12" s="1"/>
  <c r="C22" i="12" s="1"/>
  <c r="C21" i="12"/>
  <c r="B21" i="12"/>
  <c r="A21" i="12"/>
  <c r="C20" i="12"/>
  <c r="B20" i="12"/>
  <c r="A20" i="12"/>
  <c r="A19" i="12"/>
  <c r="B19" i="12" s="1"/>
  <c r="C19" i="12" s="1"/>
  <c r="B18" i="12"/>
  <c r="C18" i="12" s="1"/>
  <c r="A18" i="12"/>
  <c r="B17" i="12"/>
  <c r="C17" i="12" s="1"/>
  <c r="A17" i="12"/>
  <c r="A16" i="12"/>
  <c r="B16" i="12" s="1"/>
  <c r="C16" i="12" s="1"/>
  <c r="A15" i="12"/>
  <c r="B15" i="12" s="1"/>
  <c r="C15" i="12" s="1"/>
  <c r="A14" i="12"/>
  <c r="B14" i="12" s="1"/>
  <c r="C14" i="12" s="1"/>
  <c r="B13" i="12"/>
  <c r="C13" i="12" s="1"/>
  <c r="A13" i="12"/>
  <c r="A12" i="12"/>
  <c r="B12" i="12" s="1"/>
  <c r="C12" i="12" s="1"/>
  <c r="B1059" i="11"/>
  <c r="C1059" i="11" s="1"/>
  <c r="A1059" i="11"/>
  <c r="B1058" i="11"/>
  <c r="A1058" i="11"/>
  <c r="B1057" i="11"/>
  <c r="A1057" i="11"/>
  <c r="B1056" i="11"/>
  <c r="C1057" i="11" s="1"/>
  <c r="A1056" i="11"/>
  <c r="C1055" i="11"/>
  <c r="A1055" i="11"/>
  <c r="B1055" i="11" s="1"/>
  <c r="C1056" i="11" s="1"/>
  <c r="B1054" i="11"/>
  <c r="A1054" i="11"/>
  <c r="B1053" i="11"/>
  <c r="A1053" i="11"/>
  <c r="A1052" i="11"/>
  <c r="B1052" i="11" s="1"/>
  <c r="C1053" i="11" s="1"/>
  <c r="A1051" i="11"/>
  <c r="B1051" i="11" s="1"/>
  <c r="C1052" i="11" s="1"/>
  <c r="A1050" i="11"/>
  <c r="B1050" i="11" s="1"/>
  <c r="C1051" i="11" s="1"/>
  <c r="B1049" i="11"/>
  <c r="A1049" i="11"/>
  <c r="B1048" i="11"/>
  <c r="C1049" i="11" s="1"/>
  <c r="A1048" i="11"/>
  <c r="A1047" i="11"/>
  <c r="B1047" i="11" s="1"/>
  <c r="C1048" i="11" s="1"/>
  <c r="B1046" i="11"/>
  <c r="A1046" i="11"/>
  <c r="C1045" i="11"/>
  <c r="B1045" i="11"/>
  <c r="A1045" i="11"/>
  <c r="A1044" i="11"/>
  <c r="B1044" i="11" s="1"/>
  <c r="B1043" i="11"/>
  <c r="C1044" i="11" s="1"/>
  <c r="A1043" i="11"/>
  <c r="A1042" i="11"/>
  <c r="B1042" i="11" s="1"/>
  <c r="C1041" i="11"/>
  <c r="B1041" i="11"/>
  <c r="A1041" i="11"/>
  <c r="B1040" i="11"/>
  <c r="A1040" i="11"/>
  <c r="A1039" i="11"/>
  <c r="B1039" i="11" s="1"/>
  <c r="C1040" i="11" s="1"/>
  <c r="A1038" i="11"/>
  <c r="B1038" i="11" s="1"/>
  <c r="C1039" i="11" s="1"/>
  <c r="C1037" i="11"/>
  <c r="B1037" i="11"/>
  <c r="A1037" i="11"/>
  <c r="B1036" i="11"/>
  <c r="A1036" i="11"/>
  <c r="B1035" i="11"/>
  <c r="C1036" i="11" s="1"/>
  <c r="A1035" i="11"/>
  <c r="B1034" i="11"/>
  <c r="A1034" i="11"/>
  <c r="B1033" i="11"/>
  <c r="A1033" i="11"/>
  <c r="C1032" i="11"/>
  <c r="B1032" i="11"/>
  <c r="A1032" i="11"/>
  <c r="A1031" i="11"/>
  <c r="B1031" i="11" s="1"/>
  <c r="B1030" i="11"/>
  <c r="C1031" i="11" s="1"/>
  <c r="A1030" i="11"/>
  <c r="B1029" i="11"/>
  <c r="A1029" i="11"/>
  <c r="A1028" i="11"/>
  <c r="B1028" i="11" s="1"/>
  <c r="C1027" i="11"/>
  <c r="B1027" i="11"/>
  <c r="A1027" i="11"/>
  <c r="B1026" i="11"/>
  <c r="A1026" i="11"/>
  <c r="C1025" i="11"/>
  <c r="B1025" i="11"/>
  <c r="A1025" i="11"/>
  <c r="A1024" i="11"/>
  <c r="B1024" i="11" s="1"/>
  <c r="B1023" i="11"/>
  <c r="A1023" i="11"/>
  <c r="A1022" i="11"/>
  <c r="B1022" i="11" s="1"/>
  <c r="C1021" i="11"/>
  <c r="B1021" i="11"/>
  <c r="C1022" i="11" s="1"/>
  <c r="A1021" i="11"/>
  <c r="C1020" i="11"/>
  <c r="B1020" i="11"/>
  <c r="A1020" i="11"/>
  <c r="B1019" i="11"/>
  <c r="A1019" i="11"/>
  <c r="B1018" i="11"/>
  <c r="C1019" i="11" s="1"/>
  <c r="A1018" i="11"/>
  <c r="B1017" i="11"/>
  <c r="A1017" i="11"/>
  <c r="A1016" i="11"/>
  <c r="B1016" i="11" s="1"/>
  <c r="C1017" i="11" s="1"/>
  <c r="A1015" i="11"/>
  <c r="B1015" i="11" s="1"/>
  <c r="C1016" i="11" s="1"/>
  <c r="A1014" i="11"/>
  <c r="B1014" i="11" s="1"/>
  <c r="C1015" i="11" s="1"/>
  <c r="B1013" i="11"/>
  <c r="C1014" i="11" s="1"/>
  <c r="A1013" i="11"/>
  <c r="A1012" i="11"/>
  <c r="B1012" i="11" s="1"/>
  <c r="A1011" i="11"/>
  <c r="B1011" i="11" s="1"/>
  <c r="B1010" i="11"/>
  <c r="A1010" i="11"/>
  <c r="B1009" i="11"/>
  <c r="A1009" i="11"/>
  <c r="B1008" i="11"/>
  <c r="C1009" i="11" s="1"/>
  <c r="A1008" i="11"/>
  <c r="A1007" i="11"/>
  <c r="B1007" i="11" s="1"/>
  <c r="C1008" i="11" s="1"/>
  <c r="B1006" i="11"/>
  <c r="A1006" i="11"/>
  <c r="B1005" i="11"/>
  <c r="A1005" i="11"/>
  <c r="A1004" i="11"/>
  <c r="B1004" i="11" s="1"/>
  <c r="C1005" i="11" s="1"/>
  <c r="A1003" i="11"/>
  <c r="B1003" i="11" s="1"/>
  <c r="B1002" i="11"/>
  <c r="C1003" i="11" s="1"/>
  <c r="A1002" i="11"/>
  <c r="C1001" i="11"/>
  <c r="B1001" i="11"/>
  <c r="A1001" i="11"/>
  <c r="B1000" i="11"/>
  <c r="A1000" i="11"/>
  <c r="C999" i="11"/>
  <c r="A999" i="11"/>
  <c r="B999" i="11" s="1"/>
  <c r="B998" i="11"/>
  <c r="A998" i="11"/>
  <c r="B997" i="11"/>
  <c r="C998" i="11" s="1"/>
  <c r="A997" i="11"/>
  <c r="C996" i="11"/>
  <c r="A996" i="11"/>
  <c r="B996" i="11" s="1"/>
  <c r="B995" i="11"/>
  <c r="A995" i="11"/>
  <c r="A994" i="11"/>
  <c r="B994" i="11" s="1"/>
  <c r="C995" i="11" s="1"/>
  <c r="C993" i="11"/>
  <c r="B993" i="11"/>
  <c r="A993" i="11"/>
  <c r="C992" i="11"/>
  <c r="B992" i="11"/>
  <c r="A992" i="11"/>
  <c r="A991" i="11"/>
  <c r="B991" i="11" s="1"/>
  <c r="A990" i="11"/>
  <c r="B990" i="11" s="1"/>
  <c r="C991" i="11" s="1"/>
  <c r="B989" i="11"/>
  <c r="A989" i="11"/>
  <c r="A988" i="11"/>
  <c r="B988" i="11" s="1"/>
  <c r="C989" i="11" s="1"/>
  <c r="A987" i="11"/>
  <c r="B987" i="11" s="1"/>
  <c r="B986" i="11"/>
  <c r="A986" i="11"/>
  <c r="C985" i="11"/>
  <c r="B985" i="11"/>
  <c r="C986" i="11" s="1"/>
  <c r="A985" i="11"/>
  <c r="B984" i="11"/>
  <c r="A984" i="11"/>
  <c r="A983" i="11"/>
  <c r="B983" i="11" s="1"/>
  <c r="C984" i="11" s="1"/>
  <c r="A982" i="11"/>
  <c r="B982" i="11" s="1"/>
  <c r="C983" i="11" s="1"/>
  <c r="B981" i="11"/>
  <c r="A981" i="11"/>
  <c r="C980" i="11"/>
  <c r="B980" i="11"/>
  <c r="C981" i="11" s="1"/>
  <c r="A980" i="11"/>
  <c r="B979" i="11"/>
  <c r="C979" i="11" s="1"/>
  <c r="A979" i="11"/>
  <c r="B978" i="11"/>
  <c r="A978" i="11"/>
  <c r="B977" i="11"/>
  <c r="A977" i="11"/>
  <c r="B976" i="11"/>
  <c r="C977" i="11" s="1"/>
  <c r="A976" i="11"/>
  <c r="C975" i="11"/>
  <c r="B975" i="11"/>
  <c r="C976" i="11" s="1"/>
  <c r="A975" i="11"/>
  <c r="A974" i="11"/>
  <c r="B974" i="11" s="1"/>
  <c r="B973" i="11"/>
  <c r="A973" i="11"/>
  <c r="B972" i="11"/>
  <c r="A972" i="11"/>
  <c r="B971" i="11"/>
  <c r="C972" i="11" s="1"/>
  <c r="A971" i="11"/>
  <c r="B970" i="11"/>
  <c r="A970" i="11"/>
  <c r="B969" i="11"/>
  <c r="C970" i="11" s="1"/>
  <c r="A969" i="11"/>
  <c r="A968" i="11"/>
  <c r="B968" i="11" s="1"/>
  <c r="A967" i="11"/>
  <c r="B967" i="11" s="1"/>
  <c r="A966" i="11"/>
  <c r="B966" i="11" s="1"/>
  <c r="C967" i="11" s="1"/>
  <c r="B965" i="11"/>
  <c r="A965" i="11"/>
  <c r="A964" i="11"/>
  <c r="B964" i="11" s="1"/>
  <c r="C965" i="11" s="1"/>
  <c r="A963" i="11"/>
  <c r="B963" i="11" s="1"/>
  <c r="B962" i="11"/>
  <c r="A962" i="11"/>
  <c r="C961" i="11"/>
  <c r="B961" i="11"/>
  <c r="A961" i="11"/>
  <c r="C960" i="11"/>
  <c r="B960" i="11"/>
  <c r="A960" i="11"/>
  <c r="B959" i="11"/>
  <c r="A959" i="11"/>
  <c r="B958" i="11"/>
  <c r="C959" i="11" s="1"/>
  <c r="A958" i="11"/>
  <c r="B957" i="11"/>
  <c r="C958" i="11" s="1"/>
  <c r="A957" i="11"/>
  <c r="A956" i="11"/>
  <c r="B956" i="11" s="1"/>
  <c r="A955" i="11"/>
  <c r="B955" i="11" s="1"/>
  <c r="B954" i="11"/>
  <c r="C955" i="11" s="1"/>
  <c r="A954" i="11"/>
  <c r="C953" i="11"/>
  <c r="B953" i="11"/>
  <c r="A953" i="11"/>
  <c r="A952" i="11"/>
  <c r="B952" i="11" s="1"/>
  <c r="C951" i="11"/>
  <c r="A951" i="11"/>
  <c r="B951" i="11" s="1"/>
  <c r="B950" i="11"/>
  <c r="A950" i="11"/>
  <c r="C949" i="11"/>
  <c r="B949" i="11"/>
  <c r="C950" i="11" s="1"/>
  <c r="A949" i="11"/>
  <c r="A948" i="11"/>
  <c r="B948" i="11" s="1"/>
  <c r="B947" i="11"/>
  <c r="C948" i="11" s="1"/>
  <c r="A947" i="11"/>
  <c r="A946" i="11"/>
  <c r="B946" i="11" s="1"/>
  <c r="C947" i="11" s="1"/>
  <c r="B945" i="11"/>
  <c r="A945" i="11"/>
  <c r="B944" i="11"/>
  <c r="A944" i="11"/>
  <c r="A943" i="11"/>
  <c r="B943" i="11" s="1"/>
  <c r="A942" i="11"/>
  <c r="B942" i="11" s="1"/>
  <c r="C943" i="11" s="1"/>
  <c r="B941" i="11"/>
  <c r="C942" i="11" s="1"/>
  <c r="A941" i="11"/>
  <c r="A940" i="11"/>
  <c r="B940" i="11" s="1"/>
  <c r="A939" i="11"/>
  <c r="B939" i="11" s="1"/>
  <c r="C940" i="11" s="1"/>
  <c r="B938" i="11"/>
  <c r="C939" i="11" s="1"/>
  <c r="A938" i="11"/>
  <c r="C937" i="11"/>
  <c r="B937" i="11"/>
  <c r="A937" i="11"/>
  <c r="B936" i="11"/>
  <c r="A936" i="11"/>
  <c r="A935" i="11"/>
  <c r="B935" i="11" s="1"/>
  <c r="C936" i="11" s="1"/>
  <c r="B934" i="11"/>
  <c r="C935" i="11" s="1"/>
  <c r="A934" i="11"/>
  <c r="B933" i="11"/>
  <c r="C934" i="11" s="1"/>
  <c r="A933" i="11"/>
  <c r="C932" i="11"/>
  <c r="B932" i="11"/>
  <c r="C933" i="11" s="1"/>
  <c r="A932" i="11"/>
  <c r="A931" i="11"/>
  <c r="B931" i="11" s="1"/>
  <c r="C930" i="11"/>
  <c r="B930" i="11"/>
  <c r="A930" i="11"/>
  <c r="B929" i="11"/>
  <c r="A929" i="11"/>
  <c r="A928" i="11"/>
  <c r="B928" i="11" s="1"/>
  <c r="C927" i="11"/>
  <c r="A927" i="11"/>
  <c r="B927" i="11" s="1"/>
  <c r="B926" i="11"/>
  <c r="A926" i="11"/>
  <c r="B925" i="11"/>
  <c r="C926" i="11" s="1"/>
  <c r="A925" i="11"/>
  <c r="A924" i="11"/>
  <c r="B924" i="11" s="1"/>
  <c r="C925" i="11" s="1"/>
  <c r="A923" i="11"/>
  <c r="B923" i="11" s="1"/>
  <c r="B922" i="11"/>
  <c r="A922" i="11"/>
  <c r="B921" i="11"/>
  <c r="C922" i="11" s="1"/>
  <c r="A921" i="11"/>
  <c r="B920" i="11"/>
  <c r="C921" i="11" s="1"/>
  <c r="A920" i="11"/>
  <c r="A919" i="11"/>
  <c r="B919" i="11" s="1"/>
  <c r="C918" i="11"/>
  <c r="B918" i="11"/>
  <c r="A918" i="11"/>
  <c r="B917" i="11"/>
  <c r="A917" i="11"/>
  <c r="A916" i="11"/>
  <c r="B916" i="11" s="1"/>
  <c r="A915" i="11"/>
  <c r="B915" i="11" s="1"/>
  <c r="B914" i="11"/>
  <c r="A914" i="11"/>
  <c r="B913" i="11"/>
  <c r="C913" i="11" s="1"/>
  <c r="A913" i="11"/>
  <c r="B912" i="11"/>
  <c r="C912" i="11" s="1"/>
  <c r="A912" i="11"/>
  <c r="A911" i="11"/>
  <c r="B911" i="11" s="1"/>
  <c r="B910" i="11"/>
  <c r="A910" i="11"/>
  <c r="B909" i="11"/>
  <c r="A909" i="11"/>
  <c r="A908" i="11"/>
  <c r="B908" i="11" s="1"/>
  <c r="C909" i="11" s="1"/>
  <c r="A907" i="11"/>
  <c r="B907" i="11" s="1"/>
  <c r="B906" i="11"/>
  <c r="A906" i="11"/>
  <c r="B905" i="11"/>
  <c r="A905" i="11"/>
  <c r="B904" i="11"/>
  <c r="C905" i="11" s="1"/>
  <c r="A904" i="11"/>
  <c r="A903" i="11"/>
  <c r="B903" i="11" s="1"/>
  <c r="C902" i="11"/>
  <c r="B902" i="11"/>
  <c r="C903" i="11" s="1"/>
  <c r="A902" i="11"/>
  <c r="C901" i="11"/>
  <c r="B901" i="11"/>
  <c r="A901" i="11"/>
  <c r="A900" i="11"/>
  <c r="B900" i="11" s="1"/>
  <c r="C900" i="11" s="1"/>
  <c r="C899" i="11"/>
  <c r="A899" i="11"/>
  <c r="B899" i="11" s="1"/>
  <c r="B898" i="11"/>
  <c r="A898" i="11"/>
  <c r="B897" i="11"/>
  <c r="A897" i="11"/>
  <c r="A896" i="11"/>
  <c r="B896" i="11" s="1"/>
  <c r="C897" i="11" s="1"/>
  <c r="A895" i="11"/>
  <c r="B895" i="11" s="1"/>
  <c r="C894" i="11"/>
  <c r="B894" i="11"/>
  <c r="A894" i="11"/>
  <c r="B893" i="11"/>
  <c r="A893" i="11"/>
  <c r="A892" i="11"/>
  <c r="B892" i="11" s="1"/>
  <c r="C893" i="11" s="1"/>
  <c r="A891" i="11"/>
  <c r="B891" i="11" s="1"/>
  <c r="C890" i="11"/>
  <c r="B890" i="11"/>
  <c r="A890" i="11"/>
  <c r="C889" i="11"/>
  <c r="B889" i="11"/>
  <c r="A889" i="11"/>
  <c r="B888" i="11"/>
  <c r="A888" i="11"/>
  <c r="A887" i="11"/>
  <c r="B887" i="11" s="1"/>
  <c r="C888" i="11" s="1"/>
  <c r="B886" i="11"/>
  <c r="C887" i="11" s="1"/>
  <c r="A886" i="11"/>
  <c r="B885" i="11"/>
  <c r="A885" i="11"/>
  <c r="B884" i="11"/>
  <c r="C885" i="11" s="1"/>
  <c r="A884" i="11"/>
  <c r="A883" i="11"/>
  <c r="B883" i="11" s="1"/>
  <c r="B882" i="11"/>
  <c r="A882" i="11"/>
  <c r="C881" i="11"/>
  <c r="B881" i="11"/>
  <c r="A881" i="11"/>
  <c r="C880" i="11"/>
  <c r="B880" i="11"/>
  <c r="A880" i="11"/>
  <c r="C879" i="11"/>
  <c r="A879" i="11"/>
  <c r="B879" i="11" s="1"/>
  <c r="B878" i="11"/>
  <c r="A878" i="11"/>
  <c r="B877" i="11"/>
  <c r="C878" i="11" s="1"/>
  <c r="A877" i="11"/>
  <c r="A876" i="11"/>
  <c r="B876" i="11" s="1"/>
  <c r="A875" i="11"/>
  <c r="B875" i="11" s="1"/>
  <c r="B874" i="11"/>
  <c r="C875" i="11" s="1"/>
  <c r="A874" i="11"/>
  <c r="B873" i="11"/>
  <c r="A873" i="11"/>
  <c r="B872" i="11"/>
  <c r="A872" i="11"/>
  <c r="C871" i="11"/>
  <c r="A871" i="11"/>
  <c r="B871" i="11" s="1"/>
  <c r="C872" i="11" s="1"/>
  <c r="C870" i="11"/>
  <c r="B870" i="11"/>
  <c r="A870" i="11"/>
  <c r="B869" i="11"/>
  <c r="A869" i="11"/>
  <c r="A868" i="11"/>
  <c r="B868" i="11" s="1"/>
  <c r="A867" i="11"/>
  <c r="B867" i="11" s="1"/>
  <c r="C866" i="11"/>
  <c r="B866" i="11"/>
  <c r="C867" i="11" s="1"/>
  <c r="A866" i="11"/>
  <c r="B865" i="11"/>
  <c r="A865" i="11"/>
  <c r="B864" i="11"/>
  <c r="A864" i="11"/>
  <c r="A863" i="11"/>
  <c r="B863" i="11" s="1"/>
  <c r="C862" i="11"/>
  <c r="B862" i="11"/>
  <c r="A862" i="11"/>
  <c r="B861" i="11"/>
  <c r="A861" i="11"/>
  <c r="B860" i="11"/>
  <c r="A860" i="11"/>
  <c r="A859" i="11"/>
  <c r="B859" i="11" s="1"/>
  <c r="C858" i="11"/>
  <c r="B858" i="11"/>
  <c r="C859" i="11" s="1"/>
  <c r="A858" i="11"/>
  <c r="C857" i="11"/>
  <c r="B857" i="11"/>
  <c r="A857" i="11"/>
  <c r="C856" i="11"/>
  <c r="A856" i="11"/>
  <c r="B856" i="11" s="1"/>
  <c r="C855" i="11"/>
  <c r="A855" i="11"/>
  <c r="B855" i="11" s="1"/>
  <c r="B854" i="11"/>
  <c r="A854" i="11"/>
  <c r="C853" i="11"/>
  <c r="B853" i="11"/>
  <c r="A853" i="11"/>
  <c r="C852" i="11"/>
  <c r="B852" i="11"/>
  <c r="A852" i="11"/>
  <c r="C851" i="11"/>
  <c r="A851" i="11"/>
  <c r="B851" i="11" s="1"/>
  <c r="B850" i="11"/>
  <c r="A850" i="11"/>
  <c r="B849" i="11"/>
  <c r="C850" i="11" s="1"/>
  <c r="A849" i="11"/>
  <c r="A848" i="11"/>
  <c r="B848" i="11" s="1"/>
  <c r="C849" i="11" s="1"/>
  <c r="C847" i="11"/>
  <c r="A847" i="11"/>
  <c r="B847" i="11" s="1"/>
  <c r="B846" i="11"/>
  <c r="A846" i="11"/>
  <c r="B845" i="11"/>
  <c r="C846" i="11" s="1"/>
  <c r="A845" i="11"/>
  <c r="A844" i="11"/>
  <c r="B844" i="11" s="1"/>
  <c r="C845" i="11" s="1"/>
  <c r="A843" i="11"/>
  <c r="B843" i="11" s="1"/>
  <c r="B842" i="11"/>
  <c r="A842" i="11"/>
  <c r="B841" i="11"/>
  <c r="A841" i="11"/>
  <c r="B840" i="11"/>
  <c r="C841" i="11" s="1"/>
  <c r="A840" i="11"/>
  <c r="A839" i="11"/>
  <c r="B839" i="11" s="1"/>
  <c r="C840" i="11" s="1"/>
  <c r="B838" i="11"/>
  <c r="C838" i="11" s="1"/>
  <c r="A838" i="11"/>
  <c r="B837" i="11"/>
  <c r="A837" i="11"/>
  <c r="A836" i="11"/>
  <c r="B836" i="11" s="1"/>
  <c r="C837" i="11" s="1"/>
  <c r="A835" i="11"/>
  <c r="B835" i="11" s="1"/>
  <c r="C836" i="11" s="1"/>
  <c r="B834" i="11"/>
  <c r="A834" i="11"/>
  <c r="C833" i="11"/>
  <c r="B833" i="11"/>
  <c r="A833" i="11"/>
  <c r="A832" i="11"/>
  <c r="B832" i="11" s="1"/>
  <c r="C832" i="11" s="1"/>
  <c r="A831" i="11"/>
  <c r="B831" i="11" s="1"/>
  <c r="B830" i="11"/>
  <c r="C831" i="11" s="1"/>
  <c r="A830" i="11"/>
  <c r="B829" i="11"/>
  <c r="C830" i="11" s="1"/>
  <c r="A829" i="11"/>
  <c r="C828" i="11"/>
  <c r="A828" i="11"/>
  <c r="B828" i="11" s="1"/>
  <c r="C827" i="11"/>
  <c r="A827" i="11"/>
  <c r="B827" i="11" s="1"/>
  <c r="B826" i="11"/>
  <c r="A826" i="11"/>
  <c r="B825" i="11"/>
  <c r="C826" i="11" s="1"/>
  <c r="A825" i="11"/>
  <c r="A824" i="11"/>
  <c r="B824" i="11" s="1"/>
  <c r="C825" i="11" s="1"/>
  <c r="C823" i="11"/>
  <c r="A823" i="11"/>
  <c r="B823" i="11" s="1"/>
  <c r="B822" i="11"/>
  <c r="A822" i="11"/>
  <c r="B821" i="11"/>
  <c r="C822" i="11" s="1"/>
  <c r="A821" i="11"/>
  <c r="A820" i="11"/>
  <c r="B820" i="11" s="1"/>
  <c r="C819" i="11"/>
  <c r="A819" i="11"/>
  <c r="B819" i="11" s="1"/>
  <c r="C820" i="11" s="1"/>
  <c r="C818" i="11"/>
  <c r="B818" i="11"/>
  <c r="A818" i="11"/>
  <c r="B817" i="11"/>
  <c r="A817" i="11"/>
  <c r="B816" i="11"/>
  <c r="C817" i="11" s="1"/>
  <c r="A816" i="11"/>
  <c r="A815" i="11"/>
  <c r="B815" i="11" s="1"/>
  <c r="C814" i="11"/>
  <c r="B814" i="11"/>
  <c r="A814" i="11"/>
  <c r="B813" i="11"/>
  <c r="A813" i="11"/>
  <c r="A812" i="11"/>
  <c r="B812" i="11" s="1"/>
  <c r="A811" i="11"/>
  <c r="B811" i="11" s="1"/>
  <c r="B810" i="11"/>
  <c r="A810" i="11"/>
  <c r="B809" i="11"/>
  <c r="A809" i="11"/>
  <c r="C808" i="11"/>
  <c r="B808" i="11"/>
  <c r="C809" i="11" s="1"/>
  <c r="A808" i="11"/>
  <c r="A807" i="11"/>
  <c r="B807" i="11" s="1"/>
  <c r="C806" i="11"/>
  <c r="B806" i="11"/>
  <c r="C807" i="11" s="1"/>
  <c r="A806" i="11"/>
  <c r="B805" i="11"/>
  <c r="A805" i="11"/>
  <c r="A804" i="11"/>
  <c r="B804" i="11" s="1"/>
  <c r="C805" i="11" s="1"/>
  <c r="A803" i="11"/>
  <c r="B803" i="11" s="1"/>
  <c r="C804" i="11" s="1"/>
  <c r="B802" i="11"/>
  <c r="C803" i="11" s="1"/>
  <c r="A802" i="11"/>
  <c r="B801" i="11"/>
  <c r="A801" i="11"/>
  <c r="A800" i="11"/>
  <c r="B800" i="11" s="1"/>
  <c r="C801" i="11" s="1"/>
  <c r="A799" i="11"/>
  <c r="B799" i="11" s="1"/>
  <c r="B798" i="11"/>
  <c r="A798" i="11"/>
  <c r="B797" i="11"/>
  <c r="A797" i="11"/>
  <c r="A796" i="11"/>
  <c r="B796" i="11" s="1"/>
  <c r="A795" i="11"/>
  <c r="B795" i="11" s="1"/>
  <c r="B794" i="11"/>
  <c r="C795" i="11" s="1"/>
  <c r="A794" i="11"/>
  <c r="A793" i="11"/>
  <c r="B793" i="11" s="1"/>
  <c r="B792" i="11"/>
  <c r="C793" i="11" s="1"/>
  <c r="A792" i="11"/>
  <c r="C791" i="11"/>
  <c r="A791" i="11"/>
  <c r="B791" i="11" s="1"/>
  <c r="C792" i="11" s="1"/>
  <c r="B790" i="11"/>
  <c r="A790" i="11"/>
  <c r="B789" i="11"/>
  <c r="C790" i="11" s="1"/>
  <c r="A789" i="11"/>
  <c r="B788" i="11"/>
  <c r="A788" i="11"/>
  <c r="A787" i="11"/>
  <c r="B787" i="11" s="1"/>
  <c r="C788" i="11" s="1"/>
  <c r="B786" i="11"/>
  <c r="C787" i="11" s="1"/>
  <c r="A786" i="11"/>
  <c r="C785" i="11"/>
  <c r="A785" i="11"/>
  <c r="B785" i="11" s="1"/>
  <c r="C784" i="11"/>
  <c r="B784" i="11"/>
  <c r="A784" i="11"/>
  <c r="A783" i="11"/>
  <c r="B783" i="11" s="1"/>
  <c r="B782" i="11"/>
  <c r="C783" i="11" s="1"/>
  <c r="A782" i="11"/>
  <c r="B781" i="11"/>
  <c r="C782" i="11" s="1"/>
  <c r="A781" i="11"/>
  <c r="B780" i="11"/>
  <c r="C781" i="11" s="1"/>
  <c r="A780" i="11"/>
  <c r="A779" i="11"/>
  <c r="B779" i="11" s="1"/>
  <c r="B778" i="11"/>
  <c r="C779" i="11" s="1"/>
  <c r="A778" i="11"/>
  <c r="B777" i="11"/>
  <c r="A777" i="11"/>
  <c r="A776" i="11"/>
  <c r="B776" i="11" s="1"/>
  <c r="C777" i="11" s="1"/>
  <c r="A775" i="11"/>
  <c r="B775" i="11" s="1"/>
  <c r="B774" i="11"/>
  <c r="A774" i="11"/>
  <c r="C773" i="11"/>
  <c r="A773" i="11"/>
  <c r="B773" i="11" s="1"/>
  <c r="C774" i="11" s="1"/>
  <c r="C772" i="11"/>
  <c r="B772" i="11"/>
  <c r="A772" i="11"/>
  <c r="A771" i="11"/>
  <c r="B771" i="11" s="1"/>
  <c r="B770" i="11"/>
  <c r="C771" i="11" s="1"/>
  <c r="A770" i="11"/>
  <c r="A769" i="11"/>
  <c r="B769" i="11" s="1"/>
  <c r="C770" i="11" s="1"/>
  <c r="A768" i="11"/>
  <c r="B768" i="11" s="1"/>
  <c r="A767" i="11"/>
  <c r="B767" i="11" s="1"/>
  <c r="B766" i="11"/>
  <c r="C767" i="11" s="1"/>
  <c r="A766" i="11"/>
  <c r="A765" i="11"/>
  <c r="B765" i="11" s="1"/>
  <c r="C764" i="11"/>
  <c r="B764" i="11"/>
  <c r="A764" i="11"/>
  <c r="A763" i="11"/>
  <c r="B763" i="11" s="1"/>
  <c r="B762" i="11"/>
  <c r="C763" i="11" s="1"/>
  <c r="A762" i="11"/>
  <c r="A761" i="11"/>
  <c r="B761" i="11" s="1"/>
  <c r="C762" i="11" s="1"/>
  <c r="A760" i="11"/>
  <c r="B760" i="11" s="1"/>
  <c r="C761" i="11" s="1"/>
  <c r="C759" i="11"/>
  <c r="A759" i="11"/>
  <c r="B759" i="11" s="1"/>
  <c r="C758" i="11"/>
  <c r="B758" i="11"/>
  <c r="A758" i="11"/>
  <c r="C757" i="11"/>
  <c r="B757" i="11"/>
  <c r="A757" i="11"/>
  <c r="A756" i="11"/>
  <c r="B756" i="11" s="1"/>
  <c r="A755" i="11"/>
  <c r="B755" i="11" s="1"/>
  <c r="C754" i="11"/>
  <c r="B754" i="11"/>
  <c r="A754" i="11"/>
  <c r="B753" i="11"/>
  <c r="A753" i="11"/>
  <c r="A752" i="11"/>
  <c r="B752" i="11" s="1"/>
  <c r="C753" i="11" s="1"/>
  <c r="A751" i="11"/>
  <c r="B751" i="11" s="1"/>
  <c r="B750" i="11"/>
  <c r="C751" i="11" s="1"/>
  <c r="A750" i="11"/>
  <c r="A749" i="11"/>
  <c r="B749" i="11" s="1"/>
  <c r="A748" i="11"/>
  <c r="B748" i="11" s="1"/>
  <c r="A747" i="11"/>
  <c r="B747" i="11" s="1"/>
  <c r="B746" i="11"/>
  <c r="A746" i="11"/>
  <c r="A745" i="11"/>
  <c r="B745" i="11" s="1"/>
  <c r="C746" i="11" s="1"/>
  <c r="B744" i="11"/>
  <c r="A744" i="11"/>
  <c r="A743" i="11"/>
  <c r="B743" i="11" s="1"/>
  <c r="C742" i="11"/>
  <c r="B742" i="11"/>
  <c r="C743" i="11" s="1"/>
  <c r="A742" i="11"/>
  <c r="B741" i="11"/>
  <c r="A741" i="11"/>
  <c r="A740" i="11"/>
  <c r="B740" i="11" s="1"/>
  <c r="C741" i="11" s="1"/>
  <c r="A739" i="11"/>
  <c r="B739" i="11" s="1"/>
  <c r="B738" i="11"/>
  <c r="A738" i="11"/>
  <c r="A737" i="11"/>
  <c r="B737" i="11" s="1"/>
  <c r="C738" i="11" s="1"/>
  <c r="B736" i="11"/>
  <c r="A736" i="11"/>
  <c r="C735" i="11"/>
  <c r="A735" i="11"/>
  <c r="B735" i="11" s="1"/>
  <c r="B734" i="11"/>
  <c r="A734" i="11"/>
  <c r="A733" i="11"/>
  <c r="B733" i="11" s="1"/>
  <c r="C734" i="11" s="1"/>
  <c r="B732" i="11"/>
  <c r="C733" i="11" s="1"/>
  <c r="A732" i="11"/>
  <c r="C731" i="11"/>
  <c r="A731" i="11"/>
  <c r="B731" i="11" s="1"/>
  <c r="B730" i="11"/>
  <c r="A730" i="11"/>
  <c r="B729" i="11"/>
  <c r="C730" i="11" s="1"/>
  <c r="A729" i="11"/>
  <c r="A728" i="11"/>
  <c r="B728" i="11" s="1"/>
  <c r="C729" i="11" s="1"/>
  <c r="A727" i="11"/>
  <c r="B727" i="11" s="1"/>
  <c r="C728" i="11" s="1"/>
  <c r="B726" i="11"/>
  <c r="A726" i="11"/>
  <c r="C725" i="11"/>
  <c r="A725" i="11"/>
  <c r="B725" i="11" s="1"/>
  <c r="C726" i="11" s="1"/>
  <c r="A724" i="11"/>
  <c r="B724" i="11" s="1"/>
  <c r="C723" i="11"/>
  <c r="A723" i="11"/>
  <c r="B723" i="11" s="1"/>
  <c r="C724" i="11" s="1"/>
  <c r="B722" i="11"/>
  <c r="A722" i="11"/>
  <c r="B721" i="11"/>
  <c r="C722" i="11" s="1"/>
  <c r="A721" i="11"/>
  <c r="B720" i="11"/>
  <c r="C721" i="11" s="1"/>
  <c r="A720" i="11"/>
  <c r="A719" i="11"/>
  <c r="B719" i="11" s="1"/>
  <c r="C718" i="11"/>
  <c r="B718" i="11"/>
  <c r="A718" i="11"/>
  <c r="B717" i="11"/>
  <c r="A717" i="11"/>
  <c r="C716" i="11"/>
  <c r="A716" i="11"/>
  <c r="B716" i="11" s="1"/>
  <c r="C717" i="11" s="1"/>
  <c r="C715" i="11"/>
  <c r="A715" i="11"/>
  <c r="B715" i="11" s="1"/>
  <c r="B714" i="11"/>
  <c r="A714" i="11"/>
  <c r="C713" i="11"/>
  <c r="A713" i="11"/>
  <c r="B713" i="11" s="1"/>
  <c r="C714" i="11" s="1"/>
  <c r="C712" i="11"/>
  <c r="B712" i="11"/>
  <c r="A712" i="11"/>
  <c r="A711" i="11"/>
  <c r="B711" i="11" s="1"/>
  <c r="C710" i="11"/>
  <c r="B710" i="11"/>
  <c r="C711" i="11" s="1"/>
  <c r="A710" i="11"/>
  <c r="B709" i="11"/>
  <c r="A709" i="11"/>
  <c r="C708" i="11"/>
  <c r="B708" i="11"/>
  <c r="C709" i="11" s="1"/>
  <c r="A708" i="11"/>
  <c r="C707" i="11"/>
  <c r="A707" i="11"/>
  <c r="B707" i="11" s="1"/>
  <c r="C706" i="11"/>
  <c r="B706" i="11"/>
  <c r="A706" i="11"/>
  <c r="B705" i="11"/>
  <c r="A705" i="11"/>
  <c r="A704" i="11"/>
  <c r="B704" i="11" s="1"/>
  <c r="C705" i="11" s="1"/>
  <c r="C703" i="11"/>
  <c r="A703" i="11"/>
  <c r="B703" i="11" s="1"/>
  <c r="C702" i="11"/>
  <c r="B702" i="11"/>
  <c r="A702" i="11"/>
  <c r="A701" i="11"/>
  <c r="B701" i="11" s="1"/>
  <c r="C701" i="11" s="1"/>
  <c r="A700" i="11"/>
  <c r="B700" i="11" s="1"/>
  <c r="A699" i="11"/>
  <c r="B699" i="11" s="1"/>
  <c r="C700" i="11" s="1"/>
  <c r="B698" i="11"/>
  <c r="A698" i="11"/>
  <c r="B697" i="11"/>
  <c r="C698" i="11" s="1"/>
  <c r="A697" i="11"/>
  <c r="B696" i="11"/>
  <c r="A696" i="11"/>
  <c r="A695" i="11"/>
  <c r="B695" i="11" s="1"/>
  <c r="C696" i="11" s="1"/>
  <c r="B694" i="11"/>
  <c r="A694" i="11"/>
  <c r="A693" i="11"/>
  <c r="B693" i="11" s="1"/>
  <c r="C694" i="11" s="1"/>
  <c r="A692" i="11"/>
  <c r="B692" i="11" s="1"/>
  <c r="C692" i="11" s="1"/>
  <c r="A691" i="11"/>
  <c r="B691" i="11" s="1"/>
  <c r="C690" i="11"/>
  <c r="B690" i="11"/>
  <c r="C691" i="11" s="1"/>
  <c r="A690" i="11"/>
  <c r="B689" i="11"/>
  <c r="A689" i="11"/>
  <c r="A688" i="11"/>
  <c r="B688" i="11" s="1"/>
  <c r="A687" i="11"/>
  <c r="B687" i="11" s="1"/>
  <c r="B686" i="11"/>
  <c r="C687" i="11" s="1"/>
  <c r="A686" i="11"/>
  <c r="A685" i="11"/>
  <c r="B685" i="11" s="1"/>
  <c r="C685" i="11" s="1"/>
  <c r="C684" i="11"/>
  <c r="A684" i="11"/>
  <c r="B684" i="11" s="1"/>
  <c r="A683" i="11"/>
  <c r="B683" i="11" s="1"/>
  <c r="B682" i="11"/>
  <c r="C683" i="11" s="1"/>
  <c r="A682" i="11"/>
  <c r="C681" i="11"/>
  <c r="B681" i="11"/>
  <c r="C682" i="11" s="1"/>
  <c r="A681" i="11"/>
  <c r="C680" i="11"/>
  <c r="B680" i="11"/>
  <c r="A680" i="11"/>
  <c r="A679" i="11"/>
  <c r="B679" i="11" s="1"/>
  <c r="C679" i="11" s="1"/>
  <c r="B678" i="11"/>
  <c r="A678" i="11"/>
  <c r="A677" i="11"/>
  <c r="B677" i="11" s="1"/>
  <c r="C678" i="11" s="1"/>
  <c r="C676" i="11"/>
  <c r="A676" i="11"/>
  <c r="B676" i="11" s="1"/>
  <c r="C675" i="11"/>
  <c r="A675" i="11"/>
  <c r="B675" i="11" s="1"/>
  <c r="B674" i="11"/>
  <c r="A674" i="11"/>
  <c r="A673" i="11"/>
  <c r="B673" i="11" s="1"/>
  <c r="C674" i="11" s="1"/>
  <c r="B672" i="11"/>
  <c r="A672" i="11"/>
  <c r="A671" i="11"/>
  <c r="B671" i="11" s="1"/>
  <c r="C672" i="11" s="1"/>
  <c r="B670" i="11"/>
  <c r="A670" i="11"/>
  <c r="A669" i="11"/>
  <c r="B669" i="11" s="1"/>
  <c r="B668" i="11"/>
  <c r="C669" i="11" s="1"/>
  <c r="A668" i="11"/>
  <c r="A667" i="11"/>
  <c r="B667" i="11" s="1"/>
  <c r="C668" i="11" s="1"/>
  <c r="B666" i="11"/>
  <c r="A666" i="11"/>
  <c r="A665" i="11"/>
  <c r="B665" i="11" s="1"/>
  <c r="C666" i="11" s="1"/>
  <c r="B664" i="11"/>
  <c r="C665" i="11" s="1"/>
  <c r="A664" i="11"/>
  <c r="A663" i="11"/>
  <c r="B663" i="11" s="1"/>
  <c r="C662" i="11"/>
  <c r="B662" i="11"/>
  <c r="A662" i="11"/>
  <c r="B661" i="11"/>
  <c r="A661" i="11"/>
  <c r="A660" i="11"/>
  <c r="B660" i="11" s="1"/>
  <c r="C661" i="11" s="1"/>
  <c r="C659" i="11"/>
  <c r="A659" i="11"/>
  <c r="B659" i="11" s="1"/>
  <c r="B658" i="11"/>
  <c r="A658" i="11"/>
  <c r="B657" i="11"/>
  <c r="A657" i="11"/>
  <c r="A656" i="11"/>
  <c r="B656" i="11" s="1"/>
  <c r="C657" i="11" s="1"/>
  <c r="A655" i="11"/>
  <c r="B655" i="11" s="1"/>
  <c r="B654" i="11"/>
  <c r="C655" i="11" s="1"/>
  <c r="A654" i="11"/>
  <c r="B653" i="11"/>
  <c r="C653" i="11" s="1"/>
  <c r="A653" i="11"/>
  <c r="C652" i="11"/>
  <c r="A652" i="11"/>
  <c r="B652" i="11" s="1"/>
  <c r="A651" i="11"/>
  <c r="B651" i="11" s="1"/>
  <c r="B650" i="11"/>
  <c r="C651" i="11" s="1"/>
  <c r="A650" i="11"/>
  <c r="B649" i="11"/>
  <c r="C650" i="11" s="1"/>
  <c r="A649" i="11"/>
  <c r="B648" i="11"/>
  <c r="A648" i="11"/>
  <c r="A647" i="11"/>
  <c r="B647" i="11" s="1"/>
  <c r="B646" i="11"/>
  <c r="A646" i="11"/>
  <c r="A645" i="11"/>
  <c r="B645" i="11" s="1"/>
  <c r="B644" i="11"/>
  <c r="A644" i="11"/>
  <c r="A643" i="11"/>
  <c r="B643" i="11" s="1"/>
  <c r="C644" i="11" s="1"/>
  <c r="B642" i="11"/>
  <c r="C643" i="11" s="1"/>
  <c r="A642" i="11"/>
  <c r="B641" i="11"/>
  <c r="A641" i="11"/>
  <c r="B640" i="11"/>
  <c r="A640" i="11"/>
  <c r="C639" i="11"/>
  <c r="A639" i="11"/>
  <c r="B639" i="11" s="1"/>
  <c r="B638" i="11"/>
  <c r="A638" i="11"/>
  <c r="A637" i="11"/>
  <c r="B637" i="11" s="1"/>
  <c r="C638" i="11" s="1"/>
  <c r="C636" i="11"/>
  <c r="B636" i="11"/>
  <c r="A636" i="11"/>
  <c r="A635" i="11"/>
  <c r="B635" i="11" s="1"/>
  <c r="C635" i="11" s="1"/>
  <c r="B634" i="11"/>
  <c r="A634" i="11"/>
  <c r="B633" i="11"/>
  <c r="A633" i="11"/>
  <c r="A632" i="11"/>
  <c r="B632" i="11" s="1"/>
  <c r="C633" i="11" s="1"/>
  <c r="A631" i="11"/>
  <c r="B631" i="11" s="1"/>
  <c r="C632" i="11" s="1"/>
  <c r="C630" i="11"/>
  <c r="B630" i="11"/>
  <c r="A630" i="11"/>
  <c r="C629" i="11"/>
  <c r="A629" i="11"/>
  <c r="B629" i="11" s="1"/>
  <c r="A628" i="11"/>
  <c r="B628" i="11" s="1"/>
  <c r="A627" i="11"/>
  <c r="B627" i="11" s="1"/>
  <c r="C628" i="11" s="1"/>
  <c r="B626" i="11"/>
  <c r="C627" i="11" s="1"/>
  <c r="A626" i="11"/>
  <c r="C625" i="11"/>
  <c r="B625" i="11"/>
  <c r="A625" i="11"/>
  <c r="B624" i="11"/>
  <c r="C624" i="11" s="1"/>
  <c r="A624" i="11"/>
  <c r="A623" i="11"/>
  <c r="B623" i="11" s="1"/>
  <c r="B622" i="11"/>
  <c r="C623" i="11" s="1"/>
  <c r="A622" i="11"/>
  <c r="B621" i="11"/>
  <c r="C622" i="11" s="1"/>
  <c r="A621" i="11"/>
  <c r="A620" i="11"/>
  <c r="B620" i="11" s="1"/>
  <c r="C619" i="11"/>
  <c r="A619" i="11"/>
  <c r="B619" i="11" s="1"/>
  <c r="B618" i="11"/>
  <c r="A618" i="11"/>
  <c r="A617" i="11"/>
  <c r="B617" i="11" s="1"/>
  <c r="C618" i="11" s="1"/>
  <c r="B616" i="11"/>
  <c r="A616" i="11"/>
  <c r="A615" i="11"/>
  <c r="B615" i="11" s="1"/>
  <c r="C615" i="11" s="1"/>
  <c r="B614" i="11"/>
  <c r="A614" i="11"/>
  <c r="A613" i="11"/>
  <c r="B613" i="11" s="1"/>
  <c r="A612" i="11"/>
  <c r="B612" i="11" s="1"/>
  <c r="C613" i="11" s="1"/>
  <c r="A611" i="11"/>
  <c r="B611" i="11" s="1"/>
  <c r="C611" i="11" s="1"/>
  <c r="B610" i="11"/>
  <c r="A610" i="11"/>
  <c r="C609" i="11"/>
  <c r="B609" i="11"/>
  <c r="C610" i="11" s="1"/>
  <c r="A609" i="11"/>
  <c r="B608" i="11"/>
  <c r="C608" i="11" s="1"/>
  <c r="A608" i="11"/>
  <c r="C607" i="11"/>
  <c r="A607" i="11"/>
  <c r="B607" i="11" s="1"/>
  <c r="B606" i="11"/>
  <c r="A606" i="11"/>
  <c r="C605" i="11"/>
  <c r="B605" i="11"/>
  <c r="C606" i="11" s="1"/>
  <c r="A605" i="11"/>
  <c r="A604" i="11"/>
  <c r="B604" i="11" s="1"/>
  <c r="C603" i="11"/>
  <c r="A603" i="11"/>
  <c r="B603" i="11" s="1"/>
  <c r="B602" i="11"/>
  <c r="A602" i="11"/>
  <c r="A601" i="11"/>
  <c r="B601" i="11" s="1"/>
  <c r="A600" i="11"/>
  <c r="B600" i="11" s="1"/>
  <c r="C599" i="11"/>
  <c r="A599" i="11"/>
  <c r="B599" i="11" s="1"/>
  <c r="C598" i="11"/>
  <c r="B598" i="11"/>
  <c r="A598" i="11"/>
  <c r="C597" i="11"/>
  <c r="A597" i="11"/>
  <c r="B597" i="11" s="1"/>
  <c r="B596" i="11"/>
  <c r="A596" i="11"/>
  <c r="A595" i="11"/>
  <c r="B595" i="11" s="1"/>
  <c r="C596" i="11" s="1"/>
  <c r="B594" i="11"/>
  <c r="A594" i="11"/>
  <c r="B593" i="11"/>
  <c r="A593" i="11"/>
  <c r="C592" i="11"/>
  <c r="A592" i="11"/>
  <c r="B592" i="11" s="1"/>
  <c r="A591" i="11"/>
  <c r="B591" i="11" s="1"/>
  <c r="C591" i="11" s="1"/>
  <c r="B590" i="11"/>
  <c r="A590" i="11"/>
  <c r="A589" i="11"/>
  <c r="B589" i="11" s="1"/>
  <c r="C590" i="11" s="1"/>
  <c r="B588" i="11"/>
  <c r="C589" i="11" s="1"/>
  <c r="A588" i="11"/>
  <c r="C587" i="11"/>
  <c r="A587" i="11"/>
  <c r="B587" i="11" s="1"/>
  <c r="C586" i="11"/>
  <c r="B586" i="11"/>
  <c r="A586" i="11"/>
  <c r="A585" i="11"/>
  <c r="B585" i="11" s="1"/>
  <c r="A584" i="11"/>
  <c r="B584" i="11" s="1"/>
  <c r="C585" i="11" s="1"/>
  <c r="A583" i="11"/>
  <c r="B583" i="11" s="1"/>
  <c r="C584" i="11" s="1"/>
  <c r="B582" i="11"/>
  <c r="C583" i="11" s="1"/>
  <c r="A582" i="11"/>
  <c r="C581" i="11"/>
  <c r="B581" i="11"/>
  <c r="A581" i="11"/>
  <c r="B580" i="11"/>
  <c r="A580" i="11"/>
  <c r="A579" i="11"/>
  <c r="B579" i="11" s="1"/>
  <c r="C580" i="11" s="1"/>
  <c r="B578" i="11"/>
  <c r="C579" i="11" s="1"/>
  <c r="A578" i="11"/>
  <c r="A577" i="11"/>
  <c r="B577" i="11" s="1"/>
  <c r="C578" i="11" s="1"/>
  <c r="B576" i="11"/>
  <c r="A576" i="11"/>
  <c r="A575" i="11"/>
  <c r="B575" i="11" s="1"/>
  <c r="B574" i="11"/>
  <c r="C575" i="11" s="1"/>
  <c r="A574" i="11"/>
  <c r="A573" i="11"/>
  <c r="B573" i="11" s="1"/>
  <c r="C574" i="11" s="1"/>
  <c r="A572" i="11"/>
  <c r="B572" i="11" s="1"/>
  <c r="C571" i="11"/>
  <c r="A571" i="11"/>
  <c r="B571" i="11" s="1"/>
  <c r="B570" i="11"/>
  <c r="A570" i="11"/>
  <c r="A569" i="11"/>
  <c r="B569" i="11" s="1"/>
  <c r="C570" i="11" s="1"/>
  <c r="B568" i="11"/>
  <c r="A568" i="11"/>
  <c r="A567" i="11"/>
  <c r="B567" i="11" s="1"/>
  <c r="C568" i="11" s="1"/>
  <c r="B566" i="11"/>
  <c r="A566" i="11"/>
  <c r="A565" i="11"/>
  <c r="B565" i="11" s="1"/>
  <c r="B564" i="11"/>
  <c r="A564" i="11"/>
  <c r="A563" i="11"/>
  <c r="B563" i="11" s="1"/>
  <c r="C564" i="11" s="1"/>
  <c r="A562" i="11"/>
  <c r="B562" i="11" s="1"/>
  <c r="C563" i="11" s="1"/>
  <c r="B561" i="11"/>
  <c r="C562" i="11" s="1"/>
  <c r="A561" i="11"/>
  <c r="A560" i="11"/>
  <c r="B560" i="11" s="1"/>
  <c r="C559" i="11"/>
  <c r="A559" i="11"/>
  <c r="B559" i="11" s="1"/>
  <c r="B558" i="11"/>
  <c r="A558" i="11"/>
  <c r="A557" i="11"/>
  <c r="B557" i="11" s="1"/>
  <c r="B556" i="11"/>
  <c r="A556" i="11"/>
  <c r="A555" i="11"/>
  <c r="B555" i="11" s="1"/>
  <c r="C556" i="11" s="1"/>
  <c r="C554" i="11"/>
  <c r="B554" i="11"/>
  <c r="A554" i="11"/>
  <c r="A553" i="11"/>
  <c r="B553" i="11" s="1"/>
  <c r="A552" i="11"/>
  <c r="B552" i="11" s="1"/>
  <c r="C553" i="11" s="1"/>
  <c r="A551" i="11"/>
  <c r="B551" i="11" s="1"/>
  <c r="C550" i="11"/>
  <c r="B550" i="11"/>
  <c r="C551" i="11" s="1"/>
  <c r="A550" i="11"/>
  <c r="B549" i="11"/>
  <c r="A549" i="11"/>
  <c r="A548" i="11"/>
  <c r="B548" i="11" s="1"/>
  <c r="B547" i="11"/>
  <c r="A547" i="11"/>
  <c r="A546" i="11"/>
  <c r="B546" i="11" s="1"/>
  <c r="C547" i="11" s="1"/>
  <c r="A545" i="11"/>
  <c r="B545" i="11" s="1"/>
  <c r="C546" i="11" s="1"/>
  <c r="B544" i="11"/>
  <c r="A544" i="11"/>
  <c r="B543" i="11"/>
  <c r="A543" i="11"/>
  <c r="A542" i="11"/>
  <c r="B542" i="11" s="1"/>
  <c r="C543" i="11" s="1"/>
  <c r="A541" i="11"/>
  <c r="B541" i="11" s="1"/>
  <c r="C542" i="11" s="1"/>
  <c r="C540" i="11"/>
  <c r="A540" i="11"/>
  <c r="B540" i="11" s="1"/>
  <c r="B539" i="11"/>
  <c r="C539" i="11" s="1"/>
  <c r="A539" i="11"/>
  <c r="A538" i="11"/>
  <c r="B538" i="11" s="1"/>
  <c r="A537" i="11"/>
  <c r="B537" i="11" s="1"/>
  <c r="C538" i="11" s="1"/>
  <c r="B536" i="11"/>
  <c r="A536" i="11"/>
  <c r="A535" i="11"/>
  <c r="B535" i="11" s="1"/>
  <c r="C534" i="11"/>
  <c r="B534" i="11"/>
  <c r="A534" i="11"/>
  <c r="B533" i="11"/>
  <c r="A533" i="11"/>
  <c r="A532" i="11"/>
  <c r="B532" i="11" s="1"/>
  <c r="C533" i="11" s="1"/>
  <c r="B531" i="11"/>
  <c r="A531" i="11"/>
  <c r="A530" i="11"/>
  <c r="B530" i="11" s="1"/>
  <c r="A529" i="11"/>
  <c r="B529" i="11" s="1"/>
  <c r="B528" i="11"/>
  <c r="A528" i="11"/>
  <c r="A527" i="11"/>
  <c r="B527" i="11" s="1"/>
  <c r="C528" i="11" s="1"/>
  <c r="A526" i="11"/>
  <c r="B526" i="11" s="1"/>
  <c r="C527" i="11" s="1"/>
  <c r="B525" i="11"/>
  <c r="C526" i="11" s="1"/>
  <c r="A525" i="11"/>
  <c r="C524" i="11"/>
  <c r="B524" i="11"/>
  <c r="A524" i="11"/>
  <c r="B523" i="11"/>
  <c r="A523" i="11"/>
  <c r="A522" i="11"/>
  <c r="B522" i="11" s="1"/>
  <c r="C523" i="11" s="1"/>
  <c r="A521" i="11"/>
  <c r="B521" i="11" s="1"/>
  <c r="C522" i="11" s="1"/>
  <c r="A520" i="11"/>
  <c r="B520" i="11" s="1"/>
  <c r="A519" i="11"/>
  <c r="B519" i="11" s="1"/>
  <c r="C520" i="11" s="1"/>
  <c r="A518" i="11"/>
  <c r="B518" i="11" s="1"/>
  <c r="A517" i="11"/>
  <c r="B517" i="11" s="1"/>
  <c r="A516" i="11"/>
  <c r="B516" i="11" s="1"/>
  <c r="A515" i="11"/>
  <c r="B515" i="11" s="1"/>
  <c r="A514" i="11"/>
  <c r="B514" i="11" s="1"/>
  <c r="A513" i="11"/>
  <c r="B513" i="11" s="1"/>
  <c r="C514" i="11" s="1"/>
  <c r="A512" i="11"/>
  <c r="B512" i="11" s="1"/>
  <c r="C513" i="11" s="1"/>
  <c r="A511" i="11"/>
  <c r="B511" i="11" s="1"/>
  <c r="C510" i="11"/>
  <c r="A510" i="11"/>
  <c r="B510" i="11" s="1"/>
  <c r="A509" i="11"/>
  <c r="B509" i="11" s="1"/>
  <c r="C509" i="11" s="1"/>
  <c r="A508" i="11"/>
  <c r="B508" i="11" s="1"/>
  <c r="A507" i="11"/>
  <c r="B507" i="11" s="1"/>
  <c r="C508" i="11" s="1"/>
  <c r="C506" i="11"/>
  <c r="A506" i="11"/>
  <c r="B506" i="11" s="1"/>
  <c r="B505" i="11"/>
  <c r="C505" i="11" s="1"/>
  <c r="A505" i="11"/>
  <c r="A504" i="11"/>
  <c r="B504" i="11" s="1"/>
  <c r="A503" i="11"/>
  <c r="B503" i="11" s="1"/>
  <c r="C504" i="11" s="1"/>
  <c r="A502" i="11"/>
  <c r="B502" i="11" s="1"/>
  <c r="A501" i="11"/>
  <c r="B501" i="11" s="1"/>
  <c r="C500" i="11"/>
  <c r="A500" i="11"/>
  <c r="B500" i="11" s="1"/>
  <c r="B499" i="11"/>
  <c r="A499" i="11"/>
  <c r="A498" i="11"/>
  <c r="B498" i="11" s="1"/>
  <c r="C499" i="11" s="1"/>
  <c r="B497" i="11"/>
  <c r="C498" i="11" s="1"/>
  <c r="A497" i="11"/>
  <c r="C496" i="11"/>
  <c r="A496" i="11"/>
  <c r="B496" i="11" s="1"/>
  <c r="C495" i="11"/>
  <c r="B495" i="11"/>
  <c r="A495" i="11"/>
  <c r="A494" i="11"/>
  <c r="B494" i="11" s="1"/>
  <c r="A493" i="11"/>
  <c r="B493" i="11" s="1"/>
  <c r="C494" i="11" s="1"/>
  <c r="A492" i="11"/>
  <c r="B492" i="11" s="1"/>
  <c r="A491" i="11"/>
  <c r="B491" i="11" s="1"/>
  <c r="A490" i="11"/>
  <c r="B490" i="11" s="1"/>
  <c r="A489" i="11"/>
  <c r="B489" i="11" s="1"/>
  <c r="C490" i="11" s="1"/>
  <c r="A488" i="11"/>
  <c r="B488" i="11" s="1"/>
  <c r="A487" i="11"/>
  <c r="B487" i="11" s="1"/>
  <c r="C488" i="11" s="1"/>
  <c r="C486" i="11"/>
  <c r="A486" i="11"/>
  <c r="B486" i="11" s="1"/>
  <c r="A485" i="11"/>
  <c r="B485" i="11" s="1"/>
  <c r="C485" i="11" s="1"/>
  <c r="A484" i="11"/>
  <c r="B484" i="11" s="1"/>
  <c r="A483" i="11"/>
  <c r="B483" i="11" s="1"/>
  <c r="C484" i="11" s="1"/>
  <c r="C482" i="11"/>
  <c r="A482" i="11"/>
  <c r="B482" i="11" s="1"/>
  <c r="C483" i="11" s="1"/>
  <c r="C481" i="11"/>
  <c r="B481" i="11"/>
  <c r="A481" i="11"/>
  <c r="A480" i="11"/>
  <c r="B480" i="11" s="1"/>
  <c r="A479" i="11"/>
  <c r="B479" i="11" s="1"/>
  <c r="C480" i="11" s="1"/>
  <c r="A478" i="11"/>
  <c r="B478" i="11" s="1"/>
  <c r="C479" i="11" s="1"/>
  <c r="A477" i="11"/>
  <c r="B477" i="11" s="1"/>
  <c r="C476" i="11"/>
  <c r="A476" i="11"/>
  <c r="B476" i="11" s="1"/>
  <c r="B475" i="11"/>
  <c r="A475" i="11"/>
  <c r="A474" i="11"/>
  <c r="B474" i="11" s="1"/>
  <c r="C475" i="11" s="1"/>
  <c r="A473" i="11"/>
  <c r="B473" i="11" s="1"/>
  <c r="C474" i="11" s="1"/>
  <c r="A472" i="11"/>
  <c r="B472" i="11" s="1"/>
  <c r="C471" i="11"/>
  <c r="B471" i="11"/>
  <c r="A471" i="11"/>
  <c r="A470" i="11"/>
  <c r="B470" i="11" s="1"/>
  <c r="A469" i="11"/>
  <c r="B469" i="11" s="1"/>
  <c r="C470" i="11" s="1"/>
  <c r="C468" i="11"/>
  <c r="A468" i="11"/>
  <c r="B468" i="11" s="1"/>
  <c r="A467" i="11"/>
  <c r="B467" i="11" s="1"/>
  <c r="C467" i="11" s="1"/>
  <c r="A466" i="11"/>
  <c r="B466" i="11" s="1"/>
  <c r="A465" i="11"/>
  <c r="B465" i="11" s="1"/>
  <c r="C466" i="11" s="1"/>
  <c r="A464" i="11"/>
  <c r="B464" i="11" s="1"/>
  <c r="A463" i="11"/>
  <c r="B463" i="11" s="1"/>
  <c r="C464" i="11" s="1"/>
  <c r="A462" i="11"/>
  <c r="B462" i="11" s="1"/>
  <c r="C462" i="11" s="1"/>
  <c r="A461" i="11"/>
  <c r="B461" i="11" s="1"/>
  <c r="C461" i="11" s="1"/>
  <c r="A460" i="11"/>
  <c r="B460" i="11" s="1"/>
  <c r="A459" i="11"/>
  <c r="B459" i="11" s="1"/>
  <c r="C460" i="11" s="1"/>
  <c r="A458" i="11"/>
  <c r="B458" i="11" s="1"/>
  <c r="C459" i="11" s="1"/>
  <c r="C457" i="11"/>
  <c r="B457" i="11"/>
  <c r="A457" i="11"/>
  <c r="A456" i="11"/>
  <c r="B456" i="11" s="1"/>
  <c r="A455" i="11"/>
  <c r="B455" i="11" s="1"/>
  <c r="C456" i="11" s="1"/>
  <c r="A454" i="11"/>
  <c r="B454" i="11" s="1"/>
  <c r="C453" i="11"/>
  <c r="B453" i="11"/>
  <c r="A453" i="11"/>
  <c r="C452" i="11"/>
  <c r="A452" i="11"/>
  <c r="B452" i="11" s="1"/>
  <c r="B451" i="11"/>
  <c r="A451" i="11"/>
  <c r="A450" i="11"/>
  <c r="B450" i="11" s="1"/>
  <c r="C451" i="11" s="1"/>
  <c r="A449" i="11"/>
  <c r="B449" i="11" s="1"/>
  <c r="C450" i="11" s="1"/>
  <c r="C448" i="11"/>
  <c r="A448" i="11"/>
  <c r="B448" i="11" s="1"/>
  <c r="C447" i="11"/>
  <c r="B447" i="11"/>
  <c r="A447" i="11"/>
  <c r="A446" i="11"/>
  <c r="B446" i="11" s="1"/>
  <c r="A445" i="11"/>
  <c r="B445" i="11" s="1"/>
  <c r="C446" i="11" s="1"/>
  <c r="A444" i="11"/>
  <c r="B444" i="11" s="1"/>
  <c r="C445" i="11" s="1"/>
  <c r="A443" i="11"/>
  <c r="B443" i="11" s="1"/>
  <c r="A442" i="11"/>
  <c r="B442" i="11" s="1"/>
  <c r="A441" i="11"/>
  <c r="B441" i="11" s="1"/>
  <c r="C442" i="11" s="1"/>
  <c r="A440" i="11"/>
  <c r="B440" i="11" s="1"/>
  <c r="C441" i="11" s="1"/>
  <c r="B439" i="11"/>
  <c r="C440" i="11" s="1"/>
  <c r="A439" i="11"/>
  <c r="A438" i="11"/>
  <c r="B438" i="11" s="1"/>
  <c r="C439" i="11" s="1"/>
  <c r="A437" i="11"/>
  <c r="B437" i="11" s="1"/>
  <c r="C437" i="11" s="1"/>
  <c r="A436" i="11"/>
  <c r="B436" i="11" s="1"/>
  <c r="A435" i="11"/>
  <c r="B435" i="11" s="1"/>
  <c r="C436" i="11" s="1"/>
  <c r="A434" i="11"/>
  <c r="B434" i="11" s="1"/>
  <c r="C435" i="11" s="1"/>
  <c r="C433" i="11"/>
  <c r="B433" i="11"/>
  <c r="A433" i="11"/>
  <c r="A432" i="11"/>
  <c r="B432" i="11" s="1"/>
  <c r="A431" i="11"/>
  <c r="B431" i="11" s="1"/>
  <c r="C432" i="11" s="1"/>
  <c r="A430" i="11"/>
  <c r="B430" i="11" s="1"/>
  <c r="C431" i="11" s="1"/>
  <c r="B429" i="11"/>
  <c r="C430" i="11" s="1"/>
  <c r="A429" i="11"/>
  <c r="C428" i="11"/>
  <c r="A428" i="11"/>
  <c r="B428" i="11" s="1"/>
  <c r="B427" i="11"/>
  <c r="A427" i="11"/>
  <c r="A426" i="11"/>
  <c r="B426" i="11" s="1"/>
  <c r="C427" i="11" s="1"/>
  <c r="B425" i="11"/>
  <c r="C426" i="11" s="1"/>
  <c r="A425" i="11"/>
  <c r="A424" i="11"/>
  <c r="B424" i="11" s="1"/>
  <c r="C423" i="11"/>
  <c r="B423" i="11"/>
  <c r="A423" i="11"/>
  <c r="A422" i="11"/>
  <c r="B422" i="11" s="1"/>
  <c r="A421" i="11"/>
  <c r="B421" i="11" s="1"/>
  <c r="C422" i="11" s="1"/>
  <c r="A420" i="11"/>
  <c r="B420" i="11" s="1"/>
  <c r="C421" i="11" s="1"/>
  <c r="C419" i="11"/>
  <c r="B419" i="11"/>
  <c r="A419" i="11"/>
  <c r="A418" i="11"/>
  <c r="B418" i="11" s="1"/>
  <c r="A417" i="11"/>
  <c r="B417" i="11" s="1"/>
  <c r="C418" i="11" s="1"/>
  <c r="A416" i="11"/>
  <c r="B416" i="11" s="1"/>
  <c r="C417" i="11" s="1"/>
  <c r="A415" i="11"/>
  <c r="B415" i="11" s="1"/>
  <c r="C416" i="11" s="1"/>
  <c r="A414" i="11"/>
  <c r="B414" i="11" s="1"/>
  <c r="A413" i="11"/>
  <c r="B413" i="11" s="1"/>
  <c r="A412" i="11"/>
  <c r="B412" i="11" s="1"/>
  <c r="A411" i="11"/>
  <c r="B411" i="11" s="1"/>
  <c r="C412" i="11" s="1"/>
  <c r="A410" i="11"/>
  <c r="B410" i="11" s="1"/>
  <c r="B409" i="11"/>
  <c r="C409" i="11" s="1"/>
  <c r="A409" i="11"/>
  <c r="A408" i="11"/>
  <c r="B408" i="11" s="1"/>
  <c r="A407" i="11"/>
  <c r="B407" i="11" s="1"/>
  <c r="C408" i="11" s="1"/>
  <c r="A406" i="11"/>
  <c r="B406" i="11" s="1"/>
  <c r="C407" i="11" s="1"/>
  <c r="B405" i="11"/>
  <c r="C406" i="11" s="1"/>
  <c r="A405" i="11"/>
  <c r="C404" i="11"/>
  <c r="A404" i="11"/>
  <c r="B404" i="11" s="1"/>
  <c r="B403" i="11"/>
  <c r="A403" i="11"/>
  <c r="A402" i="11"/>
  <c r="B402" i="11" s="1"/>
  <c r="C403" i="11" s="1"/>
  <c r="B401" i="11"/>
  <c r="C402" i="11" s="1"/>
  <c r="A401" i="11"/>
  <c r="A400" i="11"/>
  <c r="B400" i="11" s="1"/>
  <c r="C399" i="11"/>
  <c r="B399" i="11"/>
  <c r="A399" i="11"/>
  <c r="A398" i="11"/>
  <c r="B398" i="11" s="1"/>
  <c r="A397" i="11"/>
  <c r="B397" i="11" s="1"/>
  <c r="C398" i="11" s="1"/>
  <c r="A396" i="11"/>
  <c r="B396" i="11" s="1"/>
  <c r="C397" i="11" s="1"/>
  <c r="B395" i="11"/>
  <c r="C396" i="11" s="1"/>
  <c r="A395" i="11"/>
  <c r="A394" i="11"/>
  <c r="B394" i="11" s="1"/>
  <c r="A393" i="11"/>
  <c r="B393" i="11" s="1"/>
  <c r="C394" i="11" s="1"/>
  <c r="A392" i="11"/>
  <c r="B392" i="11" s="1"/>
  <c r="C393" i="11" s="1"/>
  <c r="B391" i="11"/>
  <c r="C392" i="11" s="1"/>
  <c r="A391" i="11"/>
  <c r="A390" i="11"/>
  <c r="B390" i="11" s="1"/>
  <c r="A389" i="11"/>
  <c r="B389" i="11" s="1"/>
  <c r="C389" i="11" s="1"/>
  <c r="A388" i="11"/>
  <c r="B388" i="11" s="1"/>
  <c r="A387" i="11"/>
  <c r="B387" i="11" s="1"/>
  <c r="C388" i="11" s="1"/>
  <c r="A386" i="11"/>
  <c r="B386" i="11" s="1"/>
  <c r="B385" i="11"/>
  <c r="A385" i="11"/>
  <c r="A384" i="11"/>
  <c r="B384" i="11" s="1"/>
  <c r="A383" i="11"/>
  <c r="B383" i="11" s="1"/>
  <c r="C384" i="11" s="1"/>
  <c r="A382" i="11"/>
  <c r="B382" i="11" s="1"/>
  <c r="A381" i="11"/>
  <c r="B381" i="11" s="1"/>
  <c r="C380" i="11"/>
  <c r="A380" i="11"/>
  <c r="B380" i="11" s="1"/>
  <c r="B379" i="11"/>
  <c r="A379" i="11"/>
  <c r="A378" i="11"/>
  <c r="B378" i="11" s="1"/>
  <c r="C379" i="11" s="1"/>
  <c r="A377" i="11"/>
  <c r="B377" i="11" s="1"/>
  <c r="C378" i="11" s="1"/>
  <c r="C376" i="11"/>
  <c r="A376" i="11"/>
  <c r="B376" i="11" s="1"/>
  <c r="C375" i="11"/>
  <c r="B375" i="11"/>
  <c r="A375" i="11"/>
  <c r="A374" i="11"/>
  <c r="B374" i="11" s="1"/>
  <c r="A373" i="11"/>
  <c r="B373" i="11" s="1"/>
  <c r="C374" i="11" s="1"/>
  <c r="A372" i="11"/>
  <c r="B372" i="11" s="1"/>
  <c r="C373" i="11" s="1"/>
  <c r="A371" i="11"/>
  <c r="B371" i="11" s="1"/>
  <c r="A370" i="11"/>
  <c r="B370" i="11" s="1"/>
  <c r="A369" i="11"/>
  <c r="B369" i="11" s="1"/>
  <c r="A368" i="11"/>
  <c r="B368" i="11" s="1"/>
  <c r="A367" i="11"/>
  <c r="B367" i="11" s="1"/>
  <c r="A366" i="11"/>
  <c r="B366" i="11" s="1"/>
  <c r="A365" i="11"/>
  <c r="B365" i="11" s="1"/>
  <c r="C365" i="11" s="1"/>
  <c r="A364" i="11"/>
  <c r="B364" i="11" s="1"/>
  <c r="A363" i="11"/>
  <c r="B363" i="11" s="1"/>
  <c r="C364" i="11" s="1"/>
  <c r="C362" i="11"/>
  <c r="A362" i="11"/>
  <c r="B362" i="11" s="1"/>
  <c r="C361" i="11"/>
  <c r="B361" i="11"/>
  <c r="A361" i="11"/>
  <c r="A360" i="11"/>
  <c r="B360" i="11" s="1"/>
  <c r="A359" i="11"/>
  <c r="B359" i="11" s="1"/>
  <c r="C360" i="11" s="1"/>
  <c r="A358" i="11"/>
  <c r="B358" i="11" s="1"/>
  <c r="A357" i="11"/>
  <c r="B357" i="11" s="1"/>
  <c r="C356" i="11"/>
  <c r="A356" i="11"/>
  <c r="B356" i="11" s="1"/>
  <c r="B355" i="11"/>
  <c r="A355" i="11"/>
  <c r="A354" i="11"/>
  <c r="B354" i="11" s="1"/>
  <c r="C355" i="11" s="1"/>
  <c r="A353" i="11"/>
  <c r="B353" i="11" s="1"/>
  <c r="C354" i="11" s="1"/>
  <c r="C352" i="11"/>
  <c r="A352" i="11"/>
  <c r="B352" i="11" s="1"/>
  <c r="C351" i="11"/>
  <c r="B351" i="11"/>
  <c r="A351" i="11"/>
  <c r="A350" i="11"/>
  <c r="B350" i="11" s="1"/>
  <c r="A349" i="11"/>
  <c r="B349" i="11" s="1"/>
  <c r="C350" i="11" s="1"/>
  <c r="A348" i="11"/>
  <c r="B348" i="11" s="1"/>
  <c r="A347" i="11"/>
  <c r="B347" i="11" s="1"/>
  <c r="A346" i="11"/>
  <c r="B346" i="11" s="1"/>
  <c r="A345" i="11"/>
  <c r="B345" i="11" s="1"/>
  <c r="A344" i="11"/>
  <c r="B344" i="11" s="1"/>
  <c r="A343" i="11"/>
  <c r="B343" i="11" s="1"/>
  <c r="C344" i="11" s="1"/>
  <c r="C342" i="11"/>
  <c r="A342" i="11"/>
  <c r="B342" i="11" s="1"/>
  <c r="A341" i="11"/>
  <c r="B341" i="11" s="1"/>
  <c r="C341" i="11" s="1"/>
  <c r="A340" i="11"/>
  <c r="B340" i="11" s="1"/>
  <c r="A339" i="11"/>
  <c r="B339" i="11" s="1"/>
  <c r="C340" i="11" s="1"/>
  <c r="A338" i="11"/>
  <c r="B338" i="11" s="1"/>
  <c r="C339" i="11" s="1"/>
  <c r="B337" i="11"/>
  <c r="C337" i="11" s="1"/>
  <c r="A337" i="11"/>
  <c r="A336" i="11"/>
  <c r="B336" i="11" s="1"/>
  <c r="A335" i="11"/>
  <c r="B335" i="11" s="1"/>
  <c r="C336" i="11" s="1"/>
  <c r="A334" i="11"/>
  <c r="B334" i="11" s="1"/>
  <c r="C335" i="11" s="1"/>
  <c r="C333" i="11"/>
  <c r="B333" i="11"/>
  <c r="A333" i="11"/>
  <c r="C332" i="11"/>
  <c r="A332" i="11"/>
  <c r="B332" i="11" s="1"/>
  <c r="B331" i="11"/>
  <c r="A331" i="11"/>
  <c r="A330" i="11"/>
  <c r="B330" i="11" s="1"/>
  <c r="C331" i="11" s="1"/>
  <c r="A329" i="11"/>
  <c r="B329" i="11" s="1"/>
  <c r="C330" i="11" s="1"/>
  <c r="C328" i="11"/>
  <c r="A328" i="11"/>
  <c r="B328" i="11" s="1"/>
  <c r="C327" i="11"/>
  <c r="B327" i="11"/>
  <c r="A327" i="11"/>
  <c r="A326" i="11"/>
  <c r="B326" i="11" s="1"/>
  <c r="A325" i="11"/>
  <c r="B325" i="11" s="1"/>
  <c r="C326" i="11" s="1"/>
  <c r="A324" i="11"/>
  <c r="B324" i="11" s="1"/>
  <c r="A323" i="11"/>
  <c r="B323" i="11" s="1"/>
  <c r="A322" i="11"/>
  <c r="B322" i="11" s="1"/>
  <c r="A321" i="11"/>
  <c r="B321" i="11" s="1"/>
  <c r="A320" i="11"/>
  <c r="B320" i="11" s="1"/>
  <c r="A319" i="11"/>
  <c r="B319" i="11" s="1"/>
  <c r="C320" i="11" s="1"/>
  <c r="A318" i="11"/>
  <c r="B318" i="11" s="1"/>
  <c r="C318" i="11" s="1"/>
  <c r="A317" i="11"/>
  <c r="B317" i="11" s="1"/>
  <c r="C317" i="11" s="1"/>
  <c r="A316" i="11"/>
  <c r="B316" i="11" s="1"/>
  <c r="A315" i="11"/>
  <c r="B315" i="11" s="1"/>
  <c r="C316" i="11" s="1"/>
  <c r="C314" i="11"/>
  <c r="A314" i="11"/>
  <c r="B314" i="11" s="1"/>
  <c r="C315" i="11" s="1"/>
  <c r="C313" i="11"/>
  <c r="B313" i="11"/>
  <c r="A313" i="11"/>
  <c r="A312" i="11"/>
  <c r="B312" i="11" s="1"/>
  <c r="A311" i="11"/>
  <c r="B311" i="11" s="1"/>
  <c r="C312" i="11" s="1"/>
  <c r="A310" i="11"/>
  <c r="B310" i="11" s="1"/>
  <c r="C311" i="11" s="1"/>
  <c r="A309" i="11"/>
  <c r="B309" i="11" s="1"/>
  <c r="C308" i="11"/>
  <c r="A308" i="11"/>
  <c r="B308" i="11" s="1"/>
  <c r="B307" i="11"/>
  <c r="A307" i="11"/>
  <c r="A306" i="11"/>
  <c r="B306" i="11" s="1"/>
  <c r="C307" i="11" s="1"/>
  <c r="B305" i="11"/>
  <c r="C306" i="11" s="1"/>
  <c r="A305" i="11"/>
  <c r="A304" i="11"/>
  <c r="B304" i="11" s="1"/>
  <c r="C305" i="11" s="1"/>
  <c r="C303" i="11"/>
  <c r="B303" i="11"/>
  <c r="A303" i="11"/>
  <c r="A302" i="11"/>
  <c r="B302" i="11" s="1"/>
  <c r="A301" i="11"/>
  <c r="B301" i="11" s="1"/>
  <c r="C302" i="11" s="1"/>
  <c r="C300" i="11"/>
  <c r="A300" i="11"/>
  <c r="B300" i="11" s="1"/>
  <c r="C301" i="11" s="1"/>
  <c r="C299" i="11"/>
  <c r="B299" i="11"/>
  <c r="A299" i="11"/>
  <c r="A298" i="11"/>
  <c r="B298" i="11" s="1"/>
  <c r="A297" i="11"/>
  <c r="B297" i="11" s="1"/>
  <c r="A296" i="11"/>
  <c r="B296" i="11" s="1"/>
  <c r="A295" i="11"/>
  <c r="B295" i="11" s="1"/>
  <c r="C296" i="11" s="1"/>
  <c r="C294" i="11"/>
  <c r="A294" i="11"/>
  <c r="B294" i="11" s="1"/>
  <c r="A293" i="11"/>
  <c r="B293" i="11" s="1"/>
  <c r="C293" i="11" s="1"/>
  <c r="A292" i="11"/>
  <c r="B292" i="11" s="1"/>
  <c r="A291" i="11"/>
  <c r="B291" i="11" s="1"/>
  <c r="C292" i="11" s="1"/>
  <c r="A290" i="11"/>
  <c r="B290" i="11" s="1"/>
  <c r="C291" i="11" s="1"/>
  <c r="B289" i="11"/>
  <c r="C290" i="11" s="1"/>
  <c r="A289" i="11"/>
  <c r="A288" i="11"/>
  <c r="B288" i="11" s="1"/>
  <c r="A287" i="11"/>
  <c r="B287" i="11" s="1"/>
  <c r="C288" i="11" s="1"/>
  <c r="A286" i="11"/>
  <c r="B286" i="11" s="1"/>
  <c r="C287" i="11" s="1"/>
  <c r="C285" i="11"/>
  <c r="B285" i="11"/>
  <c r="A285" i="11"/>
  <c r="C284" i="11"/>
  <c r="A284" i="11"/>
  <c r="B284" i="11" s="1"/>
  <c r="B283" i="11"/>
  <c r="A283" i="11"/>
  <c r="A282" i="11"/>
  <c r="B282" i="11" s="1"/>
  <c r="C283" i="11" s="1"/>
  <c r="A281" i="11"/>
  <c r="B281" i="11" s="1"/>
  <c r="C282" i="11" s="1"/>
  <c r="A280" i="11"/>
  <c r="B280" i="11" s="1"/>
  <c r="C279" i="11"/>
  <c r="B279" i="11"/>
  <c r="A279" i="11"/>
  <c r="A278" i="11"/>
  <c r="B278" i="11" s="1"/>
  <c r="A277" i="11"/>
  <c r="B277" i="11" s="1"/>
  <c r="C278" i="11" s="1"/>
  <c r="A276" i="11"/>
  <c r="B276" i="11" s="1"/>
  <c r="C277" i="11" s="1"/>
  <c r="A275" i="11"/>
  <c r="B275" i="11" s="1"/>
  <c r="A274" i="11"/>
  <c r="B274" i="11" s="1"/>
  <c r="A273" i="11"/>
  <c r="B273" i="11" s="1"/>
  <c r="A272" i="11"/>
  <c r="B272" i="11" s="1"/>
  <c r="C271" i="11"/>
  <c r="B271" i="11"/>
  <c r="C272" i="11" s="1"/>
  <c r="A271" i="11"/>
  <c r="A270" i="11"/>
  <c r="B270" i="11" s="1"/>
  <c r="A269" i="11"/>
  <c r="B269" i="11" s="1"/>
  <c r="C269" i="11" s="1"/>
  <c r="A268" i="11"/>
  <c r="B268" i="11" s="1"/>
  <c r="A267" i="11"/>
  <c r="B267" i="11" s="1"/>
  <c r="C268" i="11" s="1"/>
  <c r="A266" i="11"/>
  <c r="B266" i="11" s="1"/>
  <c r="C267" i="11" s="1"/>
  <c r="C265" i="11"/>
  <c r="B265" i="11"/>
  <c r="C266" i="11" s="1"/>
  <c r="A265" i="11"/>
  <c r="A264" i="11"/>
  <c r="B264" i="11" s="1"/>
  <c r="A263" i="11"/>
  <c r="B263" i="11" s="1"/>
  <c r="C264" i="11" s="1"/>
  <c r="A262" i="11"/>
  <c r="B262" i="11" s="1"/>
  <c r="A261" i="11"/>
  <c r="B261" i="11" s="1"/>
  <c r="C260" i="11"/>
  <c r="A260" i="11"/>
  <c r="B260" i="11" s="1"/>
  <c r="B259" i="11"/>
  <c r="A259" i="11"/>
  <c r="A258" i="11"/>
  <c r="B258" i="11" s="1"/>
  <c r="C259" i="11" s="1"/>
  <c r="B257" i="11"/>
  <c r="C258" i="11" s="1"/>
  <c r="A257" i="11"/>
  <c r="C256" i="11"/>
  <c r="A256" i="11"/>
  <c r="B256" i="11" s="1"/>
  <c r="C255" i="11"/>
  <c r="B255" i="11"/>
  <c r="A255" i="11"/>
  <c r="A254" i="11"/>
  <c r="B254" i="11" s="1"/>
  <c r="A253" i="11"/>
  <c r="B253" i="11" s="1"/>
  <c r="C254" i="11" s="1"/>
  <c r="A252" i="11"/>
  <c r="B252" i="11" s="1"/>
  <c r="C253" i="11" s="1"/>
  <c r="B251" i="11"/>
  <c r="C251" i="11" s="1"/>
  <c r="A251" i="11"/>
  <c r="A250" i="11"/>
  <c r="B250" i="11" s="1"/>
  <c r="A249" i="11"/>
  <c r="B249" i="11" s="1"/>
  <c r="C249" i="11" s="1"/>
  <c r="A248" i="11"/>
  <c r="B248" i="11" s="1"/>
  <c r="A247" i="11"/>
  <c r="B247" i="11" s="1"/>
  <c r="C248" i="11" s="1"/>
  <c r="A246" i="11"/>
  <c r="B246" i="11" s="1"/>
  <c r="C247" i="11" s="1"/>
  <c r="A245" i="11"/>
  <c r="B245" i="11" s="1"/>
  <c r="C246" i="11" s="1"/>
  <c r="A244" i="11"/>
  <c r="B244" i="11" s="1"/>
  <c r="A243" i="11"/>
  <c r="B243" i="11" s="1"/>
  <c r="C244" i="11" s="1"/>
  <c r="A242" i="11"/>
  <c r="B242" i="11" s="1"/>
  <c r="C243" i="11" s="1"/>
  <c r="B241" i="11"/>
  <c r="C242" i="11" s="1"/>
  <c r="A241" i="11"/>
  <c r="A240" i="11"/>
  <c r="B240" i="11" s="1"/>
  <c r="A239" i="11"/>
  <c r="B239" i="11" s="1"/>
  <c r="C240" i="11" s="1"/>
  <c r="A238" i="11"/>
  <c r="B238" i="11" s="1"/>
  <c r="C239" i="11" s="1"/>
  <c r="B237" i="11"/>
  <c r="C238" i="11" s="1"/>
  <c r="A237" i="11"/>
  <c r="C236" i="11"/>
  <c r="A236" i="11"/>
  <c r="B236" i="11" s="1"/>
  <c r="B235" i="11"/>
  <c r="A235" i="11"/>
  <c r="A234" i="11"/>
  <c r="B234" i="11" s="1"/>
  <c r="C235" i="11" s="1"/>
  <c r="A233" i="11"/>
  <c r="B233" i="11" s="1"/>
  <c r="C234" i="11" s="1"/>
  <c r="A232" i="11"/>
  <c r="B232" i="11" s="1"/>
  <c r="C231" i="11"/>
  <c r="B231" i="11"/>
  <c r="A231" i="11"/>
  <c r="A230" i="11"/>
  <c r="B230" i="11" s="1"/>
  <c r="A229" i="11"/>
  <c r="B229" i="11" s="1"/>
  <c r="C230" i="11" s="1"/>
  <c r="A228" i="11"/>
  <c r="B228" i="11" s="1"/>
  <c r="C229" i="11" s="1"/>
  <c r="A227" i="11"/>
  <c r="B227" i="11" s="1"/>
  <c r="A226" i="11"/>
  <c r="B226" i="11" s="1"/>
  <c r="A225" i="11"/>
  <c r="B225" i="11" s="1"/>
  <c r="A224" i="11"/>
  <c r="B224" i="11" s="1"/>
  <c r="B223" i="11"/>
  <c r="C224" i="11" s="1"/>
  <c r="A223" i="11"/>
  <c r="A222" i="11"/>
  <c r="B222" i="11" s="1"/>
  <c r="C222" i="11" s="1"/>
  <c r="C221" i="11"/>
  <c r="A221" i="11"/>
  <c r="B221" i="11" s="1"/>
  <c r="A220" i="11"/>
  <c r="B220" i="11" s="1"/>
  <c r="A219" i="11"/>
  <c r="B219" i="11" s="1"/>
  <c r="C220" i="11" s="1"/>
  <c r="A218" i="11"/>
  <c r="B218" i="11" s="1"/>
  <c r="C219" i="11" s="1"/>
  <c r="C217" i="11"/>
  <c r="B217" i="11"/>
  <c r="A217" i="11"/>
  <c r="A216" i="11"/>
  <c r="B216" i="11" s="1"/>
  <c r="A215" i="11"/>
  <c r="B215" i="11" s="1"/>
  <c r="C216" i="11" s="1"/>
  <c r="A214" i="11"/>
  <c r="B214" i="11" s="1"/>
  <c r="C215" i="11" s="1"/>
  <c r="A213" i="11"/>
  <c r="B213" i="11" s="1"/>
  <c r="C214" i="11" s="1"/>
  <c r="A212" i="11"/>
  <c r="B212" i="11" s="1"/>
  <c r="B211" i="11"/>
  <c r="C212" i="11" s="1"/>
  <c r="A211" i="11"/>
  <c r="A210" i="11"/>
  <c r="B210" i="11" s="1"/>
  <c r="B209" i="11"/>
  <c r="C210" i="11" s="1"/>
  <c r="A209" i="11"/>
  <c r="A208" i="11"/>
  <c r="B208" i="11" s="1"/>
  <c r="C209" i="11" s="1"/>
  <c r="C207" i="11"/>
  <c r="B207" i="11"/>
  <c r="A207" i="11"/>
  <c r="A206" i="11"/>
  <c r="B206" i="11" s="1"/>
  <c r="A205" i="11"/>
  <c r="B205" i="11" s="1"/>
  <c r="C206" i="11" s="1"/>
  <c r="A204" i="11"/>
  <c r="B204" i="11" s="1"/>
  <c r="A203" i="11"/>
  <c r="B203" i="11" s="1"/>
  <c r="C202" i="11"/>
  <c r="A202" i="11"/>
  <c r="B202" i="11" s="1"/>
  <c r="A201" i="11"/>
  <c r="B201" i="11" s="1"/>
  <c r="C201" i="11" s="1"/>
  <c r="A200" i="11"/>
  <c r="B200" i="11" s="1"/>
  <c r="B199" i="11"/>
  <c r="C200" i="11" s="1"/>
  <c r="A199" i="11"/>
  <c r="A198" i="11"/>
  <c r="B198" i="11" s="1"/>
  <c r="A197" i="11"/>
  <c r="B197" i="11" s="1"/>
  <c r="C197" i="11" s="1"/>
  <c r="A196" i="11"/>
  <c r="B196" i="11" s="1"/>
  <c r="A195" i="11"/>
  <c r="B195" i="11" s="1"/>
  <c r="C196" i="11" s="1"/>
  <c r="A194" i="11"/>
  <c r="B194" i="11" s="1"/>
  <c r="B193" i="11"/>
  <c r="C194" i="11" s="1"/>
  <c r="A193" i="11"/>
  <c r="A192" i="11"/>
  <c r="B192" i="11" s="1"/>
  <c r="A191" i="11"/>
  <c r="B191" i="11" s="1"/>
  <c r="A190" i="11"/>
  <c r="B190" i="11" s="1"/>
  <c r="A189" i="11"/>
  <c r="B189" i="11" s="1"/>
  <c r="C190" i="11" s="1"/>
  <c r="C188" i="11"/>
  <c r="A188" i="11"/>
  <c r="B188" i="11" s="1"/>
  <c r="B187" i="11"/>
  <c r="A187" i="11"/>
  <c r="A186" i="11"/>
  <c r="B186" i="11" s="1"/>
  <c r="C187" i="11" s="1"/>
  <c r="A185" i="11"/>
  <c r="B185" i="11" s="1"/>
  <c r="C186" i="11" s="1"/>
  <c r="B184" i="11"/>
  <c r="A184" i="11"/>
  <c r="A183" i="11"/>
  <c r="B183" i="11" s="1"/>
  <c r="C183" i="11" s="1"/>
  <c r="A182" i="11"/>
  <c r="B182" i="11" s="1"/>
  <c r="A181" i="11"/>
  <c r="B181" i="11" s="1"/>
  <c r="C182" i="11" s="1"/>
  <c r="A180" i="11"/>
  <c r="B180" i="11" s="1"/>
  <c r="C181" i="11" s="1"/>
  <c r="C179" i="11"/>
  <c r="B179" i="11"/>
  <c r="A179" i="11"/>
  <c r="A178" i="11"/>
  <c r="B178" i="11" s="1"/>
  <c r="A177" i="11"/>
  <c r="B177" i="11" s="1"/>
  <c r="C178" i="11" s="1"/>
  <c r="B176" i="11"/>
  <c r="C177" i="11" s="1"/>
  <c r="A176" i="11"/>
  <c r="A175" i="11"/>
  <c r="B175" i="11" s="1"/>
  <c r="C176" i="11" s="1"/>
  <c r="A174" i="11"/>
  <c r="B174" i="11" s="1"/>
  <c r="A173" i="11"/>
  <c r="B173" i="11" s="1"/>
  <c r="C174" i="11" s="1"/>
  <c r="B172" i="11"/>
  <c r="A172" i="11"/>
  <c r="A171" i="11"/>
  <c r="B171" i="11" s="1"/>
  <c r="C170" i="11"/>
  <c r="A170" i="11"/>
  <c r="B170" i="11" s="1"/>
  <c r="A169" i="11"/>
  <c r="B169" i="11" s="1"/>
  <c r="A168" i="11"/>
  <c r="B168" i="11" s="1"/>
  <c r="C169" i="11" s="1"/>
  <c r="C167" i="11"/>
  <c r="B167" i="11"/>
  <c r="A167" i="11"/>
  <c r="A166" i="11"/>
  <c r="B166" i="11" s="1"/>
  <c r="B165" i="11"/>
  <c r="C166" i="11" s="1"/>
  <c r="A165" i="11"/>
  <c r="A164" i="11"/>
  <c r="B164" i="11" s="1"/>
  <c r="C165" i="11" s="1"/>
  <c r="A163" i="11"/>
  <c r="B163" i="11" s="1"/>
  <c r="C164" i="11" s="1"/>
  <c r="C162" i="11"/>
  <c r="A162" i="11"/>
  <c r="B162" i="11" s="1"/>
  <c r="C161" i="11"/>
  <c r="A161" i="11"/>
  <c r="B161" i="11" s="1"/>
  <c r="A160" i="11"/>
  <c r="B160" i="11" s="1"/>
  <c r="A159" i="11"/>
  <c r="B159" i="11" s="1"/>
  <c r="C160" i="11" s="1"/>
  <c r="A158" i="11"/>
  <c r="B158" i="11" s="1"/>
  <c r="B157" i="11"/>
  <c r="A157" i="11"/>
  <c r="C156" i="11"/>
  <c r="A156" i="11"/>
  <c r="B156" i="11" s="1"/>
  <c r="C157" i="11" s="1"/>
  <c r="A155" i="11"/>
  <c r="B155" i="11" s="1"/>
  <c r="A154" i="11"/>
  <c r="B154" i="11" s="1"/>
  <c r="A153" i="11"/>
  <c r="B153" i="11" s="1"/>
  <c r="C154" i="11" s="1"/>
  <c r="B152" i="11"/>
  <c r="C153" i="11" s="1"/>
  <c r="A152" i="11"/>
  <c r="A151" i="11"/>
  <c r="B151" i="11" s="1"/>
  <c r="A150" i="11"/>
  <c r="B150" i="11" s="1"/>
  <c r="C151" i="11" s="1"/>
  <c r="C149" i="11"/>
  <c r="B149" i="11"/>
  <c r="A149" i="11"/>
  <c r="A148" i="11"/>
  <c r="B148" i="11" s="1"/>
  <c r="A147" i="11"/>
  <c r="B147" i="11" s="1"/>
  <c r="C148" i="11" s="1"/>
  <c r="A146" i="11"/>
  <c r="B146" i="11" s="1"/>
  <c r="C147" i="11" s="1"/>
  <c r="A145" i="11"/>
  <c r="B145" i="11" s="1"/>
  <c r="C146" i="11" s="1"/>
  <c r="B144" i="11"/>
  <c r="A144" i="11"/>
  <c r="C143" i="11"/>
  <c r="A143" i="11"/>
  <c r="B143" i="11" s="1"/>
  <c r="C144" i="11" s="1"/>
  <c r="A142" i="11"/>
  <c r="B142" i="11" s="1"/>
  <c r="A141" i="11"/>
  <c r="B141" i="11" s="1"/>
  <c r="C142" i="11" s="1"/>
  <c r="A140" i="11"/>
  <c r="B140" i="11" s="1"/>
  <c r="B139" i="11"/>
  <c r="A139" i="11"/>
  <c r="A138" i="11"/>
  <c r="B138" i="11" s="1"/>
  <c r="C139" i="11" s="1"/>
  <c r="B137" i="11"/>
  <c r="C138" i="11" s="1"/>
  <c r="A137" i="11"/>
  <c r="A136" i="11"/>
  <c r="B136" i="11" s="1"/>
  <c r="A135" i="11"/>
  <c r="B135" i="11" s="1"/>
  <c r="C135" i="11" s="1"/>
  <c r="A134" i="11"/>
  <c r="B134" i="11" s="1"/>
  <c r="A133" i="11"/>
  <c r="B133" i="11" s="1"/>
  <c r="C134" i="11" s="1"/>
  <c r="B132" i="11"/>
  <c r="C133" i="11" s="1"/>
  <c r="A132" i="11"/>
  <c r="C131" i="11"/>
  <c r="B131" i="11"/>
  <c r="A131" i="11"/>
  <c r="A130" i="11"/>
  <c r="B130" i="11" s="1"/>
  <c r="A129" i="11"/>
  <c r="B129" i="11" s="1"/>
  <c r="C130" i="11" s="1"/>
  <c r="A128" i="11"/>
  <c r="B128" i="11" s="1"/>
  <c r="C129" i="11" s="1"/>
  <c r="B127" i="11"/>
  <c r="A127" i="11"/>
  <c r="A126" i="11"/>
  <c r="B126" i="11" s="1"/>
  <c r="C127" i="11" s="1"/>
  <c r="A125" i="11"/>
  <c r="B125" i="11" s="1"/>
  <c r="A124" i="11"/>
  <c r="B124" i="11" s="1"/>
  <c r="C125" i="11" s="1"/>
  <c r="B123" i="11"/>
  <c r="C123" i="11" s="1"/>
  <c r="A123" i="11"/>
  <c r="A122" i="11"/>
  <c r="B122" i="11" s="1"/>
  <c r="C121" i="11"/>
  <c r="A121" i="11"/>
  <c r="B121" i="11" s="1"/>
  <c r="C122" i="11" s="1"/>
  <c r="B120" i="11"/>
  <c r="A120" i="11"/>
  <c r="A119" i="11"/>
  <c r="B119" i="11" s="1"/>
  <c r="A118" i="11"/>
  <c r="B118" i="11" s="1"/>
  <c r="C118" i="11" s="1"/>
  <c r="B117" i="11"/>
  <c r="A117" i="11"/>
  <c r="A116" i="11"/>
  <c r="B116" i="11" s="1"/>
  <c r="C117" i="11" s="1"/>
  <c r="A115" i="11"/>
  <c r="B115" i="11" s="1"/>
  <c r="C114" i="11"/>
  <c r="A114" i="11"/>
  <c r="B114" i="11" s="1"/>
  <c r="A113" i="11"/>
  <c r="B113" i="11" s="1"/>
  <c r="A112" i="11"/>
  <c r="B112" i="11" s="1"/>
  <c r="C113" i="11" s="1"/>
  <c r="A111" i="11"/>
  <c r="B111" i="11" s="1"/>
  <c r="C112" i="11" s="1"/>
  <c r="A110" i="11"/>
  <c r="B110" i="11" s="1"/>
  <c r="C109" i="11"/>
  <c r="B109" i="11"/>
  <c r="C110" i="11" s="1"/>
  <c r="A109" i="11"/>
  <c r="A108" i="11"/>
  <c r="B108" i="11" s="1"/>
  <c r="A107" i="11"/>
  <c r="B107" i="11" s="1"/>
  <c r="C108" i="11" s="1"/>
  <c r="A106" i="11"/>
  <c r="B106" i="11" s="1"/>
  <c r="A105" i="11"/>
  <c r="B105" i="11" s="1"/>
  <c r="C106" i="11" s="1"/>
  <c r="B104" i="11"/>
  <c r="A104" i="11"/>
  <c r="A103" i="11"/>
  <c r="B103" i="11" s="1"/>
  <c r="A102" i="11"/>
  <c r="B102" i="11" s="1"/>
  <c r="A101" i="11"/>
  <c r="B101" i="11" s="1"/>
  <c r="A100" i="11"/>
  <c r="B100" i="11" s="1"/>
  <c r="A99" i="11"/>
  <c r="B99" i="11" s="1"/>
  <c r="C100" i="11" s="1"/>
  <c r="C98" i="11"/>
  <c r="A98" i="11"/>
  <c r="B98" i="11" s="1"/>
  <c r="C99" i="11" s="1"/>
  <c r="C97" i="11"/>
  <c r="B97" i="11"/>
  <c r="A97" i="11"/>
  <c r="B96" i="11"/>
  <c r="A96" i="11"/>
  <c r="C95" i="11"/>
  <c r="A95" i="11"/>
  <c r="B95" i="11" s="1"/>
  <c r="C96" i="11" s="1"/>
  <c r="A94" i="11"/>
  <c r="B94" i="11" s="1"/>
  <c r="B93" i="11"/>
  <c r="C94" i="11" s="1"/>
  <c r="A93" i="11"/>
  <c r="C92" i="11"/>
  <c r="B92" i="11"/>
  <c r="A92" i="11"/>
  <c r="B91" i="11"/>
  <c r="A91" i="11"/>
  <c r="A90" i="11"/>
  <c r="B90" i="11" s="1"/>
  <c r="C91" i="11" s="1"/>
  <c r="A89" i="11"/>
  <c r="B89" i="11" s="1"/>
  <c r="C90" i="11" s="1"/>
  <c r="A88" i="11"/>
  <c r="B88" i="11" s="1"/>
  <c r="C89" i="11" s="1"/>
  <c r="C87" i="11"/>
  <c r="A87" i="11"/>
  <c r="B87" i="11" s="1"/>
  <c r="C88" i="11" s="1"/>
  <c r="A86" i="11"/>
  <c r="B86" i="11" s="1"/>
  <c r="A85" i="11"/>
  <c r="B85" i="11" s="1"/>
  <c r="C86" i="11" s="1"/>
  <c r="B84" i="11"/>
  <c r="A84" i="11"/>
  <c r="B83" i="11"/>
  <c r="C83" i="11" s="1"/>
  <c r="A83" i="11"/>
  <c r="C82" i="11"/>
  <c r="A82" i="11"/>
  <c r="B82" i="11" s="1"/>
  <c r="A81" i="11"/>
  <c r="B81" i="11" s="1"/>
  <c r="A80" i="11"/>
  <c r="B80" i="11" s="1"/>
  <c r="C81" i="11" s="1"/>
  <c r="B79" i="11"/>
  <c r="C79" i="11" s="1"/>
  <c r="A79" i="11"/>
  <c r="A78" i="11"/>
  <c r="B78" i="11" s="1"/>
  <c r="A77" i="11"/>
  <c r="B77" i="11" s="1"/>
  <c r="C78" i="11" s="1"/>
  <c r="A76" i="11"/>
  <c r="B76" i="11" s="1"/>
  <c r="C75" i="11"/>
  <c r="B75" i="11"/>
  <c r="A75" i="11"/>
  <c r="C74" i="11"/>
  <c r="A74" i="11"/>
  <c r="B74" i="11" s="1"/>
  <c r="A73" i="11"/>
  <c r="B73" i="11" s="1"/>
  <c r="A72" i="11"/>
  <c r="B72" i="11" s="1"/>
  <c r="C73" i="11" s="1"/>
  <c r="C71" i="11"/>
  <c r="B71" i="11"/>
  <c r="C72" i="11" s="1"/>
  <c r="A71" i="11"/>
  <c r="C70" i="11"/>
  <c r="A70" i="11"/>
  <c r="B70" i="11" s="1"/>
  <c r="B69" i="11"/>
  <c r="A69" i="11"/>
  <c r="A68" i="11"/>
  <c r="B68" i="11" s="1"/>
  <c r="C69" i="11" s="1"/>
  <c r="A67" i="11"/>
  <c r="B67" i="11" s="1"/>
  <c r="C68" i="11" s="1"/>
  <c r="A66" i="11"/>
  <c r="B66" i="11" s="1"/>
  <c r="C67" i="11" s="1"/>
  <c r="A65" i="11"/>
  <c r="B65" i="11" s="1"/>
  <c r="A64" i="11"/>
  <c r="B64" i="11" s="1"/>
  <c r="A63" i="11"/>
  <c r="B63" i="11" s="1"/>
  <c r="C64" i="11" s="1"/>
  <c r="A62" i="11"/>
  <c r="B62" i="11" s="1"/>
  <c r="C62" i="11" s="1"/>
  <c r="B61" i="11"/>
  <c r="A61" i="11"/>
  <c r="A60" i="11"/>
  <c r="B60" i="11" s="1"/>
  <c r="C61" i="11" s="1"/>
  <c r="B59" i="11"/>
  <c r="C60" i="11" s="1"/>
  <c r="A59" i="11"/>
  <c r="A58" i="11"/>
  <c r="B58" i="11" s="1"/>
  <c r="A57" i="11"/>
  <c r="B57" i="11" s="1"/>
  <c r="B56" i="11"/>
  <c r="A56" i="11"/>
  <c r="A55" i="11"/>
  <c r="B55" i="11" s="1"/>
  <c r="C56" i="11" s="1"/>
  <c r="C54" i="11"/>
  <c r="A54" i="11"/>
  <c r="B54" i="11" s="1"/>
  <c r="B53" i="11"/>
  <c r="A53" i="11"/>
  <c r="A52" i="11"/>
  <c r="B52" i="11" s="1"/>
  <c r="C53" i="11" s="1"/>
  <c r="A51" i="11"/>
  <c r="B51" i="11" s="1"/>
  <c r="C52" i="11" s="1"/>
  <c r="A50" i="11"/>
  <c r="B50" i="11" s="1"/>
  <c r="B49" i="11"/>
  <c r="C50" i="11" s="1"/>
  <c r="A49" i="11"/>
  <c r="C48" i="11"/>
  <c r="B48" i="11"/>
  <c r="C49" i="11" s="1"/>
  <c r="A48" i="11"/>
  <c r="A47" i="11"/>
  <c r="B47" i="11" s="1"/>
  <c r="A46" i="11"/>
  <c r="B46" i="11" s="1"/>
  <c r="C47" i="11" s="1"/>
  <c r="A45" i="11"/>
  <c r="B45" i="11" s="1"/>
  <c r="C46" i="11" s="1"/>
  <c r="B44" i="11"/>
  <c r="C45" i="11" s="1"/>
  <c r="A44" i="11"/>
  <c r="B43" i="11"/>
  <c r="A43" i="11"/>
  <c r="A42" i="11"/>
  <c r="B42" i="11" s="1"/>
  <c r="A41" i="11"/>
  <c r="B41" i="11" s="1"/>
  <c r="C42" i="11" s="1"/>
  <c r="A40" i="11"/>
  <c r="B40" i="11" s="1"/>
  <c r="C39" i="11"/>
  <c r="A39" i="11"/>
  <c r="B39" i="11" s="1"/>
  <c r="A38" i="11"/>
  <c r="B38" i="11" s="1"/>
  <c r="B37" i="11"/>
  <c r="C38" i="11" s="1"/>
  <c r="A37" i="11"/>
  <c r="A36" i="11"/>
  <c r="B36" i="11" s="1"/>
  <c r="B35" i="11"/>
  <c r="C35" i="11" s="1"/>
  <c r="A35" i="11"/>
  <c r="A34" i="11"/>
  <c r="B34" i="11" s="1"/>
  <c r="B33" i="11"/>
  <c r="C34" i="11" s="1"/>
  <c r="A33" i="11"/>
  <c r="A32" i="11"/>
  <c r="B32" i="11" s="1"/>
  <c r="B31" i="11"/>
  <c r="C31" i="11" s="1"/>
  <c r="A31" i="11"/>
  <c r="A30" i="11"/>
  <c r="B30" i="11" s="1"/>
  <c r="A29" i="11"/>
  <c r="B29" i="11" s="1"/>
  <c r="C30" i="11" s="1"/>
  <c r="C28" i="11"/>
  <c r="B28" i="11"/>
  <c r="C29" i="11" s="1"/>
  <c r="A28" i="11"/>
  <c r="B27" i="11"/>
  <c r="A27" i="11"/>
  <c r="A26" i="11"/>
  <c r="B26" i="11" s="1"/>
  <c r="C27" i="11" s="1"/>
  <c r="A25" i="11"/>
  <c r="B25" i="11" s="1"/>
  <c r="C26" i="11" s="1"/>
  <c r="A24" i="11"/>
  <c r="B24" i="11" s="1"/>
  <c r="C25" i="11" s="1"/>
  <c r="A23" i="11"/>
  <c r="B23" i="11" s="1"/>
  <c r="C22" i="11"/>
  <c r="A22" i="11"/>
  <c r="B22" i="11" s="1"/>
  <c r="A21" i="11"/>
  <c r="B21" i="11" s="1"/>
  <c r="A20" i="11"/>
  <c r="B20" i="11" s="1"/>
  <c r="C21" i="11" s="1"/>
  <c r="A19" i="11"/>
  <c r="B19" i="11" s="1"/>
  <c r="C20" i="11" s="1"/>
  <c r="A18" i="11"/>
  <c r="B18" i="11" s="1"/>
  <c r="C19" i="11" s="1"/>
  <c r="A17" i="11"/>
  <c r="B17" i="11" s="1"/>
  <c r="C18" i="11" s="1"/>
  <c r="B16" i="11"/>
  <c r="A16" i="11"/>
  <c r="A15" i="11"/>
  <c r="B15" i="11" s="1"/>
  <c r="A14" i="11"/>
  <c r="B14" i="11" s="1"/>
  <c r="A13" i="11"/>
  <c r="B13" i="11" s="1"/>
  <c r="C14" i="11" s="1"/>
  <c r="B12" i="11"/>
  <c r="C13" i="11" s="1"/>
  <c r="A12" i="11"/>
  <c r="E773" i="10"/>
  <c r="C773" i="10"/>
  <c r="D773" i="10" s="1"/>
  <c r="B773" i="10"/>
  <c r="E772" i="10"/>
  <c r="C772" i="10"/>
  <c r="D772" i="10" s="1"/>
  <c r="B772" i="10"/>
  <c r="B771" i="10"/>
  <c r="E770" i="10"/>
  <c r="C770" i="10"/>
  <c r="D770" i="10" s="1"/>
  <c r="B770" i="10"/>
  <c r="C771" i="10" s="1"/>
  <c r="D771" i="10" s="1"/>
  <c r="E769" i="10"/>
  <c r="B769" i="10"/>
  <c r="B768" i="10"/>
  <c r="C769" i="10" s="1"/>
  <c r="D769" i="10" s="1"/>
  <c r="C767" i="10"/>
  <c r="D767" i="10" s="1"/>
  <c r="B767" i="10"/>
  <c r="C768" i="10" s="1"/>
  <c r="D768" i="10" s="1"/>
  <c r="E766" i="10"/>
  <c r="B766" i="10"/>
  <c r="B765" i="10"/>
  <c r="C765" i="10" s="1"/>
  <c r="D765" i="10" s="1"/>
  <c r="B764" i="10"/>
  <c r="C764" i="10" s="1"/>
  <c r="D764" i="10" s="1"/>
  <c r="E763" i="10"/>
  <c r="C763" i="10"/>
  <c r="D763" i="10" s="1"/>
  <c r="B763" i="10"/>
  <c r="C762" i="10"/>
  <c r="D762" i="10" s="1"/>
  <c r="B762" i="10"/>
  <c r="C761" i="10"/>
  <c r="D761" i="10" s="1"/>
  <c r="B761" i="10"/>
  <c r="B760" i="10"/>
  <c r="C759" i="10"/>
  <c r="D759" i="10" s="1"/>
  <c r="B759" i="10"/>
  <c r="E771" i="10" s="1"/>
  <c r="B758" i="10"/>
  <c r="C758" i="10" s="1"/>
  <c r="D758" i="10" s="1"/>
  <c r="B757" i="10"/>
  <c r="B756" i="10"/>
  <c r="E755" i="10"/>
  <c r="B755" i="10"/>
  <c r="E767" i="10" s="1"/>
  <c r="C754" i="10"/>
  <c r="D754" i="10" s="1"/>
  <c r="B754" i="10"/>
  <c r="C755" i="10" s="1"/>
  <c r="D755" i="10" s="1"/>
  <c r="B753" i="10"/>
  <c r="E752" i="10"/>
  <c r="C752" i="10"/>
  <c r="D752" i="10" s="1"/>
  <c r="B752" i="10"/>
  <c r="E764" i="10" s="1"/>
  <c r="B751" i="10"/>
  <c r="C751" i="10" s="1"/>
  <c r="D751" i="10" s="1"/>
  <c r="B750" i="10"/>
  <c r="E762" i="10" s="1"/>
  <c r="C749" i="10"/>
  <c r="D749" i="10" s="1"/>
  <c r="B749" i="10"/>
  <c r="E748" i="10"/>
  <c r="B748" i="10"/>
  <c r="E760" i="10" s="1"/>
  <c r="B747" i="10"/>
  <c r="E759" i="10" s="1"/>
  <c r="B746" i="10"/>
  <c r="E758" i="10" s="1"/>
  <c r="B745" i="10"/>
  <c r="E745" i="10" s="1"/>
  <c r="C744" i="10"/>
  <c r="D744" i="10" s="1"/>
  <c r="B744" i="10"/>
  <c r="B743" i="10"/>
  <c r="B742" i="10"/>
  <c r="D741" i="10"/>
  <c r="C741" i="10"/>
  <c r="B741" i="10"/>
  <c r="E753" i="10" s="1"/>
  <c r="B740" i="10"/>
  <c r="C740" i="10" s="1"/>
  <c r="D740" i="10" s="1"/>
  <c r="B739" i="10"/>
  <c r="B738" i="10"/>
  <c r="E737" i="10"/>
  <c r="B737" i="10"/>
  <c r="E749" i="10" s="1"/>
  <c r="C736" i="10"/>
  <c r="D736" i="10" s="1"/>
  <c r="B736" i="10"/>
  <c r="C737" i="10" s="1"/>
  <c r="D737" i="10" s="1"/>
  <c r="B735" i="10"/>
  <c r="E734" i="10"/>
  <c r="D734" i="10"/>
  <c r="C734" i="10"/>
  <c r="B734" i="10"/>
  <c r="E746" i="10" s="1"/>
  <c r="B733" i="10"/>
  <c r="C733" i="10" s="1"/>
  <c r="D733" i="10" s="1"/>
  <c r="B732" i="10"/>
  <c r="E744" i="10" s="1"/>
  <c r="B731" i="10"/>
  <c r="E730" i="10"/>
  <c r="B730" i="10"/>
  <c r="B729" i="10"/>
  <c r="E741" i="10" s="1"/>
  <c r="B728" i="10"/>
  <c r="E740" i="10" s="1"/>
  <c r="B727" i="10"/>
  <c r="E727" i="10" s="1"/>
  <c r="C726" i="10"/>
  <c r="D726" i="10" s="1"/>
  <c r="B726" i="10"/>
  <c r="B725" i="10"/>
  <c r="B724" i="10"/>
  <c r="C723" i="10"/>
  <c r="D723" i="10" s="1"/>
  <c r="B723" i="10"/>
  <c r="E735" i="10" s="1"/>
  <c r="B722" i="10"/>
  <c r="C722" i="10" s="1"/>
  <c r="D722" i="10" s="1"/>
  <c r="B721" i="10"/>
  <c r="B720" i="10"/>
  <c r="E719" i="10"/>
  <c r="B719" i="10"/>
  <c r="C718" i="10"/>
  <c r="D718" i="10" s="1"/>
  <c r="B718" i="10"/>
  <c r="C719" i="10" s="1"/>
  <c r="D719" i="10" s="1"/>
  <c r="B717" i="10"/>
  <c r="E716" i="10"/>
  <c r="C716" i="10"/>
  <c r="D716" i="10" s="1"/>
  <c r="B716" i="10"/>
  <c r="E728" i="10" s="1"/>
  <c r="B715" i="10"/>
  <c r="C715" i="10" s="1"/>
  <c r="D715" i="10" s="1"/>
  <c r="B714" i="10"/>
  <c r="E726" i="10" s="1"/>
  <c r="C713" i="10"/>
  <c r="D713" i="10" s="1"/>
  <c r="B713" i="10"/>
  <c r="E712" i="10"/>
  <c r="B712" i="10"/>
  <c r="B711" i="10"/>
  <c r="E723" i="10" s="1"/>
  <c r="B710" i="10"/>
  <c r="C711" i="10" s="1"/>
  <c r="D711" i="10" s="1"/>
  <c r="E709" i="10"/>
  <c r="B709" i="10"/>
  <c r="C708" i="10"/>
  <c r="D708" i="10" s="1"/>
  <c r="B708" i="10"/>
  <c r="B707" i="10"/>
  <c r="B706" i="10"/>
  <c r="C705" i="10"/>
  <c r="D705" i="10" s="1"/>
  <c r="B705" i="10"/>
  <c r="E717" i="10" s="1"/>
  <c r="B704" i="10"/>
  <c r="C704" i="10" s="1"/>
  <c r="D704" i="10" s="1"/>
  <c r="B703" i="10"/>
  <c r="B702" i="10"/>
  <c r="E701" i="10"/>
  <c r="B701" i="10"/>
  <c r="E713" i="10" s="1"/>
  <c r="C700" i="10"/>
  <c r="D700" i="10" s="1"/>
  <c r="B700" i="10"/>
  <c r="C701" i="10" s="1"/>
  <c r="D701" i="10" s="1"/>
  <c r="B699" i="10"/>
  <c r="E698" i="10"/>
  <c r="C698" i="10"/>
  <c r="D698" i="10" s="1"/>
  <c r="B698" i="10"/>
  <c r="E710" i="10" s="1"/>
  <c r="B697" i="10"/>
  <c r="C697" i="10" s="1"/>
  <c r="D697" i="10" s="1"/>
  <c r="B696" i="10"/>
  <c r="E708" i="10" s="1"/>
  <c r="C695" i="10"/>
  <c r="D695" i="10" s="1"/>
  <c r="B695" i="10"/>
  <c r="E694" i="10"/>
  <c r="B694" i="10"/>
  <c r="E706" i="10" s="1"/>
  <c r="B693" i="10"/>
  <c r="E705" i="10" s="1"/>
  <c r="B692" i="10"/>
  <c r="C693" i="10" s="1"/>
  <c r="D693" i="10" s="1"/>
  <c r="B691" i="10"/>
  <c r="E691" i="10" s="1"/>
  <c r="B690" i="10"/>
  <c r="B689" i="10"/>
  <c r="C690" i="10" s="1"/>
  <c r="D690" i="10" s="1"/>
  <c r="B688" i="10"/>
  <c r="D687" i="10"/>
  <c r="C687" i="10"/>
  <c r="B687" i="10"/>
  <c r="E699" i="10" s="1"/>
  <c r="B686" i="10"/>
  <c r="C686" i="10" s="1"/>
  <c r="D686" i="10" s="1"/>
  <c r="B685" i="10"/>
  <c r="C684" i="10"/>
  <c r="D684" i="10" s="1"/>
  <c r="B684" i="10"/>
  <c r="E683" i="10"/>
  <c r="B683" i="10"/>
  <c r="E695" i="10" s="1"/>
  <c r="C682" i="10"/>
  <c r="D682" i="10" s="1"/>
  <c r="B682" i="10"/>
  <c r="C683" i="10" s="1"/>
  <c r="D683" i="10" s="1"/>
  <c r="B681" i="10"/>
  <c r="E680" i="10"/>
  <c r="C680" i="10"/>
  <c r="D680" i="10" s="1"/>
  <c r="B680" i="10"/>
  <c r="E692" i="10" s="1"/>
  <c r="B679" i="10"/>
  <c r="C679" i="10" s="1"/>
  <c r="D679" i="10" s="1"/>
  <c r="B678" i="10"/>
  <c r="E690" i="10" s="1"/>
  <c r="B677" i="10"/>
  <c r="C677" i="10" s="1"/>
  <c r="D677" i="10" s="1"/>
  <c r="E676" i="10"/>
  <c r="B676" i="10"/>
  <c r="E688" i="10" s="1"/>
  <c r="B675" i="10"/>
  <c r="E687" i="10" s="1"/>
  <c r="B674" i="10"/>
  <c r="C675" i="10" s="1"/>
  <c r="D675" i="10" s="1"/>
  <c r="B673" i="10"/>
  <c r="B672" i="10"/>
  <c r="B671" i="10"/>
  <c r="C672" i="10" s="1"/>
  <c r="D672" i="10" s="1"/>
  <c r="B670" i="10"/>
  <c r="C669" i="10"/>
  <c r="D669" i="10" s="1"/>
  <c r="B669" i="10"/>
  <c r="E681" i="10" s="1"/>
  <c r="B668" i="10"/>
  <c r="C668" i="10" s="1"/>
  <c r="D668" i="10" s="1"/>
  <c r="B667" i="10"/>
  <c r="B666" i="10"/>
  <c r="E665" i="10"/>
  <c r="B665" i="10"/>
  <c r="E677" i="10" s="1"/>
  <c r="C664" i="10"/>
  <c r="D664" i="10" s="1"/>
  <c r="B664" i="10"/>
  <c r="C665" i="10" s="1"/>
  <c r="D665" i="10" s="1"/>
  <c r="B663" i="10"/>
  <c r="E662" i="10"/>
  <c r="C662" i="10"/>
  <c r="D662" i="10" s="1"/>
  <c r="B662" i="10"/>
  <c r="E674" i="10" s="1"/>
  <c r="B661" i="10"/>
  <c r="C661" i="10" s="1"/>
  <c r="D661" i="10" s="1"/>
  <c r="B660" i="10"/>
  <c r="E672" i="10" s="1"/>
  <c r="C659" i="10"/>
  <c r="D659" i="10" s="1"/>
  <c r="B659" i="10"/>
  <c r="E658" i="10"/>
  <c r="B658" i="10"/>
  <c r="E670" i="10" s="1"/>
  <c r="B657" i="10"/>
  <c r="E669" i="10" s="1"/>
  <c r="B656" i="10"/>
  <c r="C657" i="10" s="1"/>
  <c r="D657" i="10" s="1"/>
  <c r="B655" i="10"/>
  <c r="E655" i="10" s="1"/>
  <c r="B654" i="10"/>
  <c r="E653" i="10"/>
  <c r="B653" i="10"/>
  <c r="C654" i="10" s="1"/>
  <c r="D654" i="10" s="1"/>
  <c r="B652" i="10"/>
  <c r="C651" i="10"/>
  <c r="D651" i="10" s="1"/>
  <c r="B651" i="10"/>
  <c r="E663" i="10" s="1"/>
  <c r="B650" i="10"/>
  <c r="C650" i="10" s="1"/>
  <c r="D650" i="10" s="1"/>
  <c r="E649" i="10"/>
  <c r="B649" i="10"/>
  <c r="B648" i="10"/>
  <c r="B647" i="10"/>
  <c r="E659" i="10" s="1"/>
  <c r="B646" i="10"/>
  <c r="C647" i="10" s="1"/>
  <c r="D647" i="10" s="1"/>
  <c r="C645" i="10"/>
  <c r="D645" i="10" s="1"/>
  <c r="B645" i="10"/>
  <c r="E644" i="10"/>
  <c r="B644" i="10"/>
  <c r="B643" i="10"/>
  <c r="E643" i="10" s="1"/>
  <c r="B642" i="10"/>
  <c r="B641" i="10"/>
  <c r="B640" i="10"/>
  <c r="E652" i="10" s="1"/>
  <c r="B639" i="10"/>
  <c r="E638" i="10"/>
  <c r="C638" i="10"/>
  <c r="D638" i="10" s="1"/>
  <c r="B638" i="10"/>
  <c r="C639" i="10" s="1"/>
  <c r="D639" i="10" s="1"/>
  <c r="B637" i="10"/>
  <c r="C637" i="10" s="1"/>
  <c r="D637" i="10" s="1"/>
  <c r="E636" i="10"/>
  <c r="B636" i="10"/>
  <c r="B635" i="10"/>
  <c r="B634" i="10"/>
  <c r="E646" i="10" s="1"/>
  <c r="B633" i="10"/>
  <c r="E645" i="10" s="1"/>
  <c r="B632" i="10"/>
  <c r="C633" i="10" s="1"/>
  <c r="D633" i="10" s="1"/>
  <c r="C631" i="10"/>
  <c r="D631" i="10" s="1"/>
  <c r="B631" i="10"/>
  <c r="E630" i="10"/>
  <c r="B630" i="10"/>
  <c r="E642" i="10" s="1"/>
  <c r="B629" i="10"/>
  <c r="E628" i="10"/>
  <c r="C628" i="10"/>
  <c r="D628" i="10" s="1"/>
  <c r="B628" i="10"/>
  <c r="E640" i="10" s="1"/>
  <c r="B627" i="10"/>
  <c r="E639" i="10" s="1"/>
  <c r="B626" i="10"/>
  <c r="C627" i="10" s="1"/>
  <c r="D627" i="10" s="1"/>
  <c r="B625" i="10"/>
  <c r="E624" i="10"/>
  <c r="C624" i="10"/>
  <c r="D624" i="10" s="1"/>
  <c r="B624" i="10"/>
  <c r="E623" i="10"/>
  <c r="B623" i="10"/>
  <c r="C622" i="10"/>
  <c r="D622" i="10" s="1"/>
  <c r="B622" i="10"/>
  <c r="B621" i="10"/>
  <c r="E633" i="10" s="1"/>
  <c r="B620" i="10"/>
  <c r="E632" i="10" s="1"/>
  <c r="C619" i="10"/>
  <c r="D619" i="10" s="1"/>
  <c r="B619" i="10"/>
  <c r="C620" i="10" s="1"/>
  <c r="D620" i="10" s="1"/>
  <c r="C618" i="10"/>
  <c r="D618" i="10" s="1"/>
  <c r="B618" i="10"/>
  <c r="E617" i="10"/>
  <c r="B617" i="10"/>
  <c r="B616" i="10"/>
  <c r="C617" i="10" s="1"/>
  <c r="D617" i="10" s="1"/>
  <c r="E615" i="10"/>
  <c r="C615" i="10"/>
  <c r="D615" i="10" s="1"/>
  <c r="B615" i="10"/>
  <c r="B614" i="10"/>
  <c r="E613" i="10"/>
  <c r="B613" i="10"/>
  <c r="E612" i="10"/>
  <c r="B612" i="10"/>
  <c r="C613" i="10" s="1"/>
  <c r="D613" i="10" s="1"/>
  <c r="C611" i="10"/>
  <c r="D611" i="10" s="1"/>
  <c r="B611" i="10"/>
  <c r="E610" i="10"/>
  <c r="B610" i="10"/>
  <c r="B609" i="10"/>
  <c r="C610" i="10" s="1"/>
  <c r="D610" i="10" s="1"/>
  <c r="B608" i="10"/>
  <c r="E620" i="10" s="1"/>
  <c r="B607" i="10"/>
  <c r="E607" i="10" s="1"/>
  <c r="C606" i="10"/>
  <c r="D606" i="10" s="1"/>
  <c r="B606" i="10"/>
  <c r="E605" i="10"/>
  <c r="B605" i="10"/>
  <c r="B604" i="10"/>
  <c r="E616" i="10" s="1"/>
  <c r="B603" i="10"/>
  <c r="C604" i="10" s="1"/>
  <c r="D604" i="10" s="1"/>
  <c r="E602" i="10"/>
  <c r="C602" i="10"/>
  <c r="D602" i="10" s="1"/>
  <c r="B602" i="10"/>
  <c r="C601" i="10"/>
  <c r="D601" i="10" s="1"/>
  <c r="B601" i="10"/>
  <c r="E600" i="10"/>
  <c r="B600" i="10"/>
  <c r="B599" i="10"/>
  <c r="C600" i="10" s="1"/>
  <c r="D600" i="10" s="1"/>
  <c r="E598" i="10"/>
  <c r="B598" i="10"/>
  <c r="B597" i="10"/>
  <c r="B596" i="10"/>
  <c r="C596" i="10" s="1"/>
  <c r="D596" i="10" s="1"/>
  <c r="E595" i="10"/>
  <c r="C595" i="10"/>
  <c r="D595" i="10" s="1"/>
  <c r="B595" i="10"/>
  <c r="C594" i="10"/>
  <c r="D594" i="10" s="1"/>
  <c r="B594" i="10"/>
  <c r="E594" i="10" s="1"/>
  <c r="B593" i="10"/>
  <c r="B592" i="10"/>
  <c r="B591" i="10"/>
  <c r="E590" i="10"/>
  <c r="B590" i="10"/>
  <c r="B589" i="10"/>
  <c r="E589" i="10" s="1"/>
  <c r="E588" i="10"/>
  <c r="C588" i="10"/>
  <c r="D588" i="10" s="1"/>
  <c r="B588" i="10"/>
  <c r="E587" i="10"/>
  <c r="B587" i="10"/>
  <c r="E586" i="10"/>
  <c r="C586" i="10"/>
  <c r="D586" i="10" s="1"/>
  <c r="B586" i="10"/>
  <c r="C587" i="10" s="1"/>
  <c r="D587" i="10" s="1"/>
  <c r="B585" i="10"/>
  <c r="E597" i="10" s="1"/>
  <c r="C584" i="10"/>
  <c r="D584" i="10" s="1"/>
  <c r="B584" i="10"/>
  <c r="C583" i="10"/>
  <c r="D583" i="10" s="1"/>
  <c r="B583" i="10"/>
  <c r="E582" i="10"/>
  <c r="C582" i="10"/>
  <c r="D582" i="10" s="1"/>
  <c r="B582" i="10"/>
  <c r="B581" i="10"/>
  <c r="B580" i="10"/>
  <c r="E592" i="10" s="1"/>
  <c r="E579" i="10"/>
  <c r="B579" i="10"/>
  <c r="B578" i="10"/>
  <c r="C578" i="10" s="1"/>
  <c r="D578" i="10" s="1"/>
  <c r="E577" i="10"/>
  <c r="B577" i="10"/>
  <c r="E576" i="10"/>
  <c r="B576" i="10"/>
  <c r="C577" i="10" s="1"/>
  <c r="D577" i="10" s="1"/>
  <c r="E575" i="10"/>
  <c r="C575" i="10"/>
  <c r="D575" i="10" s="1"/>
  <c r="B575" i="10"/>
  <c r="E574" i="10"/>
  <c r="B574" i="10"/>
  <c r="B573" i="10"/>
  <c r="B572" i="10"/>
  <c r="E584" i="10" s="1"/>
  <c r="B571" i="10"/>
  <c r="C570" i="10"/>
  <c r="D570" i="10" s="1"/>
  <c r="B570" i="10"/>
  <c r="B569" i="10"/>
  <c r="B568" i="10"/>
  <c r="E580" i="10" s="1"/>
  <c r="B567" i="10"/>
  <c r="C566" i="10"/>
  <c r="D566" i="10" s="1"/>
  <c r="B566" i="10"/>
  <c r="C565" i="10"/>
  <c r="D565" i="10" s="1"/>
  <c r="B565" i="10"/>
  <c r="E564" i="10"/>
  <c r="D564" i="10"/>
  <c r="B564" i="10"/>
  <c r="E563" i="10"/>
  <c r="B563" i="10"/>
  <c r="C564" i="10" s="1"/>
  <c r="B562" i="10"/>
  <c r="B561" i="10"/>
  <c r="B560" i="10"/>
  <c r="E559" i="10"/>
  <c r="B559" i="10"/>
  <c r="B558" i="10"/>
  <c r="C559" i="10" s="1"/>
  <c r="D559" i="10" s="1"/>
  <c r="C557" i="10"/>
  <c r="D557" i="10" s="1"/>
  <c r="B557" i="10"/>
  <c r="C558" i="10" s="1"/>
  <c r="D558" i="10" s="1"/>
  <c r="B556" i="10"/>
  <c r="B555" i="10"/>
  <c r="B554" i="10"/>
  <c r="E553" i="10"/>
  <c r="B553" i="10"/>
  <c r="C553" i="10" s="1"/>
  <c r="D553" i="10" s="1"/>
  <c r="E552" i="10"/>
  <c r="C552" i="10"/>
  <c r="D552" i="10" s="1"/>
  <c r="B552" i="10"/>
  <c r="E551" i="10"/>
  <c r="B551" i="10"/>
  <c r="E550" i="10"/>
  <c r="B550" i="10"/>
  <c r="B549" i="10"/>
  <c r="E561" i="10" s="1"/>
  <c r="C548" i="10"/>
  <c r="D548" i="10" s="1"/>
  <c r="B548" i="10"/>
  <c r="B547" i="10"/>
  <c r="C547" i="10" s="1"/>
  <c r="D547" i="10" s="1"/>
  <c r="C546" i="10"/>
  <c r="D546" i="10" s="1"/>
  <c r="B546" i="10"/>
  <c r="C545" i="10"/>
  <c r="D545" i="10" s="1"/>
  <c r="B545" i="10"/>
  <c r="B544" i="10"/>
  <c r="E556" i="10" s="1"/>
  <c r="E543" i="10"/>
  <c r="C543" i="10"/>
  <c r="D543" i="10" s="1"/>
  <c r="B543" i="10"/>
  <c r="B542" i="10"/>
  <c r="B541" i="10"/>
  <c r="C542" i="10" s="1"/>
  <c r="D542" i="10" s="1"/>
  <c r="E540" i="10"/>
  <c r="C540" i="10"/>
  <c r="D540" i="10" s="1"/>
  <c r="B540" i="10"/>
  <c r="C541" i="10" s="1"/>
  <c r="D541" i="10" s="1"/>
  <c r="B539" i="10"/>
  <c r="C539" i="10" s="1"/>
  <c r="D539" i="10" s="1"/>
  <c r="E538" i="10"/>
  <c r="B538" i="10"/>
  <c r="B537" i="10"/>
  <c r="E536" i="10"/>
  <c r="B536" i="10"/>
  <c r="E548" i="10" s="1"/>
  <c r="B535" i="10"/>
  <c r="C534" i="10"/>
  <c r="D534" i="10" s="1"/>
  <c r="B534" i="10"/>
  <c r="C535" i="10" s="1"/>
  <c r="D535" i="10" s="1"/>
  <c r="B533" i="10"/>
  <c r="E545" i="10" s="1"/>
  <c r="C532" i="10"/>
  <c r="D532" i="10" s="1"/>
  <c r="B532" i="10"/>
  <c r="E531" i="10"/>
  <c r="B531" i="10"/>
  <c r="C530" i="10"/>
  <c r="D530" i="10" s="1"/>
  <c r="B530" i="10"/>
  <c r="B529" i="10"/>
  <c r="C529" i="10" s="1"/>
  <c r="D529" i="10" s="1"/>
  <c r="B528" i="10"/>
  <c r="E527" i="10"/>
  <c r="B527" i="10"/>
  <c r="C528" i="10" s="1"/>
  <c r="D528" i="10" s="1"/>
  <c r="C526" i="10"/>
  <c r="D526" i="10" s="1"/>
  <c r="B526" i="10"/>
  <c r="E525" i="10"/>
  <c r="B525" i="10"/>
  <c r="C524" i="10"/>
  <c r="D524" i="10" s="1"/>
  <c r="B524" i="10"/>
  <c r="E524" i="10" s="1"/>
  <c r="B523" i="10"/>
  <c r="C523" i="10" s="1"/>
  <c r="D523" i="10" s="1"/>
  <c r="D522" i="10"/>
  <c r="C522" i="10"/>
  <c r="B522" i="10"/>
  <c r="B521" i="10"/>
  <c r="E533" i="10" s="1"/>
  <c r="C520" i="10"/>
  <c r="D520" i="10" s="1"/>
  <c r="B520" i="10"/>
  <c r="E519" i="10"/>
  <c r="B519" i="10"/>
  <c r="B518" i="10"/>
  <c r="E530" i="10" s="1"/>
  <c r="E517" i="10"/>
  <c r="B517" i="10"/>
  <c r="B516" i="10"/>
  <c r="E515" i="10"/>
  <c r="B515" i="10"/>
  <c r="B514" i="10"/>
  <c r="C515" i="10" s="1"/>
  <c r="D515" i="10" s="1"/>
  <c r="E513" i="10"/>
  <c r="C513" i="10"/>
  <c r="D513" i="10" s="1"/>
  <c r="B513" i="10"/>
  <c r="E512" i="10"/>
  <c r="D512" i="10"/>
  <c r="C512" i="10"/>
  <c r="B512" i="10"/>
  <c r="B511" i="10"/>
  <c r="E523" i="10" s="1"/>
  <c r="E510" i="10"/>
  <c r="B510" i="10"/>
  <c r="E522" i="10" s="1"/>
  <c r="B509" i="10"/>
  <c r="B508" i="10"/>
  <c r="C509" i="10" s="1"/>
  <c r="D509" i="10" s="1"/>
  <c r="E507" i="10"/>
  <c r="B507" i="10"/>
  <c r="E506" i="10"/>
  <c r="C506" i="10"/>
  <c r="D506" i="10" s="1"/>
  <c r="B506" i="10"/>
  <c r="C507" i="10" s="1"/>
  <c r="D507" i="10" s="1"/>
  <c r="B505" i="10"/>
  <c r="C504" i="10"/>
  <c r="D504" i="10" s="1"/>
  <c r="B504" i="10"/>
  <c r="B503" i="10"/>
  <c r="C503" i="10" s="1"/>
  <c r="D503" i="10" s="1"/>
  <c r="E502" i="10"/>
  <c r="C502" i="10"/>
  <c r="D502" i="10" s="1"/>
  <c r="B502" i="10"/>
  <c r="C501" i="10"/>
  <c r="D501" i="10" s="1"/>
  <c r="B501" i="10"/>
  <c r="E501" i="10" s="1"/>
  <c r="E500" i="10"/>
  <c r="D500" i="10"/>
  <c r="C500" i="10"/>
  <c r="B500" i="10"/>
  <c r="B499" i="10"/>
  <c r="E511" i="10" s="1"/>
  <c r="B498" i="10"/>
  <c r="C499" i="10" s="1"/>
  <c r="D499" i="10" s="1"/>
  <c r="B497" i="10"/>
  <c r="B496" i="10"/>
  <c r="B495" i="10"/>
  <c r="C494" i="10"/>
  <c r="D494" i="10" s="1"/>
  <c r="B494" i="10"/>
  <c r="C495" i="10" s="1"/>
  <c r="D495" i="10" s="1"/>
  <c r="B493" i="10"/>
  <c r="C493" i="10" s="1"/>
  <c r="D493" i="10" s="1"/>
  <c r="D492" i="10"/>
  <c r="B492" i="10"/>
  <c r="E491" i="10"/>
  <c r="B491" i="10"/>
  <c r="C492" i="10" s="1"/>
  <c r="C490" i="10"/>
  <c r="D490" i="10" s="1"/>
  <c r="B490" i="10"/>
  <c r="E489" i="10"/>
  <c r="B489" i="10"/>
  <c r="C488" i="10"/>
  <c r="D488" i="10" s="1"/>
  <c r="B488" i="10"/>
  <c r="E488" i="10" s="1"/>
  <c r="B487" i="10"/>
  <c r="C487" i="10" s="1"/>
  <c r="D487" i="10" s="1"/>
  <c r="C486" i="10"/>
  <c r="D486" i="10" s="1"/>
  <c r="B486" i="10"/>
  <c r="B485" i="10"/>
  <c r="C484" i="10"/>
  <c r="D484" i="10" s="1"/>
  <c r="B484" i="10"/>
  <c r="B483" i="10"/>
  <c r="E495" i="10" s="1"/>
  <c r="B482" i="10"/>
  <c r="E494" i="10" s="1"/>
  <c r="E481" i="10"/>
  <c r="B481" i="10"/>
  <c r="B480" i="10"/>
  <c r="E479" i="10"/>
  <c r="B479" i="10"/>
  <c r="B478" i="10"/>
  <c r="C479" i="10" s="1"/>
  <c r="D479" i="10" s="1"/>
  <c r="E477" i="10"/>
  <c r="C477" i="10"/>
  <c r="D477" i="10" s="1"/>
  <c r="B477" i="10"/>
  <c r="E476" i="10"/>
  <c r="C476" i="10"/>
  <c r="D476" i="10" s="1"/>
  <c r="B476" i="10"/>
  <c r="B475" i="10"/>
  <c r="E487" i="10" s="1"/>
  <c r="B474" i="10"/>
  <c r="E486" i="10" s="1"/>
  <c r="B473" i="10"/>
  <c r="B472" i="10"/>
  <c r="E484" i="10" s="1"/>
  <c r="E471" i="10"/>
  <c r="B471" i="10"/>
  <c r="E483" i="10" s="1"/>
  <c r="C470" i="10"/>
  <c r="D470" i="10" s="1"/>
  <c r="B470" i="10"/>
  <c r="C471" i="10" s="1"/>
  <c r="D471" i="10" s="1"/>
  <c r="B469" i="10"/>
  <c r="C468" i="10"/>
  <c r="D468" i="10" s="1"/>
  <c r="B468" i="10"/>
  <c r="B467" i="10"/>
  <c r="C467" i="10" s="1"/>
  <c r="D467" i="10" s="1"/>
  <c r="E466" i="10"/>
  <c r="C466" i="10"/>
  <c r="D466" i="10" s="1"/>
  <c r="B466" i="10"/>
  <c r="C465" i="10"/>
  <c r="D465" i="10" s="1"/>
  <c r="B465" i="10"/>
  <c r="E465" i="10" s="1"/>
  <c r="E464" i="10"/>
  <c r="C464" i="10"/>
  <c r="D464" i="10" s="1"/>
  <c r="B464" i="10"/>
  <c r="B463" i="10"/>
  <c r="E475" i="10" s="1"/>
  <c r="B462" i="10"/>
  <c r="C463" i="10" s="1"/>
  <c r="D463" i="10" s="1"/>
  <c r="B461" i="10"/>
  <c r="C462" i="10" s="1"/>
  <c r="D462" i="10" s="1"/>
  <c r="C460" i="10"/>
  <c r="D460" i="10" s="1"/>
  <c r="B460" i="10"/>
  <c r="B459" i="10"/>
  <c r="C458" i="10"/>
  <c r="D458" i="10" s="1"/>
  <c r="B458" i="10"/>
  <c r="C459" i="10" s="1"/>
  <c r="D459" i="10" s="1"/>
  <c r="B457" i="10"/>
  <c r="C457" i="10" s="1"/>
  <c r="D457" i="10" s="1"/>
  <c r="B456" i="10"/>
  <c r="E455" i="10"/>
  <c r="B455" i="10"/>
  <c r="C456" i="10" s="1"/>
  <c r="D456" i="10" s="1"/>
  <c r="C454" i="10"/>
  <c r="D454" i="10" s="1"/>
  <c r="B454" i="10"/>
  <c r="E453" i="10"/>
  <c r="B453" i="10"/>
  <c r="C452" i="10"/>
  <c r="D452" i="10" s="1"/>
  <c r="B452" i="10"/>
  <c r="E452" i="10" s="1"/>
  <c r="B451" i="10"/>
  <c r="C451" i="10" s="1"/>
  <c r="D451" i="10" s="1"/>
  <c r="C450" i="10"/>
  <c r="D450" i="10" s="1"/>
  <c r="B450" i="10"/>
  <c r="B449" i="10"/>
  <c r="E448" i="10"/>
  <c r="B448" i="10"/>
  <c r="B447" i="10"/>
  <c r="E459" i="10" s="1"/>
  <c r="B446" i="10"/>
  <c r="E445" i="10"/>
  <c r="B445" i="10"/>
  <c r="B444" i="10"/>
  <c r="E443" i="10"/>
  <c r="B443" i="10"/>
  <c r="B442" i="10"/>
  <c r="E441" i="10"/>
  <c r="C441" i="10"/>
  <c r="D441" i="10" s="1"/>
  <c r="B441" i="10"/>
  <c r="E440" i="10"/>
  <c r="C440" i="10"/>
  <c r="D440" i="10" s="1"/>
  <c r="B440" i="10"/>
  <c r="B439" i="10"/>
  <c r="E451" i="10" s="1"/>
  <c r="B438" i="10"/>
  <c r="E450" i="10" s="1"/>
  <c r="B437" i="10"/>
  <c r="B436" i="10"/>
  <c r="E435" i="10"/>
  <c r="B435" i="10"/>
  <c r="E447" i="10" s="1"/>
  <c r="C434" i="10"/>
  <c r="D434" i="10" s="1"/>
  <c r="B434" i="10"/>
  <c r="E446" i="10" s="1"/>
  <c r="B433" i="10"/>
  <c r="B432" i="10"/>
  <c r="B431" i="10"/>
  <c r="C431" i="10" s="1"/>
  <c r="D431" i="10" s="1"/>
  <c r="E430" i="10"/>
  <c r="C430" i="10"/>
  <c r="D430" i="10" s="1"/>
  <c r="B430" i="10"/>
  <c r="C429" i="10"/>
  <c r="D429" i="10" s="1"/>
  <c r="B429" i="10"/>
  <c r="E429" i="10" s="1"/>
  <c r="E428" i="10"/>
  <c r="C428" i="10"/>
  <c r="D428" i="10" s="1"/>
  <c r="B428" i="10"/>
  <c r="B427" i="10"/>
  <c r="E439" i="10" s="1"/>
  <c r="B426" i="10"/>
  <c r="C427" i="10" s="1"/>
  <c r="D427" i="10" s="1"/>
  <c r="B425" i="10"/>
  <c r="C424" i="10"/>
  <c r="D424" i="10" s="1"/>
  <c r="B424" i="10"/>
  <c r="B423" i="10"/>
  <c r="C422" i="10"/>
  <c r="D422" i="10" s="1"/>
  <c r="B422" i="10"/>
  <c r="C423" i="10" s="1"/>
  <c r="D423" i="10" s="1"/>
  <c r="B421" i="10"/>
  <c r="C421" i="10" s="1"/>
  <c r="D421" i="10" s="1"/>
  <c r="B420" i="10"/>
  <c r="E419" i="10"/>
  <c r="B419" i="10"/>
  <c r="C420" i="10" s="1"/>
  <c r="D420" i="10" s="1"/>
  <c r="C418" i="10"/>
  <c r="D418" i="10" s="1"/>
  <c r="B418" i="10"/>
  <c r="E417" i="10"/>
  <c r="B417" i="10"/>
  <c r="C416" i="10"/>
  <c r="D416" i="10" s="1"/>
  <c r="B416" i="10"/>
  <c r="E416" i="10" s="1"/>
  <c r="B415" i="10"/>
  <c r="C415" i="10" s="1"/>
  <c r="D415" i="10" s="1"/>
  <c r="C414" i="10"/>
  <c r="D414" i="10" s="1"/>
  <c r="B414" i="10"/>
  <c r="B413" i="10"/>
  <c r="B412" i="10"/>
  <c r="E412" i="10" s="1"/>
  <c r="B411" i="10"/>
  <c r="E423" i="10" s="1"/>
  <c r="B410" i="10"/>
  <c r="E409" i="10"/>
  <c r="B409" i="10"/>
  <c r="B408" i="10"/>
  <c r="E407" i="10"/>
  <c r="B407" i="10"/>
  <c r="B406" i="10"/>
  <c r="E405" i="10"/>
  <c r="C405" i="10"/>
  <c r="D405" i="10" s="1"/>
  <c r="B405" i="10"/>
  <c r="E404" i="10"/>
  <c r="C404" i="10"/>
  <c r="D404" i="10" s="1"/>
  <c r="B404" i="10"/>
  <c r="B403" i="10"/>
  <c r="E415" i="10" s="1"/>
  <c r="B402" i="10"/>
  <c r="E414" i="10" s="1"/>
  <c r="B401" i="10"/>
  <c r="B400" i="10"/>
  <c r="C401" i="10" s="1"/>
  <c r="D401" i="10" s="1"/>
  <c r="E399" i="10"/>
  <c r="B399" i="10"/>
  <c r="E411" i="10" s="1"/>
  <c r="C398" i="10"/>
  <c r="D398" i="10" s="1"/>
  <c r="B398" i="10"/>
  <c r="B397" i="10"/>
  <c r="C396" i="10"/>
  <c r="D396" i="10" s="1"/>
  <c r="B396" i="10"/>
  <c r="B395" i="10"/>
  <c r="C395" i="10" s="1"/>
  <c r="D395" i="10" s="1"/>
  <c r="E394" i="10"/>
  <c r="C394" i="10"/>
  <c r="D394" i="10" s="1"/>
  <c r="B394" i="10"/>
  <c r="C393" i="10"/>
  <c r="D393" i="10" s="1"/>
  <c r="B393" i="10"/>
  <c r="E393" i="10" s="1"/>
  <c r="E392" i="10"/>
  <c r="C392" i="10"/>
  <c r="D392" i="10" s="1"/>
  <c r="B392" i="10"/>
  <c r="B391" i="10"/>
  <c r="E403" i="10" s="1"/>
  <c r="B390" i="10"/>
  <c r="B389" i="10"/>
  <c r="E401" i="10" s="1"/>
  <c r="B388" i="10"/>
  <c r="B387" i="10"/>
  <c r="C386" i="10"/>
  <c r="D386" i="10" s="1"/>
  <c r="B386" i="10"/>
  <c r="B385" i="10"/>
  <c r="C385" i="10" s="1"/>
  <c r="D385" i="10" s="1"/>
  <c r="B384" i="10"/>
  <c r="E383" i="10"/>
  <c r="B383" i="10"/>
  <c r="C384" i="10" s="1"/>
  <c r="D384" i="10" s="1"/>
  <c r="E382" i="10"/>
  <c r="C382" i="10"/>
  <c r="D382" i="10" s="1"/>
  <c r="B382" i="10"/>
  <c r="E381" i="10"/>
  <c r="B381" i="10"/>
  <c r="B380" i="10"/>
  <c r="E380" i="10" s="1"/>
  <c r="B379" i="10"/>
  <c r="C380" i="10" s="1"/>
  <c r="D380" i="10" s="1"/>
  <c r="C378" i="10"/>
  <c r="D378" i="10" s="1"/>
  <c r="B378" i="10"/>
  <c r="B377" i="10"/>
  <c r="E389" i="10" s="1"/>
  <c r="B376" i="10"/>
  <c r="B375" i="10"/>
  <c r="E387" i="10" s="1"/>
  <c r="E374" i="10"/>
  <c r="B374" i="10"/>
  <c r="E373" i="10"/>
  <c r="B373" i="10"/>
  <c r="B372" i="10"/>
  <c r="E371" i="10"/>
  <c r="B371" i="10"/>
  <c r="B370" i="10"/>
  <c r="E369" i="10"/>
  <c r="C369" i="10"/>
  <c r="D369" i="10" s="1"/>
  <c r="B369" i="10"/>
  <c r="E368" i="10"/>
  <c r="C368" i="10"/>
  <c r="D368" i="10" s="1"/>
  <c r="B368" i="10"/>
  <c r="B367" i="10"/>
  <c r="E379" i="10" s="1"/>
  <c r="B366" i="10"/>
  <c r="E378" i="10" s="1"/>
  <c r="B365" i="10"/>
  <c r="E377" i="10" s="1"/>
  <c r="B364" i="10"/>
  <c r="E363" i="10"/>
  <c r="B363" i="10"/>
  <c r="E375" i="10" s="1"/>
  <c r="E362" i="10"/>
  <c r="B362" i="10"/>
  <c r="C363" i="10" s="1"/>
  <c r="D363" i="10" s="1"/>
  <c r="B361" i="10"/>
  <c r="C360" i="10"/>
  <c r="D360" i="10" s="1"/>
  <c r="B360" i="10"/>
  <c r="B359" i="10"/>
  <c r="C359" i="10" s="1"/>
  <c r="D359" i="10" s="1"/>
  <c r="E358" i="10"/>
  <c r="C358" i="10"/>
  <c r="D358" i="10" s="1"/>
  <c r="B358" i="10"/>
  <c r="C357" i="10"/>
  <c r="D357" i="10" s="1"/>
  <c r="B357" i="10"/>
  <c r="E357" i="10" s="1"/>
  <c r="E356" i="10"/>
  <c r="B356" i="10"/>
  <c r="B355" i="10"/>
  <c r="E367" i="10" s="1"/>
  <c r="B354" i="10"/>
  <c r="B353" i="10"/>
  <c r="E365" i="10" s="1"/>
  <c r="B352" i="10"/>
  <c r="C352" i="10" s="1"/>
  <c r="D352" i="10" s="1"/>
  <c r="B351" i="10"/>
  <c r="B350" i="10"/>
  <c r="C351" i="10" s="1"/>
  <c r="D351" i="10" s="1"/>
  <c r="B349" i="10"/>
  <c r="C349" i="10" s="1"/>
  <c r="D349" i="10" s="1"/>
  <c r="B348" i="10"/>
  <c r="E347" i="10"/>
  <c r="B347" i="10"/>
  <c r="C348" i="10" s="1"/>
  <c r="D348" i="10" s="1"/>
  <c r="E346" i="10"/>
  <c r="C346" i="10"/>
  <c r="D346" i="10" s="1"/>
  <c r="B346" i="10"/>
  <c r="E345" i="10"/>
  <c r="B345" i="10"/>
  <c r="C344" i="10"/>
  <c r="D344" i="10" s="1"/>
  <c r="B344" i="10"/>
  <c r="E344" i="10" s="1"/>
  <c r="B343" i="10"/>
  <c r="C342" i="10"/>
  <c r="D342" i="10" s="1"/>
  <c r="B342" i="10"/>
  <c r="B341" i="10"/>
  <c r="E353" i="10" s="1"/>
  <c r="C340" i="10"/>
  <c r="D340" i="10" s="1"/>
  <c r="B340" i="10"/>
  <c r="B339" i="10"/>
  <c r="E351" i="10" s="1"/>
  <c r="B338" i="10"/>
  <c r="E337" i="10"/>
  <c r="B337" i="10"/>
  <c r="B336" i="10"/>
  <c r="B335" i="10"/>
  <c r="E334" i="10"/>
  <c r="C334" i="10"/>
  <c r="D334" i="10" s="1"/>
  <c r="B334" i="10"/>
  <c r="C335" i="10" s="1"/>
  <c r="D335" i="10" s="1"/>
  <c r="E333" i="10"/>
  <c r="C333" i="10"/>
  <c r="D333" i="10" s="1"/>
  <c r="B333" i="10"/>
  <c r="E332" i="10"/>
  <c r="C332" i="10"/>
  <c r="D332" i="10" s="1"/>
  <c r="B332" i="10"/>
  <c r="B331" i="10"/>
  <c r="E330" i="10"/>
  <c r="C330" i="10"/>
  <c r="D330" i="10" s="1"/>
  <c r="B330" i="10"/>
  <c r="E342" i="10" s="1"/>
  <c r="C329" i="10"/>
  <c r="D329" i="10" s="1"/>
  <c r="B329" i="10"/>
  <c r="E341" i="10" s="1"/>
  <c r="B328" i="10"/>
  <c r="E340" i="10" s="1"/>
  <c r="C327" i="10"/>
  <c r="D327" i="10" s="1"/>
  <c r="B327" i="10"/>
  <c r="B326" i="10"/>
  <c r="C326" i="10" s="1"/>
  <c r="D326" i="10" s="1"/>
  <c r="B325" i="10"/>
  <c r="E324" i="10"/>
  <c r="B324" i="10"/>
  <c r="C325" i="10" s="1"/>
  <c r="D325" i="10" s="1"/>
  <c r="E323" i="10"/>
  <c r="C323" i="10"/>
  <c r="D323" i="10" s="1"/>
  <c r="B323" i="10"/>
  <c r="C324" i="10" s="1"/>
  <c r="D324" i="10" s="1"/>
  <c r="B322" i="10"/>
  <c r="B321" i="10"/>
  <c r="C320" i="10"/>
  <c r="D320" i="10" s="1"/>
  <c r="B320" i="10"/>
  <c r="C321" i="10" s="1"/>
  <c r="D321" i="10" s="1"/>
  <c r="E319" i="10"/>
  <c r="C319" i="10"/>
  <c r="D319" i="10" s="1"/>
  <c r="B319" i="10"/>
  <c r="B318" i="10"/>
  <c r="B317" i="10"/>
  <c r="E329" i="10" s="1"/>
  <c r="B316" i="10"/>
  <c r="B315" i="10"/>
  <c r="E327" i="10" s="1"/>
  <c r="B314" i="10"/>
  <c r="C315" i="10" s="1"/>
  <c r="D315" i="10" s="1"/>
  <c r="C313" i="10"/>
  <c r="D313" i="10" s="1"/>
  <c r="B313" i="10"/>
  <c r="E325" i="10" s="1"/>
  <c r="E312" i="10"/>
  <c r="B312" i="10"/>
  <c r="E311" i="10"/>
  <c r="B311" i="10"/>
  <c r="C312" i="10" s="1"/>
  <c r="D312" i="10" s="1"/>
  <c r="C310" i="10"/>
  <c r="D310" i="10" s="1"/>
  <c r="B310" i="10"/>
  <c r="E309" i="10"/>
  <c r="B309" i="10"/>
  <c r="B308" i="10"/>
  <c r="B307" i="10"/>
  <c r="B306" i="10"/>
  <c r="E318" i="10" s="1"/>
  <c r="B305" i="10"/>
  <c r="E317" i="10" s="1"/>
  <c r="E304" i="10"/>
  <c r="C304" i="10"/>
  <c r="D304" i="10" s="1"/>
  <c r="B304" i="10"/>
  <c r="B303" i="10"/>
  <c r="E315" i="10" s="1"/>
  <c r="B302" i="10"/>
  <c r="B301" i="10"/>
  <c r="E313" i="10" s="1"/>
  <c r="D300" i="10"/>
  <c r="C300" i="10"/>
  <c r="B300" i="10"/>
  <c r="B299" i="10"/>
  <c r="E298" i="10"/>
  <c r="C298" i="10"/>
  <c r="D298" i="10" s="1"/>
  <c r="B298" i="10"/>
  <c r="C299" i="10" s="1"/>
  <c r="D299" i="10" s="1"/>
  <c r="B297" i="10"/>
  <c r="E297" i="10" s="1"/>
  <c r="E296" i="10"/>
  <c r="B296" i="10"/>
  <c r="B295" i="10"/>
  <c r="B294" i="10"/>
  <c r="C294" i="10" s="1"/>
  <c r="D294" i="10" s="1"/>
  <c r="D293" i="10"/>
  <c r="C293" i="10"/>
  <c r="B293" i="10"/>
  <c r="B292" i="10"/>
  <c r="C291" i="10"/>
  <c r="D291" i="10" s="1"/>
  <c r="B291" i="10"/>
  <c r="C290" i="10"/>
  <c r="D290" i="10" s="1"/>
  <c r="B290" i="10"/>
  <c r="E289" i="10"/>
  <c r="B289" i="10"/>
  <c r="B288" i="10"/>
  <c r="C289" i="10" s="1"/>
  <c r="D289" i="10" s="1"/>
  <c r="E287" i="10"/>
  <c r="D287" i="10"/>
  <c r="C287" i="10"/>
  <c r="B287" i="10"/>
  <c r="E299" i="10" s="1"/>
  <c r="E286" i="10"/>
  <c r="C286" i="10"/>
  <c r="D286" i="10" s="1"/>
  <c r="B286" i="10"/>
  <c r="B285" i="10"/>
  <c r="C284" i="10"/>
  <c r="D284" i="10" s="1"/>
  <c r="B284" i="10"/>
  <c r="C285" i="10" s="1"/>
  <c r="D285" i="10" s="1"/>
  <c r="E283" i="10"/>
  <c r="C283" i="10"/>
  <c r="D283" i="10" s="1"/>
  <c r="B283" i="10"/>
  <c r="C282" i="10"/>
  <c r="D282" i="10" s="1"/>
  <c r="B282" i="10"/>
  <c r="B281" i="10"/>
  <c r="E281" i="10" s="1"/>
  <c r="E280" i="10"/>
  <c r="B280" i="10"/>
  <c r="E292" i="10" s="1"/>
  <c r="B279" i="10"/>
  <c r="C279" i="10" s="1"/>
  <c r="D279" i="10" s="1"/>
  <c r="B278" i="10"/>
  <c r="E277" i="10"/>
  <c r="B277" i="10"/>
  <c r="B276" i="10"/>
  <c r="C275" i="10"/>
  <c r="D275" i="10" s="1"/>
  <c r="B275" i="10"/>
  <c r="E274" i="10"/>
  <c r="B274" i="10"/>
  <c r="B273" i="10"/>
  <c r="E285" i="10" s="1"/>
  <c r="B272" i="10"/>
  <c r="C272" i="10" s="1"/>
  <c r="D272" i="10" s="1"/>
  <c r="E271" i="10"/>
  <c r="B271" i="10"/>
  <c r="B270" i="10"/>
  <c r="C271" i="10" s="1"/>
  <c r="D271" i="10" s="1"/>
  <c r="D269" i="10"/>
  <c r="C269" i="10"/>
  <c r="B269" i="10"/>
  <c r="E268" i="10"/>
  <c r="C268" i="10"/>
  <c r="D268" i="10" s="1"/>
  <c r="B268" i="10"/>
  <c r="B267" i="10"/>
  <c r="E266" i="10"/>
  <c r="C266" i="10"/>
  <c r="D266" i="10" s="1"/>
  <c r="B266" i="10"/>
  <c r="E265" i="10"/>
  <c r="B265" i="10"/>
  <c r="D264" i="10"/>
  <c r="C264" i="10"/>
  <c r="B264" i="10"/>
  <c r="B263" i="10"/>
  <c r="E275" i="10" s="1"/>
  <c r="E262" i="10"/>
  <c r="B262" i="10"/>
  <c r="B261" i="10"/>
  <c r="B260" i="10"/>
  <c r="C260" i="10" s="1"/>
  <c r="D260" i="10" s="1"/>
  <c r="E259" i="10"/>
  <c r="B259" i="10"/>
  <c r="B258" i="10"/>
  <c r="E257" i="10"/>
  <c r="B257" i="10"/>
  <c r="C257" i="10" s="1"/>
  <c r="D257" i="10" s="1"/>
  <c r="E256" i="10"/>
  <c r="C256" i="10"/>
  <c r="D256" i="10" s="1"/>
  <c r="B256" i="10"/>
  <c r="B255" i="10"/>
  <c r="E267" i="10" s="1"/>
  <c r="D254" i="10"/>
  <c r="C254" i="10"/>
  <c r="B254" i="10"/>
  <c r="E253" i="10"/>
  <c r="C253" i="10"/>
  <c r="D253" i="10" s="1"/>
  <c r="B253" i="10"/>
  <c r="B252" i="10"/>
  <c r="E251" i="10"/>
  <c r="C251" i="10"/>
  <c r="D251" i="10" s="1"/>
  <c r="B251" i="10"/>
  <c r="C252" i="10" s="1"/>
  <c r="D252" i="10" s="1"/>
  <c r="C250" i="10"/>
  <c r="D250" i="10" s="1"/>
  <c r="B250" i="10"/>
  <c r="B249" i="10"/>
  <c r="C248" i="10"/>
  <c r="D248" i="10" s="1"/>
  <c r="B248" i="10"/>
  <c r="C247" i="10"/>
  <c r="D247" i="10" s="1"/>
  <c r="B247" i="10"/>
  <c r="C246" i="10"/>
  <c r="D246" i="10" s="1"/>
  <c r="B246" i="10"/>
  <c r="C245" i="10"/>
  <c r="D245" i="10" s="1"/>
  <c r="B245" i="10"/>
  <c r="E245" i="10" s="1"/>
  <c r="B244" i="10"/>
  <c r="C243" i="10"/>
  <c r="D243" i="10" s="1"/>
  <c r="B243" i="10"/>
  <c r="B242" i="10"/>
  <c r="E254" i="10" s="1"/>
  <c r="B241" i="10"/>
  <c r="C240" i="10"/>
  <c r="D240" i="10" s="1"/>
  <c r="B240" i="10"/>
  <c r="E239" i="10"/>
  <c r="B239" i="10"/>
  <c r="E238" i="10"/>
  <c r="B238" i="10"/>
  <c r="C239" i="10" s="1"/>
  <c r="D239" i="10" s="1"/>
  <c r="B237" i="10"/>
  <c r="E249" i="10" s="1"/>
  <c r="E236" i="10"/>
  <c r="B236" i="10"/>
  <c r="E248" i="10" s="1"/>
  <c r="B235" i="10"/>
  <c r="B234" i="10"/>
  <c r="E233" i="10"/>
  <c r="C233" i="10"/>
  <c r="D233" i="10" s="1"/>
  <c r="B233" i="10"/>
  <c r="C232" i="10"/>
  <c r="D232" i="10" s="1"/>
  <c r="B232" i="10"/>
  <c r="E232" i="10" s="1"/>
  <c r="B231" i="10"/>
  <c r="B230" i="10"/>
  <c r="B229" i="10"/>
  <c r="E241" i="10" s="1"/>
  <c r="C228" i="10"/>
  <c r="D228" i="10" s="1"/>
  <c r="B228" i="10"/>
  <c r="C227" i="10"/>
  <c r="D227" i="10" s="1"/>
  <c r="B227" i="10"/>
  <c r="B226" i="10"/>
  <c r="C225" i="10"/>
  <c r="D225" i="10" s="1"/>
  <c r="B225" i="10"/>
  <c r="C224" i="10"/>
  <c r="D224" i="10" s="1"/>
  <c r="B224" i="10"/>
  <c r="B223" i="10"/>
  <c r="C222" i="10"/>
  <c r="D222" i="10" s="1"/>
  <c r="B222" i="10"/>
  <c r="B221" i="10"/>
  <c r="C221" i="10" s="1"/>
  <c r="D221" i="10" s="1"/>
  <c r="E220" i="10"/>
  <c r="D220" i="10"/>
  <c r="C220" i="10"/>
  <c r="B220" i="10"/>
  <c r="B219" i="10"/>
  <c r="E231" i="10" s="1"/>
  <c r="B218" i="10"/>
  <c r="C219" i="10" s="1"/>
  <c r="D219" i="10" s="1"/>
  <c r="C217" i="10"/>
  <c r="D217" i="10" s="1"/>
  <c r="B217" i="10"/>
  <c r="B216" i="10"/>
  <c r="E215" i="10"/>
  <c r="C215" i="10"/>
  <c r="D215" i="10" s="1"/>
  <c r="B215" i="10"/>
  <c r="C216" i="10" s="1"/>
  <c r="D216" i="10" s="1"/>
  <c r="B214" i="10"/>
  <c r="C214" i="10" s="1"/>
  <c r="D214" i="10" s="1"/>
  <c r="B213" i="10"/>
  <c r="B212" i="10"/>
  <c r="B211" i="10"/>
  <c r="C212" i="10" s="1"/>
  <c r="D212" i="10" s="1"/>
  <c r="C210" i="10"/>
  <c r="D210" i="10" s="1"/>
  <c r="B210" i="10"/>
  <c r="C209" i="10"/>
  <c r="D209" i="10" s="1"/>
  <c r="B209" i="10"/>
  <c r="E221" i="10" s="1"/>
  <c r="E208" i="10"/>
  <c r="D208" i="10"/>
  <c r="B208" i="10"/>
  <c r="C208" i="10" s="1"/>
  <c r="E207" i="10"/>
  <c r="B207" i="10"/>
  <c r="B206" i="10"/>
  <c r="C207" i="10" s="1"/>
  <c r="D207" i="10" s="1"/>
  <c r="B205" i="10"/>
  <c r="C205" i="10" s="1"/>
  <c r="D205" i="10" s="1"/>
  <c r="E204" i="10"/>
  <c r="B204" i="10"/>
  <c r="E216" i="10" s="1"/>
  <c r="B203" i="10"/>
  <c r="C204" i="10" s="1"/>
  <c r="D204" i="10" s="1"/>
  <c r="E202" i="10"/>
  <c r="B202" i="10"/>
  <c r="E201" i="10"/>
  <c r="D201" i="10"/>
  <c r="C201" i="10"/>
  <c r="B201" i="10"/>
  <c r="B200" i="10"/>
  <c r="B199" i="10"/>
  <c r="C199" i="10" s="1"/>
  <c r="D199" i="10" s="1"/>
  <c r="E198" i="10"/>
  <c r="C198" i="10"/>
  <c r="D198" i="10" s="1"/>
  <c r="B198" i="10"/>
  <c r="E210" i="10" s="1"/>
  <c r="C197" i="10"/>
  <c r="D197" i="10" s="1"/>
  <c r="B197" i="10"/>
  <c r="E209" i="10" s="1"/>
  <c r="E196" i="10"/>
  <c r="B196" i="10"/>
  <c r="C196" i="10" s="1"/>
  <c r="D196" i="10" s="1"/>
  <c r="E195" i="10"/>
  <c r="B195" i="10"/>
  <c r="B194" i="10"/>
  <c r="E206" i="10" s="1"/>
  <c r="B193" i="10"/>
  <c r="C193" i="10" s="1"/>
  <c r="D193" i="10" s="1"/>
  <c r="E192" i="10"/>
  <c r="B192" i="10"/>
  <c r="B191" i="10"/>
  <c r="E203" i="10" s="1"/>
  <c r="E190" i="10"/>
  <c r="B190" i="10"/>
  <c r="C190" i="10" s="1"/>
  <c r="D190" i="10" s="1"/>
  <c r="E189" i="10"/>
  <c r="C189" i="10"/>
  <c r="D189" i="10" s="1"/>
  <c r="B189" i="10"/>
  <c r="B188" i="10"/>
  <c r="E200" i="10" s="1"/>
  <c r="B187" i="10"/>
  <c r="C187" i="10" s="1"/>
  <c r="D187" i="10" s="1"/>
  <c r="E186" i="10"/>
  <c r="C186" i="10"/>
  <c r="D186" i="10" s="1"/>
  <c r="B186" i="10"/>
  <c r="C185" i="10"/>
  <c r="D185" i="10" s="1"/>
  <c r="B185" i="10"/>
  <c r="E197" i="10" s="1"/>
  <c r="E184" i="10"/>
  <c r="B184" i="10"/>
  <c r="C184" i="10" s="1"/>
  <c r="D184" i="10" s="1"/>
  <c r="E183" i="10"/>
  <c r="B183" i="10"/>
  <c r="B182" i="10"/>
  <c r="E194" i="10" s="1"/>
  <c r="D181" i="10"/>
  <c r="B181" i="10"/>
  <c r="C181" i="10" s="1"/>
  <c r="E180" i="10"/>
  <c r="B180" i="10"/>
  <c r="B179" i="10"/>
  <c r="E191" i="10" s="1"/>
  <c r="E178" i="10"/>
  <c r="B178" i="10"/>
  <c r="C178" i="10" s="1"/>
  <c r="D178" i="10" s="1"/>
  <c r="E177" i="10"/>
  <c r="C177" i="10"/>
  <c r="D177" i="10" s="1"/>
  <c r="B177" i="10"/>
  <c r="B176" i="10"/>
  <c r="E188" i="10" s="1"/>
  <c r="B175" i="10"/>
  <c r="C175" i="10" s="1"/>
  <c r="D175" i="10" s="1"/>
  <c r="E174" i="10"/>
  <c r="C174" i="10"/>
  <c r="D174" i="10" s="1"/>
  <c r="B174" i="10"/>
  <c r="C173" i="10"/>
  <c r="D173" i="10" s="1"/>
  <c r="B173" i="10"/>
  <c r="E185" i="10" s="1"/>
  <c r="E172" i="10"/>
  <c r="B172" i="10"/>
  <c r="C172" i="10" s="1"/>
  <c r="D172" i="10" s="1"/>
  <c r="E171" i="10"/>
  <c r="B171" i="10"/>
  <c r="B170" i="10"/>
  <c r="E182" i="10" s="1"/>
  <c r="B169" i="10"/>
  <c r="C169" i="10" s="1"/>
  <c r="D169" i="10" s="1"/>
  <c r="E168" i="10"/>
  <c r="B168" i="10"/>
  <c r="B167" i="10"/>
  <c r="E179" i="10" s="1"/>
  <c r="E166" i="10"/>
  <c r="B166" i="10"/>
  <c r="C166" i="10" s="1"/>
  <c r="D166" i="10" s="1"/>
  <c r="E165" i="10"/>
  <c r="D165" i="10"/>
  <c r="C165" i="10"/>
  <c r="B165" i="10"/>
  <c r="B164" i="10"/>
  <c r="E176" i="10" s="1"/>
  <c r="B163" i="10"/>
  <c r="C163" i="10" s="1"/>
  <c r="D163" i="10" s="1"/>
  <c r="E162" i="10"/>
  <c r="C162" i="10"/>
  <c r="D162" i="10" s="1"/>
  <c r="B162" i="10"/>
  <c r="C161" i="10"/>
  <c r="D161" i="10" s="1"/>
  <c r="B161" i="10"/>
  <c r="E173" i="10" s="1"/>
  <c r="E160" i="10"/>
  <c r="B160" i="10"/>
  <c r="C160" i="10" s="1"/>
  <c r="D160" i="10" s="1"/>
  <c r="E159" i="10"/>
  <c r="B159" i="10"/>
  <c r="B158" i="10"/>
  <c r="E170" i="10" s="1"/>
  <c r="B157" i="10"/>
  <c r="C157" i="10" s="1"/>
  <c r="D157" i="10" s="1"/>
  <c r="E156" i="10"/>
  <c r="B156" i="10"/>
  <c r="B155" i="10"/>
  <c r="E167" i="10" s="1"/>
  <c r="E154" i="10"/>
  <c r="B154" i="10"/>
  <c r="C154" i="10" s="1"/>
  <c r="D154" i="10" s="1"/>
  <c r="E153" i="10"/>
  <c r="C153" i="10"/>
  <c r="D153" i="10" s="1"/>
  <c r="B153" i="10"/>
  <c r="B152" i="10"/>
  <c r="E164" i="10" s="1"/>
  <c r="D151" i="10"/>
  <c r="B151" i="10"/>
  <c r="C151" i="10" s="1"/>
  <c r="E150" i="10"/>
  <c r="C150" i="10"/>
  <c r="D150" i="10" s="1"/>
  <c r="B150" i="10"/>
  <c r="C149" i="10"/>
  <c r="D149" i="10" s="1"/>
  <c r="B149" i="10"/>
  <c r="E161" i="10" s="1"/>
  <c r="E148" i="10"/>
  <c r="B148" i="10"/>
  <c r="C148" i="10" s="1"/>
  <c r="D148" i="10" s="1"/>
  <c r="E147" i="10"/>
  <c r="B147" i="10"/>
  <c r="B146" i="10"/>
  <c r="E158" i="10" s="1"/>
  <c r="B145" i="10"/>
  <c r="C145" i="10" s="1"/>
  <c r="D145" i="10" s="1"/>
  <c r="E144" i="10"/>
  <c r="B144" i="10"/>
  <c r="B143" i="10"/>
  <c r="E155" i="10" s="1"/>
  <c r="E142" i="10"/>
  <c r="B142" i="10"/>
  <c r="C142" i="10" s="1"/>
  <c r="D142" i="10" s="1"/>
  <c r="E141" i="10"/>
  <c r="C141" i="10"/>
  <c r="D141" i="10" s="1"/>
  <c r="B141" i="10"/>
  <c r="B140" i="10"/>
  <c r="E152" i="10" s="1"/>
  <c r="B139" i="10"/>
  <c r="C139" i="10" s="1"/>
  <c r="D139" i="10" s="1"/>
  <c r="E138" i="10"/>
  <c r="C138" i="10"/>
  <c r="D138" i="10" s="1"/>
  <c r="B138" i="10"/>
  <c r="C137" i="10"/>
  <c r="D137" i="10" s="1"/>
  <c r="B137" i="10"/>
  <c r="E149" i="10" s="1"/>
  <c r="E136" i="10"/>
  <c r="B136" i="10"/>
  <c r="C136" i="10" s="1"/>
  <c r="D136" i="10" s="1"/>
  <c r="E135" i="10"/>
  <c r="B135" i="10"/>
  <c r="B134" i="10"/>
  <c r="E146" i="10" s="1"/>
  <c r="B133" i="10"/>
  <c r="C133" i="10" s="1"/>
  <c r="D133" i="10" s="1"/>
  <c r="E132" i="10"/>
  <c r="B132" i="10"/>
  <c r="B131" i="10"/>
  <c r="E143" i="10" s="1"/>
  <c r="E130" i="10"/>
  <c r="B130" i="10"/>
  <c r="C130" i="10" s="1"/>
  <c r="D130" i="10" s="1"/>
  <c r="E129" i="10"/>
  <c r="D129" i="10"/>
  <c r="C129" i="10"/>
  <c r="B129" i="10"/>
  <c r="B128" i="10"/>
  <c r="E140" i="10" s="1"/>
  <c r="B127" i="10"/>
  <c r="C127" i="10" s="1"/>
  <c r="D127" i="10" s="1"/>
  <c r="E126" i="10"/>
  <c r="C126" i="10"/>
  <c r="D126" i="10" s="1"/>
  <c r="B126" i="10"/>
  <c r="C125" i="10"/>
  <c r="D125" i="10" s="1"/>
  <c r="B125" i="10"/>
  <c r="E137" i="10" s="1"/>
  <c r="E124" i="10"/>
  <c r="D124" i="10"/>
  <c r="B124" i="10"/>
  <c r="C124" i="10" s="1"/>
  <c r="E123" i="10"/>
  <c r="B123" i="10"/>
  <c r="B122" i="10"/>
  <c r="E134" i="10" s="1"/>
  <c r="B121" i="10"/>
  <c r="C121" i="10" s="1"/>
  <c r="D121" i="10" s="1"/>
  <c r="E120" i="10"/>
  <c r="B120" i="10"/>
  <c r="B119" i="10"/>
  <c r="E131" i="10" s="1"/>
  <c r="E118" i="10"/>
  <c r="B118" i="10"/>
  <c r="C118" i="10" s="1"/>
  <c r="D118" i="10" s="1"/>
  <c r="E117" i="10"/>
  <c r="C117" i="10"/>
  <c r="D117" i="10" s="1"/>
  <c r="B117" i="10"/>
  <c r="B116" i="10"/>
  <c r="E128" i="10" s="1"/>
  <c r="B115" i="10"/>
  <c r="C115" i="10" s="1"/>
  <c r="D115" i="10" s="1"/>
  <c r="E114" i="10"/>
  <c r="C114" i="10"/>
  <c r="D114" i="10" s="1"/>
  <c r="B114" i="10"/>
  <c r="C113" i="10"/>
  <c r="D113" i="10" s="1"/>
  <c r="B113" i="10"/>
  <c r="E125" i="10" s="1"/>
  <c r="E112" i="10"/>
  <c r="B112" i="10"/>
  <c r="C112" i="10" s="1"/>
  <c r="D112" i="10" s="1"/>
  <c r="E111" i="10"/>
  <c r="B111" i="10"/>
  <c r="B110" i="10"/>
  <c r="E122" i="10" s="1"/>
  <c r="D109" i="10"/>
  <c r="B109" i="10"/>
  <c r="C109" i="10" s="1"/>
  <c r="E108" i="10"/>
  <c r="B108" i="10"/>
  <c r="B107" i="10"/>
  <c r="E119" i="10" s="1"/>
  <c r="E106" i="10"/>
  <c r="B106" i="10"/>
  <c r="C106" i="10" s="1"/>
  <c r="D106" i="10" s="1"/>
  <c r="E105" i="10"/>
  <c r="D105" i="10"/>
  <c r="C105" i="10"/>
  <c r="B105" i="10"/>
  <c r="B104" i="10"/>
  <c r="E116" i="10" s="1"/>
  <c r="D103" i="10"/>
  <c r="B103" i="10"/>
  <c r="C103" i="10" s="1"/>
  <c r="E102" i="10"/>
  <c r="C102" i="10"/>
  <c r="D102" i="10" s="1"/>
  <c r="B102" i="10"/>
  <c r="C101" i="10"/>
  <c r="D101" i="10" s="1"/>
  <c r="B101" i="10"/>
  <c r="E113" i="10" s="1"/>
  <c r="E100" i="10"/>
  <c r="D100" i="10"/>
  <c r="B100" i="10"/>
  <c r="C100" i="10" s="1"/>
  <c r="E99" i="10"/>
  <c r="B99" i="10"/>
  <c r="B98" i="10"/>
  <c r="E110" i="10" s="1"/>
  <c r="B97" i="10"/>
  <c r="C97" i="10" s="1"/>
  <c r="D97" i="10" s="1"/>
  <c r="E96" i="10"/>
  <c r="B96" i="10"/>
  <c r="B95" i="10"/>
  <c r="E107" i="10" s="1"/>
  <c r="E94" i="10"/>
  <c r="B94" i="10"/>
  <c r="C94" i="10" s="1"/>
  <c r="D94" i="10" s="1"/>
  <c r="E93" i="10"/>
  <c r="C93" i="10"/>
  <c r="D93" i="10" s="1"/>
  <c r="B93" i="10"/>
  <c r="B92" i="10"/>
  <c r="E104" i="10" s="1"/>
  <c r="D91" i="10"/>
  <c r="B91" i="10"/>
  <c r="C91" i="10" s="1"/>
  <c r="E90" i="10"/>
  <c r="C90" i="10"/>
  <c r="D90" i="10" s="1"/>
  <c r="B90" i="10"/>
  <c r="C89" i="10"/>
  <c r="D89" i="10" s="1"/>
  <c r="B89" i="10"/>
  <c r="E101" i="10" s="1"/>
  <c r="E88" i="10"/>
  <c r="B88" i="10"/>
  <c r="C88" i="10" s="1"/>
  <c r="D88" i="10" s="1"/>
  <c r="E87" i="10"/>
  <c r="B87" i="10"/>
  <c r="B86" i="10"/>
  <c r="E98" i="10" s="1"/>
  <c r="B85" i="10"/>
  <c r="C85" i="10" s="1"/>
  <c r="D85" i="10" s="1"/>
  <c r="E84" i="10"/>
  <c r="B84" i="10"/>
  <c r="B83" i="10"/>
  <c r="E95" i="10" s="1"/>
  <c r="E82" i="10"/>
  <c r="B82" i="10"/>
  <c r="C83" i="10" s="1"/>
  <c r="D83" i="10" s="1"/>
  <c r="E81" i="10"/>
  <c r="C81" i="10"/>
  <c r="D81" i="10" s="1"/>
  <c r="B81" i="10"/>
  <c r="B80" i="10"/>
  <c r="E92" i="10" s="1"/>
  <c r="B79" i="10"/>
  <c r="C80" i="10" s="1"/>
  <c r="D80" i="10" s="1"/>
  <c r="E78" i="10"/>
  <c r="C78" i="10"/>
  <c r="D78" i="10" s="1"/>
  <c r="B78" i="10"/>
  <c r="C77" i="10"/>
  <c r="D77" i="10" s="1"/>
  <c r="B77" i="10"/>
  <c r="E89" i="10" s="1"/>
  <c r="E76" i="10"/>
  <c r="B76" i="10"/>
  <c r="B75" i="10"/>
  <c r="C76" i="10" s="1"/>
  <c r="D76" i="10" s="1"/>
  <c r="B74" i="10"/>
  <c r="E86" i="10" s="1"/>
  <c r="B73" i="10"/>
  <c r="E85" i="10" s="1"/>
  <c r="B72" i="10"/>
  <c r="B71" i="10"/>
  <c r="E83" i="10" s="1"/>
  <c r="E70" i="10"/>
  <c r="B70" i="10"/>
  <c r="C71" i="10" s="1"/>
  <c r="D71" i="10" s="1"/>
  <c r="E69" i="10"/>
  <c r="C69" i="10"/>
  <c r="D69" i="10" s="1"/>
  <c r="B69" i="10"/>
  <c r="B68" i="10"/>
  <c r="E80" i="10" s="1"/>
  <c r="B67" i="10"/>
  <c r="C68" i="10" s="1"/>
  <c r="D68" i="10" s="1"/>
  <c r="E66" i="10"/>
  <c r="C66" i="10"/>
  <c r="D66" i="10" s="1"/>
  <c r="B66" i="10"/>
  <c r="C65" i="10"/>
  <c r="D65" i="10" s="1"/>
  <c r="B65" i="10"/>
  <c r="E77" i="10" s="1"/>
  <c r="E64" i="10"/>
  <c r="B64" i="10"/>
  <c r="B63" i="10"/>
  <c r="C64" i="10" s="1"/>
  <c r="D64" i="10" s="1"/>
  <c r="B62" i="10"/>
  <c r="E74" i="10" s="1"/>
  <c r="B61" i="10"/>
  <c r="E73" i="10" s="1"/>
  <c r="B60" i="10"/>
  <c r="B59" i="10"/>
  <c r="E71" i="10" s="1"/>
  <c r="E58" i="10"/>
  <c r="B58" i="10"/>
  <c r="C59" i="10" s="1"/>
  <c r="D59" i="10" s="1"/>
  <c r="E57" i="10"/>
  <c r="C57" i="10"/>
  <c r="D57" i="10" s="1"/>
  <c r="B57" i="10"/>
  <c r="B56" i="10"/>
  <c r="E68" i="10" s="1"/>
  <c r="B55" i="10"/>
  <c r="C56" i="10" s="1"/>
  <c r="D56" i="10" s="1"/>
  <c r="E54" i="10"/>
  <c r="C54" i="10"/>
  <c r="D54" i="10" s="1"/>
  <c r="B54" i="10"/>
  <c r="C53" i="10"/>
  <c r="D53" i="10" s="1"/>
  <c r="B53" i="10"/>
  <c r="E65" i="10" s="1"/>
  <c r="E52" i="10"/>
  <c r="B52" i="10"/>
  <c r="B51" i="10"/>
  <c r="C52" i="10" s="1"/>
  <c r="D52" i="10" s="1"/>
  <c r="B50" i="10"/>
  <c r="E62" i="10" s="1"/>
  <c r="B49" i="10"/>
  <c r="E61" i="10" s="1"/>
  <c r="B48" i="10"/>
  <c r="B47" i="10"/>
  <c r="E59" i="10" s="1"/>
  <c r="E46" i="10"/>
  <c r="B46" i="10"/>
  <c r="C47" i="10" s="1"/>
  <c r="D47" i="10" s="1"/>
  <c r="E45" i="10"/>
  <c r="C45" i="10"/>
  <c r="D45" i="10" s="1"/>
  <c r="B45" i="10"/>
  <c r="B44" i="10"/>
  <c r="E56" i="10" s="1"/>
  <c r="B43" i="10"/>
  <c r="C44" i="10" s="1"/>
  <c r="D44" i="10" s="1"/>
  <c r="E42" i="10"/>
  <c r="C42" i="10"/>
  <c r="D42" i="10" s="1"/>
  <c r="B42" i="10"/>
  <c r="C41" i="10"/>
  <c r="D41" i="10" s="1"/>
  <c r="B41" i="10"/>
  <c r="E53" i="10" s="1"/>
  <c r="E40" i="10"/>
  <c r="B40" i="10"/>
  <c r="B39" i="10"/>
  <c r="C40" i="10" s="1"/>
  <c r="D40" i="10" s="1"/>
  <c r="B38" i="10"/>
  <c r="E50" i="10" s="1"/>
  <c r="B37" i="10"/>
  <c r="E49" i="10" s="1"/>
  <c r="B36" i="10"/>
  <c r="B35" i="10"/>
  <c r="E47" i="10" s="1"/>
  <c r="E34" i="10"/>
  <c r="B34" i="10"/>
  <c r="C35" i="10" s="1"/>
  <c r="D35" i="10" s="1"/>
  <c r="C33" i="10"/>
  <c r="D33" i="10" s="1"/>
  <c r="B33" i="10"/>
  <c r="B32" i="10"/>
  <c r="E44" i="10" s="1"/>
  <c r="B31" i="10"/>
  <c r="C32" i="10" s="1"/>
  <c r="D32" i="10" s="1"/>
  <c r="E30" i="10"/>
  <c r="C30" i="10"/>
  <c r="D30" i="10" s="1"/>
  <c r="B30" i="10"/>
  <c r="C29" i="10"/>
  <c r="D29" i="10" s="1"/>
  <c r="B29" i="10"/>
  <c r="B28" i="10"/>
  <c r="B27" i="10"/>
  <c r="C28" i="10" s="1"/>
  <c r="D28" i="10" s="1"/>
  <c r="B26" i="10"/>
  <c r="E38" i="10" s="1"/>
  <c r="B25" i="10"/>
  <c r="E37" i="10" s="1"/>
  <c r="B24" i="10"/>
  <c r="C23" i="10"/>
  <c r="D23" i="10" s="1"/>
  <c r="B23" i="10"/>
  <c r="E35" i="10" s="1"/>
  <c r="E22" i="10"/>
  <c r="C22" i="10"/>
  <c r="D22" i="10" s="1"/>
  <c r="B22" i="10"/>
  <c r="E21" i="10"/>
  <c r="B21" i="10"/>
  <c r="E33" i="10" s="1"/>
  <c r="B20" i="10"/>
  <c r="E32" i="10" s="1"/>
  <c r="E19" i="10"/>
  <c r="C19" i="10"/>
  <c r="D19" i="10" s="1"/>
  <c r="B19" i="10"/>
  <c r="C20" i="10" s="1"/>
  <c r="D20" i="10" s="1"/>
  <c r="B18" i="10"/>
  <c r="C18" i="10" s="1"/>
  <c r="D18" i="10" s="1"/>
  <c r="B17" i="10"/>
  <c r="B16" i="10"/>
  <c r="C17" i="10" s="1"/>
  <c r="D17" i="10" s="1"/>
  <c r="B15" i="10"/>
  <c r="C16" i="10" s="1"/>
  <c r="D16" i="10" s="1"/>
  <c r="C14" i="10"/>
  <c r="D14" i="10" s="1"/>
  <c r="B14" i="10"/>
  <c r="B13" i="10"/>
  <c r="B12" i="10"/>
  <c r="C13" i="10" s="1"/>
  <c r="D13" i="10" s="1"/>
  <c r="B11" i="10"/>
  <c r="E23" i="10" s="1"/>
  <c r="B10" i="10"/>
  <c r="C11" i="10" s="1"/>
  <c r="D11" i="10" s="1"/>
  <c r="B9" i="10"/>
  <c r="B8" i="10"/>
  <c r="B7" i="10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B8" i="8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C492" i="11" l="1"/>
  <c r="C491" i="11"/>
  <c r="E214" i="10"/>
  <c r="C202" i="10"/>
  <c r="D202" i="10" s="1"/>
  <c r="E218" i="10"/>
  <c r="E223" i="10"/>
  <c r="E273" i="10"/>
  <c r="C262" i="10"/>
  <c r="D262" i="10" s="1"/>
  <c r="E422" i="10"/>
  <c r="C411" i="10"/>
  <c r="D411" i="10" s="1"/>
  <c r="C480" i="10"/>
  <c r="D480" i="10" s="1"/>
  <c r="C481" i="10"/>
  <c r="D481" i="10" s="1"/>
  <c r="E492" i="10"/>
  <c r="C551" i="10"/>
  <c r="D551" i="10" s="1"/>
  <c r="E562" i="10"/>
  <c r="E537" i="10"/>
  <c r="C538" i="10"/>
  <c r="D538" i="10" s="1"/>
  <c r="C537" i="10"/>
  <c r="D537" i="10" s="1"/>
  <c r="E549" i="10"/>
  <c r="C556" i="10"/>
  <c r="D556" i="10" s="1"/>
  <c r="E567" i="10"/>
  <c r="C10" i="10"/>
  <c r="D10" i="10" s="1"/>
  <c r="C26" i="10"/>
  <c r="D26" i="10" s="1"/>
  <c r="C38" i="10"/>
  <c r="D38" i="10" s="1"/>
  <c r="C50" i="10"/>
  <c r="D50" i="10" s="1"/>
  <c r="C62" i="10"/>
  <c r="D62" i="10" s="1"/>
  <c r="C74" i="10"/>
  <c r="D74" i="10" s="1"/>
  <c r="C86" i="10"/>
  <c r="D86" i="10" s="1"/>
  <c r="C98" i="10"/>
  <c r="D98" i="10" s="1"/>
  <c r="C110" i="10"/>
  <c r="D110" i="10" s="1"/>
  <c r="C122" i="10"/>
  <c r="D122" i="10" s="1"/>
  <c r="C134" i="10"/>
  <c r="D134" i="10" s="1"/>
  <c r="C146" i="10"/>
  <c r="D146" i="10" s="1"/>
  <c r="C158" i="10"/>
  <c r="D158" i="10" s="1"/>
  <c r="C170" i="10"/>
  <c r="D170" i="10" s="1"/>
  <c r="C182" i="10"/>
  <c r="D182" i="10" s="1"/>
  <c r="C194" i="10"/>
  <c r="D194" i="10" s="1"/>
  <c r="C206" i="10"/>
  <c r="D206" i="10" s="1"/>
  <c r="C238" i="10"/>
  <c r="D238" i="10" s="1"/>
  <c r="E255" i="10"/>
  <c r="C244" i="10"/>
  <c r="D244" i="10" s="1"/>
  <c r="C249" i="10"/>
  <c r="D249" i="10" s="1"/>
  <c r="E260" i="10"/>
  <c r="C261" i="10"/>
  <c r="D261" i="10" s="1"/>
  <c r="E278" i="10"/>
  <c r="C267" i="10"/>
  <c r="D267" i="10" s="1"/>
  <c r="E269" i="10"/>
  <c r="C274" i="10"/>
  <c r="D274" i="10" s="1"/>
  <c r="C278" i="10"/>
  <c r="D278" i="10" s="1"/>
  <c r="E290" i="10"/>
  <c r="E316" i="10"/>
  <c r="C305" i="10"/>
  <c r="D305" i="10" s="1"/>
  <c r="E352" i="10"/>
  <c r="C341" i="10"/>
  <c r="D341" i="10" s="1"/>
  <c r="E386" i="10"/>
  <c r="C375" i="10"/>
  <c r="D375" i="10" s="1"/>
  <c r="C387" i="10"/>
  <c r="D387" i="10" s="1"/>
  <c r="E398" i="10"/>
  <c r="E410" i="10"/>
  <c r="E436" i="10"/>
  <c r="C425" i="10"/>
  <c r="D425" i="10" s="1"/>
  <c r="C437" i="10"/>
  <c r="D437" i="10" s="1"/>
  <c r="C443" i="10"/>
  <c r="D443" i="10" s="1"/>
  <c r="E442" i="10"/>
  <c r="E454" i="10"/>
  <c r="C442" i="10"/>
  <c r="D442" i="10" s="1"/>
  <c r="E461" i="10"/>
  <c r="C469" i="10"/>
  <c r="D469" i="10" s="1"/>
  <c r="E480" i="10"/>
  <c r="E468" i="10"/>
  <c r="C550" i="10"/>
  <c r="D550" i="10" s="1"/>
  <c r="C512" i="11"/>
  <c r="C511" i="11"/>
  <c r="E732" i="10"/>
  <c r="C721" i="10"/>
  <c r="D721" i="10" s="1"/>
  <c r="C24" i="11"/>
  <c r="C23" i="11"/>
  <c r="C66" i="11"/>
  <c r="C65" i="11"/>
  <c r="C347" i="11"/>
  <c r="C348" i="11"/>
  <c r="C15" i="10"/>
  <c r="D15" i="10" s="1"/>
  <c r="C27" i="10"/>
  <c r="D27" i="10" s="1"/>
  <c r="C39" i="10"/>
  <c r="D39" i="10" s="1"/>
  <c r="C51" i="10"/>
  <c r="D51" i="10" s="1"/>
  <c r="C63" i="10"/>
  <c r="D63" i="10" s="1"/>
  <c r="C75" i="10"/>
  <c r="D75" i="10" s="1"/>
  <c r="C87" i="10"/>
  <c r="D87" i="10" s="1"/>
  <c r="C99" i="10"/>
  <c r="D99" i="10" s="1"/>
  <c r="C111" i="10"/>
  <c r="D111" i="10" s="1"/>
  <c r="C123" i="10"/>
  <c r="D123" i="10" s="1"/>
  <c r="C135" i="10"/>
  <c r="D135" i="10" s="1"/>
  <c r="C147" i="10"/>
  <c r="D147" i="10" s="1"/>
  <c r="C159" i="10"/>
  <c r="D159" i="10" s="1"/>
  <c r="C171" i="10"/>
  <c r="D171" i="10" s="1"/>
  <c r="C183" i="10"/>
  <c r="D183" i="10" s="1"/>
  <c r="C195" i="10"/>
  <c r="D195" i="10" s="1"/>
  <c r="C211" i="10"/>
  <c r="D211" i="10" s="1"/>
  <c r="E237" i="10"/>
  <c r="C226" i="10"/>
  <c r="D226" i="10" s="1"/>
  <c r="E242" i="10"/>
  <c r="C231" i="10"/>
  <c r="D231" i="10" s="1"/>
  <c r="E246" i="10"/>
  <c r="C234" i="10"/>
  <c r="D234" i="10" s="1"/>
  <c r="E293" i="10"/>
  <c r="E322" i="10"/>
  <c r="C311" i="10"/>
  <c r="D311" i="10" s="1"/>
  <c r="C365" i="10"/>
  <c r="D365" i="10" s="1"/>
  <c r="C412" i="10"/>
  <c r="D412" i="10" s="1"/>
  <c r="E437" i="10"/>
  <c r="E532" i="10"/>
  <c r="C521" i="10"/>
  <c r="D521" i="10" s="1"/>
  <c r="E544" i="10"/>
  <c r="C533" i="10"/>
  <c r="D533" i="10" s="1"/>
  <c r="E685" i="10"/>
  <c r="C674" i="10"/>
  <c r="D674" i="10" s="1"/>
  <c r="E673" i="10"/>
  <c r="C673" i="10"/>
  <c r="D673" i="10" s="1"/>
  <c r="C720" i="10"/>
  <c r="D720" i="10" s="1"/>
  <c r="C727" i="10"/>
  <c r="D727" i="10" s="1"/>
  <c r="C33" i="11"/>
  <c r="C41" i="11"/>
  <c r="C322" i="11"/>
  <c r="C321" i="11"/>
  <c r="C95" i="10"/>
  <c r="D95" i="10" s="1"/>
  <c r="C107" i="10"/>
  <c r="D107" i="10" s="1"/>
  <c r="C119" i="10"/>
  <c r="D119" i="10" s="1"/>
  <c r="C131" i="10"/>
  <c r="D131" i="10" s="1"/>
  <c r="C143" i="10"/>
  <c r="D143" i="10" s="1"/>
  <c r="C155" i="10"/>
  <c r="D155" i="10" s="1"/>
  <c r="C167" i="10"/>
  <c r="D167" i="10" s="1"/>
  <c r="C179" i="10"/>
  <c r="D179" i="10" s="1"/>
  <c r="C191" i="10"/>
  <c r="D191" i="10" s="1"/>
  <c r="C203" i="10"/>
  <c r="D203" i="10" s="1"/>
  <c r="E211" i="10"/>
  <c r="C230" i="10"/>
  <c r="D230" i="10" s="1"/>
  <c r="C236" i="10"/>
  <c r="D236" i="10" s="1"/>
  <c r="E247" i="10"/>
  <c r="E388" i="10"/>
  <c r="C377" i="10"/>
  <c r="D377" i="10" s="1"/>
  <c r="C444" i="10"/>
  <c r="D444" i="10" s="1"/>
  <c r="C445" i="10"/>
  <c r="D445" i="10" s="1"/>
  <c r="E456" i="10"/>
  <c r="C574" i="10"/>
  <c r="D574" i="10" s="1"/>
  <c r="E585" i="10"/>
  <c r="C228" i="11"/>
  <c r="C227" i="11"/>
  <c r="C262" i="11"/>
  <c r="C261" i="11"/>
  <c r="C597" i="10"/>
  <c r="D597" i="10" s="1"/>
  <c r="E608" i="10"/>
  <c r="C25" i="10"/>
  <c r="D25" i="10" s="1"/>
  <c r="E27" i="10"/>
  <c r="E31" i="10"/>
  <c r="C37" i="10"/>
  <c r="D37" i="10" s="1"/>
  <c r="E39" i="10"/>
  <c r="E43" i="10"/>
  <c r="C49" i="10"/>
  <c r="D49" i="10" s="1"/>
  <c r="E51" i="10"/>
  <c r="E55" i="10"/>
  <c r="C61" i="10"/>
  <c r="D61" i="10" s="1"/>
  <c r="E63" i="10"/>
  <c r="E67" i="10"/>
  <c r="C73" i="10"/>
  <c r="D73" i="10" s="1"/>
  <c r="E75" i="10"/>
  <c r="E79" i="10"/>
  <c r="E91" i="10"/>
  <c r="E103" i="10"/>
  <c r="E115" i="10"/>
  <c r="E127" i="10"/>
  <c r="E139" i="10"/>
  <c r="E151" i="10"/>
  <c r="E163" i="10"/>
  <c r="E175" i="10"/>
  <c r="E187" i="10"/>
  <c r="E199" i="10"/>
  <c r="C213" i="10"/>
  <c r="D213" i="10" s="1"/>
  <c r="E224" i="10"/>
  <c r="C235" i="10"/>
  <c r="D235" i="10" s="1"/>
  <c r="E244" i="10"/>
  <c r="E270" i="10"/>
  <c r="C259" i="10"/>
  <c r="D259" i="10" s="1"/>
  <c r="E294" i="10"/>
  <c r="E328" i="10"/>
  <c r="E321" i="10"/>
  <c r="C322" i="10"/>
  <c r="D322" i="10" s="1"/>
  <c r="E343" i="10"/>
  <c r="C331" i="10"/>
  <c r="D331" i="10" s="1"/>
  <c r="E335" i="10"/>
  <c r="C355" i="10"/>
  <c r="D355" i="10" s="1"/>
  <c r="C371" i="10"/>
  <c r="D371" i="10" s="1"/>
  <c r="E370" i="10"/>
  <c r="C376" i="10"/>
  <c r="D376" i="10" s="1"/>
  <c r="E400" i="10"/>
  <c r="C389" i="10"/>
  <c r="D389" i="10" s="1"/>
  <c r="C407" i="10"/>
  <c r="D407" i="10" s="1"/>
  <c r="E406" i="10"/>
  <c r="E418" i="10"/>
  <c r="C406" i="10"/>
  <c r="D406" i="10" s="1"/>
  <c r="E425" i="10"/>
  <c r="C426" i="10"/>
  <c r="D426" i="10" s="1"/>
  <c r="C433" i="10"/>
  <c r="D433" i="10" s="1"/>
  <c r="E444" i="10"/>
  <c r="E432" i="10"/>
  <c r="E508" i="10"/>
  <c r="C497" i="10"/>
  <c r="D497" i="10" s="1"/>
  <c r="E520" i="10"/>
  <c r="C573" i="10"/>
  <c r="D573" i="10" s="1"/>
  <c r="C116" i="11"/>
  <c r="C115" i="11"/>
  <c r="C218" i="11"/>
  <c r="C245" i="11"/>
  <c r="C515" i="11"/>
  <c r="C516" i="11"/>
  <c r="C24" i="10"/>
  <c r="D24" i="10" s="1"/>
  <c r="C36" i="10"/>
  <c r="D36" i="10" s="1"/>
  <c r="C48" i="10"/>
  <c r="D48" i="10" s="1"/>
  <c r="C60" i="10"/>
  <c r="D60" i="10" s="1"/>
  <c r="C72" i="10"/>
  <c r="D72" i="10" s="1"/>
  <c r="C84" i="10"/>
  <c r="D84" i="10" s="1"/>
  <c r="C96" i="10"/>
  <c r="D96" i="10" s="1"/>
  <c r="C108" i="10"/>
  <c r="D108" i="10" s="1"/>
  <c r="C120" i="10"/>
  <c r="D120" i="10" s="1"/>
  <c r="C132" i="10"/>
  <c r="D132" i="10" s="1"/>
  <c r="C144" i="10"/>
  <c r="D144" i="10" s="1"/>
  <c r="C156" i="10"/>
  <c r="D156" i="10" s="1"/>
  <c r="C168" i="10"/>
  <c r="D168" i="10" s="1"/>
  <c r="C180" i="10"/>
  <c r="D180" i="10" s="1"/>
  <c r="C192" i="10"/>
  <c r="D192" i="10" s="1"/>
  <c r="E212" i="10"/>
  <c r="E229" i="10"/>
  <c r="C218" i="10"/>
  <c r="D218" i="10" s="1"/>
  <c r="E230" i="10"/>
  <c r="E252" i="10"/>
  <c r="C241" i="10"/>
  <c r="D241" i="10" s="1"/>
  <c r="C255" i="10"/>
  <c r="D255" i="10" s="1"/>
  <c r="C258" i="10"/>
  <c r="D258" i="10" s="1"/>
  <c r="C263" i="10"/>
  <c r="D263" i="10" s="1"/>
  <c r="E295" i="10"/>
  <c r="E307" i="10"/>
  <c r="C296" i="10"/>
  <c r="D296" i="10" s="1"/>
  <c r="C306" i="10"/>
  <c r="D306" i="10" s="1"/>
  <c r="C316" i="10"/>
  <c r="D316" i="10" s="1"/>
  <c r="C336" i="10"/>
  <c r="D336" i="10" s="1"/>
  <c r="C337" i="10"/>
  <c r="D337" i="10" s="1"/>
  <c r="E348" i="10"/>
  <c r="C354" i="10"/>
  <c r="D354" i="10" s="1"/>
  <c r="C361" i="10"/>
  <c r="D361" i="10" s="1"/>
  <c r="E372" i="10"/>
  <c r="E360" i="10"/>
  <c r="C366" i="10"/>
  <c r="D366" i="10" s="1"/>
  <c r="C370" i="10"/>
  <c r="D370" i="10" s="1"/>
  <c r="E376" i="10"/>
  <c r="C388" i="10"/>
  <c r="D388" i="10" s="1"/>
  <c r="E413" i="10"/>
  <c r="C402" i="10"/>
  <c r="D402" i="10" s="1"/>
  <c r="C432" i="10"/>
  <c r="D432" i="10" s="1"/>
  <c r="E496" i="10"/>
  <c r="C485" i="10"/>
  <c r="D485" i="10" s="1"/>
  <c r="C496" i="10"/>
  <c r="D496" i="10" s="1"/>
  <c r="E521" i="10"/>
  <c r="C510" i="10"/>
  <c r="D510" i="10" s="1"/>
  <c r="E603" i="10"/>
  <c r="C592" i="10"/>
  <c r="D592" i="10" s="1"/>
  <c r="C168" i="11"/>
  <c r="C594" i="11"/>
  <c r="C593" i="11"/>
  <c r="E282" i="10"/>
  <c r="C270" i="10"/>
  <c r="D270" i="10" s="1"/>
  <c r="E449" i="10"/>
  <c r="C438" i="10"/>
  <c r="D438" i="10" s="1"/>
  <c r="E739" i="10"/>
  <c r="C728" i="10"/>
  <c r="D728" i="10" s="1"/>
  <c r="E20" i="10"/>
  <c r="C9" i="10"/>
  <c r="D9" i="10" s="1"/>
  <c r="C12" i="10"/>
  <c r="D12" i="10" s="1"/>
  <c r="C92" i="10"/>
  <c r="D92" i="10" s="1"/>
  <c r="C104" i="10"/>
  <c r="D104" i="10" s="1"/>
  <c r="C116" i="10"/>
  <c r="D116" i="10" s="1"/>
  <c r="C128" i="10"/>
  <c r="D128" i="10" s="1"/>
  <c r="C140" i="10"/>
  <c r="D140" i="10" s="1"/>
  <c r="C152" i="10"/>
  <c r="D152" i="10" s="1"/>
  <c r="C164" i="10"/>
  <c r="D164" i="10" s="1"/>
  <c r="C176" i="10"/>
  <c r="D176" i="10" s="1"/>
  <c r="C188" i="10"/>
  <c r="D188" i="10" s="1"/>
  <c r="C200" i="10"/>
  <c r="D200" i="10" s="1"/>
  <c r="E226" i="10"/>
  <c r="E288" i="10"/>
  <c r="C277" i="10"/>
  <c r="D277" i="10" s="1"/>
  <c r="C295" i="10"/>
  <c r="D295" i="10" s="1"/>
  <c r="E326" i="10"/>
  <c r="E509" i="10"/>
  <c r="C498" i="10"/>
  <c r="D498" i="10" s="1"/>
  <c r="C561" i="10"/>
  <c r="D561" i="10" s="1"/>
  <c r="E572" i="10"/>
  <c r="E604" i="10"/>
  <c r="C593" i="10"/>
  <c r="D593" i="10" s="1"/>
  <c r="C626" i="10"/>
  <c r="D626" i="10" s="1"/>
  <c r="E637" i="10"/>
  <c r="E625" i="10"/>
  <c r="C625" i="10"/>
  <c r="D625" i="10" s="1"/>
  <c r="C203" i="11"/>
  <c r="C204" i="11"/>
  <c r="E291" i="10"/>
  <c r="C280" i="10"/>
  <c r="D280" i="10" s="1"/>
  <c r="E364" i="10"/>
  <c r="C353" i="10"/>
  <c r="D353" i="10" s="1"/>
  <c r="C8" i="10"/>
  <c r="D8" i="10" s="1"/>
  <c r="C21" i="10"/>
  <c r="D21" i="10" s="1"/>
  <c r="E24" i="10"/>
  <c r="E28" i="10"/>
  <c r="C34" i="10"/>
  <c r="D34" i="10" s="1"/>
  <c r="E36" i="10"/>
  <c r="C46" i="10"/>
  <c r="D46" i="10" s="1"/>
  <c r="E48" i="10"/>
  <c r="C58" i="10"/>
  <c r="D58" i="10" s="1"/>
  <c r="E60" i="10"/>
  <c r="C70" i="10"/>
  <c r="D70" i="10" s="1"/>
  <c r="E72" i="10"/>
  <c r="C82" i="10"/>
  <c r="D82" i="10" s="1"/>
  <c r="E234" i="10"/>
  <c r="C223" i="10"/>
  <c r="D223" i="10" s="1"/>
  <c r="C276" i="10"/>
  <c r="D276" i="10" s="1"/>
  <c r="C281" i="10"/>
  <c r="D281" i="10" s="1"/>
  <c r="C292" i="10"/>
  <c r="D292" i="10" s="1"/>
  <c r="E303" i="10"/>
  <c r="E300" i="10"/>
  <c r="E306" i="10"/>
  <c r="C317" i="10"/>
  <c r="D317" i="10" s="1"/>
  <c r="C328" i="10"/>
  <c r="D328" i="10" s="1"/>
  <c r="E339" i="10"/>
  <c r="C343" i="10"/>
  <c r="D343" i="10" s="1"/>
  <c r="E355" i="10"/>
  <c r="E366" i="10"/>
  <c r="C391" i="10"/>
  <c r="D391" i="10" s="1"/>
  <c r="E402" i="10"/>
  <c r="C408" i="10"/>
  <c r="D408" i="10" s="1"/>
  <c r="C409" i="10"/>
  <c r="D409" i="10" s="1"/>
  <c r="E420" i="10"/>
  <c r="E458" i="10"/>
  <c r="C447" i="10"/>
  <c r="D447" i="10" s="1"/>
  <c r="C505" i="10"/>
  <c r="D505" i="10" s="1"/>
  <c r="E516" i="10"/>
  <c r="E504" i="10"/>
  <c r="C516" i="10"/>
  <c r="D516" i="10" s="1"/>
  <c r="C517" i="10"/>
  <c r="D517" i="10" s="1"/>
  <c r="E528" i="10"/>
  <c r="C560" i="10"/>
  <c r="D560" i="10" s="1"/>
  <c r="C607" i="10"/>
  <c r="D607" i="10" s="1"/>
  <c r="E618" i="10"/>
  <c r="C77" i="11"/>
  <c r="C76" i="11"/>
  <c r="C449" i="11"/>
  <c r="E41" i="10"/>
  <c r="E29" i="10"/>
  <c r="E217" i="10"/>
  <c r="C242" i="10"/>
  <c r="D242" i="10" s="1"/>
  <c r="E272" i="10"/>
  <c r="C302" i="10"/>
  <c r="D302" i="10" s="1"/>
  <c r="E301" i="10"/>
  <c r="C301" i="10"/>
  <c r="D301" i="10" s="1"/>
  <c r="C356" i="10"/>
  <c r="D356" i="10" s="1"/>
  <c r="C372" i="10"/>
  <c r="D372" i="10" s="1"/>
  <c r="C373" i="10"/>
  <c r="D373" i="10" s="1"/>
  <c r="E384" i="10"/>
  <c r="C390" i="10"/>
  <c r="D390" i="10" s="1"/>
  <c r="C397" i="10"/>
  <c r="D397" i="10" s="1"/>
  <c r="E408" i="10"/>
  <c r="E396" i="10"/>
  <c r="E472" i="10"/>
  <c r="C461" i="10"/>
  <c r="D461" i="10" s="1"/>
  <c r="C473" i="10"/>
  <c r="D473" i="10" s="1"/>
  <c r="E497" i="10"/>
  <c r="C415" i="11"/>
  <c r="E424" i="10"/>
  <c r="C413" i="10"/>
  <c r="D413" i="10" s="1"/>
  <c r="E235" i="10"/>
  <c r="E314" i="10"/>
  <c r="C303" i="10"/>
  <c r="D303" i="10" s="1"/>
  <c r="E308" i="10"/>
  <c r="E320" i="10"/>
  <c r="C309" i="10"/>
  <c r="D309" i="10" s="1"/>
  <c r="E350" i="10"/>
  <c r="C339" i="10"/>
  <c r="D339" i="10" s="1"/>
  <c r="E460" i="10"/>
  <c r="C449" i="10"/>
  <c r="D449" i="10" s="1"/>
  <c r="E485" i="10"/>
  <c r="C474" i="10"/>
  <c r="D474" i="10" s="1"/>
  <c r="C555" i="10"/>
  <c r="D555" i="10" s="1"/>
  <c r="E566" i="10"/>
  <c r="C372" i="11"/>
  <c r="C371" i="11"/>
  <c r="E26" i="10"/>
  <c r="E25" i="10"/>
  <c r="C31" i="10"/>
  <c r="D31" i="10" s="1"/>
  <c r="C43" i="10"/>
  <c r="D43" i="10" s="1"/>
  <c r="C55" i="10"/>
  <c r="D55" i="10" s="1"/>
  <c r="C67" i="10"/>
  <c r="D67" i="10" s="1"/>
  <c r="C79" i="10"/>
  <c r="D79" i="10" s="1"/>
  <c r="E97" i="10"/>
  <c r="E109" i="10"/>
  <c r="E121" i="10"/>
  <c r="E133" i="10"/>
  <c r="E145" i="10"/>
  <c r="E157" i="10"/>
  <c r="E169" i="10"/>
  <c r="E181" i="10"/>
  <c r="E193" i="10"/>
  <c r="E205" i="10"/>
  <c r="C237" i="10"/>
  <c r="D237" i="10" s="1"/>
  <c r="C273" i="10"/>
  <c r="D273" i="10" s="1"/>
  <c r="C297" i="10"/>
  <c r="D297" i="10" s="1"/>
  <c r="E302" i="10"/>
  <c r="C308" i="10"/>
  <c r="D308" i="10" s="1"/>
  <c r="E338" i="10"/>
  <c r="C350" i="10"/>
  <c r="D350" i="10" s="1"/>
  <c r="C362" i="10"/>
  <c r="D362" i="10" s="1"/>
  <c r="C379" i="10"/>
  <c r="D379" i="10" s="1"/>
  <c r="E391" i="10"/>
  <c r="C448" i="10"/>
  <c r="D448" i="10" s="1"/>
  <c r="E473" i="10"/>
  <c r="E554" i="10"/>
  <c r="C569" i="10"/>
  <c r="D569" i="10" s="1"/>
  <c r="C405" i="11"/>
  <c r="E227" i="10"/>
  <c r="E243" i="10"/>
  <c r="E250" i="10"/>
  <c r="E263" i="10"/>
  <c r="E279" i="10"/>
  <c r="C347" i="10"/>
  <c r="D347" i="10" s="1"/>
  <c r="C367" i="10"/>
  <c r="D367" i="10" s="1"/>
  <c r="C383" i="10"/>
  <c r="D383" i="10" s="1"/>
  <c r="C399" i="10"/>
  <c r="D399" i="10" s="1"/>
  <c r="C403" i="10"/>
  <c r="D403" i="10" s="1"/>
  <c r="C419" i="10"/>
  <c r="D419" i="10" s="1"/>
  <c r="E427" i="10"/>
  <c r="C435" i="10"/>
  <c r="D435" i="10" s="1"/>
  <c r="C439" i="10"/>
  <c r="D439" i="10" s="1"/>
  <c r="C455" i="10"/>
  <c r="D455" i="10" s="1"/>
  <c r="E463" i="10"/>
  <c r="C475" i="10"/>
  <c r="D475" i="10" s="1"/>
  <c r="C483" i="10"/>
  <c r="D483" i="10" s="1"/>
  <c r="C491" i="10"/>
  <c r="D491" i="10" s="1"/>
  <c r="E499" i="10"/>
  <c r="C511" i="10"/>
  <c r="D511" i="10" s="1"/>
  <c r="C519" i="10"/>
  <c r="D519" i="10" s="1"/>
  <c r="C527" i="10"/>
  <c r="D527" i="10" s="1"/>
  <c r="E535" i="10"/>
  <c r="E557" i="10"/>
  <c r="C563" i="10"/>
  <c r="D563" i="10" s="1"/>
  <c r="C568" i="10"/>
  <c r="D568" i="10" s="1"/>
  <c r="C576" i="10"/>
  <c r="D576" i="10" s="1"/>
  <c r="C581" i="10"/>
  <c r="D581" i="10" s="1"/>
  <c r="E599" i="10"/>
  <c r="C605" i="10"/>
  <c r="D605" i="10" s="1"/>
  <c r="C614" i="10"/>
  <c r="D614" i="10" s="1"/>
  <c r="E626" i="10"/>
  <c r="C630" i="10"/>
  <c r="D630" i="10" s="1"/>
  <c r="E629" i="10"/>
  <c r="E641" i="10"/>
  <c r="E696" i="10"/>
  <c r="C685" i="10"/>
  <c r="D685" i="10" s="1"/>
  <c r="E731" i="10"/>
  <c r="C15" i="11"/>
  <c r="C16" i="11"/>
  <c r="C55" i="11"/>
  <c r="C141" i="11"/>
  <c r="C140" i="11"/>
  <c r="C150" i="11"/>
  <c r="C175" i="11"/>
  <c r="C225" i="11"/>
  <c r="C226" i="11"/>
  <c r="C295" i="11"/>
  <c r="C310" i="11"/>
  <c r="C309" i="11"/>
  <c r="C329" i="11"/>
  <c r="C532" i="11"/>
  <c r="C631" i="11"/>
  <c r="C720" i="11"/>
  <c r="E240" i="10"/>
  <c r="E276" i="10"/>
  <c r="E359" i="10"/>
  <c r="E395" i="10"/>
  <c r="E431" i="10"/>
  <c r="E467" i="10"/>
  <c r="E503" i="10"/>
  <c r="C591" i="10"/>
  <c r="D591" i="10" s="1"/>
  <c r="C616" i="10"/>
  <c r="D616" i="10" s="1"/>
  <c r="E627" i="10"/>
  <c r="E654" i="10"/>
  <c r="C643" i="10"/>
  <c r="D643" i="10" s="1"/>
  <c r="C642" i="10"/>
  <c r="D642" i="10" s="1"/>
  <c r="E682" i="10"/>
  <c r="C671" i="10"/>
  <c r="D671" i="10" s="1"/>
  <c r="E718" i="10"/>
  <c r="C707" i="10"/>
  <c r="D707" i="10" s="1"/>
  <c r="E725" i="10"/>
  <c r="C714" i="10"/>
  <c r="D714" i="10" s="1"/>
  <c r="C40" i="11"/>
  <c r="C93" i="11"/>
  <c r="C193" i="11"/>
  <c r="C286" i="11"/>
  <c r="C413" i="11"/>
  <c r="C414" i="11"/>
  <c r="C455" i="11"/>
  <c r="C704" i="11"/>
  <c r="C750" i="11"/>
  <c r="C749" i="11"/>
  <c r="E228" i="10"/>
  <c r="C229" i="10"/>
  <c r="D229" i="10" s="1"/>
  <c r="E264" i="10"/>
  <c r="C265" i="10"/>
  <c r="D265" i="10" s="1"/>
  <c r="E284" i="10"/>
  <c r="C288" i="10"/>
  <c r="D288" i="10" s="1"/>
  <c r="E310" i="10"/>
  <c r="C314" i="10"/>
  <c r="D314" i="10" s="1"/>
  <c r="E336" i="10"/>
  <c r="C345" i="10"/>
  <c r="D345" i="10" s="1"/>
  <c r="C381" i="10"/>
  <c r="D381" i="10" s="1"/>
  <c r="C417" i="10"/>
  <c r="D417" i="10" s="1"/>
  <c r="C453" i="10"/>
  <c r="D453" i="10" s="1"/>
  <c r="C489" i="10"/>
  <c r="D489" i="10" s="1"/>
  <c r="C525" i="10"/>
  <c r="D525" i="10" s="1"/>
  <c r="E541" i="10"/>
  <c r="E546" i="10"/>
  <c r="E568" i="10"/>
  <c r="E609" i="10"/>
  <c r="C603" i="10"/>
  <c r="D603" i="10" s="1"/>
  <c r="E614" i="10"/>
  <c r="E611" i="10"/>
  <c r="E631" i="10"/>
  <c r="E657" i="10"/>
  <c r="C646" i="10"/>
  <c r="D646" i="10" s="1"/>
  <c r="E671" i="10"/>
  <c r="C660" i="10"/>
  <c r="D660" i="10" s="1"/>
  <c r="E707" i="10"/>
  <c r="C696" i="10"/>
  <c r="D696" i="10" s="1"/>
  <c r="E754" i="10"/>
  <c r="C743" i="10"/>
  <c r="D743" i="10" s="1"/>
  <c r="E761" i="10"/>
  <c r="C750" i="10"/>
  <c r="D750" i="10" s="1"/>
  <c r="C57" i="11"/>
  <c r="C58" i="11"/>
  <c r="C101" i="11"/>
  <c r="C102" i="11"/>
  <c r="C111" i="11"/>
  <c r="C281" i="11"/>
  <c r="C280" i="11"/>
  <c r="C324" i="11"/>
  <c r="C323" i="11"/>
  <c r="C382" i="11"/>
  <c r="C381" i="11"/>
  <c r="C519" i="11"/>
  <c r="C572" i="11"/>
  <c r="C573" i="11"/>
  <c r="E225" i="10"/>
  <c r="E261" i="10"/>
  <c r="C307" i="10"/>
  <c r="D307" i="10" s="1"/>
  <c r="C318" i="10"/>
  <c r="D318" i="10" s="1"/>
  <c r="C338" i="10"/>
  <c r="D338" i="10" s="1"/>
  <c r="C374" i="10"/>
  <c r="D374" i="10" s="1"/>
  <c r="C410" i="10"/>
  <c r="D410" i="10" s="1"/>
  <c r="C446" i="10"/>
  <c r="D446" i="10" s="1"/>
  <c r="C482" i="10"/>
  <c r="D482" i="10" s="1"/>
  <c r="C518" i="10"/>
  <c r="D518" i="10" s="1"/>
  <c r="E573" i="10"/>
  <c r="E569" i="10"/>
  <c r="C580" i="10"/>
  <c r="D580" i="10" s="1"/>
  <c r="E591" i="10"/>
  <c r="E664" i="10"/>
  <c r="C653" i="10"/>
  <c r="D653" i="10" s="1"/>
  <c r="E678" i="10"/>
  <c r="C667" i="10"/>
  <c r="D667" i="10" s="1"/>
  <c r="E714" i="10"/>
  <c r="C703" i="10"/>
  <c r="D703" i="10" s="1"/>
  <c r="E721" i="10"/>
  <c r="C710" i="10"/>
  <c r="D710" i="10" s="1"/>
  <c r="E768" i="10"/>
  <c r="C757" i="10"/>
  <c r="D757" i="10" s="1"/>
  <c r="C120" i="11"/>
  <c r="C128" i="11"/>
  <c r="C137" i="11"/>
  <c r="C145" i="11"/>
  <c r="C163" i="11"/>
  <c r="C213" i="11"/>
  <c r="C237" i="11"/>
  <c r="C358" i="11"/>
  <c r="C357" i="11"/>
  <c r="C391" i="11"/>
  <c r="C816" i="11"/>
  <c r="C835" i="11"/>
  <c r="C834" i="11"/>
  <c r="E213" i="10"/>
  <c r="E219" i="10"/>
  <c r="E222" i="10"/>
  <c r="E258" i="10"/>
  <c r="E305" i="10"/>
  <c r="E331" i="10"/>
  <c r="E354" i="10"/>
  <c r="E349" i="10"/>
  <c r="E361" i="10"/>
  <c r="E390" i="10"/>
  <c r="E385" i="10"/>
  <c r="E397" i="10"/>
  <c r="E426" i="10"/>
  <c r="E421" i="10"/>
  <c r="E433" i="10"/>
  <c r="E462" i="10"/>
  <c r="E457" i="10"/>
  <c r="E469" i="10"/>
  <c r="E498" i="10"/>
  <c r="E493" i="10"/>
  <c r="E505" i="10"/>
  <c r="E534" i="10"/>
  <c r="E529" i="10"/>
  <c r="C544" i="10"/>
  <c r="D544" i="10" s="1"/>
  <c r="E555" i="10"/>
  <c r="C579" i="10"/>
  <c r="D579" i="10" s="1"/>
  <c r="E596" i="10"/>
  <c r="C612" i="10"/>
  <c r="D612" i="10" s="1"/>
  <c r="E621" i="10"/>
  <c r="C632" i="10"/>
  <c r="D632" i="10" s="1"/>
  <c r="C666" i="10"/>
  <c r="D666" i="10" s="1"/>
  <c r="E700" i="10"/>
  <c r="C689" i="10"/>
  <c r="D689" i="10" s="1"/>
  <c r="C702" i="10"/>
  <c r="D702" i="10" s="1"/>
  <c r="C709" i="10"/>
  <c r="D709" i="10" s="1"/>
  <c r="E742" i="10"/>
  <c r="C756" i="10"/>
  <c r="D756" i="10" s="1"/>
  <c r="C180" i="11"/>
  <c r="C232" i="11"/>
  <c r="C368" i="11"/>
  <c r="C367" i="11"/>
  <c r="C434" i="11"/>
  <c r="C444" i="11"/>
  <c r="C443" i="11"/>
  <c r="C502" i="11"/>
  <c r="C501" i="11"/>
  <c r="C521" i="11"/>
  <c r="C536" i="11"/>
  <c r="C535" i="11"/>
  <c r="C671" i="11"/>
  <c r="C531" i="10"/>
  <c r="D531" i="10" s="1"/>
  <c r="E542" i="10"/>
  <c r="E560" i="10"/>
  <c r="C567" i="10"/>
  <c r="D567" i="10" s="1"/>
  <c r="E578" i="10"/>
  <c r="C623" i="10"/>
  <c r="D623" i="10" s="1"/>
  <c r="E634" i="10"/>
  <c r="C172" i="11"/>
  <c r="C171" i="11"/>
  <c r="C189" i="11"/>
  <c r="C274" i="11"/>
  <c r="C273" i="11"/>
  <c r="C343" i="11"/>
  <c r="C478" i="11"/>
  <c r="C477" i="11"/>
  <c r="C487" i="11"/>
  <c r="C567" i="11"/>
  <c r="E571" i="10"/>
  <c r="E583" i="10"/>
  <c r="C572" i="10"/>
  <c r="D572" i="10" s="1"/>
  <c r="E660" i="10"/>
  <c r="C649" i="10"/>
  <c r="D649" i="10" s="1"/>
  <c r="E648" i="10"/>
  <c r="E736" i="10"/>
  <c r="C725" i="10"/>
  <c r="D725" i="10" s="1"/>
  <c r="E743" i="10"/>
  <c r="C732" i="10"/>
  <c r="D732" i="10" s="1"/>
  <c r="C36" i="11"/>
  <c r="C37" i="11"/>
  <c r="C105" i="11"/>
  <c r="C233" i="11"/>
  <c r="C545" i="11"/>
  <c r="C552" i="11"/>
  <c r="C769" i="11"/>
  <c r="C768" i="11"/>
  <c r="E434" i="10"/>
  <c r="E438" i="10"/>
  <c r="E470" i="10"/>
  <c r="E474" i="10"/>
  <c r="C478" i="10"/>
  <c r="D478" i="10" s="1"/>
  <c r="E482" i="10"/>
  <c r="E490" i="10"/>
  <c r="C514" i="10"/>
  <c r="D514" i="10" s="1"/>
  <c r="E518" i="10"/>
  <c r="E526" i="10"/>
  <c r="E547" i="10"/>
  <c r="C536" i="10"/>
  <c r="D536" i="10" s="1"/>
  <c r="E558" i="10"/>
  <c r="E570" i="10"/>
  <c r="C571" i="10"/>
  <c r="D571" i="10" s="1"/>
  <c r="C590" i="10"/>
  <c r="D590" i="10" s="1"/>
  <c r="E601" i="10"/>
  <c r="C599" i="10"/>
  <c r="D599" i="10" s="1"/>
  <c r="E622" i="10"/>
  <c r="C636" i="10"/>
  <c r="D636" i="10" s="1"/>
  <c r="E635" i="10"/>
  <c r="E647" i="10"/>
  <c r="C648" i="10"/>
  <c r="D648" i="10" s="1"/>
  <c r="E667" i="10"/>
  <c r="C656" i="10"/>
  <c r="D656" i="10" s="1"/>
  <c r="E703" i="10"/>
  <c r="C692" i="10"/>
  <c r="D692" i="10" s="1"/>
  <c r="C731" i="10"/>
  <c r="D731" i="10" s="1"/>
  <c r="E750" i="10"/>
  <c r="C739" i="10"/>
  <c r="D739" i="10" s="1"/>
  <c r="E757" i="10"/>
  <c r="C746" i="10"/>
  <c r="D746" i="10" s="1"/>
  <c r="C44" i="11"/>
  <c r="C276" i="11"/>
  <c r="C275" i="11"/>
  <c r="C386" i="11"/>
  <c r="C385" i="11"/>
  <c r="C531" i="11"/>
  <c r="C530" i="11"/>
  <c r="C364" i="10"/>
  <c r="D364" i="10" s="1"/>
  <c r="C400" i="10"/>
  <c r="D400" i="10" s="1"/>
  <c r="C436" i="10"/>
  <c r="D436" i="10" s="1"/>
  <c r="C472" i="10"/>
  <c r="D472" i="10" s="1"/>
  <c r="E478" i="10"/>
  <c r="C508" i="10"/>
  <c r="D508" i="10" s="1"/>
  <c r="E514" i="10"/>
  <c r="E539" i="10"/>
  <c r="C554" i="10"/>
  <c r="D554" i="10" s="1"/>
  <c r="E565" i="10"/>
  <c r="E581" i="10"/>
  <c r="E593" i="10"/>
  <c r="C589" i="10"/>
  <c r="D589" i="10" s="1"/>
  <c r="C609" i="10"/>
  <c r="D609" i="10" s="1"/>
  <c r="C635" i="10"/>
  <c r="D635" i="10" s="1"/>
  <c r="C655" i="10"/>
  <c r="D655" i="10" s="1"/>
  <c r="E689" i="10"/>
  <c r="C678" i="10"/>
  <c r="D678" i="10" s="1"/>
  <c r="C691" i="10"/>
  <c r="D691" i="10" s="1"/>
  <c r="E724" i="10"/>
  <c r="C738" i="10"/>
  <c r="D738" i="10" s="1"/>
  <c r="C745" i="10"/>
  <c r="D745" i="10" s="1"/>
  <c r="C132" i="11"/>
  <c r="C199" i="11"/>
  <c r="C252" i="11"/>
  <c r="C420" i="11"/>
  <c r="C463" i="11"/>
  <c r="C637" i="11"/>
  <c r="C756" i="11"/>
  <c r="C755" i="11"/>
  <c r="C549" i="10"/>
  <c r="D549" i="10" s="1"/>
  <c r="C562" i="10"/>
  <c r="D562" i="10" s="1"/>
  <c r="C585" i="10"/>
  <c r="D585" i="10" s="1"/>
  <c r="C598" i="10"/>
  <c r="D598" i="10" s="1"/>
  <c r="C608" i="10"/>
  <c r="D608" i="10" s="1"/>
  <c r="C621" i="10"/>
  <c r="D621" i="10" s="1"/>
  <c r="C634" i="10"/>
  <c r="D634" i="10" s="1"/>
  <c r="C644" i="10"/>
  <c r="D644" i="10" s="1"/>
  <c r="E650" i="10"/>
  <c r="E661" i="10"/>
  <c r="E668" i="10"/>
  <c r="E679" i="10"/>
  <c r="E686" i="10"/>
  <c r="E697" i="10"/>
  <c r="E704" i="10"/>
  <c r="E715" i="10"/>
  <c r="E722" i="10"/>
  <c r="E733" i="10"/>
  <c r="E751" i="10"/>
  <c r="C17" i="11"/>
  <c r="C32" i="11"/>
  <c r="C63" i="11"/>
  <c r="C80" i="11"/>
  <c r="C119" i="11"/>
  <c r="C124" i="11"/>
  <c r="C136" i="11"/>
  <c r="C155" i="11"/>
  <c r="C185" i="11"/>
  <c r="C191" i="11"/>
  <c r="C250" i="11"/>
  <c r="C319" i="11"/>
  <c r="C334" i="11"/>
  <c r="C349" i="11"/>
  <c r="C370" i="11"/>
  <c r="C369" i="11"/>
  <c r="C377" i="11"/>
  <c r="C383" i="11"/>
  <c r="C390" i="11"/>
  <c r="C410" i="11"/>
  <c r="C489" i="11"/>
  <c r="C616" i="11"/>
  <c r="C739" i="11"/>
  <c r="C929" i="11"/>
  <c r="C928" i="11"/>
  <c r="C641" i="10"/>
  <c r="D641" i="10" s="1"/>
  <c r="C658" i="10"/>
  <c r="D658" i="10" s="1"/>
  <c r="C676" i="10"/>
  <c r="D676" i="10" s="1"/>
  <c r="C694" i="10"/>
  <c r="D694" i="10" s="1"/>
  <c r="C712" i="10"/>
  <c r="D712" i="10" s="1"/>
  <c r="C730" i="10"/>
  <c r="D730" i="10" s="1"/>
  <c r="C748" i="10"/>
  <c r="D748" i="10" s="1"/>
  <c r="C766" i="10"/>
  <c r="D766" i="10" s="1"/>
  <c r="C104" i="11"/>
  <c r="C126" i="11"/>
  <c r="C173" i="11"/>
  <c r="C184" i="11"/>
  <c r="C192" i="11"/>
  <c r="C198" i="11"/>
  <c r="C205" i="11"/>
  <c r="C211" i="11"/>
  <c r="C223" i="11"/>
  <c r="C363" i="11"/>
  <c r="C454" i="11"/>
  <c r="C469" i="11"/>
  <c r="C497" i="11"/>
  <c r="C503" i="11"/>
  <c r="C518" i="11"/>
  <c r="C558" i="11"/>
  <c r="C557" i="11"/>
  <c r="C677" i="11"/>
  <c r="C740" i="11"/>
  <c r="C914" i="11"/>
  <c r="C629" i="10"/>
  <c r="D629" i="10" s="1"/>
  <c r="E651" i="10"/>
  <c r="C652" i="10"/>
  <c r="D652" i="10" s="1"/>
  <c r="E675" i="10"/>
  <c r="C670" i="10"/>
  <c r="D670" i="10" s="1"/>
  <c r="E693" i="10"/>
  <c r="C688" i="10"/>
  <c r="D688" i="10" s="1"/>
  <c r="E711" i="10"/>
  <c r="C706" i="10"/>
  <c r="D706" i="10" s="1"/>
  <c r="E729" i="10"/>
  <c r="C724" i="10"/>
  <c r="D724" i="10" s="1"/>
  <c r="E747" i="10"/>
  <c r="C742" i="10"/>
  <c r="D742" i="10" s="1"/>
  <c r="E765" i="10"/>
  <c r="C760" i="10"/>
  <c r="D760" i="10" s="1"/>
  <c r="C401" i="11"/>
  <c r="C945" i="11"/>
  <c r="C944" i="11"/>
  <c r="C964" i="11"/>
  <c r="C963" i="11"/>
  <c r="E619" i="10"/>
  <c r="C663" i="10"/>
  <c r="D663" i="10" s="1"/>
  <c r="C681" i="10"/>
  <c r="D681" i="10" s="1"/>
  <c r="C699" i="10"/>
  <c r="D699" i="10" s="1"/>
  <c r="C717" i="10"/>
  <c r="D717" i="10" s="1"/>
  <c r="C735" i="10"/>
  <c r="D735" i="10" s="1"/>
  <c r="C753" i="10"/>
  <c r="D753" i="10" s="1"/>
  <c r="C51" i="11"/>
  <c r="C152" i="11"/>
  <c r="C195" i="11"/>
  <c r="C387" i="11"/>
  <c r="C400" i="11"/>
  <c r="C493" i="11"/>
  <c r="C560" i="11"/>
  <c r="C561" i="11"/>
  <c r="C601" i="11"/>
  <c r="C600" i="11"/>
  <c r="C621" i="11"/>
  <c r="C620" i="11"/>
  <c r="C646" i="11"/>
  <c r="C645" i="11"/>
  <c r="C699" i="11"/>
  <c r="C811" i="11"/>
  <c r="C810" i="11"/>
  <c r="C886" i="11"/>
  <c r="C892" i="11"/>
  <c r="C891" i="11"/>
  <c r="E606" i="10"/>
  <c r="C107" i="11"/>
  <c r="C325" i="11"/>
  <c r="C346" i="11"/>
  <c r="C345" i="11"/>
  <c r="C353" i="11"/>
  <c r="C359" i="11"/>
  <c r="C366" i="11"/>
  <c r="C465" i="11"/>
  <c r="C507" i="11"/>
  <c r="C541" i="11"/>
  <c r="C569" i="11"/>
  <c r="C626" i="11"/>
  <c r="C673" i="11"/>
  <c r="C798" i="11"/>
  <c r="C797" i="11"/>
  <c r="C874" i="11"/>
  <c r="C1012" i="11"/>
  <c r="C1011" i="11"/>
  <c r="E656" i="10"/>
  <c r="C85" i="11"/>
  <c r="C159" i="11"/>
  <c r="C473" i="11"/>
  <c r="C869" i="11"/>
  <c r="C868" i="11"/>
  <c r="C84" i="11"/>
  <c r="C158" i="11"/>
  <c r="C241" i="11"/>
  <c r="C289" i="11"/>
  <c r="C298" i="11"/>
  <c r="C297" i="11"/>
  <c r="C338" i="11"/>
  <c r="C395" i="11"/>
  <c r="C429" i="11"/>
  <c r="C472" i="11"/>
  <c r="C549" i="11"/>
  <c r="C548" i="11"/>
  <c r="C647" i="11"/>
  <c r="C648" i="11"/>
  <c r="C660" i="11"/>
  <c r="C686" i="11"/>
  <c r="C693" i="11"/>
  <c r="C737" i="11"/>
  <c r="C736" i="11"/>
  <c r="C920" i="11"/>
  <c r="C919" i="11"/>
  <c r="C640" i="10"/>
  <c r="D640" i="10" s="1"/>
  <c r="C729" i="10"/>
  <c r="D729" i="10" s="1"/>
  <c r="C747" i="10"/>
  <c r="D747" i="10" s="1"/>
  <c r="C208" i="11"/>
  <c r="C304" i="11"/>
  <c r="C425" i="11"/>
  <c r="C438" i="11"/>
  <c r="C458" i="11"/>
  <c r="C555" i="11"/>
  <c r="C582" i="11"/>
  <c r="C745" i="11"/>
  <c r="C744" i="11"/>
  <c r="E666" i="10"/>
  <c r="E684" i="10"/>
  <c r="E702" i="10"/>
  <c r="E720" i="10"/>
  <c r="E738" i="10"/>
  <c r="E756" i="10"/>
  <c r="C43" i="11"/>
  <c r="C59" i="11"/>
  <c r="C103" i="11"/>
  <c r="C257" i="11"/>
  <c r="C263" i="11"/>
  <c r="C270" i="11"/>
  <c r="C411" i="11"/>
  <c r="C424" i="11"/>
  <c r="C517" i="11"/>
  <c r="C617" i="11"/>
  <c r="C649" i="11"/>
  <c r="C654" i="11"/>
  <c r="C688" i="11"/>
  <c r="C689" i="11"/>
  <c r="C732" i="11"/>
  <c r="C780" i="11"/>
  <c r="C839" i="11"/>
  <c r="C864" i="11"/>
  <c r="C863" i="11"/>
  <c r="C877" i="11"/>
  <c r="C876" i="11"/>
  <c r="C908" i="11"/>
  <c r="C969" i="11"/>
  <c r="C537" i="11"/>
  <c r="C656" i="11"/>
  <c r="C916" i="11"/>
  <c r="C915" i="11"/>
  <c r="C971" i="11"/>
  <c r="C1007" i="11"/>
  <c r="C1034" i="11"/>
  <c r="C1033" i="11"/>
  <c r="C727" i="11"/>
  <c r="C776" i="11"/>
  <c r="C775" i="11"/>
  <c r="C786" i="11"/>
  <c r="C911" i="11"/>
  <c r="C910" i="11"/>
  <c r="C595" i="11"/>
  <c r="C667" i="11"/>
  <c r="C813" i="11"/>
  <c r="C829" i="11"/>
  <c r="C843" i="11"/>
  <c r="C842" i="11"/>
  <c r="C904" i="11"/>
  <c r="C924" i="11"/>
  <c r="C1029" i="11"/>
  <c r="C1028" i="11"/>
  <c r="C602" i="11"/>
  <c r="C612" i="11"/>
  <c r="C658" i="11"/>
  <c r="C663" i="11"/>
  <c r="C695" i="11"/>
  <c r="C765" i="11"/>
  <c r="C923" i="11"/>
  <c r="C1047" i="11"/>
  <c r="C529" i="11"/>
  <c r="C544" i="11"/>
  <c r="C565" i="11"/>
  <c r="C614" i="11"/>
  <c r="C641" i="11"/>
  <c r="C640" i="11"/>
  <c r="C802" i="11"/>
  <c r="C861" i="11"/>
  <c r="C974" i="11"/>
  <c r="C973" i="11"/>
  <c r="C1024" i="11"/>
  <c r="C1023" i="11"/>
  <c r="C664" i="11"/>
  <c r="C697" i="11"/>
  <c r="C748" i="11"/>
  <c r="C747" i="11"/>
  <c r="C760" i="11"/>
  <c r="C766" i="11"/>
  <c r="C796" i="11"/>
  <c r="C844" i="11"/>
  <c r="C860" i="11"/>
  <c r="C997" i="11"/>
  <c r="C1004" i="11"/>
  <c r="C1043" i="11"/>
  <c r="C525" i="11"/>
  <c r="C566" i="11"/>
  <c r="C577" i="11"/>
  <c r="C604" i="11"/>
  <c r="C642" i="11"/>
  <c r="C719" i="11"/>
  <c r="C815" i="11"/>
  <c r="C957" i="11"/>
  <c r="C794" i="11"/>
  <c r="C821" i="11"/>
  <c r="C883" i="11"/>
  <c r="C882" i="11"/>
  <c r="C941" i="11"/>
  <c r="C1038" i="11"/>
  <c r="C576" i="11"/>
  <c r="C634" i="11"/>
  <c r="C670" i="11"/>
  <c r="C778" i="11"/>
  <c r="C789" i="11"/>
  <c r="C800" i="11"/>
  <c r="C799" i="11"/>
  <c r="C848" i="11"/>
  <c r="C873" i="11"/>
  <c r="C884" i="11"/>
  <c r="C988" i="11"/>
  <c r="C1000" i="11"/>
  <c r="C1018" i="11"/>
  <c r="C812" i="11"/>
  <c r="C854" i="11"/>
  <c r="C966" i="11"/>
  <c r="C896" i="11"/>
  <c r="C917" i="11"/>
  <c r="C990" i="11"/>
  <c r="C588" i="11"/>
  <c r="C865" i="11"/>
  <c r="C895" i="11"/>
  <c r="C938" i="11"/>
  <c r="C956" i="11"/>
  <c r="C1013" i="11"/>
  <c r="C1054" i="11"/>
  <c r="C752" i="11"/>
  <c r="C898" i="11"/>
  <c r="C907" i="11"/>
  <c r="C906" i="11"/>
  <c r="C931" i="11"/>
  <c r="C952" i="11"/>
  <c r="C968" i="11"/>
  <c r="C824" i="11"/>
  <c r="C1006" i="11"/>
  <c r="C954" i="11"/>
  <c r="C982" i="11"/>
  <c r="C987" i="11"/>
  <c r="C1002" i="11"/>
  <c r="C1030" i="11"/>
  <c r="C1035" i="11"/>
  <c r="C1050" i="11"/>
  <c r="C1046" i="11"/>
  <c r="C946" i="11"/>
  <c r="C994" i="11"/>
  <c r="C1042" i="11"/>
  <c r="C978" i="11"/>
  <c r="C1026" i="11"/>
  <c r="C962" i="11"/>
  <c r="C1010" i="11"/>
  <c r="C1058" i="11"/>
  <c r="B4" i="10" l="1"/>
  <c r="B3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<sst xmlns="http://schemas.openxmlformats.org/spreadsheetml/2006/main" count="100" uniqueCount="74">
  <si>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</si>
  <si>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</si>
  <si>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</si>
  <si>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</si>
  <si>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</si>
  <si>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</si>
  <si>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</si>
  <si>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</si>
  <si>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</si>
  <si>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</si>
  <si>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</si>
  <si>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</si>
  <si>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</si>
  <si>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</si>
  <si>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</si>
  <si>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</si>
  <si>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</si>
  <si>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</si>
  <si>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</si>
  <si>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</si>
  <si>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</si>
  <si>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</si>
  <si>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</si>
  <si>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</si>
  <si>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</si>
  <si>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</si>
  <si>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</si>
  <si>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</si>
  <si>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</si>
  <si>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</si>
  <si>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</si>
  <si>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</si>
  <si>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</si>
  <si>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</si>
  <si>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</si>
  <si>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</si>
  <si>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</si>
  <si>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</si>
  <si>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</si>
  <si>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</si>
  <si>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</si>
  <si>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</si>
  <si>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</si>
  <si>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</si>
  <si>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</si>
  <si>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US Balance of Payments</t>
  </si>
  <si>
    <t>https://fred.stlouisfed.org/series/BOPGSTB</t>
  </si>
  <si>
    <t>Month</t>
  </si>
  <si>
    <t>Balance of Payments</t>
  </si>
  <si>
    <t>https://www.federalreserve.gov/data.htm</t>
  </si>
  <si>
    <t>https://fred.stlouisfed.org/series/INTDSRUSM193N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</si>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</sst>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Payments'!$A$7:$A$377</c:f>
              <c:numCache>
                <c:formatCode>yyyy\-mm\-dd</c:formatCode>
                <c:ptCount val="371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</c:numCache>
            </c:numRef>
          </c:cat>
          <c:val>
            <c:numRef>
              <c:f>'US Balance of Payments'!$B$7:$B$377</c:f>
              <c:numCache>
                <c:formatCode>0.00</c:formatCode>
                <c:ptCount val="371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-88035</c:v>
                </c:pt>
                <c:pt idx="361">
                  <c:v>-87799</c:v>
                </c:pt>
                <c:pt idx="362">
                  <c:v>-106917</c:v>
                </c:pt>
                <c:pt idx="363">
                  <c:v>-87173</c:v>
                </c:pt>
                <c:pt idx="364">
                  <c:v>-85706</c:v>
                </c:pt>
                <c:pt idx="365">
                  <c:v>-80724</c:v>
                </c:pt>
                <c:pt idx="366">
                  <c:v>-70700</c:v>
                </c:pt>
                <c:pt idx="367">
                  <c:v>-65770</c:v>
                </c:pt>
                <c:pt idx="368">
                  <c:v>-74128</c:v>
                </c:pt>
                <c:pt idx="369">
                  <c:v>-77847</c:v>
                </c:pt>
                <c:pt idx="370">
                  <c:v>-61511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3-444C-BD54-611CD2986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Table2[[#Headers],[Discount Rate]]</c:f>
          <c:strCache>
            <c:ptCount val="1"/>
            <c:pt idx="0">
              <c:v>Discount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Rate'!$A$8:$A$884</c:f>
              <c:numCache>
                <c:formatCode>yyyy\-mm\-dd</c:formatCode>
                <c:ptCount val="877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</c:numCache>
            </c:numRef>
          </c:cat>
          <c:val>
            <c:numRef>
              <c:f>'Discount Rate'!$B$8:$B$884</c:f>
              <c:numCache>
                <c:formatCode>0.00</c:formatCode>
                <c:ptCount val="8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  <c:pt idx="874">
                  <c:v>3.25</c:v>
                </c:pt>
                <c:pt idx="875">
                  <c:v>4</c:v>
                </c:pt>
                <c:pt idx="8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6-4097-B48F-EA1A838F8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Rate'!$A$8:$A$829</c:f>
              <c:numCache>
                <c:formatCode>yyyy\-mm\-dd</c:formatCode>
                <c:ptCount val="822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</c:numCache>
            </c:numRef>
          </c:cat>
          <c:val>
            <c:numRef>
              <c:f>'Fed Funds Rate'!$B$8:$B$829</c:f>
              <c:numCache>
                <c:formatCode>0.00</c:formatCode>
                <c:ptCount val="822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6-4ED2-88D7-08A26B3F3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new'!$A$7:$A$774</c:f>
              <c:numCache>
                <c:formatCode>m/d/yyyy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'M2 new'!$B$7:$B$774</c:f>
              <c:numCache>
                <c:formatCode>0.0</c:formatCode>
                <c:ptCount val="768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</c:v>
                </c:pt>
                <c:pt idx="745">
                  <c:v>19615.2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20965.7</c:v>
                </c:pt>
                <c:pt idx="753">
                  <c:v>21143.9</c:v>
                </c:pt>
                <c:pt idx="754">
                  <c:v>21349.200000000001</c:v>
                </c:pt>
                <c:pt idx="755">
                  <c:v>21490</c:v>
                </c:pt>
                <c:pt idx="756">
                  <c:v>21649.599999999999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21644.3</c:v>
                </c:pt>
                <c:pt idx="760">
                  <c:v>21649.200000000001</c:v>
                </c:pt>
                <c:pt idx="761">
                  <c:v>21607.4</c:v>
                </c:pt>
                <c:pt idx="762">
                  <c:v>21636.1</c:v>
                </c:pt>
                <c:pt idx="763">
                  <c:v>21631.8</c:v>
                </c:pt>
                <c:pt idx="764">
                  <c:v>21503.1</c:v>
                </c:pt>
                <c:pt idx="765">
                  <c:v>21414.799999999999</c:v>
                </c:pt>
                <c:pt idx="766">
                  <c:v>21351.599999999999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A-4C96-B307-08F68A608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0.16698482544390147</c:v>
                </c:pt>
                <c:pt idx="60">
                  <c:v>0.16114071251662976</c:v>
                </c:pt>
                <c:pt idx="61">
                  <c:v>0.15614105685260604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7.7743243059239964E-2</c:v>
                </c:pt>
                <c:pt idx="68">
                  <c:v>0.10690091853662831</c:v>
                </c:pt>
                <c:pt idx="69">
                  <c:v>0.12294404163284445</c:v>
                </c:pt>
                <c:pt idx="70">
                  <c:v>8.2075881664832595E-2</c:v>
                </c:pt>
                <c:pt idx="71">
                  <c:v>9.2852460729210051E-2</c:v>
                </c:pt>
                <c:pt idx="72">
                  <c:v>3.3083114961071525E-2</c:v>
                </c:pt>
                <c:pt idx="73">
                  <c:v>1.7439926993811916E-2</c:v>
                </c:pt>
                <c:pt idx="74">
                  <c:v>-5.1406864230155724E-2</c:v>
                </c:pt>
                <c:pt idx="75">
                  <c:v>2.7200357142538323E-3</c:v>
                </c:pt>
                <c:pt idx="76">
                  <c:v>-2.2924980032042463E-2</c:v>
                </c:pt>
                <c:pt idx="77">
                  <c:v>1.6055941085218794E-2</c:v>
                </c:pt>
                <c:pt idx="78">
                  <c:v>-2.3822978444623111E-3</c:v>
                </c:pt>
                <c:pt idx="79">
                  <c:v>-6.9104377800779937E-2</c:v>
                </c:pt>
                <c:pt idx="80">
                  <c:v>-4.8178791598420645E-2</c:v>
                </c:pt>
                <c:pt idx="81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A-4A9F-A262-610833402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054-42F6-961C-8AF38F5344A9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054-42F6-961C-8AF38F5344A9}"/>
              </c:ext>
            </c:extLst>
          </c:dPt>
          <c:cat>
            <c:numRef>
              <c:f>'Fed Weekly Change'!$A$12:$A$1061</c:f>
              <c:numCache>
                <c:formatCode>m/d/yyyy</c:formatCode>
                <c:ptCount val="105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</c:numCache>
            </c:numRef>
          </c:cat>
          <c:val>
            <c:numRef>
              <c:f>'Fed Weekly Change'!$C$12:$C$1061</c:f>
              <c:numCache>
                <c:formatCode>0</c:formatCode>
                <c:ptCount val="1050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  <c:pt idx="1047">
                  <c:v>1158</c:v>
                </c:pt>
                <c:pt idx="1048">
                  <c:v>-19548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54-42F6-961C-8AF38F534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AC-4A6F-A449-834831786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  <c:pt idx="1047">
                  <c:v>0.44264837165747578</c:v>
                </c:pt>
                <c:pt idx="1048">
                  <c:v>0.44163141192383731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3-4DDA-8ED1-2DCA35D25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A-4649-8960-AE3DCD948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A-4649-8960-AE3DCD948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5C-4191-90CB-38DA864B4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5C-4191-90CB-38DA864B4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9-47AB-8150-A5E6BDE9B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Sheet'!$A$7:$A$414</c:f>
              <c:numCache>
                <c:formatCode>yyyy\-mm\-dd</c:formatCode>
                <c:ptCount val="408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  <c:pt idx="406">
                  <c:v>44932</c:v>
                </c:pt>
                <c:pt idx="407">
                  <c:v>44939</c:v>
                </c:pt>
              </c:numCache>
            </c:numRef>
          </c:cat>
          <c:val>
            <c:numRef>
              <c:f>'ECB Balance Sheet'!$B$7:$B$414</c:f>
              <c:numCache>
                <c:formatCode>0</c:formatCode>
                <c:ptCount val="408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  <c:pt idx="406">
                  <c:v>7968035</c:v>
                </c:pt>
                <c:pt idx="407">
                  <c:v>7972052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F05-45CF-B0FB-5D9CFEDC9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122693</xdr:colOff>
      <xdr:row>349</xdr:row>
      <xdr:rowOff>120195</xdr:rowOff>
    </xdr:from>
    <xdr:to>
      <xdr:col>16</xdr:col>
      <xdr:colOff>125413</xdr:colOff>
      <xdr:row>377</xdr:row>
      <xdr:rowOff>31748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370945</xdr:colOff>
      <xdr:row>1029</xdr:row>
      <xdr:rowOff>67733</xdr:rowOff>
    </xdr:from>
    <xdr:to>
      <xdr:col>15</xdr:col>
      <xdr:colOff>587375</xdr:colOff>
      <xdr:row>1056</xdr:row>
      <xdr:rowOff>1059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9" displayName="Table29" ref="A6:B377" totalsRowShown="0" headerRowDxfId="54" dataDxfId="52" headerRowBorderDxfId="53" tableBorderDxfId="51" totalsRowBorderDxfId="50" headerRowCellStyle="Normal 2" dataCellStyle="Normal 2">
  <autoFilter ref="A6:B377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7:B884" totalsRowShown="0" headerRowDxfId="47" dataDxfId="45" headerRowBorderDxfId="46" tableBorderDxfId="44" totalsRowBorderDxfId="43" headerRowCellStyle="Normal 2" dataCellStyle="Normal 2">
  <autoFilter ref="A7:B884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7:B829" totalsRowShown="0" headerRowDxfId="40" dataDxfId="38" headerRowBorderDxfId="39" tableBorderDxfId="37" totalsRowBorderDxfId="36" headerRowCellStyle="Normal 2" dataCellStyle="Normal 2">
  <autoFilter ref="A7:B829" xr:uid="{00000000-0009-0000-0100-000003000000}"/>
  <tableColumns count="2">
    <tableColumn id="1" xr3:uid="{00000000-0010-0000-0200-000001000000}" name="Month" dataDxfId="35" dataCellStyle="Normal 2"/>
    <tableColumn id="2" xr3:uid="{00000000-0010-0000-02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7" displayName="Table267" ref="A6:E773" totalsRowShown="0" headerRowDxfId="33" dataDxfId="31" headerRowBorderDxfId="32" dataCellStyle="Normal 2">
  <autoFilter ref="A6:E773" xr:uid="{00000000-0009-0000-0100-000004000000}"/>
  <tableColumns count="5">
    <tableColumn id="1" xr3:uid="{00000000-0010-0000-0300-000001000000}" name="Date" dataDxfId="30" dataCellStyle="Normal 2"/>
    <tableColumn id="2" xr3:uid="{00000000-0010-0000-03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3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3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300-000005000000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1060" totalsRowShown="0" headerRowDxfId="25" dataDxfId="23" headerRowBorderDxfId="24">
  <autoFilter ref="A11:C1060" xr:uid="{00000000-0009-0000-0100-000005000000}"/>
  <tableColumns count="3">
    <tableColumn id="1" xr3:uid="{00000000-0010-0000-0400-000001000000}" name="Date" dataDxfId="22">
      <calculatedColumnFormula>'Database FED'!$A2</calculatedColumnFormula>
    </tableColumn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C1060" totalsRowShown="0" headerRowDxfId="19">
  <tableColumns count="3">
    <tableColumn id="1" xr3:uid="{00000000-0010-0000-0500-000001000000}" name="Date" dataDxfId="18">
      <calculatedColumnFormula>'Database FED'!$A2</calculatedColumnFormula>
    </tableColumn>
    <tableColumn id="2" xr3:uid="{00000000-0010-0000-0500-000002000000}" name="WALCL" dataDxfId="17">
      <calculatedColumnFormula>VLOOKUP(A12,'Database FED'!$A$1:$D$1100,2,FALSE)</calculatedColumnFormula>
    </tableColumn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302" totalsRowShown="0" headerRowDxfId="15" dataDxfId="13" headerRowBorderDxfId="14" tableBorderDxfId="12" totalsRowBorderDxfId="11" headerRowCellStyle="Normal 2" dataCellStyle="Normal 2">
  <autoFilter ref="A5:D302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600-000003000000}" name="Nikkei 225" dataDxfId="8" dataCellStyle="Normal 2">
      <calculatedColumnFormula>VLOOKUP(A6,'Database BOJ'!$A$1:$D$1058,4,FALSE)</calculatedColumnFormula>
    </tableColumn>
    <tableColumn id="4" xr3:uid="{00000000-0010-0000-06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414" totalsRowShown="0" headerRowDxfId="6" dataDxfId="4" headerRowBorderDxfId="5" tableBorderDxfId="3" totalsRowBorderDxfId="2" headerRowCellStyle="Normal 2" dataCellStyle="Normal 2">
  <autoFilter ref="A6:B414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50" zoomScaleNormal="150" workbookViewId="0">
      <selection activeCell="E371" sqref="E371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51" width="9.1796875" style="52" customWidth="1"/>
    <col min="52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1"/>
  <sheetViews>
    <sheetView zoomScale="180" zoomScaleNormal="180" workbookViewId="0">
      <pane ySplit="1" topLeftCell="A883" activePane="bottomLeft" state="frozen"/>
      <selection activeCell="E885" sqref="E885"/>
      <selection pane="bottomLeft" activeCell="J902" sqref="J902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19372.5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19615.2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</row>
    <row r="886" spans="1:5" x14ac:dyDescent="0.35">
      <c r="A886" s="53">
        <v>44440</v>
      </c>
      <c r="C886">
        <v>0.08</v>
      </c>
      <c r="D886">
        <v>20965.7</v>
      </c>
      <c r="E886">
        <v>0.25</v>
      </c>
    </row>
    <row r="887" spans="1:5" x14ac:dyDescent="0.35">
      <c r="A887" s="53">
        <v>44470</v>
      </c>
      <c r="C887">
        <v>0.08</v>
      </c>
      <c r="D887">
        <v>21143.9</v>
      </c>
      <c r="E887">
        <v>0.25</v>
      </c>
    </row>
    <row r="888" spans="1:5" x14ac:dyDescent="0.35">
      <c r="A888" s="53">
        <v>44501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C889">
        <v>0.08</v>
      </c>
      <c r="D889">
        <v>21490</v>
      </c>
      <c r="E889">
        <v>0.25</v>
      </c>
    </row>
    <row r="890" spans="1:5" x14ac:dyDescent="0.35">
      <c r="A890" s="53">
        <v>44562</v>
      </c>
      <c r="C890">
        <v>0.08</v>
      </c>
      <c r="D890">
        <v>21649.599999999999</v>
      </c>
    </row>
    <row r="891" spans="1:5" x14ac:dyDescent="0.35">
      <c r="A891" s="53">
        <v>44593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C893">
        <v>0.33</v>
      </c>
      <c r="D893">
        <v>21644.3</v>
      </c>
      <c r="E893">
        <v>0.5</v>
      </c>
    </row>
    <row r="894" spans="1:5" x14ac:dyDescent="0.35">
      <c r="A894" s="53">
        <v>44682</v>
      </c>
      <c r="C894">
        <v>0.77</v>
      </c>
      <c r="D894">
        <v>21649.200000000001</v>
      </c>
    </row>
    <row r="895" spans="1:5" x14ac:dyDescent="0.35">
      <c r="A895" s="53">
        <v>44713</v>
      </c>
      <c r="C895">
        <v>1.21</v>
      </c>
      <c r="D895">
        <v>21607.4</v>
      </c>
      <c r="E895">
        <v>1</v>
      </c>
    </row>
    <row r="896" spans="1:5" x14ac:dyDescent="0.35">
      <c r="A896" s="53">
        <v>44743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C897">
        <v>2.33</v>
      </c>
      <c r="D897">
        <v>21631.8</v>
      </c>
      <c r="E897">
        <v>2.5</v>
      </c>
    </row>
    <row r="898" spans="1:5" x14ac:dyDescent="0.35">
      <c r="A898" s="53">
        <v>44805</v>
      </c>
      <c r="C898">
        <v>2.56</v>
      </c>
      <c r="D898">
        <v>21503.1</v>
      </c>
      <c r="E898">
        <v>2.5</v>
      </c>
    </row>
    <row r="899" spans="1:5" x14ac:dyDescent="0.35">
      <c r="A899" s="53">
        <v>44835</v>
      </c>
      <c r="C899">
        <v>3.08</v>
      </c>
      <c r="D899">
        <v>21414.799999999999</v>
      </c>
    </row>
    <row r="900" spans="1:5" x14ac:dyDescent="0.35">
      <c r="A900" s="53">
        <v>44866</v>
      </c>
      <c r="C900">
        <v>3.78</v>
      </c>
      <c r="D900">
        <v>21351.599999999999</v>
      </c>
      <c r="E900">
        <v>3.25</v>
      </c>
    </row>
    <row r="901" spans="1:5" x14ac:dyDescent="0.35">
      <c r="A901" s="53">
        <v>44896</v>
      </c>
      <c r="C901">
        <v>4.0999999999999996</v>
      </c>
      <c r="E90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50"/>
  <sheetViews>
    <sheetView zoomScale="190" zoomScaleNormal="190" workbookViewId="0">
      <pane ySplit="1" topLeftCell="A1029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  <row r="1049" spans="1:2" x14ac:dyDescent="0.35">
      <c r="A1049" s="53">
        <v>44937</v>
      </c>
      <c r="B1049">
        <v>8508587</v>
      </c>
    </row>
    <row r="1050" spans="1:2" x14ac:dyDescent="0.35">
      <c r="A1050" s="53">
        <v>44944</v>
      </c>
      <c r="B1050">
        <v>8489039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9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6"/>
  <sheetViews>
    <sheetView zoomScale="190" zoomScaleNormal="190" workbookViewId="0">
      <pane ySplit="1" topLeftCell="A1237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  <row r="1255" spans="1:2" x14ac:dyDescent="0.35">
      <c r="A1255" s="53">
        <v>44932</v>
      </c>
      <c r="B1255">
        <v>7968035</v>
      </c>
    </row>
    <row r="1256" spans="1:2" x14ac:dyDescent="0.35">
      <c r="A1256" s="53">
        <v>44939</v>
      </c>
      <c r="B1256">
        <v>7972052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2"/>
  <sheetViews>
    <sheetView zoomScale="150" zoomScaleNormal="150" workbookViewId="0">
      <pane ySplit="1" topLeftCell="A350" activePane="bottomLeft" state="frozen"/>
      <selection activeCell="D368" sqref="D368"/>
      <selection pane="bottomLeft" activeCell="D368" sqref="D368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-88035</v>
      </c>
    </row>
    <row r="363" spans="1:2" x14ac:dyDescent="0.35">
      <c r="A363" s="53">
        <v>44593</v>
      </c>
      <c r="B363">
        <v>-87799</v>
      </c>
    </row>
    <row r="364" spans="1:2" x14ac:dyDescent="0.35">
      <c r="A364" s="53">
        <v>44621</v>
      </c>
      <c r="B364">
        <v>-106917</v>
      </c>
    </row>
    <row r="365" spans="1:2" x14ac:dyDescent="0.35">
      <c r="A365" s="53">
        <v>44652</v>
      </c>
      <c r="B365">
        <v>-87173</v>
      </c>
    </row>
    <row r="366" spans="1:2" x14ac:dyDescent="0.35">
      <c r="A366" s="53">
        <v>44682</v>
      </c>
      <c r="B366">
        <v>-85706</v>
      </c>
    </row>
    <row r="367" spans="1:2" x14ac:dyDescent="0.35">
      <c r="A367" s="53">
        <v>44713</v>
      </c>
      <c r="B367">
        <v>-80724</v>
      </c>
    </row>
    <row r="368" spans="1:2" x14ac:dyDescent="0.35">
      <c r="A368" s="53">
        <v>44743</v>
      </c>
      <c r="B368">
        <v>-70700</v>
      </c>
    </row>
    <row r="369" spans="1:2" x14ac:dyDescent="0.35">
      <c r="A369" s="53">
        <v>44774</v>
      </c>
      <c r="B369">
        <v>-65770</v>
      </c>
    </row>
    <row r="370" spans="1:2" x14ac:dyDescent="0.35">
      <c r="A370" s="53">
        <v>44805</v>
      </c>
      <c r="B370">
        <v>-74128</v>
      </c>
    </row>
    <row r="371" spans="1:2" x14ac:dyDescent="0.35">
      <c r="A371" s="53">
        <v>44835</v>
      </c>
      <c r="B371">
        <v>-77847</v>
      </c>
    </row>
    <row r="372" spans="1:2" x14ac:dyDescent="0.35">
      <c r="A372" s="53">
        <v>44866</v>
      </c>
      <c r="B372">
        <v>-61511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77"/>
  <sheetViews>
    <sheetView zoomScale="106" zoomScaleNormal="120" workbookViewId="0">
      <pane ySplit="6" topLeftCell="A347" activePane="bottomLeft" state="frozen"/>
      <selection activeCell="D368" sqref="D368"/>
      <selection pane="bottomLeft" activeCell="T377" sqref="T377"/>
    </sheetView>
  </sheetViews>
  <sheetFormatPr defaultColWidth="9.1796875" defaultRowHeight="14.5" x14ac:dyDescent="0.35"/>
  <cols>
    <col min="1" max="2" width="13.81640625" style="4" customWidth="1"/>
    <col min="3" max="43" width="9.1796875" style="52" customWidth="1"/>
    <col min="44" max="16384" width="9.1796875" style="52"/>
  </cols>
  <sheetData>
    <row r="1" spans="1:2" x14ac:dyDescent="0.35">
      <c r="A1" s="3" t="s">
        <v>45</v>
      </c>
      <c r="B1" s="3"/>
    </row>
    <row r="2" spans="1:2" x14ac:dyDescent="0.35">
      <c r="A2" s="2" t="s">
        <v>46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48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-88035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-87799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-106917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-87173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-85706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-80724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-70700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-65770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-74128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-77847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-61511</v>
      </c>
    </row>
  </sheetData>
  <hyperlinks>
    <hyperlink ref="A2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84"/>
  <sheetViews>
    <sheetView zoomScale="120" zoomScaleNormal="120" workbookViewId="0">
      <pane ySplit="7" topLeftCell="A860" activePane="bottomLeft" state="frozen"/>
      <selection activeCell="B1" sqref="B1"/>
      <selection pane="bottomLeft" activeCell="V877" sqref="V877"/>
    </sheetView>
  </sheetViews>
  <sheetFormatPr defaultColWidth="9.1796875" defaultRowHeight="14.5" x14ac:dyDescent="0.35"/>
  <cols>
    <col min="1" max="2" width="13.81640625" style="4" customWidth="1"/>
    <col min="3" max="43" width="9.1796875" style="52" customWidth="1"/>
    <col min="44" max="16384" width="9.1796875" style="52"/>
  </cols>
  <sheetData>
    <row r="1" spans="1:4" x14ac:dyDescent="0.35">
      <c r="A1" s="5" t="s">
        <v>49</v>
      </c>
      <c r="B1" s="3"/>
    </row>
    <row r="2" spans="1:4" x14ac:dyDescent="0.35">
      <c r="A2" s="3"/>
      <c r="B2" s="3"/>
    </row>
    <row r="3" spans="1:4" x14ac:dyDescent="0.35">
      <c r="A3" s="2" t="s">
        <v>50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51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 t="e">
        <f>IF(VLOOKUP(A649,'Database Rates'!$A:$E,5,FALSE)=0,#N/A,VLOOKUP(A649,'Database Rates'!$A:$E,5,FALSE))</f>
        <v>#N/A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 t="e">
        <f>IF(VLOOKUP(A654,'Database Rates'!$A:$E,5,FALSE)=0,#N/A,VLOOKUP(A654,'Database Rates'!$A:$E,5,FALSE))</f>
        <v>#N/A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 t="e">
        <f>IF(VLOOKUP(A657,'Database Rates'!$A:$E,5,FALSE)=0,#N/A,VLOOKUP(A657,'Database Rates'!$A:$E,5,FALSE))</f>
        <v>#N/A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 t="e">
        <f>IF(VLOOKUP(A660,'Database Rates'!$A:$E,5,FALSE)=0,#N/A,VLOOKUP(A660,'Database Rates'!$A:$E,5,FALSE))</f>
        <v>#N/A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 t="e">
        <f>IF(VLOOKUP(A663,'Database Rates'!$A:$E,5,FALSE)=0,#N/A,VLOOKUP(A663,'Database Rates'!$A:$E,5,FALSE))</f>
        <v>#N/A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 t="e">
        <f>IF(VLOOKUP(A668,'Database Rates'!$A:$E,5,FALSE)=0,#N/A,VLOOKUP(A668,'Database Rates'!$A:$E,5,FALSE))</f>
        <v>#N/A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 t="e">
        <f>IF(VLOOKUP(A672,'Database Rates'!$A:$E,5,FALSE)=0,#N/A,VLOOKUP(A672,'Database Rates'!$A:$E,5,FALSE))</f>
        <v>#N/A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 t="e">
        <f>IF(VLOOKUP(A677,'Database Rates'!$A:$E,5,FALSE)=0,#N/A,VLOOKUP(A677,'Database Rates'!$A:$E,5,FALSE))</f>
        <v>#N/A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 t="e">
        <f>IF(VLOOKUP(A680,'Database Rates'!$A:$E,5,FALSE)=0,#N/A,VLOOKUP(A680,'Database Rates'!$A:$E,5,FALSE))</f>
        <v>#N/A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 t="e">
        <f>IF(VLOOKUP(A683,'Database Rates'!$A:$E,5,FALSE)=0,#N/A,VLOOKUP(A683,'Database Rates'!$A:$E,5,FALSE))</f>
        <v>#N/A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 t="e">
        <f>IF(VLOOKUP(A686,'Database Rates'!$A:$E,5,FALSE)=0,#N/A,VLOOKUP(A686,'Database Rates'!$A:$E,5,FALSE))</f>
        <v>#N/A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 t="e">
        <f>IF(VLOOKUP(A689,'Database Rates'!$A:$E,5,FALSE)=0,#N/A,VLOOKUP(A689,'Database Rates'!$A:$E,5,FALSE))</f>
        <v>#N/A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 t="e">
        <f>IF(VLOOKUP(A695,'Database Rates'!$A:$E,5,FALSE)=0,#N/A,VLOOKUP(A695,'Database Rates'!$A:$E,5,FALSE))</f>
        <v>#N/A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 t="e">
        <f>IF(VLOOKUP(A698,'Database Rates'!$A:$E,5,FALSE)=0,#N/A,VLOOKUP(A698,'Database Rates'!$A:$E,5,FALSE))</f>
        <v>#N/A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 t="e">
        <f>IF(VLOOKUP(A700,'Database Rates'!$A:$E,5,FALSE)=0,#N/A,VLOOKUP(A700,'Database Rates'!$A:$E,5,FALSE))</f>
        <v>#N/A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 t="e">
        <f>IF(VLOOKUP(A703,'Database Rates'!$A:$E,5,FALSE)=0,#N/A,VLOOKUP(A703,'Database Rates'!$A:$E,5,FALSE))</f>
        <v>#N/A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 t="e">
        <f>IF(VLOOKUP(A706,'Database Rates'!$A:$E,5,FALSE)=0,#N/A,VLOOKUP(A706,'Database Rates'!$A:$E,5,FALSE))</f>
        <v>#N/A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 t="e">
        <f>IF(VLOOKUP(A709,'Database Rates'!$A:$E,5,FALSE)=0,#N/A,VLOOKUP(A709,'Database Rates'!$A:$E,5,FALSE))</f>
        <v>#N/A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 t="e">
        <f>IF(VLOOKUP(A714,'Database Rates'!$A:$E,5,FALSE)=0,#N/A,VLOOKUP(A714,'Database Rates'!$A:$E,5,FALSE))</f>
        <v>#N/A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 t="e">
        <f>IF(VLOOKUP(A717,'Database Rates'!$A:$E,5,FALSE)=0,#N/A,VLOOKUP(A717,'Database Rates'!$A:$E,5,FALSE))</f>
        <v>#N/A</v>
      </c>
    </row>
    <row r="718" spans="1:2" x14ac:dyDescent="0.35">
      <c r="A718" s="40">
        <v>39873</v>
      </c>
      <c r="B718" s="21" t="e">
        <f>IF(VLOOKUP(A718,'Database Rates'!$A:$E,5,FALSE)=0,#N/A,VLOOKUP(A718,'Database Rates'!$A:$E,5,FALSE))</f>
        <v>#N/A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 t="e">
        <f>IF(VLOOKUP(A723,'Database Rates'!$A:$E,5,FALSE)=0,#N/A,VLOOKUP(A723,'Database Rates'!$A:$E,5,FALSE))</f>
        <v>#N/A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 t="e">
        <f>IF(VLOOKUP(A726,'Database Rates'!$A:$E,5,FALSE)=0,#N/A,VLOOKUP(A726,'Database Rates'!$A:$E,5,FALSE))</f>
        <v>#N/A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 t="e">
        <f>IF(VLOOKUP(A732,'Database Rates'!$A:$E,5,FALSE)=0,#N/A,VLOOKUP(A732,'Database Rates'!$A:$E,5,FALSE))</f>
        <v>#N/A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 t="e">
        <f>IF(VLOOKUP(A735,'Database Rates'!$A:$E,5,FALSE)=0,#N/A,VLOOKUP(A735,'Database Rates'!$A:$E,5,FALSE))</f>
        <v>#N/A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 t="e">
        <f>IF(VLOOKUP(A740,'Database Rates'!$A:$E,5,FALSE)=0,#N/A,VLOOKUP(A740,'Database Rates'!$A:$E,5,FALSE))</f>
        <v>#N/A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 t="e">
        <f>IF(VLOOKUP(A744,'Database Rates'!$A:$E,5,FALSE)=0,#N/A,VLOOKUP(A744,'Database Rates'!$A:$E,5,FALSE))</f>
        <v>#N/A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 t="e">
        <f>IF(VLOOKUP(A749,'Database Rates'!$A:$E,5,FALSE)=0,#N/A,VLOOKUP(A749,'Database Rates'!$A:$E,5,FALSE))</f>
        <v>#N/A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 t="e">
        <f>IF(VLOOKUP(A752,'Database Rates'!$A:$E,5,FALSE)=0,#N/A,VLOOKUP(A752,'Database Rates'!$A:$E,5,FALSE))</f>
        <v>#N/A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 t="e">
        <f>IF(VLOOKUP(A755,'Database Rates'!$A:$E,5,FALSE)=0,#N/A,VLOOKUP(A755,'Database Rates'!$A:$E,5,FALSE))</f>
        <v>#N/A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 t="e">
        <f>IF(VLOOKUP(A758,'Database Rates'!$A:$E,5,FALSE)=0,#N/A,VLOOKUP(A758,'Database Rates'!$A:$E,5,FALSE))</f>
        <v>#N/A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 t="e">
        <f>IF(VLOOKUP(A760,'Database Rates'!$A:$E,5,FALSE)=0,#N/A,VLOOKUP(A760,'Database Rates'!$A:$E,5,FALSE))</f>
        <v>#N/A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 t="e">
        <f>IF(VLOOKUP(A763,'Database Rates'!$A:$E,5,FALSE)=0,#N/A,VLOOKUP(A763,'Database Rates'!$A:$E,5,FALSE))</f>
        <v>#N/A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 t="e">
        <f>IF(VLOOKUP(A769,'Database Rates'!$A:$E,5,FALSE)=0,#N/A,VLOOKUP(A769,'Database Rates'!$A:$E,5,FALSE))</f>
        <v>#N/A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 t="e">
        <f>IF(VLOOKUP(A772,'Database Rates'!$A:$E,5,FALSE)=0,#N/A,VLOOKUP(A772,'Database Rates'!$A:$E,5,FALSE))</f>
        <v>#N/A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 t="e">
        <f>IF(VLOOKUP(A775,'Database Rates'!$A:$E,5,FALSE)=0,#N/A,VLOOKUP(A775,'Database Rates'!$A:$E,5,FALSE))</f>
        <v>#N/A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 t="e">
        <f>IF(VLOOKUP(A777,'Database Rates'!$A:$E,5,FALSE)=0,#N/A,VLOOKUP(A777,'Database Rates'!$A:$E,5,FALSE))</f>
        <v>#N/A</v>
      </c>
    </row>
    <row r="778" spans="1:2" x14ac:dyDescent="0.35">
      <c r="A778" s="40">
        <v>41699</v>
      </c>
      <c r="B778" s="21" t="e">
        <f>IF(VLOOKUP(A778,'Database Rates'!$A:$E,5,FALSE)=0,#N/A,VLOOKUP(A778,'Database Rates'!$A:$E,5,FALSE))</f>
        <v>#N/A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 t="e">
        <f>IF(VLOOKUP(A781,'Database Rates'!$A:$E,5,FALSE)=0,#N/A,VLOOKUP(A781,'Database Rates'!$A:$E,5,FALSE))</f>
        <v>#N/A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 t="e">
        <f>IF(VLOOKUP(A786,'Database Rates'!$A:$E,5,FALSE)=0,#N/A,VLOOKUP(A786,'Database Rates'!$A:$E,5,FALSE))</f>
        <v>#N/A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 t="e">
        <f>IF(VLOOKUP(A789,'Database Rates'!$A:$E,5,FALSE)=0,#N/A,VLOOKUP(A789,'Database Rates'!$A:$E,5,FALSE))</f>
        <v>#N/A</v>
      </c>
    </row>
    <row r="790" spans="1:2" x14ac:dyDescent="0.35">
      <c r="A790" s="40">
        <v>42064</v>
      </c>
      <c r="B790" s="21" t="e">
        <f>IF(VLOOKUP(A790,'Database Rates'!$A:$E,5,FALSE)=0,#N/A,VLOOKUP(A790,'Database Rates'!$A:$E,5,FALSE))</f>
        <v>#N/A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 t="e">
        <f>IF(VLOOKUP(A795,'Database Rates'!$A:$E,5,FALSE)=0,#N/A,VLOOKUP(A795,'Database Rates'!$A:$E,5,FALSE))</f>
        <v>#N/A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 t="e">
        <f>IF(VLOOKUP(A798,'Database Rates'!$A:$E,5,FALSE)=0,#N/A,VLOOKUP(A798,'Database Rates'!$A:$E,5,FALSE))</f>
        <v>#N/A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 t="e">
        <f>IF(VLOOKUP(A804,'Database Rates'!$A:$E,5,FALSE)=0,#N/A,VLOOKUP(A804,'Database Rates'!$A:$E,5,FALSE))</f>
        <v>#N/A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 t="e">
        <f>IF(VLOOKUP(A809,'Database Rates'!$A:$E,5,FALSE)=0,#N/A,VLOOKUP(A809,'Database Rates'!$A:$E,5,FALSE))</f>
        <v>#N/A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 t="e">
        <f>IF(VLOOKUP(A812,'Database Rates'!$A:$E,5,FALSE)=0,#N/A,VLOOKUP(A812,'Database Rates'!$A:$E,5,FALSE))</f>
        <v>#N/A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 t="e">
        <f>IF(VLOOKUP(A815,'Database Rates'!$A:$E,5,FALSE)=0,#N/A,VLOOKUP(A815,'Database Rates'!$A:$E,5,FALSE))</f>
        <v>#N/A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 t="e">
        <f>IF(VLOOKUP(A818,'Database Rates'!$A:$E,5,FALSE)=0,#N/A,VLOOKUP(A818,'Database Rates'!$A:$E,5,FALSE))</f>
        <v>#N/A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 t="e">
        <f>IF(VLOOKUP(A821,'Database Rates'!$A:$E,5,FALSE)=0,#N/A,VLOOKUP(A821,'Database Rates'!$A:$E,5,FALSE))</f>
        <v>#N/A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 t="e">
        <f>IF(VLOOKUP(A827,'Database Rates'!$A:$E,5,FALSE)=0,#N/A,VLOOKUP(A827,'Database Rates'!$A:$E,5,FALSE))</f>
        <v>#N/A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 t="e">
        <f>IF(VLOOKUP(A830,'Database Rates'!$A:$E,5,FALSE)=0,#N/A,VLOOKUP(A830,'Database Rates'!$A:$E,5,FALSE))</f>
        <v>#N/A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 t="e">
        <f>IF(VLOOKUP(A832,'Database Rates'!$A:$E,5,FALSE)=0,#N/A,VLOOKUP(A832,'Database Rates'!$A:$E,5,FALSE))</f>
        <v>#N/A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 t="e">
        <f>IF(VLOOKUP(A835,'Database Rates'!$A:$E,5,FALSE)=0,#N/A,VLOOKUP(A835,'Database Rates'!$A:$E,5,FALSE))</f>
        <v>#N/A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 t="e">
        <f>IF(VLOOKUP(A841,'Database Rates'!$A:$E,5,FALSE)=0,#N/A,VLOOKUP(A841,'Database Rates'!$A:$E,5,FALSE))</f>
        <v>#N/A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 t="e">
        <f>IF(VLOOKUP(A844,'Database Rates'!$A:$E,5,FALSE)=0,#N/A,VLOOKUP(A844,'Database Rates'!$A:$E,5,FALSE))</f>
        <v>#N/A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 t="e">
        <f>IF(VLOOKUP(A847,'Database Rates'!$A:$E,5,FALSE)=0,#N/A,VLOOKUP(A847,'Database Rates'!$A:$E,5,FALSE))</f>
        <v>#N/A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 t="e">
        <f>IF(VLOOKUP(A849,'Database Rates'!$A:$E,5,FALSE)=0,#N/A,VLOOKUP(A849,'Database Rates'!$A:$E,5,FALSE))</f>
        <v>#N/A</v>
      </c>
    </row>
    <row r="850" spans="1:2" x14ac:dyDescent="0.35">
      <c r="A850" s="41">
        <v>43891</v>
      </c>
      <c r="B850" s="21" t="e">
        <f>IF(VLOOKUP(A850,'Database Rates'!$A:$E,5,FALSE)=0,#N/A,VLOOKUP(A850,'Database Rates'!$A:$E,5,FALSE))</f>
        <v>#N/A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 t="e">
        <f>IF(VLOOKUP(A855,'Database Rates'!$A:$E,5,FALSE)=0,#N/A,VLOOKUP(A855,'Database Rates'!$A:$E,5,FALSE))</f>
        <v>#N/A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 t="e">
        <f>IF(VLOOKUP(A858,'Database Rates'!$A:$E,5,FALSE)=0,#N/A,VLOOKUP(A858,'Database Rates'!$A:$E,5,FALSE))</f>
        <v>#N/A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 t="e">
        <f>IF(VLOOKUP(A864,'Database Rates'!$A:$E,5,FALSE)=0,#N/A,VLOOKUP(A864,'Database Rates'!$A:$E,5,FALSE))</f>
        <v>#N/A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 t="e">
        <f>IF(VLOOKUP(A867,'Database Rates'!$A:$E,5,FALSE)=0,#N/A,VLOOKUP(A867,'Database Rates'!$A:$E,5,FALSE))</f>
        <v>#N/A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 t="e">
        <f>IF(VLOOKUP(A872,'Database Rates'!$A:$E,5,FALSE)=0,#N/A,VLOOKUP(A872,'Database Rates'!$A:$E,5,FALSE))</f>
        <v>#N/A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 t="e">
        <f>IF(VLOOKUP(A876,'Database Rates'!$A:$E,5,FALSE)=0,#N/A,VLOOKUP(A876,'Database Rates'!$A:$E,5,FALSE))</f>
        <v>#N/A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 t="e">
        <f>IF(VLOOKUP(A881,'Database Rates'!$A:$E,5,FALSE)=0,#N/A,VLOOKUP(A881,'Database Rates'!$A:$E,5,FALSE))</f>
        <v>#N/A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 t="e">
        <f>IF(VLOOKUP(A884,'Database Rates'!$A:$E,5,FALSE)=0,#N/A,VLOOKUP(A884,'Database Rates'!$A:$E,5,FALSE))</f>
        <v>#N/A</v>
      </c>
    </row>
  </sheetData>
  <hyperlinks>
    <hyperlink ref="A1" r:id="rId1" xr:uid="{00000000-0004-0000-0700-000000000000}"/>
    <hyperlink ref="A3" r:id="rId2" xr:uid="{00000000-0004-0000-07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829"/>
  <sheetViews>
    <sheetView zoomScale="180" zoomScaleNormal="180" workbookViewId="0">
      <pane ySplit="7" topLeftCell="A816" activePane="bottomLeft" state="frozen"/>
      <selection pane="bottomLeft" activeCell="P824" sqref="P824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43" width="9.1796875" style="52" customWidth="1"/>
    <col min="44" max="16384" width="9.1796875" style="52"/>
  </cols>
  <sheetData>
    <row r="1" spans="1:2" x14ac:dyDescent="0.35">
      <c r="A1" s="2" t="s">
        <v>52</v>
      </c>
      <c r="B1" s="3"/>
    </row>
    <row r="2" spans="1:2" x14ac:dyDescent="0.35">
      <c r="A2" s="51" t="s">
        <v>53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54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73"/>
  <sheetViews>
    <sheetView zoomScale="130" zoomScaleNormal="130" workbookViewId="0">
      <pane ySplit="6" topLeftCell="A756" activePane="bottomLeft" state="frozen"/>
      <selection pane="bottomLeft" activeCell="T776" sqref="T776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6" width="9.1796875" style="52" customWidth="1"/>
    <col min="47" max="16384" width="9.1796875" style="52"/>
  </cols>
  <sheetData>
    <row r="1" spans="1:5" x14ac:dyDescent="0.35">
      <c r="A1" s="5" t="s">
        <v>55</v>
      </c>
    </row>
    <row r="3" spans="1:5" x14ac:dyDescent="0.35">
      <c r="A3" s="52" t="s">
        <v>56</v>
      </c>
      <c r="B3" s="6">
        <f>AVERAGE(D8:D755)</f>
        <v>7.2505333092968596E-2</v>
      </c>
    </row>
    <row r="4" spans="1:5" x14ac:dyDescent="0.35">
      <c r="A4" s="52"/>
      <c r="B4" s="6">
        <f>_xlfn.STDEV.S(D8:D755)</f>
        <v>6.6320365665519104E-2</v>
      </c>
    </row>
    <row r="5" spans="1:5" ht="16" customHeight="1" thickBot="1" x14ac:dyDescent="0.4"/>
    <row r="6" spans="1:5" ht="39.75" customHeight="1" thickBot="1" x14ac:dyDescent="0.4">
      <c r="A6" s="30" t="s">
        <v>57</v>
      </c>
      <c r="B6" s="31" t="s">
        <v>58</v>
      </c>
      <c r="C6" s="32" t="s">
        <v>59</v>
      </c>
      <c r="D6" s="32" t="s">
        <v>60</v>
      </c>
      <c r="E6" s="33" t="s">
        <v>61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19372.5</v>
      </c>
      <c r="C751" s="26">
        <f>(Table267[[#This Row],[M2 Money Stock, Billions of Dollars, Weekly, Seasonally Adjusted]]-B750)/B750</f>
        <v>1.295176943026859E-2</v>
      </c>
      <c r="D751" s="27">
        <f>((1+Table267[[#This Row],[Monthly change]])^12)-1</f>
        <v>0.16698482544390147</v>
      </c>
      <c r="E751" s="26">
        <f>(Table267[[#This Row],[M2 Money Stock, Billions of Dollars, Weekly, Seasonally Adjusted]]-B739)/B739</f>
        <v>0.25780752899011811</v>
      </c>
    </row>
    <row r="752" spans="1:5" x14ac:dyDescent="0.35">
      <c r="A752" s="24">
        <v>44228</v>
      </c>
      <c r="B752" s="43">
        <f>VLOOKUP(A752,'Database Rates'!$A:$D,4,FALSE)</f>
        <v>19615.2</v>
      </c>
      <c r="C752" s="26">
        <f>(Table267[[#This Row],[M2 Money Stock, Billions of Dollars, Weekly, Seasonally Adjusted]]-B751)/B751</f>
        <v>1.2528068137824273E-2</v>
      </c>
      <c r="D752" s="27">
        <f>((1+Table267[[#This Row],[Monthly change]])^12)-1</f>
        <v>0.16114071251662976</v>
      </c>
      <c r="E752" s="26">
        <f>(Table267[[#This Row],[M2 Money Stock, Billions of Dollars, Weekly, Seasonally Adjusted]]-B740)/B740</f>
        <v>0.26887771934250615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1.2164036053672587E-2</v>
      </c>
      <c r="D753" s="27">
        <f>((1+Table267[[#This Row],[Monthly change]])^12)-1</f>
        <v>0.15614105685260604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20965.7</v>
      </c>
      <c r="C759" s="26">
        <f>(Table267[[#This Row],[M2 Money Stock, Billions of Dollars, Weekly, Seasonally Adjusted]]-B758)/B758</f>
        <v>6.2586091872927898E-3</v>
      </c>
      <c r="D759" s="27">
        <f>((1+Table267[[#This Row],[Monthly change]])^12)-1</f>
        <v>7.7743243059239964E-2</v>
      </c>
      <c r="E759" s="26">
        <f>(Table267[[#This Row],[M2 Money Stock, Billions of Dollars, Weekly, Seasonally Adjusted]]-B747)/B747</f>
        <v>0.12869309617123906</v>
      </c>
    </row>
    <row r="760" spans="1:5" x14ac:dyDescent="0.35">
      <c r="A760" s="24">
        <v>44470</v>
      </c>
      <c r="B760" s="43">
        <f>VLOOKUP(A760,'Database Rates'!$A:$D,4,FALSE)</f>
        <v>21143.9</v>
      </c>
      <c r="C760" s="26">
        <f>(Table267[[#This Row],[M2 Money Stock, Billions of Dollars, Weekly, Seasonally Adjusted]]-B759)/B759</f>
        <v>8.4995969607502119E-3</v>
      </c>
      <c r="D760" s="27">
        <f>((1+Table267[[#This Row],[Monthly change]])^12)-1</f>
        <v>0.10690091853662831</v>
      </c>
      <c r="E760" s="26">
        <f>(Table267[[#This Row],[M2 Money Stock, Billions of Dollars, Weekly, Seasonally Adjusted]]-B748)/B748</f>
        <v>0.12853536297015861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9.709656212902977E-3</v>
      </c>
      <c r="D761" s="27">
        <f>((1+Table267[[#This Row],[Monthly change]])^12)-1</f>
        <v>0.12294404163284445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21490</v>
      </c>
      <c r="C762" s="26">
        <f>(Table267[[#This Row],[M2 Money Stock, Billions of Dollars, Weekly, Seasonally Adjusted]]-B761)/B761</f>
        <v>6.5950948981694521E-3</v>
      </c>
      <c r="D762" s="27">
        <f>((1+Table267[[#This Row],[Monthly change]])^12)-1</f>
        <v>8.2075881664832595E-2</v>
      </c>
      <c r="E762" s="26">
        <f>(Table267[[#This Row],[M2 Money Stock, Billions of Dollars, Weekly, Seasonally Adjusted]]-B750)/B750</f>
        <v>0.1236718815360161</v>
      </c>
    </row>
    <row r="763" spans="1:5" x14ac:dyDescent="0.35">
      <c r="A763" s="24">
        <v>44562</v>
      </c>
      <c r="B763" s="43">
        <f>VLOOKUP(A763,'Database Rates'!$A:$D,4,FALSE)</f>
        <v>21649.599999999999</v>
      </c>
      <c r="C763" s="26">
        <f>(Table267[[#This Row],[M2 Money Stock, Billions of Dollars, Weekly, Seasonally Adjusted]]-B762)/B762</f>
        <v>7.4267100977198023E-3</v>
      </c>
      <c r="D763" s="27">
        <f>((1+Table267[[#This Row],[Monthly change]])^12)-1</f>
        <v>9.2852460729210051E-2</v>
      </c>
      <c r="E763" s="26">
        <f>(Table267[[#This Row],[M2 Money Stock, Billions of Dollars, Weekly, Seasonally Adjusted]]-B751)/B751</f>
        <v>0.11754290876242088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2.7159855147440562E-3</v>
      </c>
      <c r="D764" s="27">
        <f>((1+Table267[[#This Row],[Monthly change]])^12)-1</f>
        <v>3.3083114961071525E-2</v>
      </c>
      <c r="E764" s="26">
        <f>(Table267[[#This Row],[M2 Money Stock, Billions of Dollars, Weekly, Seasonally Adjusted]]-B752)/B752</f>
        <v>0.10671316122190957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21644.3</v>
      </c>
      <c r="C766" s="26">
        <f>(Table267[[#This Row],[M2 Money Stock, Billions of Dollars, Weekly, Seasonally Adjusted]]-B765)/B765</f>
        <v>-4.3882850269323613E-3</v>
      </c>
      <c r="D766" s="27">
        <f>((1+Table267[[#This Row],[Monthly change]])^12)-1</f>
        <v>-5.1406864230155724E-2</v>
      </c>
      <c r="E766" s="26">
        <f>(Table267[[#This Row],[M2 Money Stock, Billions of Dollars, Weekly, Seasonally Adjusted]]-B754)/B754</f>
        <v>7.6257912454563911E-2</v>
      </c>
    </row>
    <row r="767" spans="1:5" x14ac:dyDescent="0.35">
      <c r="A767" s="24">
        <v>44682</v>
      </c>
      <c r="B767" s="43">
        <f>VLOOKUP(A767,'Database Rates'!$A:$D,4,FALSE)</f>
        <v>21649.200000000001</v>
      </c>
      <c r="C767" s="26">
        <f>(Table267[[#This Row],[M2 Money Stock, Billions of Dollars, Weekly, Seasonally Adjusted]]-B766)/B766</f>
        <v>2.2638754776090959E-4</v>
      </c>
      <c r="D767" s="27">
        <f>((1+Table267[[#This Row],[Monthly change]])^12)-1</f>
        <v>2.7200357142538323E-3</v>
      </c>
      <c r="E767" s="26">
        <f>(Table267[[#This Row],[M2 Money Stock, Billions of Dollars, Weekly, Seasonally Adjusted]]-B755)/B755</f>
        <v>6.0263386013801074E-2</v>
      </c>
    </row>
    <row r="768" spans="1:5" x14ac:dyDescent="0.35">
      <c r="A768" s="24">
        <v>44713</v>
      </c>
      <c r="B768" s="43">
        <f>VLOOKUP(A768,'Database Rates'!$A:$D,4,FALSE)</f>
        <v>21607.4</v>
      </c>
      <c r="C768" s="26">
        <f>(Table267[[#This Row],[M2 Money Stock, Billions of Dollars, Weekly, Seasonally Adjusted]]-B767)/B767</f>
        <v>-1.9307872808232761E-3</v>
      </c>
      <c r="D768" s="27">
        <f>((1+Table267[[#This Row],[Monthly change]])^12)-1</f>
        <v>-2.2924980032042463E-2</v>
      </c>
      <c r="E768" s="26">
        <f>(Table267[[#This Row],[M2 Money Stock, Billions of Dollars, Weekly, Seasonally Adjusted]]-B756)/B756</f>
        <v>5.6074994745871382E-2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1.3282486555530554E-3</v>
      </c>
      <c r="D769" s="27">
        <f>((1+Table267[[#This Row],[Monthly change]])^12)-1</f>
        <v>1.6055941085218794E-2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21631.8</v>
      </c>
      <c r="C770" s="26">
        <f>(Table267[[#This Row],[M2 Money Stock, Billions of Dollars, Weekly, Seasonally Adjusted]]-B769)/B769</f>
        <v>-1.9874191744349826E-4</v>
      </c>
      <c r="D770" s="27">
        <f>((1+Table267[[#This Row],[Monthly change]])^12)-1</f>
        <v>-2.3822978444623111E-3</v>
      </c>
      <c r="E770" s="26">
        <f>(Table267[[#This Row],[M2 Money Stock, Billions of Dollars, Weekly, Seasonally Adjusted]]-B758)/B758</f>
        <v>3.822839123986696E-2</v>
      </c>
    </row>
    <row r="771" spans="1:5" x14ac:dyDescent="0.35">
      <c r="A771" s="24">
        <v>44805</v>
      </c>
      <c r="B771" s="43">
        <f>VLOOKUP(A771,'Database Rates'!$A:$D,4,FALSE)</f>
        <v>21503.1</v>
      </c>
      <c r="C771" s="26">
        <f>(Table267[[#This Row],[M2 Money Stock, Billions of Dollars, Weekly, Seasonally Adjusted]]-B770)/B770</f>
        <v>-5.9495742379275292E-3</v>
      </c>
      <c r="D771" s="27">
        <f>((1+Table267[[#This Row],[Monthly change]])^12)-1</f>
        <v>-6.9104377800779937E-2</v>
      </c>
      <c r="E771" s="26">
        <f>(Table267[[#This Row],[M2 Money Stock, Billions of Dollars, Weekly, Seasonally Adjusted]]-B759)/B759</f>
        <v>2.5632342349647175E-2</v>
      </c>
    </row>
    <row r="772" spans="1:5" x14ac:dyDescent="0.35">
      <c r="A772" s="24">
        <v>44835</v>
      </c>
      <c r="B772" s="43">
        <f>VLOOKUP(A772,'Database Rates'!$A:$D,4,FALSE)</f>
        <v>21414.799999999999</v>
      </c>
      <c r="C772" s="26">
        <f>(Table267[[#This Row],[M2 Money Stock, Billions of Dollars, Weekly, Seasonally Adjusted]]-B771)/B771</f>
        <v>-4.1063846608163142E-3</v>
      </c>
      <c r="D772" s="27">
        <f>((1+Table267[[#This Row],[Monthly change]])^12)-1</f>
        <v>-4.8178791598420645E-2</v>
      </c>
      <c r="E772" s="26">
        <f>(Table267[[#This Row],[M2 Money Stock, Billions of Dollars, Weekly, Seasonally Adjusted]]-B760)/B760</f>
        <v>1.2812205884439379E-2</v>
      </c>
    </row>
    <row r="773" spans="1:5" x14ac:dyDescent="0.35">
      <c r="A773" s="24">
        <v>44866</v>
      </c>
      <c r="B773" s="43">
        <f>VLOOKUP(A773,'Database Rates'!$A:$D,4,FALSE)</f>
        <v>21351.599999999999</v>
      </c>
      <c r="C773" s="26">
        <f>(Table267[[#This Row],[M2 Money Stock, Billions of Dollars, Weekly, Seasonally Adjusted]]-B772)/B772</f>
        <v>-2.9512299904739117E-3</v>
      </c>
      <c r="D773" s="27">
        <f>((1+Table267[[#This Row],[Monthly change]])^12)-1</f>
        <v>-3.4845533443684573E-2</v>
      </c>
      <c r="E773" s="26">
        <f>(Table267[[#This Row],[M2 Money Stock, Billions of Dollars, Weekly, Seasonally Adjusted]]-B761)/B761</f>
        <v>1.1241639030960491E-4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60"/>
  <sheetViews>
    <sheetView zoomScale="130" zoomScaleNormal="130" workbookViewId="0">
      <pane ySplit="11" topLeftCell="A1044" activePane="bottomLeft" state="frozen"/>
      <selection pane="bottomLeft" activeCell="U1049" sqref="U1049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44" width="9.1796875" style="52" customWidth="1"/>
    <col min="45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62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63</v>
      </c>
    </row>
    <row r="11" spans="1:3" ht="16" customHeight="1" thickBot="1" x14ac:dyDescent="0.4">
      <c r="A11" s="36" t="s">
        <v>57</v>
      </c>
      <c r="B11" s="37" t="s">
        <v>39</v>
      </c>
      <c r="C11" s="38" t="s">
        <v>64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  <row r="1059" spans="1:3" x14ac:dyDescent="0.35">
      <c r="A1059" s="34">
        <f>'Database FED'!$A1049</f>
        <v>44937</v>
      </c>
      <c r="B1059" s="35">
        <f>VLOOKUP(A1059,'Database FED'!$A$1:$D$1100,2,FALSE)</f>
        <v>8508587</v>
      </c>
      <c r="C1059" s="35">
        <f>Table9[[#This Row],[WALCL]]-B1058</f>
        <v>1158</v>
      </c>
    </row>
    <row r="1060" spans="1:3" x14ac:dyDescent="0.35">
      <c r="A1060" s="34">
        <f>'Database FED'!$A1050</f>
        <v>44944</v>
      </c>
      <c r="B1060" s="35">
        <f>VLOOKUP(A1060,'Database FED'!$A$1:$D$1100,2,FALSE)</f>
        <v>8489039</v>
      </c>
      <c r="C1060" s="35">
        <f>Table9[[#This Row],[WALCL]]-B1059</f>
        <v>-19548</v>
      </c>
    </row>
  </sheetData>
  <hyperlinks>
    <hyperlink ref="A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060"/>
  <sheetViews>
    <sheetView showGridLines="0" zoomScale="130" zoomScaleNormal="130" workbookViewId="0">
      <pane ySplit="11" topLeftCell="A1041" activePane="bottomLeft" state="frozen"/>
      <selection activeCell="E371" sqref="E371"/>
      <selection pane="bottomLeft" activeCell="A1054" sqref="A1054:C1060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60" width="9.1796875" style="52" customWidth="1"/>
    <col min="61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62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63</v>
      </c>
    </row>
    <row r="11" spans="1:3" s="50" customFormat="1" ht="32" customHeight="1" x14ac:dyDescent="0.35">
      <c r="A11" s="48" t="s">
        <v>57</v>
      </c>
      <c r="B11" s="48" t="s">
        <v>39</v>
      </c>
      <c r="C11" s="49" t="s">
        <v>65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  <row r="1059" spans="1:3" x14ac:dyDescent="0.35">
      <c r="A1059" s="9">
        <f>'Database FED'!$A1049</f>
        <v>44937</v>
      </c>
      <c r="B1059" s="8">
        <f>VLOOKUP(A1059,'Database FED'!$A$1:$D$1100,2,FALSE)</f>
        <v>8508587</v>
      </c>
      <c r="C1059" s="6">
        <f>(Table4[[#This Row],[WALCL]]/1000)/19222</f>
        <v>0.44264837165747578</v>
      </c>
    </row>
    <row r="1060" spans="1:3" x14ac:dyDescent="0.35">
      <c r="A1060" s="9">
        <f>'Database FED'!$A1050</f>
        <v>44944</v>
      </c>
      <c r="B1060" s="8">
        <f>VLOOKUP(A1060,'Database FED'!$A$1:$D$1100,2,FALSE)</f>
        <v>8489039</v>
      </c>
      <c r="C1060" s="6">
        <f>(Table4[[#This Row],[WALCL]]/1000)/19222</f>
        <v>0.44163141192383731</v>
      </c>
    </row>
  </sheetData>
  <hyperlinks>
    <hyperlink ref="A1" r:id="rId1" xr:uid="{00000000-0004-0000-0B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C000"/>
  </sheetPr>
  <dimension ref="A1:D302"/>
  <sheetViews>
    <sheetView zoomScale="120" zoomScaleNormal="120" workbookViewId="0">
      <pane ySplit="5" topLeftCell="A279" activePane="bottomLeft" state="frozen"/>
      <selection activeCell="A1206" sqref="A1206"/>
      <selection pane="bottomLeft" activeCell="AE294" sqref="AE294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43" width="9.1796875" style="52" customWidth="1"/>
    <col min="44" max="16384" width="9.1796875" style="52"/>
  </cols>
  <sheetData>
    <row r="1" spans="1:4" x14ac:dyDescent="0.35">
      <c r="A1" s="13" t="s">
        <v>66</v>
      </c>
      <c r="B1" s="13"/>
    </row>
    <row r="2" spans="1:4" x14ac:dyDescent="0.35">
      <c r="A2" s="13" t="s">
        <v>40</v>
      </c>
      <c r="B2" s="13" t="s">
        <v>67</v>
      </c>
    </row>
    <row r="3" spans="1:4" x14ac:dyDescent="0.35">
      <c r="B3" s="10"/>
    </row>
    <row r="4" spans="1:4" ht="16" customHeight="1" thickBot="1" x14ac:dyDescent="0.4">
      <c r="A4" s="13" t="s">
        <v>68</v>
      </c>
      <c r="B4" s="13"/>
    </row>
    <row r="5" spans="1:4" ht="86" customHeight="1" thickBot="1" x14ac:dyDescent="0.4">
      <c r="A5" s="19" t="s">
        <v>47</v>
      </c>
      <c r="B5" s="31" t="s">
        <v>69</v>
      </c>
      <c r="C5" s="31" t="s">
        <v>70</v>
      </c>
      <c r="D5" s="20" t="s">
        <v>71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414"/>
  <sheetViews>
    <sheetView zoomScale="110" zoomScaleNormal="110" workbookViewId="0">
      <pane ySplit="6" topLeftCell="A386" activePane="bottomLeft" state="frozen"/>
      <selection activeCell="D400" sqref="D400"/>
      <selection pane="bottomLeft" activeCell="T410" sqref="T410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43" width="9.1796875" style="52" customWidth="1"/>
    <col min="44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72</v>
      </c>
    </row>
    <row r="5" spans="1:2" x14ac:dyDescent="0.35">
      <c r="A5" s="13" t="s">
        <v>68</v>
      </c>
      <c r="B5" s="13"/>
    </row>
    <row r="6" spans="1:2" ht="57" customHeight="1" x14ac:dyDescent="0.35">
      <c r="A6" s="16" t="s">
        <v>47</v>
      </c>
      <c r="B6" s="17" t="s">
        <v>73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  <row r="413" spans="1:2" x14ac:dyDescent="0.35">
      <c r="A413" s="47">
        <f>'Database ECB'!$A1255</f>
        <v>44932</v>
      </c>
      <c r="B413" s="15">
        <f>VLOOKUP(A413,'Database ECB'!$A$1:$B$2000,2,FALSE)</f>
        <v>7968035</v>
      </c>
    </row>
    <row r="414" spans="1:2" x14ac:dyDescent="0.35">
      <c r="A414" s="47">
        <f>'Database ECB'!$A1256</f>
        <v>44939</v>
      </c>
      <c r="B414" s="15">
        <f>VLOOKUP(A414,'Database ECB'!$A$1:$B$2000,2,FALSE)</f>
        <v>7972052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2023-01-21T03:58:45Z</dcterms:modified>
</cp:coreProperties>
</file>