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Rate'!$A$8:$A$820</f>
              <numCache>
                <formatCode>yyyy\-mm\-dd</formatCode>
                <ptCount val="813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</numCache>
            </numRef>
          </cat>
          <val>
            <numRef>
              <f>'Fed Funds Rate'!$B$8:$B$820</f>
              <numCache>
                <formatCode>0.00</formatCode>
                <ptCount val="813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Change'!$A$12:$A$1019</f>
              <numCache>
                <formatCode>m/d/yy</formatCode>
                <ptCount val="100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Weekly Change'!$C$12:$C$1019</f>
              <numCache>
                <formatCode>0</formatCode>
                <ptCount val="100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Sheet'!$A$7:$A$372</f>
              <numCache>
                <formatCode>yyyy\-mm\-dd</formatCode>
                <ptCount val="36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</numCache>
            </numRef>
          </cat>
          <val>
            <numRef>
              <f>'ECB Balance Sheet'!$B$7:$B$372</f>
              <numCache>
                <formatCode>0</formatCode>
                <ptCount val="36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157354</colOff>
      <row>974</row>
      <rowOff>87923</rowOff>
    </from>
    <to>
      <col>13</col>
      <colOff>19539</colOff>
      <row>997</row>
      <rowOff>97728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998</row>
      <rowOff>7328</rowOff>
    </from>
    <to>
      <col>13</col>
      <colOff>0</colOff>
      <row>1018</row>
      <rowOff>58615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114300</colOff>
      <row>345</row>
      <rowOff>146050</rowOff>
    </from>
    <to>
      <col>12</col>
      <colOff>123825</colOff>
      <row>367</row>
      <rowOff>31750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0" headerRowCount="1" totalsRowShown="0" headerRowDxfId="40" dataDxfId="38" headerRowBorderDxfId="39" tableBorderDxfId="37" totalsRowBorderDxfId="36" headerRowCellStyle="Normal 2" dataCellStyle="Normal 2">
  <autoFilter ref="A7:B820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4" headerRowCount="1" totalsRowShown="0" headerRowDxfId="33" dataDxfId="31" headerRowBorderDxfId="32" dataCellStyle="Normal 2">
  <autoFilter ref="A6:E76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8" headerRowCount="1" totalsRowShown="0" headerRowDxfId="25" dataDxfId="23" headerRowBorderDxfId="24">
  <autoFilter ref="A11:C101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2" headerRowCount="1" totalsRowShown="0" headerRowDxfId="15" dataDxfId="13" headerRowBorderDxfId="14" tableBorderDxfId="12" totalsRowBorderDxfId="11" headerRowCellStyle="Normal 2" dataCellStyle="Normal 2">
  <autoFilter ref="A5:D29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72" headerRowCount="1" totalsRowShown="0" headerRowDxfId="6" dataDxfId="4" headerRowBorderDxfId="5" tableBorderDxfId="3" totalsRowBorderDxfId="2" headerRowCellStyle="Normal 2" dataCellStyle="Normal 2">
  <autoFilter ref="A6:B37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6"/>
    <col width="9.1640625" customWidth="1" style="55" min="27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5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  <c r="D892" t="n">
        <v>21809.7</v>
      </c>
    </row>
    <row r="893">
      <c r="A893" s="62" t="n">
        <v>44652</v>
      </c>
      <c r="C893" t="n">
        <v>0.33</v>
      </c>
      <c r="D893" t="n">
        <v>21728</v>
      </c>
    </row>
    <row r="894">
      <c r="A894" s="62" t="n">
        <v>44682</v>
      </c>
      <c r="C894" t="n">
        <v>0.77</v>
      </c>
      <c r="D894" t="n">
        <v>21754.2</v>
      </c>
    </row>
    <row r="895">
      <c r="A895" s="62" t="n">
        <v>44713</v>
      </c>
      <c r="C895" t="n">
        <v>1.21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23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  <row r="1020">
      <c r="A1020" s="62" t="n">
        <v>44734</v>
      </c>
      <c r="B1020" t="n">
        <v>8934346</v>
      </c>
    </row>
    <row r="1021">
      <c r="A1021" s="62" t="n">
        <v>44741</v>
      </c>
      <c r="B1021" t="n">
        <v>8913553</v>
      </c>
    </row>
    <row r="1022">
      <c r="A1022" s="62" t="n">
        <v>44748</v>
      </c>
      <c r="B1022" t="n">
        <v>8891851</v>
      </c>
    </row>
    <row r="1023">
      <c r="A1023" s="62" t="n">
        <v>44755</v>
      </c>
      <c r="B1023" t="n">
        <v>8895867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61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C336" t="n">
        <v>5415292</v>
      </c>
      <c r="D336" t="n">
        <v>27821.759765625</v>
      </c>
    </row>
    <row r="337">
      <c r="A337" s="62" t="n">
        <v>44531</v>
      </c>
      <c r="B337" t="n">
        <v>7237659</v>
      </c>
      <c r="C337" t="n">
        <v>5415292</v>
      </c>
      <c r="D337" t="n">
        <v>28791.7109375</v>
      </c>
    </row>
    <row r="338">
      <c r="A338" s="62" t="n">
        <v>44562</v>
      </c>
      <c r="B338" t="n">
        <v>7251444</v>
      </c>
      <c r="C338" t="n">
        <v>5415292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7358202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B347" t="n">
        <v>7386915</v>
      </c>
      <c r="D347" t="n">
        <v>27665.98046875</v>
      </c>
    </row>
    <row r="348">
      <c r="A348" s="62" t="n">
        <v>44659</v>
      </c>
      <c r="D348" t="n">
        <v>26985.80078125</v>
      </c>
    </row>
    <row r="349">
      <c r="A349" s="62" t="n">
        <v>44666</v>
      </c>
      <c r="D349" t="n">
        <v>27093.189453125</v>
      </c>
    </row>
    <row r="350">
      <c r="A350" s="62" t="n">
        <v>44682</v>
      </c>
      <c r="B350" t="n">
        <v>7364911</v>
      </c>
      <c r="D350" t="n">
        <v>26427.650390625</v>
      </c>
    </row>
    <row r="351">
      <c r="A351" s="62" t="n">
        <v>44683</v>
      </c>
      <c r="D351" t="n">
        <v>26818.529296875</v>
      </c>
    </row>
    <row r="352">
      <c r="A352" s="62" t="n">
        <v>44694</v>
      </c>
      <c r="D352" t="n">
        <v>26427.650390625</v>
      </c>
    </row>
    <row r="353">
      <c r="A353" s="62" t="n">
        <v>44708</v>
      </c>
      <c r="D353" t="n">
        <v>26781.6796875</v>
      </c>
    </row>
    <row r="354">
      <c r="A354" s="62" t="n">
        <v>44713</v>
      </c>
      <c r="B354" t="n">
        <v>7327306</v>
      </c>
      <c r="D354" t="n">
        <v>27761.5703125</v>
      </c>
    </row>
    <row r="355">
      <c r="A355" s="62" t="n">
        <v>44715</v>
      </c>
      <c r="D355" t="n">
        <v>27761.5703125</v>
      </c>
    </row>
    <row r="356">
      <c r="A356" s="62" t="n">
        <v>44722</v>
      </c>
      <c r="D356" t="n">
        <v>27824.2890625</v>
      </c>
    </row>
    <row r="357">
      <c r="A357" s="62" t="n">
        <v>44729</v>
      </c>
      <c r="D357" t="n">
        <v>25963</v>
      </c>
    </row>
    <row r="358">
      <c r="A358" s="62" t="n">
        <v>44736</v>
      </c>
      <c r="D358" t="n">
        <v>26491.970703125</v>
      </c>
    </row>
    <row r="359">
      <c r="A359" s="62" t="n">
        <v>44743</v>
      </c>
      <c r="D359" t="n">
        <v>25935.619140625</v>
      </c>
    </row>
    <row r="360">
      <c r="A360" s="62" t="n">
        <v>44750</v>
      </c>
      <c r="D360" t="n">
        <v>26517.189453125</v>
      </c>
    </row>
    <row r="361">
      <c r="A361" s="62" t="n">
        <v>44757</v>
      </c>
      <c r="D361" t="n">
        <v>26788.470703125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29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  <row r="1226">
      <c r="A1226" s="62" t="n">
        <v>44729</v>
      </c>
      <c r="B1226" t="n">
        <v>8827944</v>
      </c>
    </row>
    <row r="1227">
      <c r="A1227" s="62" t="n">
        <v>44736</v>
      </c>
      <c r="B1227" t="n">
        <v>8835987</v>
      </c>
    </row>
    <row r="1228">
      <c r="A1228" s="62" t="n">
        <v>44743</v>
      </c>
      <c r="B1228" t="n">
        <v>8788761</v>
      </c>
    </row>
    <row r="1229">
      <c r="A1229" s="62" t="n">
        <v>44750</v>
      </c>
      <c r="B1229" t="n">
        <v>8774413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D870" sqref="D870"/>
    </sheetView>
  </sheetViews>
  <sheetFormatPr baseColWidth="10" defaultColWidth="9.1640625" defaultRowHeight="15"/>
  <cols>
    <col width="13.83203125" customWidth="1" style="4" min="1" max="2"/>
    <col width="9.1640625" customWidth="1" style="55" min="3" max="18"/>
    <col width="9.1640625" customWidth="1" style="55" min="19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0"/>
  <sheetViews>
    <sheetView zoomScale="170" zoomScaleNormal="170" workbookViewId="0">
      <pane ySplit="7" topLeftCell="A806" activePane="bottomLeft" state="frozen"/>
      <selection pane="bottomLeft" activeCell="G818" sqref="G818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8"/>
    <col width="9.1640625" customWidth="1" style="55" min="19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4"/>
  <sheetViews>
    <sheetView zoomScale="140" zoomScaleNormal="140" workbookViewId="0">
      <pane ySplit="6" topLeftCell="A749" activePane="bottomLeft" state="frozen"/>
      <selection pane="bottomLeft" activeCell="F766" sqref="F76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1"/>
    <col width="9.1640625" customWidth="1" style="55" min="22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8"/>
  <sheetViews>
    <sheetView zoomScale="150" zoomScaleNormal="150" workbookViewId="0">
      <pane ySplit="11" topLeftCell="A1006" activePane="bottomLeft" state="frozen"/>
      <selection pane="bottomLeft" activeCell="Q1007" sqref="Q1007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9"/>
    <col width="9.1640625" customWidth="1" style="55" min="20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8"/>
  <sheetViews>
    <sheetView showGridLines="0" zoomScale="130" zoomScaleNormal="130" workbookViewId="0">
      <pane ySplit="11" topLeftCell="A1001" activePane="bottomLeft" state="frozen"/>
      <selection activeCell="G33" sqref="G33"/>
      <selection pane="bottomLeft" activeCell="O1000" sqref="O1000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5"/>
    <col width="9.1640625" customWidth="1" style="55" min="36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2"/>
  <sheetViews>
    <sheetView zoomScale="110" zoomScaleNormal="110" workbookViewId="0">
      <pane ySplit="5" topLeftCell="A269" activePane="bottomLeft" state="frozen"/>
      <selection pane="bottomLeft" activeCell="G294" sqref="G29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8"/>
    <col width="9.1640625" customWidth="1" style="55" min="19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72"/>
  <sheetViews>
    <sheetView zoomScale="200" zoomScaleNormal="200" workbookViewId="0">
      <pane ySplit="6" topLeftCell="A363" activePane="bottomLeft" state="frozen"/>
      <selection activeCell="J40" sqref="J40"/>
      <selection pane="bottomLeft" activeCell="E372" sqref="E372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8"/>
    <col width="9.1640625" customWidth="1" style="55" min="19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2022-04-02T13:04:34Z</dcterms:modified>
  <cp:lastModifiedBy>Mark Mukherjee</cp:lastModifiedBy>
</cp:coreProperties>
</file>