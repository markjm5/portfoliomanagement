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1220" yWindow="2240" windowWidth="45560" windowHeight="2522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Rate'!$A$8:$A$819</f>
              <numCache>
                <formatCode>yyyy\-mm\-dd</formatCode>
                <ptCount val="812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</numCache>
            </numRef>
          </cat>
          <val>
            <numRef>
              <f>'Fed Funds Rate'!$B$8:$B$819</f>
              <numCache>
                <formatCode>0.00</formatCode>
                <ptCount val="812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new'!$A$7:$A$763</f>
              <numCache>
                <formatCode>m/d/yy</formatCode>
                <ptCount val="75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</numCache>
            </numRef>
          </cat>
          <val>
            <numRef>
              <f>'M2 new'!$B$7:$B$763</f>
              <numCache>
                <formatCode>0.0</formatCode>
                <ptCount val="757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new'!$A$692:$A$767</f>
              <numCache>
                <formatCode>m/d/yy</formatCode>
                <ptCount val="76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</numCache>
            </numRef>
          </cat>
          <val>
            <numRef>
              <f>'M2 new'!$D$692:$D$767</f>
              <numCache>
                <formatCode>0.00%</formatCode>
                <ptCount val="76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  <pt idx="71">
                  <v>0.1179592872840296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56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</numCache>
            </numRef>
          </cat>
          <val>
            <numRef>
              <f>'Fed Weekly Change'!$C$12:$C$1014</f>
              <numCache>
                <formatCode>0</formatCode>
                <ptCount val="1003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615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</numCache>
            </numRef>
          </cat>
          <val>
            <numRef>
              <f>'Fed Balance Sheet'!$B$12:$B$1014</f>
              <numCache>
                <formatCode>0</formatCode>
                <ptCount val="1003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Sheet'!$C$6:$C$292</f>
              <numCache>
                <formatCode>General</formatCode>
                <ptCount val="287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Sheet'!$D$6:$D$292</f>
              <numCache>
                <formatCode>0.0%</formatCode>
                <ptCount val="287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1.341176531382666</v>
                </pt>
                <pt idx="281">
                  <v>1.336281591812275</v>
                </pt>
                <pt idx="282">
                  <v>1.338368349785446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Sheet'!$A$7:$A$367</f>
              <numCache>
                <formatCode>yyyy\-mm\-dd</formatCode>
                <ptCount val="361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</numCache>
            </numRef>
          </cat>
          <val>
            <numRef>
              <f>'ECB Balance Sheet'!$B$7:$B$367</f>
              <numCache>
                <formatCode>0</formatCode>
                <ptCount val="361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61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167123</colOff>
      <row>963</row>
      <rowOff>146538</rowOff>
    </from>
    <to>
      <col>13</col>
      <colOff>29308</colOff>
      <row>986</row>
      <rowOff>156344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194339</colOff>
      <row>987</row>
      <rowOff>144097</rowOff>
    </from>
    <to>
      <col>13</col>
      <colOff>48846</colOff>
      <row>1008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222250</colOff>
      <row>338</row>
      <rowOff>25400</rowOff>
    </from>
    <to>
      <col>12</col>
      <colOff>231775</colOff>
      <row>359</row>
      <rowOff>101600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19" headerRowCount="1" totalsRowShown="0" headerRowDxfId="40" dataDxfId="38" headerRowBorderDxfId="39" tableBorderDxfId="37" totalsRowBorderDxfId="36" headerRowCellStyle="Normal 2" dataCellStyle="Normal 2">
  <autoFilter ref="A7:B819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3" headerRowCount="1" totalsRowShown="0" headerRowDxfId="33" dataDxfId="31" headerRowBorderDxfId="32" dataCellStyle="Normal 2">
  <autoFilter ref="A6:E763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3" headerRowCount="1" totalsRowShown="0" headerRowDxfId="25" dataDxfId="23" headerRowBorderDxfId="24">
  <autoFilter ref="A11:C1013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3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1" headerRowCount="1" totalsRowShown="0" headerRowDxfId="15" dataDxfId="13" headerRowBorderDxfId="14" tableBorderDxfId="12" totalsRowBorderDxfId="11" headerRowCellStyle="Normal 2" dataCellStyle="Normal 2">
  <autoFilter ref="A5:D291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67" headerRowCount="1" totalsRowShown="0" headerRowDxfId="6" dataDxfId="4" headerRowBorderDxfId="5" tableBorderDxfId="3" totalsRowBorderDxfId="2" headerRowCellStyle="Normal 2" dataCellStyle="Normal 2">
  <autoFilter ref="A6:B367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5"/>
    <col width="9.1640625" customWidth="1" style="55" min="26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1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  <c r="D890" t="n">
        <v>21840.1</v>
      </c>
    </row>
    <row r="891">
      <c r="A891" s="62" t="n">
        <v>44593</v>
      </c>
      <c r="C891" t="n">
        <v>0.08</v>
      </c>
      <c r="D891" t="n">
        <v>21811.8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07"/>
  <sheetViews>
    <sheetView zoomScale="190" zoomScaleNormal="190" workbookViewId="0">
      <pane ySplit="1" topLeftCell="A988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46"/>
  <sheetViews>
    <sheetView zoomScale="170" zoomScaleNormal="170" workbookViewId="0">
      <pane ySplit="1" topLeftCell="A331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C333" t="n">
        <v>5418453</v>
      </c>
      <c r="D333" t="n">
        <v>28089.5390625</v>
      </c>
    </row>
    <row r="334">
      <c r="A334" s="62" t="n">
        <v>44440</v>
      </c>
      <c r="B334" t="n">
        <v>7240579</v>
      </c>
      <c r="C334" t="n">
        <v>5418453</v>
      </c>
      <c r="D334" t="n">
        <v>29452.66015625</v>
      </c>
    </row>
    <row r="335">
      <c r="A335" s="62" t="n">
        <v>44470</v>
      </c>
      <c r="B335" t="n">
        <v>7251886</v>
      </c>
      <c r="C335" t="n">
        <v>5418453</v>
      </c>
      <c r="D335" t="n">
        <v>28892.689453125</v>
      </c>
    </row>
    <row r="336">
      <c r="A336" s="62" t="n">
        <v>44501</v>
      </c>
      <c r="B336" t="n">
        <v>7282186</v>
      </c>
      <c r="D336" t="n">
        <v>27821.759765625</v>
      </c>
    </row>
    <row r="337">
      <c r="A337" s="62" t="n">
        <v>44531</v>
      </c>
      <c r="B337" t="n">
        <v>7237659</v>
      </c>
      <c r="D337" t="n">
        <v>28791.7109375</v>
      </c>
    </row>
    <row r="338">
      <c r="A338" s="62" t="n">
        <v>44562</v>
      </c>
      <c r="B338" t="n">
        <v>7251444</v>
      </c>
      <c r="D338" t="n">
        <v>27131.33984375</v>
      </c>
    </row>
    <row r="339">
      <c r="A339" s="62" t="n">
        <v>44593</v>
      </c>
      <c r="B339" t="n">
        <v>7305553</v>
      </c>
      <c r="D339" t="n">
        <v>27439.990234375</v>
      </c>
    </row>
    <row r="340">
      <c r="A340" s="62" t="n">
        <v>44602</v>
      </c>
      <c r="D340" t="n">
        <v>27696.080078125</v>
      </c>
    </row>
    <row r="341">
      <c r="A341" s="62" t="n">
        <v>44617</v>
      </c>
      <c r="D341" t="n">
        <v>26476.5</v>
      </c>
    </row>
    <row r="342">
      <c r="A342" s="62" t="n">
        <v>44621</v>
      </c>
      <c r="D342" t="n">
        <v>26577.26953125</v>
      </c>
    </row>
    <row r="343">
      <c r="A343" s="62" t="n">
        <v>44624</v>
      </c>
      <c r="D343" t="n">
        <v>25985.470703125</v>
      </c>
    </row>
    <row r="344">
      <c r="A344" s="62" t="n">
        <v>44631</v>
      </c>
      <c r="D344" t="n">
        <v>25162.779296875</v>
      </c>
    </row>
    <row r="345">
      <c r="A345" s="62" t="n">
        <v>44638</v>
      </c>
      <c r="D345" t="n">
        <v>26827.4296875</v>
      </c>
    </row>
    <row r="346">
      <c r="A346" s="62" t="n">
        <v>44645</v>
      </c>
      <c r="D346" t="n">
        <v>28149.83984375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13"/>
  <sheetViews>
    <sheetView zoomScale="200" zoomScaleNormal="200" workbookViewId="0">
      <pane ySplit="1" topLeftCell="A1199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5" activePane="bottomLeft" state="frozen"/>
      <selection activeCell="B1" sqref="B1"/>
      <selection pane="bottomLeft" activeCell="A864" sqref="A864:B867"/>
    </sheetView>
  </sheetViews>
  <sheetFormatPr baseColWidth="10" defaultColWidth="9.1640625" defaultRowHeight="15"/>
  <cols>
    <col width="13.83203125" customWidth="1" style="4" min="1" max="2"/>
    <col width="9.1640625" customWidth="1" style="55" min="3" max="17"/>
    <col width="9.1640625" customWidth="1" style="55" min="18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19"/>
  <sheetViews>
    <sheetView zoomScale="170" zoomScaleNormal="170" workbookViewId="0">
      <pane ySplit="7" topLeftCell="A810" activePane="bottomLeft" state="frozen"/>
      <selection pane="bottomLeft" activeCell="F819" sqref="F819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7"/>
    <col width="9.1640625" customWidth="1" style="55" min="18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3"/>
  <sheetViews>
    <sheetView zoomScale="140" zoomScaleNormal="140" workbookViewId="0">
      <pane ySplit="6" topLeftCell="A734" activePane="bottomLeft" state="frozen"/>
      <selection pane="bottomLeft" activeCell="S752" sqref="S752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20"/>
    <col width="9.1640625" customWidth="1" style="55" min="21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3"/>
  <sheetViews>
    <sheetView zoomScale="150" zoomScaleNormal="150" workbookViewId="0">
      <pane ySplit="11" topLeftCell="A989" activePane="bottomLeft" state="frozen"/>
      <selection pane="bottomLeft" activeCell="J1015" sqref="J1015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8"/>
    <col width="9.1640625" customWidth="1" style="55" min="19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3"/>
  <sheetViews>
    <sheetView showGridLines="0" zoomScale="130" zoomScaleNormal="130" workbookViewId="0">
      <pane ySplit="11" topLeftCell="A986" activePane="bottomLeft" state="frozen"/>
      <selection activeCell="G33" sqref="G33"/>
      <selection pane="bottomLeft" activeCell="P1008" sqref="P1008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4"/>
    <col width="9.1640625" customWidth="1" style="55" min="35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1"/>
  <sheetViews>
    <sheetView zoomScale="110" zoomScaleNormal="110" workbookViewId="0">
      <pane ySplit="5" topLeftCell="A269" activePane="bottomLeft" state="frozen"/>
      <selection pane="bottomLeft" activeCell="R304" sqref="R304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7"/>
    <col width="9.1640625" customWidth="1" style="55" min="18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67"/>
  <sheetViews>
    <sheetView zoomScale="200" zoomScaleNormal="200" workbookViewId="0">
      <pane ySplit="6" topLeftCell="A350" activePane="bottomLeft" state="frozen"/>
      <selection activeCell="J40" sqref="J40"/>
      <selection pane="bottomLeft" activeCell="M367" sqref="M367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7"/>
    <col width="9.1640625" customWidth="1" style="55" min="18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2022-02-27T01:52:30Z</dcterms:modified>
  <cp:lastModifiedBy>Mark Mukherjee</cp:lastModifiedBy>
</cp:coreProperties>
</file>